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4.xml" ContentType="application/vnd.openxmlformats-officedocument.drawingml.chart+xml"/>
  <Override PartName="/xl/drawings/drawing3.xml" ContentType="application/vnd.openxmlformats-officedocument.drawingml.chartshap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drawings/drawing5.xml" ContentType="application/vnd.openxmlformats-officedocument.drawingml.chartshapes+xml"/>
  <Override PartName="/xl/pivotTables/pivotTable1.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Ex1.xml" ContentType="application/vnd.ms-office.chartex+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19170" windowHeight="7035"/>
  </bookViews>
  <sheets>
    <sheet name="TESTING v2" sheetId="41" r:id="rId1"/>
    <sheet name="ANALYSIS" sheetId="31" r:id="rId2"/>
    <sheet name="CHARTING" sheetId="32" r:id="rId3"/>
    <sheet name="||END||" sheetId="37" r:id="rId4"/>
    <sheet name="ScoreMaster v2" sheetId="42" r:id="rId5"/>
    <sheet name="TESTING v1" sheetId="1" r:id="rId6"/>
    <sheet name="Instructions" sheetId="16" r:id="rId7"/>
    <sheet name="Exported Scores" sheetId="11" r:id="rId8"/>
    <sheet name="Pivot (Export)" sheetId="14" r:id="rId9"/>
    <sheet name="Past Q Scores" sheetId="34" r:id="rId10"/>
    <sheet name="Key Findings" sheetId="33" r:id="rId11"/>
    <sheet name="Industries v3" sheetId="38" r:id="rId12"/>
    <sheet name="Charting Data v2" sheetId="3" r:id="rId13"/>
  </sheets>
  <externalReferences>
    <externalReference r:id="rId14"/>
    <externalReference r:id="rId15"/>
  </externalReferences>
  <definedNames>
    <definedName name="_xlnm._FilterDatabase" localSheetId="7" hidden="1">'Exported Scores'!$A$1:$M$411</definedName>
    <definedName name="_xlnm._FilterDatabase" localSheetId="4" hidden="1">'ScoreMaster v2'!$A$1:$AE$3339</definedName>
    <definedName name="_xlchart.v1.0" hidden="1">(ANALYSIS!$B$127:$B$130,ANALYSIS!$B$132:$B$142)</definedName>
    <definedName name="_xlchart.v1.1" hidden="1">(ANALYSIS!$W$127:$W$130,ANALYSIS!$W$132:$W$142)</definedName>
    <definedName name="B2BNonTechProductsandServices" localSheetId="0">#REF!</definedName>
    <definedName name="B2BNonTechProductsandServices">#REF!</definedName>
    <definedName name="B2BSoftwareandTechnologyServices" localSheetId="0">#REF!</definedName>
    <definedName name="B2BSoftwareandTechnologyServices">#REF!</definedName>
    <definedName name="B2CServices" localSheetId="0">#REF!</definedName>
    <definedName name="B2CServices">#REF!</definedName>
    <definedName name="B2CSoftwareandTechnologyServices" localSheetId="0">#REF!</definedName>
    <definedName name="B2CSoftwareandTechnologyServices">#REF!</definedName>
    <definedName name="Binary" localSheetId="2">#REF!</definedName>
    <definedName name="Binary" localSheetId="10">#REF!</definedName>
    <definedName name="Binary" localSheetId="9">#REF!</definedName>
    <definedName name="Binary" localSheetId="0">#REF!</definedName>
    <definedName name="Binary">#REF!</definedName>
    <definedName name="Comps">'Industries v3'!$B$40:$B$60</definedName>
    <definedName name="Counts" localSheetId="2">#REF!</definedName>
    <definedName name="Counts" localSheetId="10">#REF!</definedName>
    <definedName name="Counts" localSheetId="9">#REF!</definedName>
    <definedName name="Counts" localSheetId="0">#REF!</definedName>
    <definedName name="Counts">#REF!</definedName>
    <definedName name="Counts2" localSheetId="2">#REF!</definedName>
    <definedName name="Counts2" localSheetId="10">#REF!</definedName>
    <definedName name="Counts2" localSheetId="9">#REF!</definedName>
    <definedName name="Counts2" localSheetId="0">#REF!</definedName>
    <definedName name="Counts2">#REF!</definedName>
    <definedName name="Delivery" localSheetId="2">CHARTING!#REF!</definedName>
    <definedName name="Delivery" localSheetId="10">'Key Findings'!#REF!</definedName>
    <definedName name="Delivery" localSheetId="9">'Past Q Scores'!#REF!</definedName>
    <definedName name="Delivery" localSheetId="0">[1]ANALYSIS!#REF!</definedName>
    <definedName name="Delivery">ANALYSIS!#REF!</definedName>
    <definedName name="Delivery2" localSheetId="0">[2]MASTER!#REF!</definedName>
    <definedName name="Delivery2">[2]MASTER!#REF!</definedName>
    <definedName name="Discounts" localSheetId="2">CHARTING!#REF!</definedName>
    <definedName name="Discounts" localSheetId="10">'Key Findings'!#REF!</definedName>
    <definedName name="Discounts" localSheetId="9">'Past Q Scores'!#REF!</definedName>
    <definedName name="Discounts" localSheetId="0">[1]ANALYSIS!#REF!</definedName>
    <definedName name="Discounts">ANALYSIS!#REF!</definedName>
    <definedName name="Discounts2" localSheetId="0">[2]MASTER!#REF!</definedName>
    <definedName name="Discounts2">[2]MASTER!#REF!</definedName>
    <definedName name="Financials" localSheetId="0">#REF!</definedName>
    <definedName name="Financials">#REF!</definedName>
    <definedName name="Healthcare" localSheetId="0">#REF!</definedName>
    <definedName name="Healthcare">#REF!</definedName>
    <definedName name="Industry" localSheetId="0">'[1]Industries v3'!$B$2:$B$27</definedName>
    <definedName name="Industry">'Industries v3'!$B$2:$B$27</definedName>
    <definedName name="Percents" localSheetId="2">#REF!</definedName>
    <definedName name="Percents" localSheetId="10">#REF!</definedName>
    <definedName name="Percents" localSheetId="9">#REF!</definedName>
    <definedName name="Percents" localSheetId="0">#REF!</definedName>
    <definedName name="Percents">#REF!</definedName>
    <definedName name="PublishingandMedia" localSheetId="0">#REF!</definedName>
    <definedName name="PublishingandMedia">#REF!</definedName>
    <definedName name="RetailandManufacturing" localSheetId="0">#REF!</definedName>
    <definedName name="RetailandManufacturing">#REF!</definedName>
    <definedName name="Revenue" localSheetId="2">CHARTING!#REF!</definedName>
    <definedName name="Revenue" localSheetId="10">'Key Findings'!#REF!</definedName>
    <definedName name="Revenue" localSheetId="9">'Past Q Scores'!#REF!</definedName>
    <definedName name="Revenue" localSheetId="0">[1]ANALYSIS!#REF!</definedName>
    <definedName name="Revenue">ANALYSIS!#REF!</definedName>
    <definedName name="Revenue2" localSheetId="0">[2]MASTER!#REF!</definedName>
    <definedName name="Revenue2">[2]MASTER!#REF!</definedName>
    <definedName name="Revenus" localSheetId="2">CHARTING!#REF!</definedName>
    <definedName name="Revenus" localSheetId="10">'Key Findings'!#REF!</definedName>
    <definedName name="Revenus" localSheetId="9">'Past Q Scores'!#REF!</definedName>
    <definedName name="Revenus" localSheetId="0">[1]ANALYSIS!#REF!</definedName>
    <definedName name="Revenus">ANALYSIS!#REF!</definedName>
    <definedName name="Sectors" localSheetId="0">'[2]Industries-lists-v2'!$A$2:$A$11</definedName>
    <definedName name="Sectors">'[2]Industries-lists-v2'!$A$2:$A$11</definedName>
    <definedName name="SLA" localSheetId="2">CHARTING!#REF!</definedName>
    <definedName name="SLA" localSheetId="10">'Key Findings'!#REF!</definedName>
    <definedName name="SLA" localSheetId="9">'Past Q Scores'!#REF!</definedName>
    <definedName name="SLA" localSheetId="0">[1]ANALYSIS!#REF!</definedName>
    <definedName name="SLA">ANALYSIS!#REF!</definedName>
    <definedName name="SLAA" localSheetId="0">[2]MASTER!#REF!</definedName>
    <definedName name="SLAA">[2]MASTER!#REF!</definedName>
    <definedName name="Source" localSheetId="0">'[1]Industries v3'!$B$31:$B$33</definedName>
    <definedName name="Source">'Industries v3'!$B$31:$B$33</definedName>
    <definedName name="Subscription" localSheetId="2">CHARTING!#REF!</definedName>
    <definedName name="Subscription" localSheetId="10">'Key Findings'!#REF!</definedName>
    <definedName name="Subscription" localSheetId="9">'Past Q Scores'!#REF!</definedName>
    <definedName name="Subscription" localSheetId="0">[1]ANALYSIS!#REF!</definedName>
    <definedName name="Subscription">ANALYSIS!#REF!</definedName>
    <definedName name="Subscription2" localSheetId="0">[2]MASTER!#REF!</definedName>
    <definedName name="Subscription2">[2]MASTER!#REF!</definedName>
    <definedName name="Telecom" localSheetId="0">#REF!</definedName>
    <definedName name="Telecom">#REF!</definedName>
    <definedName name="Traffic" localSheetId="2">CHARTING!#REF!</definedName>
    <definedName name="Traffic" localSheetId="10">'Key Findings'!#REF!</definedName>
    <definedName name="Traffic" localSheetId="9">'Past Q Scores'!#REF!</definedName>
    <definedName name="Traffic" localSheetId="0">[1]ANALYSIS!#REF!</definedName>
    <definedName name="Traffic">ANALYSIS!#REF!</definedName>
    <definedName name="Traffic2" localSheetId="0">[2]MASTER!#REF!</definedName>
    <definedName name="Traffic2">[2]MASTER!#REF!</definedName>
    <definedName name="Travel" localSheetId="0">#REF!</definedName>
    <definedName name="Travel">#REF!</definedName>
    <definedName name="Type" localSheetId="0">'[1]Industries v3'!$B$36:$B$38</definedName>
    <definedName name="Type">'Industries v3'!$B$36:$B$38</definedName>
  </definedNames>
  <calcPr calcId="145621"/>
  <pivotCaches>
    <pivotCache cacheId="0" r:id="rId1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41" l="1"/>
  <c r="X4" i="41"/>
  <c r="X5" i="41"/>
  <c r="X6" i="41"/>
  <c r="X7" i="41"/>
  <c r="X8" i="41"/>
  <c r="Z11" i="41" l="1"/>
  <c r="Z12" i="41"/>
  <c r="Z13" i="41"/>
  <c r="X9" i="41" l="1"/>
  <c r="X10" i="41"/>
  <c r="X11" i="41"/>
  <c r="X12" i="41"/>
  <c r="X13" i="41"/>
  <c r="X14" i="41"/>
  <c r="J6" i="41" l="1"/>
  <c r="K6" i="41"/>
  <c r="O6" i="41"/>
  <c r="P6" i="41"/>
  <c r="Q6" i="41"/>
  <c r="AS6" i="41"/>
  <c r="AT6" i="41"/>
  <c r="AU6" i="41"/>
  <c r="AV6" i="41"/>
  <c r="AW6" i="41"/>
  <c r="AX6" i="41"/>
  <c r="AY6" i="41"/>
  <c r="AZ6" i="41"/>
  <c r="L6" i="41" l="1"/>
  <c r="R6" i="41"/>
  <c r="AA6" i="41" s="1"/>
  <c r="O4" i="41"/>
  <c r="P4" i="41"/>
  <c r="Q4" i="41"/>
  <c r="O5" i="41"/>
  <c r="P5" i="41"/>
  <c r="Q5" i="41"/>
  <c r="O7" i="41"/>
  <c r="P7" i="41"/>
  <c r="Q7" i="41"/>
  <c r="O8" i="41"/>
  <c r="P8" i="41"/>
  <c r="Q8" i="41"/>
  <c r="O9" i="41"/>
  <c r="P9" i="41"/>
  <c r="Q9" i="41"/>
  <c r="O10" i="41"/>
  <c r="P10" i="41"/>
  <c r="Q10" i="41"/>
  <c r="O11" i="41"/>
  <c r="P11" i="41"/>
  <c r="Q11" i="41"/>
  <c r="R11" i="41" s="1"/>
  <c r="AA11" i="41" s="1"/>
  <c r="O12" i="41"/>
  <c r="P12" i="41"/>
  <c r="Q12" i="41"/>
  <c r="R12" i="41" s="1"/>
  <c r="O13" i="41"/>
  <c r="P13" i="41"/>
  <c r="Q13" i="41"/>
  <c r="O14" i="41"/>
  <c r="P14" i="41"/>
  <c r="Q14" i="41"/>
  <c r="O15" i="41"/>
  <c r="P15" i="41"/>
  <c r="Q15" i="41"/>
  <c r="R15" i="41" s="1"/>
  <c r="O16" i="41"/>
  <c r="P16" i="41"/>
  <c r="Q16" i="41"/>
  <c r="R16" i="41" s="1"/>
  <c r="O17" i="41"/>
  <c r="P17" i="41"/>
  <c r="Q17" i="41"/>
  <c r="O18" i="41"/>
  <c r="P18" i="41"/>
  <c r="Q18" i="41"/>
  <c r="O19" i="41"/>
  <c r="P19" i="41"/>
  <c r="Q19" i="41"/>
  <c r="R19" i="41" s="1"/>
  <c r="O20" i="41"/>
  <c r="P20" i="41"/>
  <c r="Q20" i="41"/>
  <c r="R20" i="41" s="1"/>
  <c r="O21" i="41"/>
  <c r="P21" i="41"/>
  <c r="Q21" i="41"/>
  <c r="O22" i="41"/>
  <c r="P22" i="41"/>
  <c r="Q22" i="41"/>
  <c r="Q3" i="41"/>
  <c r="P3" i="41"/>
  <c r="O3" i="41"/>
  <c r="J4" i="41"/>
  <c r="K4" i="41"/>
  <c r="J5" i="41"/>
  <c r="K5" i="41"/>
  <c r="J7" i="41"/>
  <c r="K7" i="41"/>
  <c r="J8" i="41"/>
  <c r="K8" i="41"/>
  <c r="J9" i="41"/>
  <c r="K9" i="41"/>
  <c r="J10" i="41"/>
  <c r="K10" i="41"/>
  <c r="J11" i="41"/>
  <c r="K11" i="41"/>
  <c r="J12" i="41"/>
  <c r="K12" i="41"/>
  <c r="J13" i="41"/>
  <c r="K13" i="41"/>
  <c r="J14" i="41"/>
  <c r="K14" i="41"/>
  <c r="J15" i="41"/>
  <c r="K15" i="41"/>
  <c r="J16" i="41"/>
  <c r="K16" i="41"/>
  <c r="J17" i="41"/>
  <c r="K17" i="41"/>
  <c r="J18" i="41"/>
  <c r="K18" i="41"/>
  <c r="J19" i="41"/>
  <c r="K19" i="41"/>
  <c r="J20" i="41"/>
  <c r="K20" i="41"/>
  <c r="J21" i="41"/>
  <c r="K21" i="41"/>
  <c r="J22" i="41"/>
  <c r="K22" i="41"/>
  <c r="K3" i="41"/>
  <c r="J3" i="41"/>
  <c r="Z6" i="41" l="1"/>
  <c r="V6" i="41" s="1"/>
  <c r="AB6" i="41"/>
  <c r="R21" i="41"/>
  <c r="R17" i="41"/>
  <c r="R13" i="41"/>
  <c r="R22" i="41"/>
  <c r="R18" i="41"/>
  <c r="R14" i="41"/>
  <c r="R10" i="41"/>
  <c r="AA10" i="41" s="1"/>
  <c r="R8" i="41"/>
  <c r="AA8" i="41" s="1"/>
  <c r="R9" i="41"/>
  <c r="AA9" i="41" s="1"/>
  <c r="R4" i="41"/>
  <c r="AA4" i="41" s="1"/>
  <c r="R7" i="41"/>
  <c r="AA7" i="41" s="1"/>
  <c r="R5" i="41"/>
  <c r="AA5" i="41" s="1"/>
  <c r="R3" i="41"/>
  <c r="AA3" i="41" s="1"/>
  <c r="L7" i="41"/>
  <c r="L8" i="41"/>
  <c r="L9" i="41"/>
  <c r="L10" i="41"/>
  <c r="Z10" i="41" s="1"/>
  <c r="L11" i="41"/>
  <c r="L12" i="41"/>
  <c r="V12" i="41" s="1"/>
  <c r="L13" i="41"/>
  <c r="Z9" i="41" l="1"/>
  <c r="V9" i="41" s="1"/>
  <c r="AB8" i="41"/>
  <c r="Z8" i="41"/>
  <c r="V8" i="41" s="1"/>
  <c r="AB7" i="41"/>
  <c r="Z7" i="41"/>
  <c r="V7" i="41" s="1"/>
  <c r="Y6" i="41"/>
  <c r="W6" i="41"/>
  <c r="AB11" i="41"/>
  <c r="V11" i="41"/>
  <c r="AB9" i="41"/>
  <c r="V10" i="41"/>
  <c r="AB10" i="41"/>
  <c r="W8" i="41" l="1"/>
  <c r="Y8" i="41"/>
  <c r="W7" i="41"/>
  <c r="Y7" i="41"/>
  <c r="BB6" i="41"/>
  <c r="W9" i="41"/>
  <c r="Y9" i="41"/>
  <c r="Y10" i="41"/>
  <c r="W10" i="41"/>
  <c r="Y11" i="41"/>
  <c r="W11" i="41"/>
  <c r="L3" i="41"/>
  <c r="L4" i="41"/>
  <c r="L5" i="41"/>
  <c r="AB5" i="41" l="1"/>
  <c r="Z5" i="41"/>
  <c r="V5" i="41" s="1"/>
  <c r="Z4" i="41"/>
  <c r="V4" i="41" s="1"/>
  <c r="AB4" i="41"/>
  <c r="AB3" i="41"/>
  <c r="Z3" i="41"/>
  <c r="V3" i="41" s="1"/>
  <c r="AA15" i="41"/>
  <c r="AA16" i="41"/>
  <c r="AA17" i="41"/>
  <c r="AA18" i="41"/>
  <c r="AA19" i="41"/>
  <c r="AA20" i="41"/>
  <c r="AA21" i="41"/>
  <c r="AA22" i="41"/>
  <c r="Y5" i="41" l="1"/>
  <c r="W5" i="41"/>
  <c r="W4" i="41"/>
  <c r="Y4" i="41"/>
  <c r="W3" i="41"/>
  <c r="Y3" i="41"/>
  <c r="X15" i="41"/>
  <c r="X16" i="41"/>
  <c r="X17" i="41"/>
  <c r="X18" i="41"/>
  <c r="X19" i="41"/>
  <c r="X20" i="41"/>
  <c r="X21" i="41"/>
  <c r="X22" i="41"/>
  <c r="AN6" i="41" l="1"/>
  <c r="X23" i="41"/>
  <c r="AV3" i="41" l="1"/>
  <c r="AW3" i="41"/>
  <c r="AX3" i="41"/>
  <c r="AV4" i="41"/>
  <c r="AW4" i="41"/>
  <c r="AX4" i="41"/>
  <c r="AV5" i="41"/>
  <c r="AW5" i="41"/>
  <c r="AX5" i="41"/>
  <c r="AV7" i="41"/>
  <c r="AW7" i="41"/>
  <c r="AX7" i="41"/>
  <c r="AV8" i="41"/>
  <c r="AW8" i="41"/>
  <c r="AX8" i="41"/>
  <c r="AV9" i="41"/>
  <c r="AW9" i="41"/>
  <c r="AX9" i="41"/>
  <c r="AV10" i="41"/>
  <c r="AW10" i="41"/>
  <c r="AX10" i="41"/>
  <c r="AJ23" i="41" l="1"/>
  <c r="AI23" i="41"/>
  <c r="AH23" i="41"/>
  <c r="AG23" i="41"/>
  <c r="AF23" i="41"/>
  <c r="AE23" i="41"/>
  <c r="AD23" i="41"/>
  <c r="AC23" i="41"/>
  <c r="AN3" i="41" l="1"/>
  <c r="AN10" i="41"/>
  <c r="AN9" i="41"/>
  <c r="AN5" i="41"/>
  <c r="AN8" i="41"/>
  <c r="AN4" i="41"/>
  <c r="AN7" i="41"/>
  <c r="G3339" i="42"/>
  <c r="G3338" i="42"/>
  <c r="G3337" i="42"/>
  <c r="G3336" i="42"/>
  <c r="G3335" i="42"/>
  <c r="G3334" i="42"/>
  <c r="G3333" i="42"/>
  <c r="G3332" i="42"/>
  <c r="G3331" i="42"/>
  <c r="G3330" i="42"/>
  <c r="G3329" i="42"/>
  <c r="G3328" i="42"/>
  <c r="G3327" i="42"/>
  <c r="G3326" i="42"/>
  <c r="G3325" i="42"/>
  <c r="G3324" i="42"/>
  <c r="G3323" i="42"/>
  <c r="G3322" i="42"/>
  <c r="G3321" i="42"/>
  <c r="G3320" i="42"/>
  <c r="G3319" i="42"/>
  <c r="G3318" i="42"/>
  <c r="G3317" i="42"/>
  <c r="G3316" i="42"/>
  <c r="G3315" i="42"/>
  <c r="G3314" i="42"/>
  <c r="G3313" i="42"/>
  <c r="G3312" i="42"/>
  <c r="G3311" i="42"/>
  <c r="G3310" i="42"/>
  <c r="G3309" i="42"/>
  <c r="G3308" i="42"/>
  <c r="G3307" i="42"/>
  <c r="G3306" i="42"/>
  <c r="G3305" i="42"/>
  <c r="G3304" i="42"/>
  <c r="G3303" i="42"/>
  <c r="G3302" i="42"/>
  <c r="G3301" i="42"/>
  <c r="G3300" i="42"/>
  <c r="G3299" i="42"/>
  <c r="G3298" i="42"/>
  <c r="G3297" i="42"/>
  <c r="G3296" i="42"/>
  <c r="G3295" i="42"/>
  <c r="G3294" i="42"/>
  <c r="G3293" i="42"/>
  <c r="G3292" i="42"/>
  <c r="G3291" i="42"/>
  <c r="G3290" i="42"/>
  <c r="G3289" i="42"/>
  <c r="G3288" i="42"/>
  <c r="G3287" i="42"/>
  <c r="G3286" i="42"/>
  <c r="G3285" i="42"/>
  <c r="G3284" i="42"/>
  <c r="G3283" i="42"/>
  <c r="G3282" i="42"/>
  <c r="G3281" i="42"/>
  <c r="G3280" i="42"/>
  <c r="G3279" i="42"/>
  <c r="G3278" i="42"/>
  <c r="G3277" i="42"/>
  <c r="G3276" i="42"/>
  <c r="G3275" i="42"/>
  <c r="G3274" i="42"/>
  <c r="G3273" i="42"/>
  <c r="G3272" i="42"/>
  <c r="G3271" i="42"/>
  <c r="G3270" i="42"/>
  <c r="G3269" i="42"/>
  <c r="G3268" i="42"/>
  <c r="G3267" i="42"/>
  <c r="G3266" i="42"/>
  <c r="G3265" i="42"/>
  <c r="G3264" i="42"/>
  <c r="G3263" i="42"/>
  <c r="G3262" i="42"/>
  <c r="G3261" i="42"/>
  <c r="G3260" i="42"/>
  <c r="G3259" i="42"/>
  <c r="G3258" i="42"/>
  <c r="G3257" i="42"/>
  <c r="G3256" i="42"/>
  <c r="G3255" i="42"/>
  <c r="G3254" i="42"/>
  <c r="G3253" i="42"/>
  <c r="G3252" i="42"/>
  <c r="G3251" i="42"/>
  <c r="G3250" i="42"/>
  <c r="G3249" i="42"/>
  <c r="G3248" i="42"/>
  <c r="G3247" i="42"/>
  <c r="G3246" i="42"/>
  <c r="G3245" i="42"/>
  <c r="G3244" i="42"/>
  <c r="G3243" i="42"/>
  <c r="G3242" i="42"/>
  <c r="G3241" i="42"/>
  <c r="G3240" i="42"/>
  <c r="G3239" i="42"/>
  <c r="G3238" i="42"/>
  <c r="G3237" i="42"/>
  <c r="G3236" i="42"/>
  <c r="G3235" i="42"/>
  <c r="G3234" i="42"/>
  <c r="G3233" i="42"/>
  <c r="G3232" i="42"/>
  <c r="G3231" i="42"/>
  <c r="G3230" i="42"/>
  <c r="G3229" i="42"/>
  <c r="G3228" i="42"/>
  <c r="G3227" i="42"/>
  <c r="G3226" i="42"/>
  <c r="G3225" i="42"/>
  <c r="G3224" i="42"/>
  <c r="G3223" i="42"/>
  <c r="G3222" i="42"/>
  <c r="G3221" i="42"/>
  <c r="G3220" i="42"/>
  <c r="G3219" i="42"/>
  <c r="G3218" i="42"/>
  <c r="G3217" i="42"/>
  <c r="G3216" i="42"/>
  <c r="G3215" i="42"/>
  <c r="G3214" i="42"/>
  <c r="G3213" i="42"/>
  <c r="G3212" i="42"/>
  <c r="G3211" i="42"/>
  <c r="G3210" i="42"/>
  <c r="G3209" i="42"/>
  <c r="G3208" i="42"/>
  <c r="G3207" i="42"/>
  <c r="G3206" i="42"/>
  <c r="G3205" i="42"/>
  <c r="G3204" i="42"/>
  <c r="G3203" i="42"/>
  <c r="G3202" i="42"/>
  <c r="G3201" i="42"/>
  <c r="G3200" i="42"/>
  <c r="G3199" i="42"/>
  <c r="G3198" i="42"/>
  <c r="G3197" i="42"/>
  <c r="G3196" i="42"/>
  <c r="G3195" i="42"/>
  <c r="G3194" i="42"/>
  <c r="G3193" i="42"/>
  <c r="G3192" i="42"/>
  <c r="G3191" i="42"/>
  <c r="G3190" i="42"/>
  <c r="G3189" i="42"/>
  <c r="G3188" i="42"/>
  <c r="G3187" i="42"/>
  <c r="G3186" i="42"/>
  <c r="G3185" i="42"/>
  <c r="G3184" i="42"/>
  <c r="G3183" i="42"/>
  <c r="G3182" i="42"/>
  <c r="G3181" i="42"/>
  <c r="G3180" i="42"/>
  <c r="G3179" i="42"/>
  <c r="G3178" i="42"/>
  <c r="G3177" i="42"/>
  <c r="G3176" i="42"/>
  <c r="G3175" i="42"/>
  <c r="G3174" i="42"/>
  <c r="G3173" i="42"/>
  <c r="G3172" i="42"/>
  <c r="G3171" i="42"/>
  <c r="G3170" i="42"/>
  <c r="G3169" i="42"/>
  <c r="G3168" i="42"/>
  <c r="G3167" i="42"/>
  <c r="G3166" i="42"/>
  <c r="G3165" i="42"/>
  <c r="G3164" i="42"/>
  <c r="G3163" i="42"/>
  <c r="G3162" i="42"/>
  <c r="G3161" i="42"/>
  <c r="G3160" i="42"/>
  <c r="G3159" i="42"/>
  <c r="G3158" i="42"/>
  <c r="G3157" i="42"/>
  <c r="G3156" i="42"/>
  <c r="G3155" i="42"/>
  <c r="G3154" i="42"/>
  <c r="G3153" i="42"/>
  <c r="G3152" i="42"/>
  <c r="G3151" i="42"/>
  <c r="G3150" i="42"/>
  <c r="G3149" i="42"/>
  <c r="G3148" i="42"/>
  <c r="G3147" i="42"/>
  <c r="G3146" i="42"/>
  <c r="G3145" i="42"/>
  <c r="G3144" i="42"/>
  <c r="G3143" i="42"/>
  <c r="G3142" i="42"/>
  <c r="G3141" i="42"/>
  <c r="G3140" i="42"/>
  <c r="G3139" i="42"/>
  <c r="G3138" i="42"/>
  <c r="G3137" i="42"/>
  <c r="G3136" i="42"/>
  <c r="G3135" i="42"/>
  <c r="G3134" i="42"/>
  <c r="G3133" i="42"/>
  <c r="G3132" i="42"/>
  <c r="G3131" i="42"/>
  <c r="G3130" i="42"/>
  <c r="G3129" i="42"/>
  <c r="G3128" i="42"/>
  <c r="G3127" i="42"/>
  <c r="G3126" i="42"/>
  <c r="G3125" i="42"/>
  <c r="G3124" i="42"/>
  <c r="G3123" i="42"/>
  <c r="G3122" i="42"/>
  <c r="G3121" i="42"/>
  <c r="G3120" i="42"/>
  <c r="G3119" i="42"/>
  <c r="G3118" i="42"/>
  <c r="G3117" i="42"/>
  <c r="G3116" i="42"/>
  <c r="G3115" i="42"/>
  <c r="G3114" i="42"/>
  <c r="G3113" i="42"/>
  <c r="G3112" i="42"/>
  <c r="G3111" i="42"/>
  <c r="G3110" i="42"/>
  <c r="G3109" i="42"/>
  <c r="G3108" i="42"/>
  <c r="G3107" i="42"/>
  <c r="G3106" i="42"/>
  <c r="G3105" i="42"/>
  <c r="G3104" i="42"/>
  <c r="G3103" i="42"/>
  <c r="G3102" i="42"/>
  <c r="G3101" i="42"/>
  <c r="G3100" i="42"/>
  <c r="G3099" i="42"/>
  <c r="G3098" i="42"/>
  <c r="G3097" i="42"/>
  <c r="G3096" i="42"/>
  <c r="G3095" i="42"/>
  <c r="G3094" i="42"/>
  <c r="G3093" i="42"/>
  <c r="G3092" i="42"/>
  <c r="G3091" i="42"/>
  <c r="G3090" i="42"/>
  <c r="G3089" i="42"/>
  <c r="G3088" i="42"/>
  <c r="G3087" i="42"/>
  <c r="G3086" i="42"/>
  <c r="G3085" i="42"/>
  <c r="G3084" i="42"/>
  <c r="G3083" i="42"/>
  <c r="G3082" i="42"/>
  <c r="G3081" i="42"/>
  <c r="G3080" i="42"/>
  <c r="G3079" i="42"/>
  <c r="G3078" i="42"/>
  <c r="G3077" i="42"/>
  <c r="G3076" i="42"/>
  <c r="G3075" i="42"/>
  <c r="G3074" i="42"/>
  <c r="G3073" i="42"/>
  <c r="G3072" i="42"/>
  <c r="G3071" i="42"/>
  <c r="G3070" i="42"/>
  <c r="G3069" i="42"/>
  <c r="G3068" i="42"/>
  <c r="G3067" i="42"/>
  <c r="G3066" i="42"/>
  <c r="G3065" i="42"/>
  <c r="G3064" i="42"/>
  <c r="G3063" i="42"/>
  <c r="G3062" i="42"/>
  <c r="G3061" i="42"/>
  <c r="G3060" i="42"/>
  <c r="G3059" i="42"/>
  <c r="G3058" i="42"/>
  <c r="G3057" i="42"/>
  <c r="G3056" i="42"/>
  <c r="G3055" i="42"/>
  <c r="G3054" i="42"/>
  <c r="G3053" i="42"/>
  <c r="G3052" i="42"/>
  <c r="G3051" i="42"/>
  <c r="G3050" i="42"/>
  <c r="G3049" i="42"/>
  <c r="G3048" i="42"/>
  <c r="G3047" i="42"/>
  <c r="G3046" i="42"/>
  <c r="G3045" i="42"/>
  <c r="G3044" i="42"/>
  <c r="G3043" i="42"/>
  <c r="G3042" i="42"/>
  <c r="G3041" i="42"/>
  <c r="G3040" i="42"/>
  <c r="G3039" i="42"/>
  <c r="G3038" i="42"/>
  <c r="G3037" i="42"/>
  <c r="G3036" i="42"/>
  <c r="G3035" i="42"/>
  <c r="G3034" i="42"/>
  <c r="G3033" i="42"/>
  <c r="G3032" i="42"/>
  <c r="G3031" i="42"/>
  <c r="G3030" i="42"/>
  <c r="G3029" i="42"/>
  <c r="G3028" i="42"/>
  <c r="G3027" i="42"/>
  <c r="G3026" i="42"/>
  <c r="G3025" i="42"/>
  <c r="G3024" i="42"/>
  <c r="G3023" i="42"/>
  <c r="G3022" i="42"/>
  <c r="G3021" i="42"/>
  <c r="G3020" i="42"/>
  <c r="G3019" i="42"/>
  <c r="G3018" i="42"/>
  <c r="G3017" i="42"/>
  <c r="G3016" i="42"/>
  <c r="G3015" i="42"/>
  <c r="G3014" i="42"/>
  <c r="G3013" i="42"/>
  <c r="G3012" i="42"/>
  <c r="G3011" i="42"/>
  <c r="G3010" i="42"/>
  <c r="G3009" i="42"/>
  <c r="G3008" i="42"/>
  <c r="G3007" i="42"/>
  <c r="G3006" i="42"/>
  <c r="G3005" i="42"/>
  <c r="G3004" i="42"/>
  <c r="G3003" i="42"/>
  <c r="G3002" i="42"/>
  <c r="G3001" i="42"/>
  <c r="G3000" i="42"/>
  <c r="G2999" i="42"/>
  <c r="G2998" i="42"/>
  <c r="G2997" i="42"/>
  <c r="G2996" i="42"/>
  <c r="G2995" i="42"/>
  <c r="G2994" i="42"/>
  <c r="G2993" i="42"/>
  <c r="G2992" i="42"/>
  <c r="G2991" i="42"/>
  <c r="G2990" i="42"/>
  <c r="G2989" i="42"/>
  <c r="G2988" i="42"/>
  <c r="G2987" i="42"/>
  <c r="G2986" i="42"/>
  <c r="G2985" i="42"/>
  <c r="G2984" i="42"/>
  <c r="G2983" i="42"/>
  <c r="G2982" i="42"/>
  <c r="G2981" i="42"/>
  <c r="G2980" i="42"/>
  <c r="G2979" i="42"/>
  <c r="G2978" i="42"/>
  <c r="G2977" i="42"/>
  <c r="G2976" i="42"/>
  <c r="G2975" i="42"/>
  <c r="G2974" i="42"/>
  <c r="G2973" i="42"/>
  <c r="G2972" i="42"/>
  <c r="G2971" i="42"/>
  <c r="G2970" i="42"/>
  <c r="G2969" i="42"/>
  <c r="G2968" i="42"/>
  <c r="G2967" i="42"/>
  <c r="G2966" i="42"/>
  <c r="G2965" i="42"/>
  <c r="G2964" i="42"/>
  <c r="G2963" i="42"/>
  <c r="G2962" i="42"/>
  <c r="G2961" i="42"/>
  <c r="G2960" i="42"/>
  <c r="G2959" i="42"/>
  <c r="G2958" i="42"/>
  <c r="G2957" i="42"/>
  <c r="G2956" i="42"/>
  <c r="G2955" i="42"/>
  <c r="G2954" i="42"/>
  <c r="G2953" i="42"/>
  <c r="G2952" i="42"/>
  <c r="G2951" i="42"/>
  <c r="G2950" i="42"/>
  <c r="G2949" i="42"/>
  <c r="G2948" i="42"/>
  <c r="G2947" i="42"/>
  <c r="G2946" i="42"/>
  <c r="G2945" i="42"/>
  <c r="G2944" i="42"/>
  <c r="G2943" i="42"/>
  <c r="G2942" i="42"/>
  <c r="G2941" i="42"/>
  <c r="G2940" i="42"/>
  <c r="G2939" i="42"/>
  <c r="G2938" i="42"/>
  <c r="G2937" i="42"/>
  <c r="G2936" i="42"/>
  <c r="G2935" i="42"/>
  <c r="G2934" i="42"/>
  <c r="G2933" i="42"/>
  <c r="G2932" i="42"/>
  <c r="G2931" i="42"/>
  <c r="G2930" i="42"/>
  <c r="G2929" i="42"/>
  <c r="G2928" i="42"/>
  <c r="G2927" i="42"/>
  <c r="G2926" i="42"/>
  <c r="G2925" i="42"/>
  <c r="G2924" i="42"/>
  <c r="G2923" i="42"/>
  <c r="G2922" i="42"/>
  <c r="G2921" i="42"/>
  <c r="G2920" i="42"/>
  <c r="G2919" i="42"/>
  <c r="G2918" i="42"/>
  <c r="G2917" i="42"/>
  <c r="G2916" i="42"/>
  <c r="G2915" i="42"/>
  <c r="G2914" i="42"/>
  <c r="G2913" i="42"/>
  <c r="G2912" i="42"/>
  <c r="G2911" i="42"/>
  <c r="G2910" i="42"/>
  <c r="G2909" i="42"/>
  <c r="G2908" i="42"/>
  <c r="G2907" i="42"/>
  <c r="G2906" i="42"/>
  <c r="G2905" i="42"/>
  <c r="G2904" i="42"/>
  <c r="G2903" i="42"/>
  <c r="G2902" i="42"/>
  <c r="G2901" i="42"/>
  <c r="G2900" i="42"/>
  <c r="G2899" i="42"/>
  <c r="G2898" i="42"/>
  <c r="G2897" i="42"/>
  <c r="G2896" i="42"/>
  <c r="G2895" i="42"/>
  <c r="G2894" i="42"/>
  <c r="G2893" i="42"/>
  <c r="G2892" i="42"/>
  <c r="G2891" i="42"/>
  <c r="G2890" i="42"/>
  <c r="G2889" i="42"/>
  <c r="G2888" i="42"/>
  <c r="G2887" i="42"/>
  <c r="G2886" i="42"/>
  <c r="G2885" i="42"/>
  <c r="G2884" i="42"/>
  <c r="G2883" i="42"/>
  <c r="G2882" i="42"/>
  <c r="G2881" i="42"/>
  <c r="G2880" i="42"/>
  <c r="G2879" i="42"/>
  <c r="G2878" i="42"/>
  <c r="G2877" i="42"/>
  <c r="G2876" i="42"/>
  <c r="G2875" i="42"/>
  <c r="G2874" i="42"/>
  <c r="G2873" i="42"/>
  <c r="G2872" i="42"/>
  <c r="G2871" i="42"/>
  <c r="G2870" i="42"/>
  <c r="G2869" i="42"/>
  <c r="G2868" i="42"/>
  <c r="G2867" i="42"/>
  <c r="G2866" i="42"/>
  <c r="G2865" i="42"/>
  <c r="G2864" i="42"/>
  <c r="G2863" i="42"/>
  <c r="G2862" i="42"/>
  <c r="G2861" i="42"/>
  <c r="G2860" i="42"/>
  <c r="G2859" i="42"/>
  <c r="G2858" i="42"/>
  <c r="G2857" i="42"/>
  <c r="G2856" i="42"/>
  <c r="G2855" i="42"/>
  <c r="G2854" i="42"/>
  <c r="G2853" i="42"/>
  <c r="G2852" i="42"/>
  <c r="G2851" i="42"/>
  <c r="G2850" i="42"/>
  <c r="G2849" i="42"/>
  <c r="G2848" i="42"/>
  <c r="G2847" i="42"/>
  <c r="G2846" i="42"/>
  <c r="G2845" i="42"/>
  <c r="G2844" i="42"/>
  <c r="G2843" i="42"/>
  <c r="G2842" i="42"/>
  <c r="G2841" i="42"/>
  <c r="G2840" i="42"/>
  <c r="G2839" i="42"/>
  <c r="G2838" i="42"/>
  <c r="G2837" i="42"/>
  <c r="G2836" i="42"/>
  <c r="G2835" i="42"/>
  <c r="G2834" i="42"/>
  <c r="G2833" i="42"/>
  <c r="G2832" i="42"/>
  <c r="G2831" i="42"/>
  <c r="G2830" i="42"/>
  <c r="G2829" i="42"/>
  <c r="G2828" i="42"/>
  <c r="G2827" i="42"/>
  <c r="G2826" i="42"/>
  <c r="G2825" i="42"/>
  <c r="G2824" i="42"/>
  <c r="G2823" i="42"/>
  <c r="G2822" i="42"/>
  <c r="G2821" i="42"/>
  <c r="G2820" i="42"/>
  <c r="G2819" i="42"/>
  <c r="G2818" i="42"/>
  <c r="G2817" i="42"/>
  <c r="G2816" i="42"/>
  <c r="G2815" i="42"/>
  <c r="G2814" i="42"/>
  <c r="G2813" i="42"/>
  <c r="G2812" i="42"/>
  <c r="G2811" i="42"/>
  <c r="G2810" i="42"/>
  <c r="G2809" i="42"/>
  <c r="G2808" i="42"/>
  <c r="G2807" i="42"/>
  <c r="G2806" i="42"/>
  <c r="G2805" i="42"/>
  <c r="G2804" i="42"/>
  <c r="G2803" i="42"/>
  <c r="G2802" i="42"/>
  <c r="G2801" i="42"/>
  <c r="G2800" i="42"/>
  <c r="G2799" i="42"/>
  <c r="G2798" i="42"/>
  <c r="G2797" i="42"/>
  <c r="G2796" i="42"/>
  <c r="G2795" i="42"/>
  <c r="G2794" i="42"/>
  <c r="G2793" i="42"/>
  <c r="G2792" i="42"/>
  <c r="G2791" i="42"/>
  <c r="G2790" i="42"/>
  <c r="G2789" i="42"/>
  <c r="G2788" i="42"/>
  <c r="G2787" i="42"/>
  <c r="G2786" i="42"/>
  <c r="G2785" i="42"/>
  <c r="G2784" i="42"/>
  <c r="G2783" i="42"/>
  <c r="G2782" i="42"/>
  <c r="G2781" i="42"/>
  <c r="G2780" i="42"/>
  <c r="G2779" i="42"/>
  <c r="G2778" i="42"/>
  <c r="G2777" i="42"/>
  <c r="G2776" i="42"/>
  <c r="G2775" i="42"/>
  <c r="G2774" i="42"/>
  <c r="G2773" i="42"/>
  <c r="G2772" i="42"/>
  <c r="G2771" i="42"/>
  <c r="G2770" i="42"/>
  <c r="G2769" i="42"/>
  <c r="G2768" i="42"/>
  <c r="G2767" i="42"/>
  <c r="G2766" i="42"/>
  <c r="G2765" i="42"/>
  <c r="G2764" i="42"/>
  <c r="G2763" i="42"/>
  <c r="G2762" i="42"/>
  <c r="G2761" i="42"/>
  <c r="G2760" i="42"/>
  <c r="G2759" i="42"/>
  <c r="G2758" i="42"/>
  <c r="G2757" i="42"/>
  <c r="G2756" i="42"/>
  <c r="G2755" i="42"/>
  <c r="G2754" i="42"/>
  <c r="G2753" i="42"/>
  <c r="G2752" i="42"/>
  <c r="G2751" i="42"/>
  <c r="G2750" i="42"/>
  <c r="G2749" i="42"/>
  <c r="G2748" i="42"/>
  <c r="G2747" i="42"/>
  <c r="G2746" i="42"/>
  <c r="G2745" i="42"/>
  <c r="G2744" i="42"/>
  <c r="G2743" i="42"/>
  <c r="G2742" i="42"/>
  <c r="G2741" i="42"/>
  <c r="G2740" i="42"/>
  <c r="G2739" i="42"/>
  <c r="G2738" i="42"/>
  <c r="G2737" i="42"/>
  <c r="G2736" i="42"/>
  <c r="G2735" i="42"/>
  <c r="G2734" i="42"/>
  <c r="G2733" i="42"/>
  <c r="G2732" i="42"/>
  <c r="G2731" i="42"/>
  <c r="G2730" i="42"/>
  <c r="G2729" i="42"/>
  <c r="G2728" i="42"/>
  <c r="G2727" i="42"/>
  <c r="G2726" i="42"/>
  <c r="G2725" i="42"/>
  <c r="G2724" i="42"/>
  <c r="G2723" i="42"/>
  <c r="G2722" i="42"/>
  <c r="G2721" i="42"/>
  <c r="G2720" i="42"/>
  <c r="G2719" i="42"/>
  <c r="G2718" i="42"/>
  <c r="G2717" i="42"/>
  <c r="G2716" i="42"/>
  <c r="G2715" i="42"/>
  <c r="G2714" i="42"/>
  <c r="G2713" i="42"/>
  <c r="G2712" i="42"/>
  <c r="G2711" i="42"/>
  <c r="G2710" i="42"/>
  <c r="G2709" i="42"/>
  <c r="G2708" i="42"/>
  <c r="G2707" i="42"/>
  <c r="G2706" i="42"/>
  <c r="G2705" i="42"/>
  <c r="G2704" i="42"/>
  <c r="G2703" i="42"/>
  <c r="G2702" i="42"/>
  <c r="G2701" i="42"/>
  <c r="G2700" i="42"/>
  <c r="G2699" i="42"/>
  <c r="G2698" i="42"/>
  <c r="G2697" i="42"/>
  <c r="G2696" i="42"/>
  <c r="G2695" i="42"/>
  <c r="G2694" i="42"/>
  <c r="G2693" i="42"/>
  <c r="G2692" i="42"/>
  <c r="G2691" i="42"/>
  <c r="G2690" i="42"/>
  <c r="G2689" i="42"/>
  <c r="G2688" i="42"/>
  <c r="G2687" i="42"/>
  <c r="G2686" i="42"/>
  <c r="G2685" i="42"/>
  <c r="G2684" i="42"/>
  <c r="G2683" i="42"/>
  <c r="G2682" i="42"/>
  <c r="G2681" i="42"/>
  <c r="G2680" i="42"/>
  <c r="G2679" i="42"/>
  <c r="G2678" i="42"/>
  <c r="G2677" i="42"/>
  <c r="G2676" i="42"/>
  <c r="G2675" i="42"/>
  <c r="G2674" i="42"/>
  <c r="G2673" i="42"/>
  <c r="G2672" i="42"/>
  <c r="G2671" i="42"/>
  <c r="G2670" i="42"/>
  <c r="G2669" i="42"/>
  <c r="G2668" i="42"/>
  <c r="G2667" i="42"/>
  <c r="G2666" i="42"/>
  <c r="G2665" i="42"/>
  <c r="G2664" i="42"/>
  <c r="G2663" i="42"/>
  <c r="G2662" i="42"/>
  <c r="G2661" i="42"/>
  <c r="G2660" i="42"/>
  <c r="G2659" i="42"/>
  <c r="G2658" i="42"/>
  <c r="G2657" i="42"/>
  <c r="G2656" i="42"/>
  <c r="G2655" i="42"/>
  <c r="G2654" i="42"/>
  <c r="G2653" i="42"/>
  <c r="G2652" i="42"/>
  <c r="G2651" i="42"/>
  <c r="G2650" i="42"/>
  <c r="G2649" i="42"/>
  <c r="G2648" i="42"/>
  <c r="G2647" i="42"/>
  <c r="G2646" i="42"/>
  <c r="G2645" i="42"/>
  <c r="G2644" i="42"/>
  <c r="G2643" i="42"/>
  <c r="G2642" i="42"/>
  <c r="G2641" i="42"/>
  <c r="G2640" i="42"/>
  <c r="G2639" i="42"/>
  <c r="G2638" i="42"/>
  <c r="G2637" i="42"/>
  <c r="G2636" i="42"/>
  <c r="G2635" i="42"/>
  <c r="G2634" i="42"/>
  <c r="G2633" i="42"/>
  <c r="G2632" i="42"/>
  <c r="G2631" i="42"/>
  <c r="G2630" i="42"/>
  <c r="G2629" i="42"/>
  <c r="G2628" i="42"/>
  <c r="G2627" i="42"/>
  <c r="G2626" i="42"/>
  <c r="G2625" i="42"/>
  <c r="G2624" i="42"/>
  <c r="G2623" i="42"/>
  <c r="G2622" i="42"/>
  <c r="G2621" i="42"/>
  <c r="G2620" i="42"/>
  <c r="G2619" i="42"/>
  <c r="G2618" i="42"/>
  <c r="G2617" i="42"/>
  <c r="G2616" i="42"/>
  <c r="G2615" i="42"/>
  <c r="G2614" i="42"/>
  <c r="G2613" i="42"/>
  <c r="G2612" i="42"/>
  <c r="G2611" i="42"/>
  <c r="G2610" i="42"/>
  <c r="G2609" i="42"/>
  <c r="G2608" i="42"/>
  <c r="G2607" i="42"/>
  <c r="G2606" i="42"/>
  <c r="G2605" i="42"/>
  <c r="G2604" i="42"/>
  <c r="G2603" i="42"/>
  <c r="G2602" i="42"/>
  <c r="G2601" i="42"/>
  <c r="G2600" i="42"/>
  <c r="G2599" i="42"/>
  <c r="G2598" i="42"/>
  <c r="G2597" i="42"/>
  <c r="G2596" i="42"/>
  <c r="G2595" i="42"/>
  <c r="G2594" i="42"/>
  <c r="G2593" i="42"/>
  <c r="G2592" i="42"/>
  <c r="G2591" i="42"/>
  <c r="G2590" i="42"/>
  <c r="G2589" i="42"/>
  <c r="G2588" i="42"/>
  <c r="G2587" i="42"/>
  <c r="G2586" i="42"/>
  <c r="G2585" i="42"/>
  <c r="G2584" i="42"/>
  <c r="G2583" i="42"/>
  <c r="G2582" i="42"/>
  <c r="G2581" i="42"/>
  <c r="G2580" i="42"/>
  <c r="G2579" i="42"/>
  <c r="G2578" i="42"/>
  <c r="G2577" i="42"/>
  <c r="G2576" i="42"/>
  <c r="G2575" i="42"/>
  <c r="G2574" i="42"/>
  <c r="G2573" i="42"/>
  <c r="G2572" i="42"/>
  <c r="G2571" i="42"/>
  <c r="G2570" i="42"/>
  <c r="G2569" i="42"/>
  <c r="G2568" i="42"/>
  <c r="G2567" i="42"/>
  <c r="G2566" i="42"/>
  <c r="G2565" i="42"/>
  <c r="G2564" i="42"/>
  <c r="G2563" i="42"/>
  <c r="G2562" i="42"/>
  <c r="G2561" i="42"/>
  <c r="G2560" i="42"/>
  <c r="G2559" i="42"/>
  <c r="G2558" i="42"/>
  <c r="G2557" i="42"/>
  <c r="G2556" i="42"/>
  <c r="G2555" i="42"/>
  <c r="G2554" i="42"/>
  <c r="G2553" i="42"/>
  <c r="G2552" i="42"/>
  <c r="G2551" i="42"/>
  <c r="G2550" i="42"/>
  <c r="G2549" i="42"/>
  <c r="G2548" i="42"/>
  <c r="G2547" i="42"/>
  <c r="G2546" i="42"/>
  <c r="G2545" i="42"/>
  <c r="G2544" i="42"/>
  <c r="G2543" i="42"/>
  <c r="G2542" i="42"/>
  <c r="G2541" i="42"/>
  <c r="G2540" i="42"/>
  <c r="G2539" i="42"/>
  <c r="G2538" i="42"/>
  <c r="G2537" i="42"/>
  <c r="G2536" i="42"/>
  <c r="G2535" i="42"/>
  <c r="G2534" i="42"/>
  <c r="G2533" i="42"/>
  <c r="G2532" i="42"/>
  <c r="G2531" i="42"/>
  <c r="G2530" i="42"/>
  <c r="G2529" i="42"/>
  <c r="G2528" i="42"/>
  <c r="G2527" i="42"/>
  <c r="G2526" i="42"/>
  <c r="G2525" i="42"/>
  <c r="G2524" i="42"/>
  <c r="G2523" i="42"/>
  <c r="G2522" i="42"/>
  <c r="G2521" i="42"/>
  <c r="G2520" i="42"/>
  <c r="G2519" i="42"/>
  <c r="G2518" i="42"/>
  <c r="G2517" i="42"/>
  <c r="G2516" i="42"/>
  <c r="G2515" i="42"/>
  <c r="G2514" i="42"/>
  <c r="G2513" i="42"/>
  <c r="G2512" i="42"/>
  <c r="G2511" i="42"/>
  <c r="G2510" i="42"/>
  <c r="G2509" i="42"/>
  <c r="G2508" i="42"/>
  <c r="G2507" i="42"/>
  <c r="G2506" i="42"/>
  <c r="G2505" i="42"/>
  <c r="G2504" i="42"/>
  <c r="G2503" i="42"/>
  <c r="G2502" i="42"/>
  <c r="G2501" i="42"/>
  <c r="G2500" i="42"/>
  <c r="G2499" i="42"/>
  <c r="G2498" i="42"/>
  <c r="G2497" i="42"/>
  <c r="G2496" i="42"/>
  <c r="G2495" i="42"/>
  <c r="G2494" i="42"/>
  <c r="G2493" i="42"/>
  <c r="G2492" i="42"/>
  <c r="G2491" i="42"/>
  <c r="G2490" i="42"/>
  <c r="G2489" i="42"/>
  <c r="G2488" i="42"/>
  <c r="G2487" i="42"/>
  <c r="G2486" i="42"/>
  <c r="G2485" i="42"/>
  <c r="G2484" i="42"/>
  <c r="G2483" i="42"/>
  <c r="G2482" i="42"/>
  <c r="G2481" i="42"/>
  <c r="G2480" i="42"/>
  <c r="G2479" i="42"/>
  <c r="G2478" i="42"/>
  <c r="G2477" i="42"/>
  <c r="G2476" i="42"/>
  <c r="G2475" i="42"/>
  <c r="G2474" i="42"/>
  <c r="G2473" i="42"/>
  <c r="G2472" i="42"/>
  <c r="G2471" i="42"/>
  <c r="G2470" i="42"/>
  <c r="G2469" i="42"/>
  <c r="G2468" i="42"/>
  <c r="G2467" i="42"/>
  <c r="G2466" i="42"/>
  <c r="G2465" i="42"/>
  <c r="G2464" i="42"/>
  <c r="G2463" i="42"/>
  <c r="G2462" i="42"/>
  <c r="G2461" i="42"/>
  <c r="G2460" i="42"/>
  <c r="G2459" i="42"/>
  <c r="G2458" i="42"/>
  <c r="G2457" i="42"/>
  <c r="G2456" i="42"/>
  <c r="G2455" i="42"/>
  <c r="G2454" i="42"/>
  <c r="G2453" i="42"/>
  <c r="G2452" i="42"/>
  <c r="G2451" i="42"/>
  <c r="G2450" i="42"/>
  <c r="G2449" i="42"/>
  <c r="G2448" i="42"/>
  <c r="G2447" i="42"/>
  <c r="G2446" i="42"/>
  <c r="G2445" i="42"/>
  <c r="G2444" i="42"/>
  <c r="G2443" i="42"/>
  <c r="G2442" i="42"/>
  <c r="G2441" i="42"/>
  <c r="G2440" i="42"/>
  <c r="G2439" i="42"/>
  <c r="G2438" i="42"/>
  <c r="G2437" i="42"/>
  <c r="G2436" i="42"/>
  <c r="G2435" i="42"/>
  <c r="G2434" i="42"/>
  <c r="G2433" i="42"/>
  <c r="G2432" i="42"/>
  <c r="G2431" i="42"/>
  <c r="G2430" i="42"/>
  <c r="G2429" i="42"/>
  <c r="G2428" i="42"/>
  <c r="G2427" i="42"/>
  <c r="G2426" i="42"/>
  <c r="G2425" i="42"/>
  <c r="G2424" i="42"/>
  <c r="G2423" i="42"/>
  <c r="G2422" i="42"/>
  <c r="G2421" i="42"/>
  <c r="G2420" i="42"/>
  <c r="G2419" i="42"/>
  <c r="G2418" i="42"/>
  <c r="G2417" i="42"/>
  <c r="G2416" i="42"/>
  <c r="G2415" i="42"/>
  <c r="G2414" i="42"/>
  <c r="G2413" i="42"/>
  <c r="G2412" i="42"/>
  <c r="G2411" i="42"/>
  <c r="G2410" i="42"/>
  <c r="G2409" i="42"/>
  <c r="G2408" i="42"/>
  <c r="G2407" i="42"/>
  <c r="G2406" i="42"/>
  <c r="G2405" i="42"/>
  <c r="G2404" i="42"/>
  <c r="G2403" i="42"/>
  <c r="G2402" i="42"/>
  <c r="G2401" i="42"/>
  <c r="G2400" i="42"/>
  <c r="G2399" i="42"/>
  <c r="G2398" i="42"/>
  <c r="G2397" i="42"/>
  <c r="G2396" i="42"/>
  <c r="G2395" i="42"/>
  <c r="G2394" i="42"/>
  <c r="G2393" i="42"/>
  <c r="G2392" i="42"/>
  <c r="G2391" i="42"/>
  <c r="G2390" i="42"/>
  <c r="G2389" i="42"/>
  <c r="G2388" i="42"/>
  <c r="G2387" i="42"/>
  <c r="G2386" i="42"/>
  <c r="G2385" i="42"/>
  <c r="G1416" i="42"/>
  <c r="G1415" i="42"/>
  <c r="G1414" i="42"/>
  <c r="G1413" i="42"/>
  <c r="G1412" i="42"/>
  <c r="G2337" i="42"/>
  <c r="G2336" i="42"/>
  <c r="G2335" i="42"/>
  <c r="G2334" i="42"/>
  <c r="G2333" i="42"/>
  <c r="G2332" i="42"/>
  <c r="G2331" i="42"/>
  <c r="G2330" i="42"/>
  <c r="G2329" i="42"/>
  <c r="G2328" i="42"/>
  <c r="G2327" i="42"/>
  <c r="G6" i="42"/>
  <c r="G5" i="42"/>
  <c r="G4" i="42"/>
  <c r="G3" i="42"/>
  <c r="G2" i="42"/>
  <c r="G11" i="42"/>
  <c r="G10" i="42"/>
  <c r="G9" i="42"/>
  <c r="G8" i="42"/>
  <c r="G7" i="42"/>
  <c r="G16" i="42"/>
  <c r="G15" i="42"/>
  <c r="G14" i="42"/>
  <c r="G13" i="42"/>
  <c r="G12" i="42"/>
  <c r="G21" i="42"/>
  <c r="G20" i="42"/>
  <c r="G19" i="42"/>
  <c r="G18" i="42"/>
  <c r="G17" i="42"/>
  <c r="G31" i="42"/>
  <c r="G30" i="42"/>
  <c r="G29" i="42"/>
  <c r="G28" i="42"/>
  <c r="G27" i="42"/>
  <c r="G26" i="42"/>
  <c r="G25" i="42"/>
  <c r="G24" i="42"/>
  <c r="G23" i="42"/>
  <c r="G22" i="42"/>
  <c r="G36" i="42"/>
  <c r="G35" i="42"/>
  <c r="G34" i="42"/>
  <c r="G33" i="42"/>
  <c r="G32" i="42"/>
  <c r="G41" i="42"/>
  <c r="G40" i="42"/>
  <c r="G39" i="42"/>
  <c r="G38" i="42"/>
  <c r="G37" i="42"/>
  <c r="G46" i="42"/>
  <c r="G45" i="42"/>
  <c r="G44" i="42"/>
  <c r="G43" i="42"/>
  <c r="G42" i="42"/>
  <c r="G52" i="42"/>
  <c r="G51" i="42"/>
  <c r="G50" i="42"/>
  <c r="G49" i="42"/>
  <c r="G48" i="42"/>
  <c r="G47" i="42"/>
  <c r="G57" i="42"/>
  <c r="G56" i="42"/>
  <c r="G55" i="42"/>
  <c r="G54" i="42"/>
  <c r="G53" i="42"/>
  <c r="G63" i="42"/>
  <c r="G62" i="42"/>
  <c r="G61" i="42"/>
  <c r="G60" i="42"/>
  <c r="G59" i="42"/>
  <c r="G58" i="42"/>
  <c r="G72" i="42"/>
  <c r="G71" i="42"/>
  <c r="G70" i="42"/>
  <c r="G69" i="42"/>
  <c r="G68" i="42"/>
  <c r="G67" i="42"/>
  <c r="G66" i="42"/>
  <c r="G65" i="42"/>
  <c r="G64" i="42"/>
  <c r="G77" i="42"/>
  <c r="G76" i="42"/>
  <c r="G75" i="42"/>
  <c r="G74" i="42"/>
  <c r="G73" i="42"/>
  <c r="G78" i="42"/>
  <c r="G79" i="42"/>
  <c r="G80" i="42"/>
  <c r="G81" i="42"/>
  <c r="G82" i="42"/>
  <c r="G93" i="42"/>
  <c r="G92" i="42"/>
  <c r="G91" i="42"/>
  <c r="G90" i="42"/>
  <c r="G89" i="42"/>
  <c r="G88" i="42"/>
  <c r="G87" i="42"/>
  <c r="G86" i="42"/>
  <c r="G85" i="42"/>
  <c r="G84" i="42"/>
  <c r="G83" i="42"/>
  <c r="G99" i="42"/>
  <c r="G98" i="42"/>
  <c r="G97" i="42"/>
  <c r="G96" i="42"/>
  <c r="G95" i="42"/>
  <c r="G94" i="42"/>
  <c r="G109" i="42"/>
  <c r="G108" i="42"/>
  <c r="G107" i="42"/>
  <c r="G106" i="42"/>
  <c r="G105" i="42"/>
  <c r="G104" i="42"/>
  <c r="G103" i="42"/>
  <c r="G102" i="42"/>
  <c r="G101" i="42"/>
  <c r="G100" i="42"/>
  <c r="G114" i="42"/>
  <c r="G113" i="42"/>
  <c r="G112" i="42"/>
  <c r="G111" i="42"/>
  <c r="G110" i="42"/>
  <c r="G124" i="42"/>
  <c r="G123" i="42"/>
  <c r="G122" i="42"/>
  <c r="G121" i="42"/>
  <c r="G120" i="42"/>
  <c r="G119" i="42"/>
  <c r="G118" i="42"/>
  <c r="G117" i="42"/>
  <c r="G116" i="42"/>
  <c r="G115" i="42"/>
  <c r="G130" i="42"/>
  <c r="G129" i="42"/>
  <c r="G128" i="42"/>
  <c r="G127" i="42"/>
  <c r="G126" i="42"/>
  <c r="G125" i="42"/>
  <c r="G131" i="42"/>
  <c r="G137" i="42"/>
  <c r="G136" i="42"/>
  <c r="G135" i="42"/>
  <c r="G134" i="42"/>
  <c r="G133" i="42"/>
  <c r="G132" i="42"/>
  <c r="G142" i="42"/>
  <c r="G141" i="42"/>
  <c r="G140" i="42"/>
  <c r="G139" i="42"/>
  <c r="G138" i="42"/>
  <c r="G147" i="42"/>
  <c r="G146" i="42"/>
  <c r="G145" i="42"/>
  <c r="G144" i="42"/>
  <c r="G143" i="42"/>
  <c r="G152" i="42"/>
  <c r="G151" i="42"/>
  <c r="G150" i="42"/>
  <c r="G149" i="42"/>
  <c r="G148" i="42"/>
  <c r="G157" i="42"/>
  <c r="G156" i="42"/>
  <c r="G155" i="42"/>
  <c r="G154" i="42"/>
  <c r="G153" i="42"/>
  <c r="G162" i="42"/>
  <c r="G161" i="42"/>
  <c r="G160" i="42"/>
  <c r="G159" i="42"/>
  <c r="G158" i="42"/>
  <c r="G165" i="42"/>
  <c r="G164" i="42"/>
  <c r="G163" i="42"/>
  <c r="G170" i="42"/>
  <c r="G169" i="42"/>
  <c r="G168" i="42"/>
  <c r="G167" i="42"/>
  <c r="G166" i="42"/>
  <c r="G175" i="42"/>
  <c r="G174" i="42"/>
  <c r="G173" i="42"/>
  <c r="G172" i="42"/>
  <c r="G171" i="42"/>
  <c r="G180" i="42"/>
  <c r="G179" i="42"/>
  <c r="G178" i="42"/>
  <c r="G177" i="42"/>
  <c r="G176" i="42"/>
  <c r="G185" i="42"/>
  <c r="G184" i="42"/>
  <c r="G183" i="42"/>
  <c r="G182" i="42"/>
  <c r="G181" i="42"/>
  <c r="G190" i="42"/>
  <c r="G189" i="42"/>
  <c r="G188" i="42"/>
  <c r="G187" i="42"/>
  <c r="G186" i="42"/>
  <c r="G212" i="42"/>
  <c r="G211" i="42"/>
  <c r="G210" i="42"/>
  <c r="G209" i="42"/>
  <c r="G208" i="42"/>
  <c r="G207" i="42"/>
  <c r="G206" i="42"/>
  <c r="G205" i="42"/>
  <c r="G204" i="42"/>
  <c r="G203" i="42"/>
  <c r="G202" i="42"/>
  <c r="G201" i="42"/>
  <c r="G200" i="42"/>
  <c r="G199" i="42"/>
  <c r="G198" i="42"/>
  <c r="G197" i="42"/>
  <c r="G196" i="42"/>
  <c r="G195" i="42"/>
  <c r="G194" i="42"/>
  <c r="G193" i="42"/>
  <c r="G192" i="42"/>
  <c r="G191" i="42"/>
  <c r="G240" i="42"/>
  <c r="G239" i="42"/>
  <c r="G238" i="42"/>
  <c r="G237" i="42"/>
  <c r="G236" i="42"/>
  <c r="G235" i="42"/>
  <c r="G234" i="42"/>
  <c r="G233" i="42"/>
  <c r="G232" i="42"/>
  <c r="G231" i="42"/>
  <c r="G230" i="42"/>
  <c r="G229" i="42"/>
  <c r="G228" i="42"/>
  <c r="G227" i="42"/>
  <c r="G226" i="42"/>
  <c r="G225" i="42"/>
  <c r="G224" i="42"/>
  <c r="G223" i="42"/>
  <c r="G222" i="42"/>
  <c r="G221" i="42"/>
  <c r="G220" i="42"/>
  <c r="G219" i="42"/>
  <c r="G218" i="42"/>
  <c r="G217" i="42"/>
  <c r="G216" i="42"/>
  <c r="G215" i="42"/>
  <c r="G214" i="42"/>
  <c r="G213" i="42"/>
  <c r="G250" i="42"/>
  <c r="G249" i="42"/>
  <c r="G248" i="42"/>
  <c r="G247" i="42"/>
  <c r="G246" i="42"/>
  <c r="G245" i="42"/>
  <c r="G244" i="42"/>
  <c r="G243" i="42"/>
  <c r="G242" i="42"/>
  <c r="G241" i="42"/>
  <c r="G255" i="42"/>
  <c r="G254" i="42"/>
  <c r="G253" i="42"/>
  <c r="G252" i="42"/>
  <c r="G251" i="42"/>
  <c r="G260" i="42"/>
  <c r="G259" i="42"/>
  <c r="G258" i="42"/>
  <c r="G257" i="42"/>
  <c r="G256" i="42"/>
  <c r="G270" i="42"/>
  <c r="G269" i="42"/>
  <c r="G268" i="42"/>
  <c r="G267" i="42"/>
  <c r="G266" i="42"/>
  <c r="G265" i="42"/>
  <c r="G264" i="42"/>
  <c r="G263" i="42"/>
  <c r="G262" i="42"/>
  <c r="G261" i="42"/>
  <c r="G275" i="42"/>
  <c r="G274" i="42"/>
  <c r="G273" i="42"/>
  <c r="G272" i="42"/>
  <c r="G271" i="42"/>
  <c r="G280" i="42"/>
  <c r="G279" i="42"/>
  <c r="G278" i="42"/>
  <c r="G277" i="42"/>
  <c r="G276" i="42"/>
  <c r="G295" i="42"/>
  <c r="G294" i="42"/>
  <c r="G293" i="42"/>
  <c r="G292" i="42"/>
  <c r="G291" i="42"/>
  <c r="G290" i="42"/>
  <c r="G289" i="42"/>
  <c r="G288" i="42"/>
  <c r="G287" i="42"/>
  <c r="G286" i="42"/>
  <c r="G285" i="42"/>
  <c r="G284" i="42"/>
  <c r="G283" i="42"/>
  <c r="G282" i="42"/>
  <c r="G281" i="42"/>
  <c r="G328" i="42"/>
  <c r="G327" i="42"/>
  <c r="G326" i="42"/>
  <c r="G325" i="42"/>
  <c r="G324" i="42"/>
  <c r="G323" i="42"/>
  <c r="G322" i="42"/>
  <c r="G321" i="42"/>
  <c r="G320" i="42"/>
  <c r="G319" i="42"/>
  <c r="G318" i="42"/>
  <c r="G317" i="42"/>
  <c r="G316" i="42"/>
  <c r="G315" i="42"/>
  <c r="G314" i="42"/>
  <c r="G313" i="42"/>
  <c r="G312" i="42"/>
  <c r="G311" i="42"/>
  <c r="G310" i="42"/>
  <c r="G309" i="42"/>
  <c r="G308" i="42"/>
  <c r="G307" i="42"/>
  <c r="G306" i="42"/>
  <c r="G305" i="42"/>
  <c r="G304" i="42"/>
  <c r="G303" i="42"/>
  <c r="G302" i="42"/>
  <c r="G301" i="42"/>
  <c r="G300" i="42"/>
  <c r="G299" i="42"/>
  <c r="G298" i="42"/>
  <c r="G297" i="42"/>
  <c r="G296" i="42"/>
  <c r="G333" i="42"/>
  <c r="G332" i="42"/>
  <c r="G331" i="42"/>
  <c r="G330" i="42"/>
  <c r="G329" i="42"/>
  <c r="G338" i="42"/>
  <c r="G337" i="42"/>
  <c r="G336" i="42"/>
  <c r="G335" i="42"/>
  <c r="G334" i="42"/>
  <c r="G345" i="42"/>
  <c r="G344" i="42"/>
  <c r="G343" i="42"/>
  <c r="G342" i="42"/>
  <c r="G341" i="42"/>
  <c r="G340" i="42"/>
  <c r="G339" i="42"/>
  <c r="G361" i="42"/>
  <c r="G360" i="42"/>
  <c r="G359" i="42"/>
  <c r="G358" i="42"/>
  <c r="G357" i="42"/>
  <c r="G356" i="42"/>
  <c r="G355" i="42"/>
  <c r="G354" i="42"/>
  <c r="G353" i="42"/>
  <c r="G352" i="42"/>
  <c r="G351" i="42"/>
  <c r="G350" i="42"/>
  <c r="G349" i="42"/>
  <c r="G348" i="42"/>
  <c r="G347" i="42"/>
  <c r="G346" i="42"/>
  <c r="G366" i="42"/>
  <c r="G365" i="42"/>
  <c r="G364" i="42"/>
  <c r="G363" i="42"/>
  <c r="G362" i="42"/>
  <c r="G371" i="42"/>
  <c r="G370" i="42"/>
  <c r="G369" i="42"/>
  <c r="G368" i="42"/>
  <c r="G367" i="42"/>
  <c r="G381" i="42"/>
  <c r="G380" i="42"/>
  <c r="G379" i="42"/>
  <c r="G378" i="42"/>
  <c r="G377" i="42"/>
  <c r="G376" i="42"/>
  <c r="G375" i="42"/>
  <c r="G374" i="42"/>
  <c r="G373" i="42"/>
  <c r="G372" i="42"/>
  <c r="G403" i="42"/>
  <c r="G402" i="42"/>
  <c r="G401" i="42"/>
  <c r="G400" i="42"/>
  <c r="G399" i="42"/>
  <c r="G398" i="42"/>
  <c r="G397" i="42"/>
  <c r="G396" i="42"/>
  <c r="G395" i="42"/>
  <c r="G394" i="42"/>
  <c r="G393" i="42"/>
  <c r="G392" i="42"/>
  <c r="G391" i="42"/>
  <c r="G390" i="42"/>
  <c r="G389" i="42"/>
  <c r="G388" i="42"/>
  <c r="G387" i="42"/>
  <c r="G386" i="42"/>
  <c r="G385" i="42"/>
  <c r="G384" i="42"/>
  <c r="G383" i="42"/>
  <c r="G382" i="42"/>
  <c r="G408" i="42"/>
  <c r="G407" i="42"/>
  <c r="G406" i="42"/>
  <c r="G405" i="42"/>
  <c r="G404" i="42"/>
  <c r="G413" i="42"/>
  <c r="G412" i="42"/>
  <c r="G411" i="42"/>
  <c r="G410" i="42"/>
  <c r="G409" i="42"/>
  <c r="G418" i="42"/>
  <c r="G417" i="42"/>
  <c r="G416" i="42"/>
  <c r="G415" i="42"/>
  <c r="G414" i="42"/>
  <c r="G424" i="42"/>
  <c r="G423" i="42"/>
  <c r="G422" i="42"/>
  <c r="G421" i="42"/>
  <c r="G420" i="42"/>
  <c r="G419" i="42"/>
  <c r="G425" i="42"/>
  <c r="G430" i="42"/>
  <c r="G429" i="42"/>
  <c r="G428" i="42"/>
  <c r="G427" i="42"/>
  <c r="G426" i="42"/>
  <c r="G435" i="42"/>
  <c r="G434" i="42"/>
  <c r="G433" i="42"/>
  <c r="G432" i="42"/>
  <c r="G431" i="42"/>
  <c r="G440" i="42"/>
  <c r="G439" i="42"/>
  <c r="G438" i="42"/>
  <c r="G437" i="42"/>
  <c r="G436" i="42"/>
  <c r="G451" i="42"/>
  <c r="G450" i="42"/>
  <c r="G449" i="42"/>
  <c r="G448" i="42"/>
  <c r="G447" i="42"/>
  <c r="G446" i="42"/>
  <c r="G445" i="42"/>
  <c r="G444" i="42"/>
  <c r="G443" i="42"/>
  <c r="G442" i="42"/>
  <c r="G441" i="42"/>
  <c r="G456" i="42"/>
  <c r="G455" i="42"/>
  <c r="G454" i="42"/>
  <c r="G453" i="42"/>
  <c r="G452" i="42"/>
  <c r="G461" i="42"/>
  <c r="G460" i="42"/>
  <c r="G459" i="42"/>
  <c r="G458" i="42"/>
  <c r="G457" i="42"/>
  <c r="G466" i="42"/>
  <c r="G465" i="42"/>
  <c r="G464" i="42"/>
  <c r="G463" i="42"/>
  <c r="G462" i="42"/>
  <c r="G471" i="42"/>
  <c r="G470" i="42"/>
  <c r="G469" i="42"/>
  <c r="G468" i="42"/>
  <c r="G467" i="42"/>
  <c r="G481" i="42"/>
  <c r="G480" i="42"/>
  <c r="G479" i="42"/>
  <c r="G478" i="42"/>
  <c r="G477" i="42"/>
  <c r="G476" i="42"/>
  <c r="G475" i="42"/>
  <c r="G474" i="42"/>
  <c r="G473" i="42"/>
  <c r="G472" i="42"/>
  <c r="G486" i="42"/>
  <c r="G485" i="42"/>
  <c r="G484" i="42"/>
  <c r="G483" i="42"/>
  <c r="G482" i="42"/>
  <c r="G490" i="42"/>
  <c r="G489" i="42"/>
  <c r="G488" i="42"/>
  <c r="G487" i="42"/>
  <c r="G495" i="42"/>
  <c r="G494" i="42"/>
  <c r="G493" i="42"/>
  <c r="G492" i="42"/>
  <c r="G491" i="42"/>
  <c r="G517" i="42"/>
  <c r="G516" i="42"/>
  <c r="G515" i="42"/>
  <c r="G514" i="42"/>
  <c r="G513" i="42"/>
  <c r="G512" i="42"/>
  <c r="G511" i="42"/>
  <c r="G510" i="42"/>
  <c r="G509" i="42"/>
  <c r="G508" i="42"/>
  <c r="G507" i="42"/>
  <c r="G506" i="42"/>
  <c r="G505" i="42"/>
  <c r="G504" i="42"/>
  <c r="G503" i="42"/>
  <c r="G502" i="42"/>
  <c r="G501" i="42"/>
  <c r="G500" i="42"/>
  <c r="G499" i="42"/>
  <c r="G498" i="42"/>
  <c r="G497" i="42"/>
  <c r="G496" i="42"/>
  <c r="G522" i="42"/>
  <c r="G521" i="42"/>
  <c r="G520" i="42"/>
  <c r="G519" i="42"/>
  <c r="G518" i="42"/>
  <c r="G528" i="42"/>
  <c r="G527" i="42"/>
  <c r="G526" i="42"/>
  <c r="G525" i="42"/>
  <c r="G524" i="42"/>
  <c r="G523" i="42"/>
  <c r="G534" i="42"/>
  <c r="G533" i="42"/>
  <c r="G532" i="42"/>
  <c r="G531" i="42"/>
  <c r="G530" i="42"/>
  <c r="G529" i="42"/>
  <c r="G539" i="42"/>
  <c r="G538" i="42"/>
  <c r="G537" i="42"/>
  <c r="G536" i="42"/>
  <c r="G535" i="42"/>
  <c r="G549" i="42"/>
  <c r="G548" i="42"/>
  <c r="G547" i="42"/>
  <c r="G546" i="42"/>
  <c r="G545" i="42"/>
  <c r="G544" i="42"/>
  <c r="G543" i="42"/>
  <c r="G542" i="42"/>
  <c r="G541" i="42"/>
  <c r="G540" i="42"/>
  <c r="G554" i="42"/>
  <c r="G553" i="42"/>
  <c r="G552" i="42"/>
  <c r="G551" i="42"/>
  <c r="G550" i="42"/>
  <c r="G564" i="42"/>
  <c r="G563" i="42"/>
  <c r="G562" i="42"/>
  <c r="G561" i="42"/>
  <c r="G560" i="42"/>
  <c r="G559" i="42"/>
  <c r="G558" i="42"/>
  <c r="G557" i="42"/>
  <c r="G556" i="42"/>
  <c r="G555" i="42"/>
  <c r="G583" i="42"/>
  <c r="G582" i="42"/>
  <c r="G581" i="42"/>
  <c r="G580" i="42"/>
  <c r="G579" i="42"/>
  <c r="G578" i="42"/>
  <c r="G577" i="42"/>
  <c r="G576" i="42"/>
  <c r="G575" i="42"/>
  <c r="G574" i="42"/>
  <c r="G573" i="42"/>
  <c r="G572" i="42"/>
  <c r="G571" i="42"/>
  <c r="G570" i="42"/>
  <c r="G569" i="42"/>
  <c r="G568" i="42"/>
  <c r="G567" i="42"/>
  <c r="G566" i="42"/>
  <c r="G565" i="42"/>
  <c r="G590" i="42"/>
  <c r="G589" i="42"/>
  <c r="G588" i="42"/>
  <c r="G587" i="42"/>
  <c r="G586" i="42"/>
  <c r="G585" i="42"/>
  <c r="G584" i="42"/>
  <c r="G607" i="42"/>
  <c r="G606" i="42"/>
  <c r="G605" i="42"/>
  <c r="G604" i="42"/>
  <c r="G603" i="42"/>
  <c r="G602" i="42"/>
  <c r="G601" i="42"/>
  <c r="G600" i="42"/>
  <c r="G599" i="42"/>
  <c r="G598" i="42"/>
  <c r="G597" i="42"/>
  <c r="G596" i="42"/>
  <c r="G595" i="42"/>
  <c r="G594" i="42"/>
  <c r="G593" i="42"/>
  <c r="G592" i="42"/>
  <c r="G591" i="42"/>
  <c r="G617" i="42"/>
  <c r="G616" i="42"/>
  <c r="G615" i="42"/>
  <c r="G614" i="42"/>
  <c r="G613" i="42"/>
  <c r="G612" i="42"/>
  <c r="G611" i="42"/>
  <c r="G610" i="42"/>
  <c r="G609" i="42"/>
  <c r="G608" i="42"/>
  <c r="G644" i="42"/>
  <c r="G643" i="42"/>
  <c r="G642" i="42"/>
  <c r="G641" i="42"/>
  <c r="G640" i="42"/>
  <c r="G639" i="42"/>
  <c r="G638" i="42"/>
  <c r="G637" i="42"/>
  <c r="G636" i="42"/>
  <c r="G635" i="42"/>
  <c r="G634" i="42"/>
  <c r="G633" i="42"/>
  <c r="G632" i="42"/>
  <c r="G631" i="42"/>
  <c r="G630" i="42"/>
  <c r="G629" i="42"/>
  <c r="G628" i="42"/>
  <c r="G627" i="42"/>
  <c r="G626" i="42"/>
  <c r="G625" i="42"/>
  <c r="G624" i="42"/>
  <c r="G623" i="42"/>
  <c r="G622" i="42"/>
  <c r="G621" i="42"/>
  <c r="G620" i="42"/>
  <c r="G619" i="42"/>
  <c r="G618" i="42"/>
  <c r="G650" i="42"/>
  <c r="G649" i="42"/>
  <c r="G648" i="42"/>
  <c r="G647" i="42"/>
  <c r="G646" i="42"/>
  <c r="G645" i="42"/>
  <c r="G655" i="42"/>
  <c r="G654" i="42"/>
  <c r="G653" i="42"/>
  <c r="G652" i="42"/>
  <c r="G651" i="42"/>
  <c r="G660" i="42"/>
  <c r="G659" i="42"/>
  <c r="G658" i="42"/>
  <c r="G657" i="42"/>
  <c r="G656" i="42"/>
  <c r="G676" i="42"/>
  <c r="G675" i="42"/>
  <c r="G674" i="42"/>
  <c r="G673" i="42"/>
  <c r="G672" i="42"/>
  <c r="G671" i="42"/>
  <c r="G670" i="42"/>
  <c r="G669" i="42"/>
  <c r="G668" i="42"/>
  <c r="G667" i="42"/>
  <c r="G666" i="42"/>
  <c r="G665" i="42"/>
  <c r="G664" i="42"/>
  <c r="G663" i="42"/>
  <c r="G662" i="42"/>
  <c r="G661" i="42"/>
  <c r="G691" i="42"/>
  <c r="G690" i="42"/>
  <c r="G689" i="42"/>
  <c r="G688" i="42"/>
  <c r="G687" i="42"/>
  <c r="G686" i="42"/>
  <c r="G685" i="42"/>
  <c r="G684" i="42"/>
  <c r="G683" i="42"/>
  <c r="G682" i="42"/>
  <c r="G681" i="42"/>
  <c r="G680" i="42"/>
  <c r="G679" i="42"/>
  <c r="G678" i="42"/>
  <c r="G677" i="42"/>
  <c r="G700" i="42"/>
  <c r="G699" i="42"/>
  <c r="G698" i="42"/>
  <c r="G697" i="42"/>
  <c r="G696" i="42"/>
  <c r="G695" i="42"/>
  <c r="G694" i="42"/>
  <c r="G693" i="42"/>
  <c r="G692" i="42"/>
  <c r="G711" i="42"/>
  <c r="G710" i="42"/>
  <c r="G709" i="42"/>
  <c r="G708" i="42"/>
  <c r="G707" i="42"/>
  <c r="G706" i="42"/>
  <c r="G705" i="42"/>
  <c r="G704" i="42"/>
  <c r="G703" i="42"/>
  <c r="G702" i="42"/>
  <c r="G701" i="42"/>
  <c r="G719" i="42"/>
  <c r="G718" i="42"/>
  <c r="G717" i="42"/>
  <c r="G716" i="42"/>
  <c r="G715" i="42"/>
  <c r="G714" i="42"/>
  <c r="G713" i="42"/>
  <c r="G712" i="42"/>
  <c r="G725" i="42"/>
  <c r="G724" i="42"/>
  <c r="G723" i="42"/>
  <c r="G722" i="42"/>
  <c r="G721" i="42"/>
  <c r="G720" i="42"/>
  <c r="G730" i="42"/>
  <c r="G729" i="42"/>
  <c r="G728" i="42"/>
  <c r="G727" i="42"/>
  <c r="G726" i="42"/>
  <c r="G735" i="42"/>
  <c r="G734" i="42"/>
  <c r="G733" i="42"/>
  <c r="G732" i="42"/>
  <c r="G731" i="42"/>
  <c r="G740" i="42"/>
  <c r="G739" i="42"/>
  <c r="G738" i="42"/>
  <c r="G737" i="42"/>
  <c r="G736" i="42"/>
  <c r="G750" i="42"/>
  <c r="G749" i="42"/>
  <c r="G748" i="42"/>
  <c r="G747" i="42"/>
  <c r="G746" i="42"/>
  <c r="G745" i="42"/>
  <c r="G744" i="42"/>
  <c r="G743" i="42"/>
  <c r="G742" i="42"/>
  <c r="G741" i="42"/>
  <c r="G755" i="42"/>
  <c r="G754" i="42"/>
  <c r="G753" i="42"/>
  <c r="G752" i="42"/>
  <c r="G751" i="42"/>
  <c r="G760" i="42"/>
  <c r="G759" i="42"/>
  <c r="G758" i="42"/>
  <c r="G757" i="42"/>
  <c r="G756" i="42"/>
  <c r="G764" i="42"/>
  <c r="G763" i="42"/>
  <c r="G762" i="42"/>
  <c r="G761" i="42"/>
  <c r="G765" i="42"/>
  <c r="G766" i="42"/>
  <c r="G767" i="42"/>
  <c r="G768" i="42"/>
  <c r="G773" i="42"/>
  <c r="G772" i="42"/>
  <c r="G771" i="42"/>
  <c r="G770" i="42"/>
  <c r="G769" i="42"/>
  <c r="G788" i="42"/>
  <c r="G787" i="42"/>
  <c r="G786" i="42"/>
  <c r="G785" i="42"/>
  <c r="G784" i="42"/>
  <c r="G783" i="42"/>
  <c r="G782" i="42"/>
  <c r="G781" i="42"/>
  <c r="G780" i="42"/>
  <c r="G779" i="42"/>
  <c r="G778" i="42"/>
  <c r="G777" i="42"/>
  <c r="G776" i="42"/>
  <c r="G775" i="42"/>
  <c r="G774" i="42"/>
  <c r="G793" i="42"/>
  <c r="G792" i="42"/>
  <c r="G791" i="42"/>
  <c r="G790" i="42"/>
  <c r="G789" i="42"/>
  <c r="G803" i="42"/>
  <c r="G802" i="42"/>
  <c r="G801" i="42"/>
  <c r="G800" i="42"/>
  <c r="G799" i="42"/>
  <c r="G798" i="42"/>
  <c r="G797" i="42"/>
  <c r="G796" i="42"/>
  <c r="G795" i="42"/>
  <c r="G794" i="42"/>
  <c r="G809" i="42"/>
  <c r="G808" i="42"/>
  <c r="G807" i="42"/>
  <c r="G806" i="42"/>
  <c r="G805" i="42"/>
  <c r="G804" i="42"/>
  <c r="G817" i="42"/>
  <c r="G816" i="42"/>
  <c r="G815" i="42"/>
  <c r="G814" i="42"/>
  <c r="G813" i="42"/>
  <c r="G812" i="42"/>
  <c r="G811" i="42"/>
  <c r="G810" i="42"/>
  <c r="G822" i="42"/>
  <c r="G821" i="42"/>
  <c r="G820" i="42"/>
  <c r="G819" i="42"/>
  <c r="G818" i="42"/>
  <c r="G827" i="42"/>
  <c r="G826" i="42"/>
  <c r="G825" i="42"/>
  <c r="G824" i="42"/>
  <c r="G823" i="42"/>
  <c r="G832" i="42"/>
  <c r="G831" i="42"/>
  <c r="G830" i="42"/>
  <c r="G829" i="42"/>
  <c r="G828" i="42"/>
  <c r="G837" i="42"/>
  <c r="G836" i="42"/>
  <c r="G835" i="42"/>
  <c r="G834" i="42"/>
  <c r="G833" i="42"/>
  <c r="G848" i="42"/>
  <c r="G847" i="42"/>
  <c r="G846" i="42"/>
  <c r="G845" i="42"/>
  <c r="G844" i="42"/>
  <c r="G843" i="42"/>
  <c r="G842" i="42"/>
  <c r="G841" i="42"/>
  <c r="G840" i="42"/>
  <c r="G839" i="42"/>
  <c r="G838" i="42"/>
  <c r="G853" i="42"/>
  <c r="G852" i="42"/>
  <c r="G851" i="42"/>
  <c r="G850" i="42"/>
  <c r="G849" i="42"/>
  <c r="G858" i="42"/>
  <c r="G857" i="42"/>
  <c r="G856" i="42"/>
  <c r="G855" i="42"/>
  <c r="G854" i="42"/>
  <c r="G864" i="42"/>
  <c r="G863" i="42"/>
  <c r="G862" i="42"/>
  <c r="G861" i="42"/>
  <c r="G860" i="42"/>
  <c r="G859" i="42"/>
  <c r="G870" i="42"/>
  <c r="G869" i="42"/>
  <c r="G868" i="42"/>
  <c r="G867" i="42"/>
  <c r="G866" i="42"/>
  <c r="G865" i="42"/>
  <c r="G876" i="42"/>
  <c r="G875" i="42"/>
  <c r="G874" i="42"/>
  <c r="G873" i="42"/>
  <c r="G872" i="42"/>
  <c r="G871" i="42"/>
  <c r="G881" i="42"/>
  <c r="G880" i="42"/>
  <c r="G879" i="42"/>
  <c r="G878" i="42"/>
  <c r="G877" i="42"/>
  <c r="G886" i="42"/>
  <c r="G885" i="42"/>
  <c r="G884" i="42"/>
  <c r="G883" i="42"/>
  <c r="G882" i="42"/>
  <c r="G892" i="42"/>
  <c r="G891" i="42"/>
  <c r="G890" i="42"/>
  <c r="G889" i="42"/>
  <c r="G888" i="42"/>
  <c r="G887" i="42"/>
  <c r="G901" i="42"/>
  <c r="G900" i="42"/>
  <c r="G899" i="42"/>
  <c r="G898" i="42"/>
  <c r="G897" i="42"/>
  <c r="G896" i="42"/>
  <c r="G895" i="42"/>
  <c r="G894" i="42"/>
  <c r="G893" i="42"/>
  <c r="G917" i="42"/>
  <c r="G916" i="42"/>
  <c r="G915" i="42"/>
  <c r="G914" i="42"/>
  <c r="G913" i="42"/>
  <c r="G912" i="42"/>
  <c r="G911" i="42"/>
  <c r="G910" i="42"/>
  <c r="G909" i="42"/>
  <c r="G908" i="42"/>
  <c r="G907" i="42"/>
  <c r="G906" i="42"/>
  <c r="G905" i="42"/>
  <c r="G904" i="42"/>
  <c r="G903" i="42"/>
  <c r="G902" i="42"/>
  <c r="G923" i="42"/>
  <c r="G922" i="42"/>
  <c r="G921" i="42"/>
  <c r="G920" i="42"/>
  <c r="G919" i="42"/>
  <c r="G918" i="42"/>
  <c r="G930" i="42"/>
  <c r="G929" i="42"/>
  <c r="G928" i="42"/>
  <c r="G927" i="42"/>
  <c r="G926" i="42"/>
  <c r="G925" i="42"/>
  <c r="G924" i="42"/>
  <c r="G936" i="42"/>
  <c r="G935" i="42"/>
  <c r="G934" i="42"/>
  <c r="G933" i="42"/>
  <c r="G932" i="42"/>
  <c r="G931" i="42"/>
  <c r="G941" i="42"/>
  <c r="G940" i="42"/>
  <c r="G939" i="42"/>
  <c r="G938" i="42"/>
  <c r="G937" i="42"/>
  <c r="G949" i="42"/>
  <c r="G948" i="42"/>
  <c r="G947" i="42"/>
  <c r="G946" i="42"/>
  <c r="G945" i="42"/>
  <c r="G944" i="42"/>
  <c r="G943" i="42"/>
  <c r="G942" i="42"/>
  <c r="G969" i="42"/>
  <c r="G968" i="42"/>
  <c r="G967" i="42"/>
  <c r="G966" i="42"/>
  <c r="G965" i="42"/>
  <c r="G964" i="42"/>
  <c r="G963" i="42"/>
  <c r="G962" i="42"/>
  <c r="G961" i="42"/>
  <c r="G960" i="42"/>
  <c r="G959" i="42"/>
  <c r="G958" i="42"/>
  <c r="G957" i="42"/>
  <c r="G956" i="42"/>
  <c r="G955" i="42"/>
  <c r="G954" i="42"/>
  <c r="G953" i="42"/>
  <c r="G952" i="42"/>
  <c r="G951" i="42"/>
  <c r="G950" i="42"/>
  <c r="G972" i="42"/>
  <c r="G971" i="42"/>
  <c r="G970" i="42"/>
  <c r="G980" i="42"/>
  <c r="G979" i="42"/>
  <c r="G978" i="42"/>
  <c r="G977" i="42"/>
  <c r="G976" i="42"/>
  <c r="G975" i="42"/>
  <c r="G974" i="42"/>
  <c r="G973" i="42"/>
  <c r="G983" i="42"/>
  <c r="G982" i="42"/>
  <c r="G981" i="42"/>
  <c r="G993" i="42"/>
  <c r="G992" i="42"/>
  <c r="G991" i="42"/>
  <c r="G990" i="42"/>
  <c r="G989" i="42"/>
  <c r="G988" i="42"/>
  <c r="G987" i="42"/>
  <c r="G986" i="42"/>
  <c r="G985" i="42"/>
  <c r="G984" i="42"/>
  <c r="G999" i="42"/>
  <c r="G998" i="42"/>
  <c r="G997" i="42"/>
  <c r="G996" i="42"/>
  <c r="G995" i="42"/>
  <c r="G994" i="42"/>
  <c r="G1004" i="42"/>
  <c r="G1003" i="42"/>
  <c r="G1002" i="42"/>
  <c r="G1001" i="42"/>
  <c r="G1000" i="42"/>
  <c r="G1009" i="42"/>
  <c r="G1008" i="42"/>
  <c r="G1007" i="42"/>
  <c r="G1006" i="42"/>
  <c r="G1005" i="42"/>
  <c r="G1015" i="42"/>
  <c r="G1014" i="42"/>
  <c r="G1013" i="42"/>
  <c r="G1012" i="42"/>
  <c r="G1011" i="42"/>
  <c r="G1010" i="42"/>
  <c r="G1023" i="42"/>
  <c r="G1022" i="42"/>
  <c r="G1021" i="42"/>
  <c r="G1020" i="42"/>
  <c r="G1019" i="42"/>
  <c r="G1018" i="42"/>
  <c r="G1017" i="42"/>
  <c r="G1016" i="42"/>
  <c r="G1024" i="42"/>
  <c r="G1029" i="42"/>
  <c r="G1028" i="42"/>
  <c r="G1027" i="42"/>
  <c r="G1026" i="42"/>
  <c r="G1025" i="42"/>
  <c r="G1038" i="42"/>
  <c r="G1037" i="42"/>
  <c r="G1036" i="42"/>
  <c r="G1035" i="42"/>
  <c r="G1034" i="42"/>
  <c r="G1033" i="42"/>
  <c r="G1032" i="42"/>
  <c r="G1031" i="42"/>
  <c r="G1030" i="42"/>
  <c r="G1048" i="42"/>
  <c r="G1047" i="42"/>
  <c r="G1046" i="42"/>
  <c r="G1045" i="42"/>
  <c r="G1044" i="42"/>
  <c r="G1043" i="42"/>
  <c r="G1042" i="42"/>
  <c r="G1041" i="42"/>
  <c r="G1040" i="42"/>
  <c r="G1039" i="42"/>
  <c r="G1052" i="42"/>
  <c r="G1051" i="42"/>
  <c r="G1050" i="42"/>
  <c r="G1049" i="42"/>
  <c r="G1058" i="42"/>
  <c r="G1057" i="42"/>
  <c r="G1056" i="42"/>
  <c r="G1055" i="42"/>
  <c r="G1054" i="42"/>
  <c r="G1053" i="42"/>
  <c r="G1063" i="42"/>
  <c r="G1062" i="42"/>
  <c r="G1061" i="42"/>
  <c r="G1060" i="42"/>
  <c r="G1059" i="42"/>
  <c r="G1078" i="42"/>
  <c r="G1077" i="42"/>
  <c r="G1076" i="42"/>
  <c r="G1075" i="42"/>
  <c r="G1074" i="42"/>
  <c r="G1073" i="42"/>
  <c r="G1072" i="42"/>
  <c r="G1071" i="42"/>
  <c r="G1070" i="42"/>
  <c r="G1069" i="42"/>
  <c r="G1068" i="42"/>
  <c r="G1067" i="42"/>
  <c r="G1066" i="42"/>
  <c r="G1065" i="42"/>
  <c r="G1064" i="42"/>
  <c r="G1084" i="42"/>
  <c r="G1083" i="42"/>
  <c r="G1082" i="42"/>
  <c r="G1081" i="42"/>
  <c r="G1080" i="42"/>
  <c r="G1079" i="42"/>
  <c r="G1090" i="42"/>
  <c r="G1089" i="42"/>
  <c r="G1088" i="42"/>
  <c r="G1087" i="42"/>
  <c r="G1086" i="42"/>
  <c r="G1085" i="42"/>
  <c r="G1095" i="42"/>
  <c r="G1094" i="42"/>
  <c r="G1093" i="42"/>
  <c r="G1092" i="42"/>
  <c r="G1091" i="42"/>
  <c r="G1106" i="42"/>
  <c r="G1105" i="42"/>
  <c r="G1104" i="42"/>
  <c r="G1103" i="42"/>
  <c r="G1102" i="42"/>
  <c r="G1101" i="42"/>
  <c r="G1100" i="42"/>
  <c r="G1099" i="42"/>
  <c r="G1098" i="42"/>
  <c r="G1097" i="42"/>
  <c r="G1096" i="42"/>
  <c r="G1117" i="42"/>
  <c r="G1116" i="42"/>
  <c r="G1115" i="42"/>
  <c r="G1114" i="42"/>
  <c r="G1113" i="42"/>
  <c r="G1112" i="42"/>
  <c r="G1111" i="42"/>
  <c r="G1110" i="42"/>
  <c r="G1109" i="42"/>
  <c r="G1108" i="42"/>
  <c r="G1107" i="42"/>
  <c r="G1141" i="42"/>
  <c r="G1140" i="42"/>
  <c r="G1139" i="42"/>
  <c r="G1138" i="42"/>
  <c r="G1137" i="42"/>
  <c r="G1136" i="42"/>
  <c r="G1135" i="42"/>
  <c r="G1134" i="42"/>
  <c r="G1133" i="42"/>
  <c r="G1132" i="42"/>
  <c r="G1131" i="42"/>
  <c r="G1130" i="42"/>
  <c r="G1129" i="42"/>
  <c r="G1128" i="42"/>
  <c r="G1127" i="42"/>
  <c r="G1126" i="42"/>
  <c r="G1125" i="42"/>
  <c r="G1124" i="42"/>
  <c r="G1123" i="42"/>
  <c r="G1122" i="42"/>
  <c r="G1121" i="42"/>
  <c r="G1120" i="42"/>
  <c r="G1119" i="42"/>
  <c r="G1118" i="42"/>
  <c r="G1146" i="42"/>
  <c r="G1145" i="42"/>
  <c r="G1144" i="42"/>
  <c r="G1143" i="42"/>
  <c r="G1142" i="42"/>
  <c r="G1156" i="42"/>
  <c r="G1155" i="42"/>
  <c r="G1154" i="42"/>
  <c r="G1153" i="42"/>
  <c r="G1152" i="42"/>
  <c r="G1151" i="42"/>
  <c r="G1150" i="42"/>
  <c r="G1149" i="42"/>
  <c r="G1148" i="42"/>
  <c r="G1147" i="42"/>
  <c r="G1161" i="42"/>
  <c r="G1160" i="42"/>
  <c r="G1159" i="42"/>
  <c r="G1158" i="42"/>
  <c r="G1157" i="42"/>
  <c r="G1166" i="42"/>
  <c r="G1165" i="42"/>
  <c r="G1164" i="42"/>
  <c r="G1163" i="42"/>
  <c r="G1162" i="42"/>
  <c r="G1173" i="42"/>
  <c r="G1172" i="42"/>
  <c r="G1171" i="42"/>
  <c r="G1170" i="42"/>
  <c r="G1169" i="42"/>
  <c r="G1168" i="42"/>
  <c r="G1167" i="42"/>
  <c r="G1192" i="42"/>
  <c r="G1191" i="42"/>
  <c r="G1190" i="42"/>
  <c r="G1189" i="42"/>
  <c r="G1188" i="42"/>
  <c r="G1187" i="42"/>
  <c r="G1186" i="42"/>
  <c r="G1185" i="42"/>
  <c r="G1184" i="42"/>
  <c r="G1183" i="42"/>
  <c r="G1182" i="42"/>
  <c r="G1181" i="42"/>
  <c r="G1180" i="42"/>
  <c r="G1179" i="42"/>
  <c r="G1178" i="42"/>
  <c r="G1177" i="42"/>
  <c r="G1176" i="42"/>
  <c r="G1175" i="42"/>
  <c r="G1174" i="42"/>
  <c r="G1197" i="42"/>
  <c r="G1196" i="42"/>
  <c r="G1195" i="42"/>
  <c r="G1194" i="42"/>
  <c r="G1193" i="42"/>
  <c r="G1202" i="42"/>
  <c r="G1201" i="42"/>
  <c r="G1200" i="42"/>
  <c r="G1199" i="42"/>
  <c r="G1198" i="42"/>
  <c r="G1207" i="42"/>
  <c r="G1206" i="42"/>
  <c r="G1205" i="42"/>
  <c r="G1204" i="42"/>
  <c r="G1203" i="42"/>
  <c r="G1213" i="42"/>
  <c r="G1212" i="42"/>
  <c r="G1211" i="42"/>
  <c r="G1210" i="42"/>
  <c r="G1209" i="42"/>
  <c r="G1208" i="42"/>
  <c r="G1218" i="42"/>
  <c r="G1217" i="42"/>
  <c r="G1216" i="42"/>
  <c r="G1215" i="42"/>
  <c r="G1214" i="42"/>
  <c r="G1230" i="42"/>
  <c r="G1229" i="42"/>
  <c r="G1228" i="42"/>
  <c r="G1227" i="42"/>
  <c r="G1226" i="42"/>
  <c r="G1225" i="42"/>
  <c r="G1224" i="42"/>
  <c r="G1223" i="42"/>
  <c r="G1222" i="42"/>
  <c r="G1221" i="42"/>
  <c r="G1220" i="42"/>
  <c r="G1219" i="42"/>
  <c r="G1238" i="42"/>
  <c r="G1237" i="42"/>
  <c r="G1236" i="42"/>
  <c r="G1235" i="42"/>
  <c r="G1234" i="42"/>
  <c r="G1233" i="42"/>
  <c r="G1232" i="42"/>
  <c r="G1231" i="42"/>
  <c r="G1243" i="42"/>
  <c r="G1242" i="42"/>
  <c r="G1241" i="42"/>
  <c r="G1240" i="42"/>
  <c r="G1239" i="42"/>
  <c r="G1254" i="42"/>
  <c r="G1253" i="42"/>
  <c r="G1252" i="42"/>
  <c r="G1251" i="42"/>
  <c r="G1250" i="42"/>
  <c r="G1249" i="42"/>
  <c r="G1248" i="42"/>
  <c r="G1247" i="42"/>
  <c r="G1246" i="42"/>
  <c r="G1245" i="42"/>
  <c r="G1244" i="42"/>
  <c r="G1259" i="42"/>
  <c r="G1258" i="42"/>
  <c r="G1257" i="42"/>
  <c r="G1256" i="42"/>
  <c r="G1255" i="42"/>
  <c r="G1263" i="42"/>
  <c r="G1262" i="42"/>
  <c r="G1261" i="42"/>
  <c r="G1260" i="42"/>
  <c r="G1268" i="42"/>
  <c r="G1267" i="42"/>
  <c r="G1266" i="42"/>
  <c r="G1265" i="42"/>
  <c r="G1264" i="42"/>
  <c r="G1273" i="42"/>
  <c r="G1272" i="42"/>
  <c r="G1271" i="42"/>
  <c r="G1270" i="42"/>
  <c r="G1269" i="42"/>
  <c r="G1278" i="42"/>
  <c r="G1277" i="42"/>
  <c r="G1276" i="42"/>
  <c r="G1275" i="42"/>
  <c r="G1274" i="42"/>
  <c r="G1283" i="42"/>
  <c r="G1282" i="42"/>
  <c r="G1281" i="42"/>
  <c r="G1280" i="42"/>
  <c r="G1279" i="42"/>
  <c r="G1291" i="42"/>
  <c r="G1290" i="42"/>
  <c r="G1289" i="42"/>
  <c r="G1288" i="42"/>
  <c r="G1287" i="42"/>
  <c r="G1286" i="42"/>
  <c r="G1285" i="42"/>
  <c r="G1284" i="42"/>
  <c r="G1297" i="42"/>
  <c r="G1296" i="42"/>
  <c r="G1295" i="42"/>
  <c r="G1294" i="42"/>
  <c r="G1293" i="42"/>
  <c r="G1292" i="42"/>
  <c r="G1312" i="42"/>
  <c r="G1311" i="42"/>
  <c r="G1310" i="42"/>
  <c r="G1309" i="42"/>
  <c r="G1308" i="42"/>
  <c r="G1307" i="42"/>
  <c r="G1306" i="42"/>
  <c r="G1305" i="42"/>
  <c r="G1304" i="42"/>
  <c r="G1303" i="42"/>
  <c r="G1302" i="42"/>
  <c r="G1301" i="42"/>
  <c r="G1300" i="42"/>
  <c r="G1299" i="42"/>
  <c r="G1298" i="42"/>
  <c r="G1327" i="42"/>
  <c r="G1326" i="42"/>
  <c r="G1325" i="42"/>
  <c r="G1324" i="42"/>
  <c r="G1323" i="42"/>
  <c r="G1322" i="42"/>
  <c r="G1321" i="42"/>
  <c r="G1320" i="42"/>
  <c r="G1319" i="42"/>
  <c r="G1318" i="42"/>
  <c r="G1317" i="42"/>
  <c r="G1316" i="42"/>
  <c r="G1315" i="42"/>
  <c r="G1314" i="42"/>
  <c r="G1313" i="42"/>
  <c r="G1333" i="42"/>
  <c r="G1332" i="42"/>
  <c r="G1331" i="42"/>
  <c r="G1330" i="42"/>
  <c r="G1329" i="42"/>
  <c r="G1328" i="42"/>
  <c r="G1334" i="42"/>
  <c r="G1340" i="42"/>
  <c r="G1339" i="42"/>
  <c r="G1338" i="42"/>
  <c r="G1337" i="42"/>
  <c r="G1336" i="42"/>
  <c r="G1335" i="42"/>
  <c r="G1349" i="42"/>
  <c r="G1348" i="42"/>
  <c r="G1347" i="42"/>
  <c r="G1346" i="42"/>
  <c r="G1345" i="42"/>
  <c r="G1344" i="42"/>
  <c r="G1343" i="42"/>
  <c r="G1342" i="42"/>
  <c r="G1341" i="42"/>
  <c r="G1359" i="42"/>
  <c r="G1358" i="42"/>
  <c r="G1357" i="42"/>
  <c r="G1356" i="42"/>
  <c r="G1355" i="42"/>
  <c r="G1354" i="42"/>
  <c r="G1353" i="42"/>
  <c r="G1352" i="42"/>
  <c r="G1351" i="42"/>
  <c r="G1350" i="42"/>
  <c r="G1364" i="42"/>
  <c r="G1363" i="42"/>
  <c r="G1362" i="42"/>
  <c r="G1361" i="42"/>
  <c r="G1360" i="42"/>
  <c r="G1370" i="42"/>
  <c r="G1369" i="42"/>
  <c r="G1368" i="42"/>
  <c r="G1367" i="42"/>
  <c r="G1366" i="42"/>
  <c r="G1365" i="42"/>
  <c r="G1385" i="42"/>
  <c r="G1384" i="42"/>
  <c r="G1383" i="42"/>
  <c r="G1382" i="42"/>
  <c r="G1381" i="42"/>
  <c r="G1380" i="42"/>
  <c r="G1379" i="42"/>
  <c r="G1378" i="42"/>
  <c r="G1377" i="42"/>
  <c r="G1376" i="42"/>
  <c r="G1375" i="42"/>
  <c r="G1374" i="42"/>
  <c r="G1373" i="42"/>
  <c r="G1372" i="42"/>
  <c r="G1371" i="42"/>
  <c r="G1386" i="42"/>
  <c r="G1387" i="42"/>
  <c r="G1388" i="42"/>
  <c r="G1389" i="42"/>
  <c r="G1394" i="42"/>
  <c r="G1393" i="42"/>
  <c r="G1392" i="42"/>
  <c r="G1391" i="42"/>
  <c r="G1390" i="42"/>
  <c r="G1400" i="42"/>
  <c r="G1399" i="42"/>
  <c r="G1398" i="42"/>
  <c r="G1397" i="42"/>
  <c r="G1396" i="42"/>
  <c r="G1395" i="42"/>
  <c r="G1411" i="42"/>
  <c r="G1410" i="42"/>
  <c r="G1409" i="42"/>
  <c r="G1408" i="42"/>
  <c r="G1407" i="42"/>
  <c r="G1406" i="42"/>
  <c r="G1405" i="42"/>
  <c r="G1404" i="42"/>
  <c r="G1403" i="42"/>
  <c r="G1402" i="42"/>
  <c r="G1401" i="42"/>
  <c r="G1421" i="42"/>
  <c r="G1420" i="42"/>
  <c r="G1419" i="42"/>
  <c r="G1418" i="42"/>
  <c r="G1417" i="42"/>
  <c r="G1426" i="42"/>
  <c r="G1425" i="42"/>
  <c r="G1424" i="42"/>
  <c r="G1423" i="42"/>
  <c r="G1422" i="42"/>
  <c r="G1427" i="42"/>
  <c r="G1432" i="42"/>
  <c r="G1431" i="42"/>
  <c r="G1430" i="42"/>
  <c r="G1429" i="42"/>
  <c r="G1428" i="42"/>
  <c r="G1442" i="42"/>
  <c r="G1441" i="42"/>
  <c r="G1440" i="42"/>
  <c r="G1439" i="42"/>
  <c r="G1438" i="42"/>
  <c r="G1437" i="42"/>
  <c r="G1436" i="42"/>
  <c r="G1435" i="42"/>
  <c r="G1434" i="42"/>
  <c r="G1433" i="42"/>
  <c r="G1445" i="42"/>
  <c r="G1444" i="42"/>
  <c r="G1443" i="42"/>
  <c r="G1449" i="42"/>
  <c r="G1448" i="42"/>
  <c r="G1447" i="42"/>
  <c r="G1446" i="42"/>
  <c r="G1456" i="42"/>
  <c r="G1455" i="42"/>
  <c r="G1454" i="42"/>
  <c r="G1453" i="42"/>
  <c r="G1452" i="42"/>
  <c r="G1451" i="42"/>
  <c r="G1450" i="42"/>
  <c r="G1462" i="42"/>
  <c r="G1461" i="42"/>
  <c r="G1460" i="42"/>
  <c r="G1459" i="42"/>
  <c r="G1458" i="42"/>
  <c r="G1457" i="42"/>
  <c r="G1471" i="42"/>
  <c r="G1470" i="42"/>
  <c r="G1469" i="42"/>
  <c r="G1468" i="42"/>
  <c r="G1467" i="42"/>
  <c r="G1466" i="42"/>
  <c r="G1465" i="42"/>
  <c r="G1464" i="42"/>
  <c r="G1463" i="42"/>
  <c r="G1474" i="42"/>
  <c r="G1473" i="42"/>
  <c r="G1472" i="42"/>
  <c r="G1479" i="42"/>
  <c r="G1478" i="42"/>
  <c r="G1477" i="42"/>
  <c r="G1476" i="42"/>
  <c r="G1475" i="42"/>
  <c r="G1485" i="42"/>
  <c r="G1484" i="42"/>
  <c r="G1483" i="42"/>
  <c r="G1482" i="42"/>
  <c r="G1481" i="42"/>
  <c r="G1480" i="42"/>
  <c r="G1491" i="42"/>
  <c r="G1490" i="42"/>
  <c r="G1489" i="42"/>
  <c r="G1488" i="42"/>
  <c r="G1487" i="42"/>
  <c r="G1486" i="42"/>
  <c r="G1497" i="42"/>
  <c r="G1496" i="42"/>
  <c r="G1495" i="42"/>
  <c r="G1494" i="42"/>
  <c r="G1493" i="42"/>
  <c r="G1492" i="42"/>
  <c r="G1503" i="42"/>
  <c r="G1502" i="42"/>
  <c r="G1501" i="42"/>
  <c r="G1500" i="42"/>
  <c r="G1499" i="42"/>
  <c r="G1498" i="42"/>
  <c r="G1510" i="42"/>
  <c r="G1509" i="42"/>
  <c r="G1508" i="42"/>
  <c r="G1507" i="42"/>
  <c r="G1506" i="42"/>
  <c r="G1505" i="42"/>
  <c r="G1504" i="42"/>
  <c r="G1519" i="42"/>
  <c r="G1518" i="42"/>
  <c r="G1517" i="42"/>
  <c r="G1516" i="42"/>
  <c r="G1515" i="42"/>
  <c r="G1514" i="42"/>
  <c r="G1513" i="42"/>
  <c r="G1512" i="42"/>
  <c r="G1511" i="42"/>
  <c r="G1525" i="42"/>
  <c r="G1524" i="42"/>
  <c r="G1523" i="42"/>
  <c r="G1522" i="42"/>
  <c r="G1521" i="42"/>
  <c r="G1520" i="42"/>
  <c r="G1530" i="42"/>
  <c r="G1529" i="42"/>
  <c r="G1528" i="42"/>
  <c r="G1527" i="42"/>
  <c r="G1526" i="42"/>
  <c r="G1539" i="42"/>
  <c r="G1538" i="42"/>
  <c r="G1537" i="42"/>
  <c r="G1536" i="42"/>
  <c r="G1535" i="42"/>
  <c r="G1534" i="42"/>
  <c r="G1533" i="42"/>
  <c r="G1532" i="42"/>
  <c r="G1531" i="42"/>
  <c r="G1547" i="42"/>
  <c r="G1546" i="42"/>
  <c r="G1545" i="42"/>
  <c r="G1544" i="42"/>
  <c r="G1543" i="42"/>
  <c r="G1542" i="42"/>
  <c r="G1541" i="42"/>
  <c r="G1540" i="42"/>
  <c r="G1551" i="42"/>
  <c r="G1550" i="42"/>
  <c r="G1549" i="42"/>
  <c r="G1548" i="42"/>
  <c r="G1556" i="42"/>
  <c r="G1555" i="42"/>
  <c r="G1554" i="42"/>
  <c r="G1553" i="42"/>
  <c r="G1552" i="42"/>
  <c r="G1561" i="42"/>
  <c r="G1560" i="42"/>
  <c r="G1559" i="42"/>
  <c r="G1558" i="42"/>
  <c r="G1557" i="42"/>
  <c r="G1566" i="42"/>
  <c r="G1565" i="42"/>
  <c r="G1564" i="42"/>
  <c r="G1563" i="42"/>
  <c r="G1562" i="42"/>
  <c r="G1571" i="42"/>
  <c r="G1570" i="42"/>
  <c r="G1569" i="42"/>
  <c r="G1568" i="42"/>
  <c r="G1567" i="42"/>
  <c r="G1581" i="42"/>
  <c r="G1580" i="42"/>
  <c r="G1579" i="42"/>
  <c r="G1578" i="42"/>
  <c r="G1577" i="42"/>
  <c r="G1576" i="42"/>
  <c r="G1575" i="42"/>
  <c r="G1574" i="42"/>
  <c r="G1573" i="42"/>
  <c r="G1572" i="42"/>
  <c r="G1586" i="42"/>
  <c r="G1585" i="42"/>
  <c r="G1584" i="42"/>
  <c r="G1583" i="42"/>
  <c r="G1582" i="42"/>
  <c r="G1591" i="42"/>
  <c r="G1590" i="42"/>
  <c r="G1589" i="42"/>
  <c r="G1588" i="42"/>
  <c r="G1587" i="42"/>
  <c r="G1597" i="42"/>
  <c r="G1596" i="42"/>
  <c r="G1595" i="42"/>
  <c r="G1594" i="42"/>
  <c r="G1593" i="42"/>
  <c r="G1592" i="42"/>
  <c r="G1602" i="42"/>
  <c r="G1601" i="42"/>
  <c r="G1600" i="42"/>
  <c r="G1599" i="42"/>
  <c r="G1598" i="42"/>
  <c r="G1610" i="42"/>
  <c r="G1609" i="42"/>
  <c r="G1608" i="42"/>
  <c r="G1607" i="42"/>
  <c r="G1606" i="42"/>
  <c r="G1605" i="42"/>
  <c r="G1604" i="42"/>
  <c r="G1603" i="42"/>
  <c r="G1615" i="42"/>
  <c r="G1614" i="42"/>
  <c r="G1613" i="42"/>
  <c r="G1612" i="42"/>
  <c r="G1611" i="42"/>
  <c r="G1620" i="42"/>
  <c r="G1619" i="42"/>
  <c r="G1618" i="42"/>
  <c r="G1617" i="42"/>
  <c r="G1616" i="42"/>
  <c r="G1625" i="42"/>
  <c r="G1624" i="42"/>
  <c r="G1623" i="42"/>
  <c r="G1622" i="42"/>
  <c r="G1621" i="42"/>
  <c r="G1635" i="42"/>
  <c r="G1634" i="42"/>
  <c r="G1633" i="42"/>
  <c r="G1632" i="42"/>
  <c r="G1631" i="42"/>
  <c r="G1630" i="42"/>
  <c r="G1629" i="42"/>
  <c r="G1628" i="42"/>
  <c r="G1627" i="42"/>
  <c r="G1626" i="42"/>
  <c r="G1640" i="42"/>
  <c r="G1639" i="42"/>
  <c r="G1638" i="42"/>
  <c r="G1637" i="42"/>
  <c r="G1636" i="42"/>
  <c r="G1652" i="42"/>
  <c r="G1651" i="42"/>
  <c r="G1650" i="42"/>
  <c r="G1649" i="42"/>
  <c r="G1648" i="42"/>
  <c r="G1647" i="42"/>
  <c r="G1646" i="42"/>
  <c r="G1645" i="42"/>
  <c r="G1644" i="42"/>
  <c r="G1643" i="42"/>
  <c r="G1642" i="42"/>
  <c r="G1641" i="42"/>
  <c r="G1658" i="42"/>
  <c r="G1657" i="42"/>
  <c r="G1656" i="42"/>
  <c r="G1655" i="42"/>
  <c r="G1654" i="42"/>
  <c r="G1653" i="42"/>
  <c r="G1672" i="42"/>
  <c r="G1671" i="42"/>
  <c r="G1670" i="42"/>
  <c r="G1669" i="42"/>
  <c r="G1668" i="42"/>
  <c r="G1667" i="42"/>
  <c r="G1666" i="42"/>
  <c r="G1665" i="42"/>
  <c r="G1664" i="42"/>
  <c r="G1663" i="42"/>
  <c r="G1662" i="42"/>
  <c r="G1661" i="42"/>
  <c r="G1660" i="42"/>
  <c r="G1659" i="42"/>
  <c r="G1676" i="42"/>
  <c r="G1675" i="42"/>
  <c r="G1674" i="42"/>
  <c r="G1673" i="42"/>
  <c r="G1694" i="42"/>
  <c r="G1693" i="42"/>
  <c r="G1692" i="42"/>
  <c r="G1691" i="42"/>
  <c r="G1690" i="42"/>
  <c r="G1689" i="42"/>
  <c r="G1688" i="42"/>
  <c r="G1687" i="42"/>
  <c r="G1686" i="42"/>
  <c r="G1685" i="42"/>
  <c r="G1684" i="42"/>
  <c r="G1683" i="42"/>
  <c r="G1682" i="42"/>
  <c r="G1681" i="42"/>
  <c r="G1680" i="42"/>
  <c r="G1679" i="42"/>
  <c r="G1678" i="42"/>
  <c r="G1677" i="42"/>
  <c r="G1702" i="42"/>
  <c r="G1701" i="42"/>
  <c r="G1700" i="42"/>
  <c r="G1699" i="42"/>
  <c r="G1698" i="42"/>
  <c r="G1697" i="42"/>
  <c r="G1696" i="42"/>
  <c r="G1695" i="42"/>
  <c r="G1716" i="42"/>
  <c r="G1715" i="42"/>
  <c r="G1714" i="42"/>
  <c r="G1713" i="42"/>
  <c r="G1712" i="42"/>
  <c r="G1711" i="42"/>
  <c r="G1710" i="42"/>
  <c r="G1709" i="42"/>
  <c r="G1708" i="42"/>
  <c r="G1707" i="42"/>
  <c r="G1706" i="42"/>
  <c r="G1705" i="42"/>
  <c r="G1704" i="42"/>
  <c r="G1703" i="42"/>
  <c r="G1720" i="42"/>
  <c r="G1719" i="42"/>
  <c r="G1718" i="42"/>
  <c r="G1717" i="42"/>
  <c r="G1727" i="42"/>
  <c r="G1726" i="42"/>
  <c r="G1725" i="42"/>
  <c r="G1724" i="42"/>
  <c r="G1723" i="42"/>
  <c r="G1722" i="42"/>
  <c r="G1721" i="42"/>
  <c r="G1737" i="42"/>
  <c r="G1736" i="42"/>
  <c r="G1735" i="42"/>
  <c r="G1734" i="42"/>
  <c r="G1733" i="42"/>
  <c r="G1732" i="42"/>
  <c r="G1731" i="42"/>
  <c r="G1730" i="42"/>
  <c r="G1729" i="42"/>
  <c r="G1728" i="42"/>
  <c r="G1748" i="42"/>
  <c r="G1747" i="42"/>
  <c r="G1746" i="42"/>
  <c r="G1745" i="42"/>
  <c r="G1744" i="42"/>
  <c r="G1743" i="42"/>
  <c r="G1742" i="42"/>
  <c r="G1741" i="42"/>
  <c r="G1740" i="42"/>
  <c r="G1739" i="42"/>
  <c r="G1738" i="42"/>
  <c r="G1754" i="42"/>
  <c r="G1753" i="42"/>
  <c r="G1752" i="42"/>
  <c r="G1751" i="42"/>
  <c r="G1750" i="42"/>
  <c r="G1749" i="42"/>
  <c r="G1760" i="42"/>
  <c r="G1759" i="42"/>
  <c r="G1758" i="42"/>
  <c r="G1757" i="42"/>
  <c r="G1756" i="42"/>
  <c r="G1755" i="42"/>
  <c r="G1765" i="42"/>
  <c r="G1764" i="42"/>
  <c r="G1763" i="42"/>
  <c r="G1762" i="42"/>
  <c r="G1761" i="42"/>
  <c r="G1771" i="42"/>
  <c r="G1770" i="42"/>
  <c r="G1769" i="42"/>
  <c r="G1768" i="42"/>
  <c r="G1767" i="42"/>
  <c r="G1766" i="42"/>
  <c r="G1777" i="42"/>
  <c r="G1776" i="42"/>
  <c r="G1775" i="42"/>
  <c r="G1774" i="42"/>
  <c r="G1773" i="42"/>
  <c r="G1772" i="42"/>
  <c r="G1785" i="42"/>
  <c r="G1784" i="42"/>
  <c r="G1783" i="42"/>
  <c r="G1782" i="42"/>
  <c r="G1781" i="42"/>
  <c r="G1780" i="42"/>
  <c r="G1779" i="42"/>
  <c r="G1778" i="42"/>
  <c r="G1801" i="42"/>
  <c r="G1800" i="42"/>
  <c r="G1799" i="42"/>
  <c r="G1798" i="42"/>
  <c r="G1797" i="42"/>
  <c r="G1796" i="42"/>
  <c r="G1795" i="42"/>
  <c r="G1794" i="42"/>
  <c r="G1793" i="42"/>
  <c r="G1792" i="42"/>
  <c r="G1791" i="42"/>
  <c r="G1790" i="42"/>
  <c r="G1789" i="42"/>
  <c r="G1788" i="42"/>
  <c r="G1787" i="42"/>
  <c r="G1786" i="42"/>
  <c r="G1825" i="42"/>
  <c r="G1824" i="42"/>
  <c r="G1823" i="42"/>
  <c r="G1822" i="42"/>
  <c r="G1821" i="42"/>
  <c r="G1820" i="42"/>
  <c r="G1819" i="42"/>
  <c r="G1818" i="42"/>
  <c r="G1817" i="42"/>
  <c r="G1816" i="42"/>
  <c r="G1815" i="42"/>
  <c r="G1814" i="42"/>
  <c r="G1813" i="42"/>
  <c r="G1812" i="42"/>
  <c r="G1811" i="42"/>
  <c r="G1810" i="42"/>
  <c r="G1809" i="42"/>
  <c r="G1808" i="42"/>
  <c r="G1807" i="42"/>
  <c r="G1806" i="42"/>
  <c r="G1805" i="42"/>
  <c r="G1804" i="42"/>
  <c r="G1803" i="42"/>
  <c r="G1802" i="42"/>
  <c r="G1830" i="42"/>
  <c r="G1829" i="42"/>
  <c r="G1828" i="42"/>
  <c r="G1827" i="42"/>
  <c r="G1826" i="42"/>
  <c r="G1835" i="42"/>
  <c r="G1834" i="42"/>
  <c r="G1833" i="42"/>
  <c r="G1832" i="42"/>
  <c r="G1831" i="42"/>
  <c r="G1840" i="42"/>
  <c r="G1839" i="42"/>
  <c r="G1838" i="42"/>
  <c r="G1837" i="42"/>
  <c r="G1836" i="42"/>
  <c r="G1853" i="42"/>
  <c r="G1852" i="42"/>
  <c r="G1851" i="42"/>
  <c r="G1850" i="42"/>
  <c r="G1849" i="42"/>
  <c r="G1848" i="42"/>
  <c r="G1847" i="42"/>
  <c r="G1846" i="42"/>
  <c r="G1845" i="42"/>
  <c r="G1844" i="42"/>
  <c r="G1843" i="42"/>
  <c r="G1842" i="42"/>
  <c r="G1841" i="42"/>
  <c r="G1861" i="42"/>
  <c r="G1860" i="42"/>
  <c r="G1859" i="42"/>
  <c r="G1858" i="42"/>
  <c r="G1857" i="42"/>
  <c r="G1856" i="42"/>
  <c r="G1855" i="42"/>
  <c r="G1854" i="42"/>
  <c r="G1865" i="42"/>
  <c r="G1864" i="42"/>
  <c r="G1863" i="42"/>
  <c r="G1862" i="42"/>
  <c r="G1879" i="42"/>
  <c r="G1878" i="42"/>
  <c r="G1877" i="42"/>
  <c r="G1876" i="42"/>
  <c r="G1875" i="42"/>
  <c r="G1874" i="42"/>
  <c r="G1873" i="42"/>
  <c r="G1872" i="42"/>
  <c r="G1871" i="42"/>
  <c r="G1870" i="42"/>
  <c r="G1869" i="42"/>
  <c r="G1868" i="42"/>
  <c r="G1867" i="42"/>
  <c r="G1866" i="42"/>
  <c r="G1884" i="42"/>
  <c r="G1883" i="42"/>
  <c r="G1882" i="42"/>
  <c r="G1881" i="42"/>
  <c r="G1880" i="42"/>
  <c r="G1896" i="42"/>
  <c r="G1895" i="42"/>
  <c r="G1894" i="42"/>
  <c r="G1893" i="42"/>
  <c r="G1892" i="42"/>
  <c r="G1891" i="42"/>
  <c r="G1890" i="42"/>
  <c r="G1889" i="42"/>
  <c r="G1888" i="42"/>
  <c r="G1887" i="42"/>
  <c r="G1886" i="42"/>
  <c r="G1885" i="42"/>
  <c r="G1901" i="42"/>
  <c r="G1900" i="42"/>
  <c r="G1899" i="42"/>
  <c r="G1898" i="42"/>
  <c r="G1897" i="42"/>
  <c r="G1911" i="42"/>
  <c r="G1910" i="42"/>
  <c r="G1909" i="42"/>
  <c r="G1908" i="42"/>
  <c r="G1907" i="42"/>
  <c r="G1906" i="42"/>
  <c r="G1905" i="42"/>
  <c r="G1904" i="42"/>
  <c r="G1903" i="42"/>
  <c r="G1902" i="42"/>
  <c r="G1931" i="42"/>
  <c r="G1930" i="42"/>
  <c r="G1929" i="42"/>
  <c r="G1928" i="42"/>
  <c r="G1927" i="42"/>
  <c r="G1926" i="42"/>
  <c r="G1925" i="42"/>
  <c r="G1924" i="42"/>
  <c r="G1923" i="42"/>
  <c r="G1922" i="42"/>
  <c r="G1921" i="42"/>
  <c r="G1920" i="42"/>
  <c r="G1919" i="42"/>
  <c r="G1918" i="42"/>
  <c r="G1917" i="42"/>
  <c r="G1916" i="42"/>
  <c r="G1915" i="42"/>
  <c r="G1914" i="42"/>
  <c r="G1913" i="42"/>
  <c r="G1912" i="42"/>
  <c r="G1936" i="42"/>
  <c r="G1935" i="42"/>
  <c r="G1934" i="42"/>
  <c r="G1933" i="42"/>
  <c r="G1932" i="42"/>
  <c r="G1937" i="42"/>
  <c r="G1945" i="42"/>
  <c r="G1944" i="42"/>
  <c r="G1943" i="42"/>
  <c r="G1942" i="42"/>
  <c r="G1941" i="42"/>
  <c r="G1940" i="42"/>
  <c r="G1939" i="42"/>
  <c r="G1938" i="42"/>
  <c r="G1946" i="42"/>
  <c r="G1956" i="42"/>
  <c r="G1955" i="42"/>
  <c r="G1954" i="42"/>
  <c r="G1953" i="42"/>
  <c r="G1952" i="42"/>
  <c r="G1951" i="42"/>
  <c r="G1950" i="42"/>
  <c r="G1949" i="42"/>
  <c r="G1948" i="42"/>
  <c r="G1947" i="42"/>
  <c r="G1991" i="42"/>
  <c r="G1990" i="42"/>
  <c r="G1989" i="42"/>
  <c r="G1988" i="42"/>
  <c r="G1987" i="42"/>
  <c r="G1986" i="42"/>
  <c r="G1985" i="42"/>
  <c r="G1984" i="42"/>
  <c r="G1983" i="42"/>
  <c r="G1982" i="42"/>
  <c r="G1981" i="42"/>
  <c r="G1980" i="42"/>
  <c r="G1979" i="42"/>
  <c r="G1978" i="42"/>
  <c r="G1977" i="42"/>
  <c r="G1976" i="42"/>
  <c r="G1975" i="42"/>
  <c r="G1974" i="42"/>
  <c r="G1973" i="42"/>
  <c r="G1972" i="42"/>
  <c r="G1971" i="42"/>
  <c r="G1970" i="42"/>
  <c r="G1969" i="42"/>
  <c r="G1968" i="42"/>
  <c r="G1967" i="42"/>
  <c r="G1966" i="42"/>
  <c r="G1965" i="42"/>
  <c r="G1964" i="42"/>
  <c r="G1963" i="42"/>
  <c r="G1962" i="42"/>
  <c r="G1961" i="42"/>
  <c r="G1960" i="42"/>
  <c r="G1959" i="42"/>
  <c r="G1958" i="42"/>
  <c r="G1957" i="42"/>
  <c r="G1992" i="42"/>
  <c r="G1998" i="42"/>
  <c r="G1997" i="42"/>
  <c r="G1996" i="42"/>
  <c r="G1995" i="42"/>
  <c r="G1994" i="42"/>
  <c r="G1993" i="42"/>
  <c r="G1999" i="42"/>
  <c r="G2000" i="42"/>
  <c r="G2001" i="42"/>
  <c r="G2012" i="42"/>
  <c r="G2011" i="42"/>
  <c r="G2010" i="42"/>
  <c r="G2009" i="42"/>
  <c r="G2008" i="42"/>
  <c r="G2007" i="42"/>
  <c r="G2006" i="42"/>
  <c r="G2005" i="42"/>
  <c r="G2004" i="42"/>
  <c r="G2003" i="42"/>
  <c r="G2002" i="42"/>
  <c r="G2013" i="42"/>
  <c r="G2014" i="42"/>
  <c r="G2026" i="42"/>
  <c r="G2025" i="42"/>
  <c r="G2024" i="42"/>
  <c r="G2023" i="42"/>
  <c r="G2022" i="42"/>
  <c r="G2021" i="42"/>
  <c r="G2020" i="42"/>
  <c r="G2019" i="42"/>
  <c r="G2018" i="42"/>
  <c r="G2017" i="42"/>
  <c r="G2016" i="42"/>
  <c r="G2015" i="42"/>
  <c r="G2027" i="42"/>
  <c r="G2028" i="42"/>
  <c r="G2029" i="42"/>
  <c r="G2034" i="42"/>
  <c r="G2033" i="42"/>
  <c r="G2032" i="42"/>
  <c r="G2031" i="42"/>
  <c r="G2030" i="42"/>
  <c r="G2040" i="42"/>
  <c r="G2039" i="42"/>
  <c r="G2038" i="42"/>
  <c r="G2037" i="42"/>
  <c r="G2036" i="42"/>
  <c r="G2035" i="42"/>
  <c r="G2059" i="42"/>
  <c r="G2058" i="42"/>
  <c r="G2057" i="42"/>
  <c r="G2056" i="42"/>
  <c r="G2055" i="42"/>
  <c r="G2054" i="42"/>
  <c r="G2053" i="42"/>
  <c r="G2052" i="42"/>
  <c r="G2051" i="42"/>
  <c r="G2050" i="42"/>
  <c r="G2049" i="42"/>
  <c r="G2048" i="42"/>
  <c r="G2047" i="42"/>
  <c r="G2046" i="42"/>
  <c r="G2045" i="42"/>
  <c r="G2044" i="42"/>
  <c r="G2043" i="42"/>
  <c r="G2042" i="42"/>
  <c r="G2041" i="42"/>
  <c r="G2065" i="42"/>
  <c r="G2064" i="42"/>
  <c r="G2063" i="42"/>
  <c r="G2062" i="42"/>
  <c r="G2061" i="42"/>
  <c r="G2060" i="42"/>
  <c r="G2070" i="42"/>
  <c r="G2069" i="42"/>
  <c r="G2068" i="42"/>
  <c r="G2067" i="42"/>
  <c r="G2066" i="42"/>
  <c r="G2071" i="42"/>
  <c r="G2076" i="42"/>
  <c r="G2075" i="42"/>
  <c r="G2074" i="42"/>
  <c r="G2073" i="42"/>
  <c r="G2072" i="42"/>
  <c r="G2083" i="42"/>
  <c r="G2082" i="42"/>
  <c r="G2081" i="42"/>
  <c r="G2080" i="42"/>
  <c r="G2079" i="42"/>
  <c r="G2078" i="42"/>
  <c r="G2077" i="42"/>
  <c r="G2088" i="42"/>
  <c r="G2087" i="42"/>
  <c r="G2086" i="42"/>
  <c r="G2085" i="42"/>
  <c r="G2084" i="42"/>
  <c r="G2093" i="42"/>
  <c r="G2092" i="42"/>
  <c r="G2091" i="42"/>
  <c r="G2090" i="42"/>
  <c r="G2089" i="42"/>
  <c r="G2098" i="42"/>
  <c r="G2097" i="42"/>
  <c r="G2096" i="42"/>
  <c r="G2095" i="42"/>
  <c r="G2094" i="42"/>
  <c r="G2134" i="42"/>
  <c r="G2133" i="42"/>
  <c r="G2132" i="42"/>
  <c r="G2131" i="42"/>
  <c r="G2130" i="42"/>
  <c r="G2129" i="42"/>
  <c r="G2128" i="42"/>
  <c r="G2127" i="42"/>
  <c r="G2126" i="42"/>
  <c r="G2125" i="42"/>
  <c r="G2124" i="42"/>
  <c r="G2123" i="42"/>
  <c r="G2122" i="42"/>
  <c r="G2121" i="42"/>
  <c r="G2120" i="42"/>
  <c r="G2119" i="42"/>
  <c r="G2118" i="42"/>
  <c r="G2117" i="42"/>
  <c r="G2116" i="42"/>
  <c r="G2115" i="42"/>
  <c r="G2114" i="42"/>
  <c r="G2113" i="42"/>
  <c r="G2112" i="42"/>
  <c r="G2111" i="42"/>
  <c r="G2110" i="42"/>
  <c r="G2109" i="42"/>
  <c r="G2108" i="42"/>
  <c r="G2107" i="42"/>
  <c r="G2106" i="42"/>
  <c r="G2105" i="42"/>
  <c r="G2104" i="42"/>
  <c r="G2103" i="42"/>
  <c r="G2102" i="42"/>
  <c r="G2101" i="42"/>
  <c r="G2100" i="42"/>
  <c r="G2099" i="42"/>
  <c r="G2144" i="42"/>
  <c r="G2143" i="42"/>
  <c r="G2142" i="42"/>
  <c r="G2141" i="42"/>
  <c r="G2140" i="42"/>
  <c r="G2139" i="42"/>
  <c r="G2138" i="42"/>
  <c r="G2137" i="42"/>
  <c r="G2136" i="42"/>
  <c r="G2135" i="42"/>
  <c r="G2157" i="42"/>
  <c r="G2156" i="42"/>
  <c r="G2155" i="42"/>
  <c r="G2154" i="42"/>
  <c r="G2153" i="42"/>
  <c r="G2152" i="42"/>
  <c r="G2151" i="42"/>
  <c r="G2150" i="42"/>
  <c r="G2149" i="42"/>
  <c r="G2148" i="42"/>
  <c r="G2147" i="42"/>
  <c r="G2146" i="42"/>
  <c r="G2145" i="42"/>
  <c r="G2167" i="42"/>
  <c r="G2166" i="42"/>
  <c r="G2165" i="42"/>
  <c r="G2164" i="42"/>
  <c r="G2163" i="42"/>
  <c r="G2162" i="42"/>
  <c r="G2161" i="42"/>
  <c r="G2160" i="42"/>
  <c r="G2159" i="42"/>
  <c r="G2158" i="42"/>
  <c r="G2180" i="42"/>
  <c r="G2179" i="42"/>
  <c r="G2178" i="42"/>
  <c r="G2177" i="42"/>
  <c r="G2176" i="42"/>
  <c r="G2175" i="42"/>
  <c r="G2174" i="42"/>
  <c r="G2173" i="42"/>
  <c r="G2172" i="42"/>
  <c r="G2171" i="42"/>
  <c r="G2170" i="42"/>
  <c r="G2169" i="42"/>
  <c r="G2168" i="42"/>
  <c r="G2187" i="42"/>
  <c r="G2186" i="42"/>
  <c r="G2185" i="42"/>
  <c r="G2184" i="42"/>
  <c r="G2183" i="42"/>
  <c r="G2182" i="42"/>
  <c r="G2181" i="42"/>
  <c r="G2188" i="42"/>
  <c r="G2189" i="42"/>
  <c r="G2190" i="42"/>
  <c r="G2200" i="42"/>
  <c r="G2199" i="42"/>
  <c r="G2198" i="42"/>
  <c r="G2197" i="42"/>
  <c r="G2196" i="42"/>
  <c r="G2195" i="42"/>
  <c r="G2194" i="42"/>
  <c r="G2193" i="42"/>
  <c r="G2192" i="42"/>
  <c r="G2191" i="42"/>
  <c r="G2207" i="42"/>
  <c r="G2206" i="42"/>
  <c r="G2205" i="42"/>
  <c r="G2204" i="42"/>
  <c r="G2203" i="42"/>
  <c r="G2202" i="42"/>
  <c r="G2201" i="42"/>
  <c r="G2211" i="42"/>
  <c r="G2210" i="42"/>
  <c r="G2209" i="42"/>
  <c r="G2208" i="42"/>
  <c r="G2218" i="42"/>
  <c r="G2217" i="42"/>
  <c r="G2216" i="42"/>
  <c r="G2215" i="42"/>
  <c r="G2214" i="42"/>
  <c r="G2213" i="42"/>
  <c r="G2212" i="42"/>
  <c r="G2223" i="42"/>
  <c r="G2222" i="42"/>
  <c r="G2221" i="42"/>
  <c r="G2220" i="42"/>
  <c r="G2219" i="42"/>
  <c r="G2233" i="42"/>
  <c r="G2232" i="42"/>
  <c r="G2231" i="42"/>
  <c r="G2230" i="42"/>
  <c r="G2229" i="42"/>
  <c r="G2228" i="42"/>
  <c r="G2227" i="42"/>
  <c r="G2226" i="42"/>
  <c r="G2225" i="42"/>
  <c r="G2224" i="42"/>
  <c r="G2239" i="42"/>
  <c r="G2238" i="42"/>
  <c r="G2237" i="42"/>
  <c r="G2236" i="42"/>
  <c r="G2235" i="42"/>
  <c r="G2234" i="42"/>
  <c r="G2244" i="42"/>
  <c r="G2243" i="42"/>
  <c r="G2242" i="42"/>
  <c r="G2241" i="42"/>
  <c r="G2240" i="42"/>
  <c r="G2255" i="42"/>
  <c r="G2254" i="42"/>
  <c r="G2253" i="42"/>
  <c r="G2252" i="42"/>
  <c r="G2251" i="42"/>
  <c r="G2250" i="42"/>
  <c r="G2249" i="42"/>
  <c r="G2248" i="42"/>
  <c r="G2247" i="42"/>
  <c r="G2246" i="42"/>
  <c r="G2245" i="42"/>
  <c r="G2265" i="42"/>
  <c r="G2264" i="42"/>
  <c r="G2263" i="42"/>
  <c r="G2262" i="42"/>
  <c r="G2261" i="42"/>
  <c r="G2260" i="42"/>
  <c r="G2259" i="42"/>
  <c r="G2258" i="42"/>
  <c r="G2257" i="42"/>
  <c r="G2256" i="42"/>
  <c r="G2271" i="42"/>
  <c r="G2270" i="42"/>
  <c r="G2269" i="42"/>
  <c r="G2268" i="42"/>
  <c r="G2267" i="42"/>
  <c r="G2266" i="42"/>
  <c r="G2276" i="42"/>
  <c r="G2275" i="42"/>
  <c r="G2274" i="42"/>
  <c r="G2273" i="42"/>
  <c r="G2272" i="42"/>
  <c r="G2282" i="42"/>
  <c r="G2281" i="42"/>
  <c r="G2280" i="42"/>
  <c r="G2279" i="42"/>
  <c r="G2278" i="42"/>
  <c r="G2277" i="42"/>
  <c r="G2287" i="42"/>
  <c r="G2286" i="42"/>
  <c r="G2285" i="42"/>
  <c r="G2284" i="42"/>
  <c r="G2283" i="42"/>
  <c r="G2289" i="42"/>
  <c r="G2288" i="42"/>
  <c r="G2291" i="42"/>
  <c r="G2290" i="42"/>
  <c r="G2299" i="42"/>
  <c r="G2298" i="42"/>
  <c r="G2297" i="42"/>
  <c r="G2296" i="42"/>
  <c r="G2295" i="42"/>
  <c r="G2294" i="42"/>
  <c r="G2293" i="42"/>
  <c r="G2292" i="42"/>
  <c r="G2304" i="42"/>
  <c r="G2303" i="42"/>
  <c r="G2302" i="42"/>
  <c r="G2301" i="42"/>
  <c r="G2300" i="42"/>
  <c r="G2311" i="42"/>
  <c r="G2310" i="42"/>
  <c r="G2309" i="42"/>
  <c r="G2308" i="42"/>
  <c r="G2307" i="42"/>
  <c r="G2306" i="42"/>
  <c r="G2305" i="42"/>
  <c r="G2317" i="42"/>
  <c r="G2316" i="42"/>
  <c r="G2315" i="42"/>
  <c r="G2314" i="42"/>
  <c r="G2313" i="42"/>
  <c r="G2312" i="42"/>
  <c r="G2326" i="42"/>
  <c r="G2325" i="42"/>
  <c r="G2324" i="42"/>
  <c r="G2323" i="42"/>
  <c r="G2322" i="42"/>
  <c r="G2321" i="42"/>
  <c r="G2320" i="42"/>
  <c r="G2319" i="42"/>
  <c r="G2318" i="42"/>
  <c r="G2350" i="42"/>
  <c r="G2349" i="42"/>
  <c r="G2348" i="42"/>
  <c r="G2347" i="42"/>
  <c r="G2346" i="42"/>
  <c r="G2345" i="42"/>
  <c r="G2344" i="42"/>
  <c r="G2343" i="42"/>
  <c r="G2342" i="42"/>
  <c r="G2341" i="42"/>
  <c r="G2340" i="42"/>
  <c r="G2339" i="42"/>
  <c r="G2338" i="42"/>
  <c r="G2358" i="42"/>
  <c r="G2357" i="42"/>
  <c r="G2356" i="42"/>
  <c r="G2355" i="42"/>
  <c r="G2354" i="42"/>
  <c r="G2353" i="42"/>
  <c r="G2352" i="42"/>
  <c r="G2351" i="42"/>
  <c r="G2368" i="42"/>
  <c r="G2367" i="42"/>
  <c r="G2366" i="42"/>
  <c r="G2365" i="42"/>
  <c r="G2364" i="42"/>
  <c r="G2363" i="42"/>
  <c r="G2362" i="42"/>
  <c r="G2361" i="42"/>
  <c r="G2360" i="42"/>
  <c r="G2359" i="42"/>
  <c r="G2384" i="42"/>
  <c r="G2383" i="42"/>
  <c r="G2382" i="42"/>
  <c r="G2381" i="42"/>
  <c r="G2380" i="42"/>
  <c r="G2379" i="42"/>
  <c r="G2378" i="42"/>
  <c r="G2377" i="42"/>
  <c r="G2376" i="42"/>
  <c r="G2375" i="42"/>
  <c r="G2374" i="42"/>
  <c r="G2373" i="42"/>
  <c r="G2372" i="42"/>
  <c r="G2371" i="42"/>
  <c r="G2370" i="42"/>
  <c r="G2369" i="42"/>
  <c r="AS4" i="41"/>
  <c r="AT4" i="41"/>
  <c r="AU4" i="41"/>
  <c r="AY4" i="41"/>
  <c r="AZ4" i="41"/>
  <c r="AS5" i="41"/>
  <c r="AT5" i="41"/>
  <c r="AU5" i="41"/>
  <c r="AY5" i="41"/>
  <c r="AZ5" i="41"/>
  <c r="AS7" i="41"/>
  <c r="AT7" i="41"/>
  <c r="AU7" i="41"/>
  <c r="AY7" i="41"/>
  <c r="AZ7" i="41"/>
  <c r="AS8" i="41"/>
  <c r="AT8" i="41"/>
  <c r="AU8" i="41"/>
  <c r="AY8" i="41"/>
  <c r="AZ8" i="41"/>
  <c r="AS9" i="41"/>
  <c r="AT9" i="41"/>
  <c r="AU9" i="41"/>
  <c r="AY9" i="41"/>
  <c r="AZ9" i="41"/>
  <c r="AS10" i="41"/>
  <c r="AT10" i="41"/>
  <c r="AU10" i="41"/>
  <c r="AY10" i="41"/>
  <c r="AZ10" i="41"/>
  <c r="AS11" i="41"/>
  <c r="AT11" i="41"/>
  <c r="AU11" i="41"/>
  <c r="AV11" i="41"/>
  <c r="AW11" i="41"/>
  <c r="AX11" i="41"/>
  <c r="AY11" i="41"/>
  <c r="AZ11" i="41"/>
  <c r="AS12" i="41"/>
  <c r="AT12" i="41"/>
  <c r="AU12" i="41"/>
  <c r="AV12" i="41"/>
  <c r="AW12" i="41"/>
  <c r="AX12" i="41"/>
  <c r="AY12" i="41"/>
  <c r="AZ12" i="41"/>
  <c r="AS13" i="41"/>
  <c r="AT13" i="41"/>
  <c r="AU13" i="41"/>
  <c r="AV13" i="41"/>
  <c r="AW13" i="41"/>
  <c r="AX13" i="41"/>
  <c r="AY13" i="41"/>
  <c r="AZ13" i="41"/>
  <c r="AS14" i="41"/>
  <c r="AT14" i="41"/>
  <c r="AU14" i="41"/>
  <c r="AV14" i="41"/>
  <c r="AW14" i="41"/>
  <c r="AX14" i="41"/>
  <c r="AY14" i="41"/>
  <c r="AZ14" i="41"/>
  <c r="AS15" i="41"/>
  <c r="AT15" i="41"/>
  <c r="AU15" i="41"/>
  <c r="AV15" i="41"/>
  <c r="AW15" i="41"/>
  <c r="AX15" i="41"/>
  <c r="AY15" i="41"/>
  <c r="AZ15" i="41"/>
  <c r="AS16" i="41"/>
  <c r="AT16" i="41"/>
  <c r="AU16" i="41"/>
  <c r="AV16" i="41"/>
  <c r="AW16" i="41"/>
  <c r="AX16" i="41"/>
  <c r="AY16" i="41"/>
  <c r="AZ16" i="41"/>
  <c r="AS17" i="41"/>
  <c r="AT17" i="41"/>
  <c r="AU17" i="41"/>
  <c r="AV17" i="41"/>
  <c r="AW17" i="41"/>
  <c r="AX17" i="41"/>
  <c r="AY17" i="41"/>
  <c r="AZ17" i="41"/>
  <c r="AS18" i="41"/>
  <c r="AT18" i="41"/>
  <c r="AU18" i="41"/>
  <c r="AV18" i="41"/>
  <c r="AW18" i="41"/>
  <c r="AX18" i="41"/>
  <c r="AY18" i="41"/>
  <c r="AZ18" i="41"/>
  <c r="AS19" i="41"/>
  <c r="AT19" i="41"/>
  <c r="AU19" i="41"/>
  <c r="AV19" i="41"/>
  <c r="AW19" i="41"/>
  <c r="AX19" i="41"/>
  <c r="AY19" i="41"/>
  <c r="AZ19" i="41"/>
  <c r="AS20" i="41"/>
  <c r="AT20" i="41"/>
  <c r="AU20" i="41"/>
  <c r="AV20" i="41"/>
  <c r="AW20" i="41"/>
  <c r="AX20" i="41"/>
  <c r="AY20" i="41"/>
  <c r="AZ20" i="41"/>
  <c r="AS21" i="41"/>
  <c r="AT21" i="41"/>
  <c r="AU21" i="41"/>
  <c r="AV21" i="41"/>
  <c r="AW21" i="41"/>
  <c r="AX21" i="41"/>
  <c r="AY21" i="41"/>
  <c r="AZ21" i="41"/>
  <c r="AS22" i="41"/>
  <c r="AT22" i="41"/>
  <c r="AU22" i="41"/>
  <c r="AV22" i="41"/>
  <c r="AW22" i="41"/>
  <c r="AX22" i="41"/>
  <c r="AY22" i="41"/>
  <c r="AZ22" i="41"/>
  <c r="AS3" i="41"/>
  <c r="AT3" i="41"/>
  <c r="AU3" i="41"/>
  <c r="AY3" i="41"/>
  <c r="AZ3" i="41"/>
  <c r="AA12" i="41" l="1"/>
  <c r="AA13" i="41"/>
  <c r="AA14" i="41"/>
  <c r="L14" i="41"/>
  <c r="L15" i="41"/>
  <c r="L16" i="41"/>
  <c r="L17" i="41"/>
  <c r="L18" i="41"/>
  <c r="L19" i="41"/>
  <c r="L20" i="41"/>
  <c r="L21" i="41"/>
  <c r="L22" i="41"/>
  <c r="AQ6" i="41" l="1"/>
  <c r="Z22" i="41"/>
  <c r="AB22" i="41"/>
  <c r="Z18" i="41"/>
  <c r="AB18" i="41"/>
  <c r="Z17" i="41"/>
  <c r="V17" i="41" s="1"/>
  <c r="AB17" i="41"/>
  <c r="Z20" i="41"/>
  <c r="AB20" i="41"/>
  <c r="Z21" i="41"/>
  <c r="AB21" i="41"/>
  <c r="Z19" i="41"/>
  <c r="AB19" i="41"/>
  <c r="V13" i="41"/>
  <c r="AB13" i="41"/>
  <c r="Z16" i="41"/>
  <c r="V16" i="41" s="1"/>
  <c r="AB16" i="41"/>
  <c r="AB12" i="41"/>
  <c r="Z15" i="41"/>
  <c r="V15" i="41" s="1"/>
  <c r="AB15" i="41"/>
  <c r="Y15" i="41" s="1"/>
  <c r="Z14" i="41"/>
  <c r="V14" i="41" s="1"/>
  <c r="AB14" i="41"/>
  <c r="F89" i="1"/>
  <c r="F203" i="1"/>
  <c r="N1" i="1"/>
  <c r="R107" i="1"/>
  <c r="G1" i="1"/>
  <c r="T152" i="1"/>
  <c r="K203" i="1"/>
  <c r="E203" i="1"/>
  <c r="M4" i="1"/>
  <c r="I89" i="1"/>
  <c r="T128" i="1"/>
  <c r="R89" i="1"/>
  <c r="P58" i="1"/>
  <c r="R58" i="1"/>
  <c r="S219" i="1"/>
  <c r="J180" i="1"/>
  <c r="F107" i="1"/>
  <c r="U89" i="1"/>
  <c r="N58" i="1"/>
  <c r="O58" i="1"/>
  <c r="R152" i="1"/>
  <c r="P180" i="1"/>
  <c r="D89" i="1"/>
  <c r="L219" i="1"/>
  <c r="N107" i="1"/>
  <c r="Q203" i="1"/>
  <c r="K4" i="1"/>
  <c r="Q89" i="1"/>
  <c r="U219" i="1"/>
  <c r="H219" i="1"/>
  <c r="G89" i="1"/>
  <c r="D128" i="1"/>
  <c r="Q4" i="1"/>
  <c r="V107" i="1"/>
  <c r="C203" i="1"/>
  <c r="U4" i="1"/>
  <c r="J58" i="1"/>
  <c r="T180" i="1"/>
  <c r="U152" i="1"/>
  <c r="R4" i="1"/>
  <c r="D219" i="1"/>
  <c r="H107" i="1"/>
  <c r="N89" i="1"/>
  <c r="V128" i="1"/>
  <c r="G203" i="1"/>
  <c r="O219" i="1"/>
  <c r="E107" i="1"/>
  <c r="V180" i="1"/>
  <c r="C1" i="1"/>
  <c r="I180" i="1"/>
  <c r="N38" i="1"/>
  <c r="U1" i="1"/>
  <c r="C38" i="1"/>
  <c r="T11" i="1"/>
  <c r="S11" i="1"/>
  <c r="F38" i="1"/>
  <c r="R11" i="1"/>
  <c r="J38" i="1"/>
  <c r="G38" i="1"/>
  <c r="K72" i="1"/>
  <c r="I38" i="1"/>
  <c r="H11" i="1"/>
  <c r="M72" i="1"/>
  <c r="Q11" i="1"/>
  <c r="D38" i="1"/>
  <c r="R203" i="1"/>
  <c r="J203" i="1"/>
  <c r="L180" i="1"/>
  <c r="G4" i="1"/>
  <c r="D58" i="1"/>
  <c r="N128" i="1"/>
  <c r="O128" i="1"/>
  <c r="N152" i="1"/>
  <c r="T4" i="1"/>
  <c r="J219" i="1"/>
  <c r="O203" i="1"/>
  <c r="M1" i="1"/>
  <c r="F152" i="1"/>
  <c r="F1" i="1"/>
  <c r="P38" i="1"/>
  <c r="G180" i="1"/>
  <c r="M38" i="1"/>
  <c r="V152" i="1"/>
  <c r="E1" i="1"/>
  <c r="R180" i="1"/>
  <c r="U11" i="1"/>
  <c r="N11" i="1"/>
  <c r="S72" i="1"/>
  <c r="S152" i="1"/>
  <c r="F180" i="1"/>
  <c r="G107" i="1"/>
  <c r="D1" i="1"/>
  <c r="T1" i="1"/>
  <c r="C89" i="1"/>
  <c r="Q219" i="1"/>
  <c r="C219" i="1"/>
  <c r="S128" i="1"/>
  <c r="K180" i="1"/>
  <c r="T38" i="1"/>
  <c r="Q38" i="1"/>
  <c r="I152" i="1"/>
  <c r="O89" i="1"/>
  <c r="O4" i="1"/>
  <c r="C4" i="1"/>
  <c r="K107" i="1"/>
  <c r="Q152" i="1"/>
  <c r="I107" i="1"/>
  <c r="D203" i="1"/>
  <c r="F219" i="1"/>
  <c r="F58" i="1"/>
  <c r="K1" i="1"/>
  <c r="I203" i="1"/>
  <c r="H1" i="1"/>
  <c r="J89" i="1"/>
  <c r="K219" i="1"/>
  <c r="V203" i="1"/>
  <c r="K152" i="1"/>
  <c r="K58" i="1"/>
  <c r="L203" i="1"/>
  <c r="S4" i="1"/>
  <c r="H152" i="1"/>
  <c r="M152" i="1"/>
  <c r="R219" i="1"/>
  <c r="O107" i="1"/>
  <c r="F4" i="1"/>
  <c r="Q107" i="1"/>
  <c r="D180" i="1"/>
  <c r="I219" i="1"/>
  <c r="E89" i="1"/>
  <c r="D107" i="1"/>
  <c r="Q1" i="1"/>
  <c r="E58" i="1"/>
  <c r="O180" i="1"/>
  <c r="V58" i="1"/>
  <c r="H128" i="1"/>
  <c r="T219" i="1"/>
  <c r="H58" i="1"/>
  <c r="P4" i="1"/>
  <c r="U38" i="1"/>
  <c r="L128" i="1"/>
  <c r="I11" i="1"/>
  <c r="H72" i="1"/>
  <c r="M11" i="1"/>
  <c r="I72" i="1"/>
  <c r="P11" i="1"/>
  <c r="G11" i="1"/>
  <c r="P72" i="1"/>
  <c r="O72" i="1"/>
  <c r="L11" i="1"/>
  <c r="G72" i="1"/>
  <c r="L89" i="1"/>
  <c r="T58" i="1"/>
  <c r="E152" i="1"/>
  <c r="G58" i="1"/>
  <c r="P203" i="1"/>
  <c r="M203" i="1"/>
  <c r="L152" i="1"/>
  <c r="P107" i="1"/>
  <c r="I58" i="1"/>
  <c r="D4" i="1"/>
  <c r="K89" i="1"/>
  <c r="S1" i="1"/>
  <c r="S180" i="1"/>
  <c r="J4" i="1"/>
  <c r="C128" i="1"/>
  <c r="M128" i="1"/>
  <c r="N219" i="1"/>
  <c r="T72" i="1"/>
  <c r="E38" i="1"/>
  <c r="L72" i="1"/>
  <c r="C107" i="1"/>
  <c r="U128" i="1"/>
  <c r="U203" i="1"/>
  <c r="M107" i="1"/>
  <c r="K38" i="1"/>
  <c r="U58" i="1"/>
  <c r="L58" i="1"/>
  <c r="V219" i="1"/>
  <c r="M219" i="1"/>
  <c r="T89" i="1"/>
  <c r="E180" i="1"/>
  <c r="O152" i="1"/>
  <c r="H180" i="1"/>
  <c r="J152" i="1"/>
  <c r="R38" i="1"/>
  <c r="H203" i="1"/>
  <c r="P152" i="1"/>
  <c r="I1" i="1"/>
  <c r="L107" i="1"/>
  <c r="S107" i="1"/>
  <c r="P219" i="1"/>
  <c r="G128" i="1"/>
  <c r="M89" i="1"/>
  <c r="L4" i="1"/>
  <c r="E219" i="1"/>
  <c r="C180" i="1"/>
  <c r="N180" i="1"/>
  <c r="L38" i="1"/>
  <c r="Q180" i="1"/>
  <c r="N4" i="1"/>
  <c r="S203" i="1"/>
  <c r="I4" i="1"/>
  <c r="E128" i="1"/>
  <c r="O38" i="1"/>
  <c r="P128" i="1"/>
  <c r="R1" i="1"/>
  <c r="O1" i="1"/>
  <c r="K128" i="1"/>
  <c r="E4" i="1"/>
  <c r="T203" i="1"/>
  <c r="M58" i="1"/>
  <c r="U107" i="1"/>
  <c r="V4" i="1"/>
  <c r="H4" i="1"/>
  <c r="G152" i="1"/>
  <c r="V89" i="1"/>
  <c r="D152" i="1"/>
  <c r="I128" i="1"/>
  <c r="M180" i="1"/>
  <c r="C58" i="1"/>
  <c r="N203" i="1"/>
  <c r="S89" i="1"/>
  <c r="Q58" i="1"/>
  <c r="R72" i="1"/>
  <c r="O11" i="1"/>
  <c r="J72" i="1"/>
  <c r="J11" i="1"/>
  <c r="K11" i="1"/>
  <c r="R128" i="1"/>
  <c r="P1" i="1"/>
  <c r="L1" i="1"/>
  <c r="H89" i="1"/>
  <c r="G219" i="1"/>
  <c r="T107" i="1"/>
  <c r="U180" i="1"/>
  <c r="P89" i="1"/>
  <c r="J107" i="1"/>
  <c r="S58" i="1"/>
  <c r="S38" i="1"/>
  <c r="Q128" i="1"/>
  <c r="J128" i="1"/>
  <c r="J1" i="1"/>
  <c r="F128" i="1"/>
  <c r="U72" i="1"/>
  <c r="Q72" i="1"/>
  <c r="N72" i="1"/>
  <c r="C152" i="1"/>
  <c r="Y13" i="41" l="1"/>
  <c r="W13" i="41"/>
  <c r="Y14" i="41"/>
  <c r="W14" i="41"/>
  <c r="Y12" i="41"/>
  <c r="W12" i="41"/>
  <c r="AP6" i="41"/>
  <c r="AR6" i="41"/>
  <c r="Y17" i="41"/>
  <c r="W17" i="41"/>
  <c r="V21" i="41"/>
  <c r="V22" i="41"/>
  <c r="Y19" i="41"/>
  <c r="W19" i="41"/>
  <c r="Y20" i="41"/>
  <c r="W20" i="41"/>
  <c r="Y18" i="41"/>
  <c r="W18" i="41"/>
  <c r="V19" i="41"/>
  <c r="V20" i="41"/>
  <c r="V18" i="41"/>
  <c r="Y21" i="41"/>
  <c r="W21" i="41"/>
  <c r="Y22" i="41"/>
  <c r="W22" i="41"/>
  <c r="AA23" i="41"/>
  <c r="W16" i="41"/>
  <c r="Y16" i="41"/>
  <c r="W15" i="41"/>
  <c r="AN21" i="41"/>
  <c r="AN18" i="41"/>
  <c r="AN15" i="41"/>
  <c r="AN20" i="41"/>
  <c r="AN17" i="41"/>
  <c r="AN16" i="41"/>
  <c r="AN14" i="41"/>
  <c r="AN22" i="41"/>
  <c r="AN13" i="41"/>
  <c r="AN12" i="41"/>
  <c r="AN19" i="41"/>
  <c r="AN11" i="41"/>
  <c r="E72" i="1"/>
  <c r="J5" i="1"/>
  <c r="I5" i="1"/>
  <c r="K3" i="1"/>
  <c r="I3" i="1"/>
  <c r="E11" i="1"/>
  <c r="G2" i="1"/>
  <c r="D3" i="1"/>
  <c r="M5" i="1"/>
  <c r="N5" i="1"/>
  <c r="R2" i="1"/>
  <c r="L3" i="1"/>
  <c r="J2" i="1"/>
  <c r="S5" i="1"/>
  <c r="P3" i="1"/>
  <c r="U2" i="1"/>
  <c r="T5" i="1"/>
  <c r="C11" i="1"/>
  <c r="S2" i="1"/>
  <c r="K5" i="1"/>
  <c r="G5" i="1"/>
  <c r="R5" i="1"/>
  <c r="M3" i="1"/>
  <c r="K2" i="1"/>
  <c r="F11" i="1"/>
  <c r="Q2" i="1"/>
  <c r="F72" i="1"/>
  <c r="H2" i="1"/>
  <c r="L5" i="1"/>
  <c r="S3" i="1"/>
  <c r="C72" i="1"/>
  <c r="M2" i="1"/>
  <c r="R3" i="1"/>
  <c r="N2" i="1"/>
  <c r="T3" i="1"/>
  <c r="L2" i="1"/>
  <c r="I2" i="1"/>
  <c r="O5" i="1"/>
  <c r="P2" i="1"/>
  <c r="O3" i="1"/>
  <c r="Q3" i="1"/>
  <c r="Q5" i="1"/>
  <c r="U3" i="1"/>
  <c r="G3" i="1"/>
  <c r="D72" i="1"/>
  <c r="O2" i="1"/>
  <c r="D11" i="1"/>
  <c r="P5" i="1"/>
  <c r="U5" i="1"/>
  <c r="V38" i="1"/>
  <c r="N3" i="1"/>
  <c r="J3" i="1"/>
  <c r="T2" i="1"/>
  <c r="AL6" i="41" l="1"/>
  <c r="AM6" i="41"/>
  <c r="AO6" i="41"/>
  <c r="AP21" i="41"/>
  <c r="AP5" i="41"/>
  <c r="AR3" i="41"/>
  <c r="AR12" i="41"/>
  <c r="BB19" i="41"/>
  <c r="BE19" i="41"/>
  <c r="BB22" i="41"/>
  <c r="BE17" i="41"/>
  <c r="BB17" i="41"/>
  <c r="BE21" i="41"/>
  <c r="BB21" i="41"/>
  <c r="BE18" i="41"/>
  <c r="BB18" i="41"/>
  <c r="BB20" i="41"/>
  <c r="BE20" i="41"/>
  <c r="AP22" i="41"/>
  <c r="AP16" i="41"/>
  <c r="AP13" i="41"/>
  <c r="AP4" i="41"/>
  <c r="AR8" i="41"/>
  <c r="AR19" i="41"/>
  <c r="AR15" i="41"/>
  <c r="AR16" i="41"/>
  <c r="AR9" i="41"/>
  <c r="Z23" i="41"/>
  <c r="AR11" i="41"/>
  <c r="AR20" i="41"/>
  <c r="AP12" i="41"/>
  <c r="AP18" i="41"/>
  <c r="AR4" i="41"/>
  <c r="AR14" i="41"/>
  <c r="AR17" i="41"/>
  <c r="AP10" i="41"/>
  <c r="AP7" i="41"/>
  <c r="AP19" i="41"/>
  <c r="AP14" i="41"/>
  <c r="AR7" i="41"/>
  <c r="AP9" i="41"/>
  <c r="AR10" i="41"/>
  <c r="AR18" i="41"/>
  <c r="AR13" i="41"/>
  <c r="AP11" i="41"/>
  <c r="AP17" i="41"/>
  <c r="AP8" i="41"/>
  <c r="AP20" i="41"/>
  <c r="AP15" i="41"/>
  <c r="AP3" i="41"/>
  <c r="AR21" i="41"/>
  <c r="AB23" i="41"/>
  <c r="AR22" i="41"/>
  <c r="AR5" i="41"/>
  <c r="BE13" i="41"/>
  <c r="BB13" i="41"/>
  <c r="BE12" i="41"/>
  <c r="BB12" i="41"/>
  <c r="BE11" i="41"/>
  <c r="BB11" i="41"/>
  <c r="BE15" i="41"/>
  <c r="BB15" i="41"/>
  <c r="BE16" i="41"/>
  <c r="BB16" i="41"/>
  <c r="BE14" i="41"/>
  <c r="BB14" i="41"/>
  <c r="BE10" i="41"/>
  <c r="BE7" i="41"/>
  <c r="BE9" i="41"/>
  <c r="BB4" i="41"/>
  <c r="BB9" i="41"/>
  <c r="BB7" i="41"/>
  <c r="BB10" i="41"/>
  <c r="D20" i="1"/>
  <c r="E20" i="1"/>
  <c r="F20" i="1"/>
  <c r="G20" i="1"/>
  <c r="H20" i="1"/>
  <c r="I20" i="1"/>
  <c r="J20" i="1"/>
  <c r="K20" i="1"/>
  <c r="L20" i="1"/>
  <c r="M20" i="1"/>
  <c r="N20" i="1"/>
  <c r="O20" i="1"/>
  <c r="P20" i="1"/>
  <c r="Q20" i="1"/>
  <c r="R20" i="1"/>
  <c r="S20" i="1"/>
  <c r="T20" i="1"/>
  <c r="U20" i="1"/>
  <c r="V20" i="1"/>
  <c r="C20" i="1"/>
  <c r="C2" i="1"/>
  <c r="C5" i="1"/>
  <c r="V72" i="1"/>
  <c r="F5" i="1"/>
  <c r="E2" i="1"/>
  <c r="F3" i="1"/>
  <c r="V11" i="1"/>
  <c r="E5" i="1"/>
  <c r="C3" i="1"/>
  <c r="D5" i="1"/>
  <c r="F2" i="1"/>
  <c r="D2" i="1"/>
  <c r="E3" i="1"/>
  <c r="BE6" i="41" l="1"/>
  <c r="AL12" i="41"/>
  <c r="AL13" i="41"/>
  <c r="AL11" i="41"/>
  <c r="AL7" i="41"/>
  <c r="AL18" i="41"/>
  <c r="AL9" i="41"/>
  <c r="AL21" i="41"/>
  <c r="AL16" i="41"/>
  <c r="AL22" i="41"/>
  <c r="AL4" i="41"/>
  <c r="BB5" i="41"/>
  <c r="AL14" i="41"/>
  <c r="AL5" i="41"/>
  <c r="AL17" i="41"/>
  <c r="AL8" i="41"/>
  <c r="AL3" i="41"/>
  <c r="AL19" i="41"/>
  <c r="AL20" i="41"/>
  <c r="AL15" i="41"/>
  <c r="AL10" i="41"/>
  <c r="BB3" i="41"/>
  <c r="BE4" i="41"/>
  <c r="BE3" i="41"/>
  <c r="BE5" i="41"/>
  <c r="V23" i="41"/>
  <c r="W78" i="1"/>
  <c r="V2" i="1"/>
  <c r="B1" i="32" l="1"/>
  <c r="I21" i="1" l="1"/>
  <c r="J21" i="1"/>
  <c r="W39" i="1" l="1"/>
  <c r="W40" i="1"/>
  <c r="W41" i="1"/>
  <c r="W42" i="1"/>
  <c r="W43" i="1"/>
  <c r="W44" i="1"/>
  <c r="W45" i="1"/>
  <c r="W46" i="1"/>
  <c r="W47" i="1"/>
  <c r="W48" i="1"/>
  <c r="I19" i="1" l="1"/>
  <c r="I22" i="1"/>
  <c r="I23" i="1"/>
  <c r="I24" i="1"/>
  <c r="I25" i="1"/>
  <c r="I26" i="1"/>
  <c r="I27" i="1"/>
  <c r="I28" i="1"/>
  <c r="J19" i="1"/>
  <c r="J22" i="1"/>
  <c r="J23" i="1"/>
  <c r="J24" i="1"/>
  <c r="J25" i="1"/>
  <c r="J26" i="1"/>
  <c r="J27" i="1"/>
  <c r="J28" i="1"/>
  <c r="J116" i="1"/>
  <c r="J117" i="1"/>
  <c r="J118" i="1"/>
  <c r="J227" i="1"/>
  <c r="J229" i="1"/>
  <c r="I116" i="1"/>
  <c r="I117" i="1"/>
  <c r="I118" i="1"/>
  <c r="G27" i="1" l="1"/>
  <c r="H226" i="1" l="1"/>
  <c r="H228" i="1"/>
  <c r="H116" i="1"/>
  <c r="H117" i="1"/>
  <c r="H118" i="1"/>
  <c r="H227" i="1"/>
  <c r="C138" i="1" l="1"/>
  <c r="D138" i="1" l="1"/>
  <c r="G226" i="1"/>
  <c r="G228" i="1"/>
  <c r="G229" i="1"/>
  <c r="F226" i="1"/>
  <c r="F227" i="1"/>
  <c r="F228" i="1"/>
  <c r="E226" i="1"/>
  <c r="E228" i="1"/>
  <c r="E116" i="1"/>
  <c r="E117" i="1"/>
  <c r="E118" i="1"/>
  <c r="G19" i="1"/>
  <c r="G21" i="1"/>
  <c r="G22" i="1"/>
  <c r="G23" i="1"/>
  <c r="G24" i="1"/>
  <c r="G25" i="1"/>
  <c r="G26" i="1"/>
  <c r="G28" i="1"/>
  <c r="C167" i="1"/>
  <c r="C226" i="1"/>
  <c r="C228" i="1"/>
  <c r="E21" i="1" l="1"/>
  <c r="C227" i="1" l="1"/>
  <c r="C229" i="1"/>
  <c r="D167" i="1" l="1"/>
  <c r="E167" i="1"/>
  <c r="F167" i="1"/>
  <c r="G167" i="1"/>
  <c r="W226" i="1" l="1"/>
  <c r="D226" i="1"/>
  <c r="I226" i="1"/>
  <c r="J226" i="1"/>
  <c r="K226" i="1"/>
  <c r="L226" i="1"/>
  <c r="M226" i="1"/>
  <c r="N226" i="1"/>
  <c r="O226" i="1"/>
  <c r="P226" i="1"/>
  <c r="Q226" i="1"/>
  <c r="R226" i="1"/>
  <c r="S226" i="1"/>
  <c r="T226" i="1"/>
  <c r="U226" i="1"/>
  <c r="V226" i="1"/>
  <c r="W227" i="1"/>
  <c r="D227" i="1"/>
  <c r="E227" i="1"/>
  <c r="G227" i="1"/>
  <c r="I227" i="1"/>
  <c r="K227" i="1"/>
  <c r="L227" i="1"/>
  <c r="M227" i="1"/>
  <c r="N227" i="1"/>
  <c r="O227" i="1"/>
  <c r="P227" i="1"/>
  <c r="P232" i="1" s="1"/>
  <c r="Q227" i="1"/>
  <c r="R227" i="1"/>
  <c r="S227" i="1"/>
  <c r="T227" i="1"/>
  <c r="U227" i="1"/>
  <c r="V227" i="1"/>
  <c r="W19" i="1"/>
  <c r="D19" i="1"/>
  <c r="E19" i="1"/>
  <c r="F19" i="1"/>
  <c r="H19" i="1"/>
  <c r="K19" i="1"/>
  <c r="L19" i="1"/>
  <c r="M19" i="1"/>
  <c r="N19" i="1"/>
  <c r="O19" i="1"/>
  <c r="P19" i="1"/>
  <c r="Q19" i="1"/>
  <c r="R19" i="1"/>
  <c r="S19" i="1"/>
  <c r="T19" i="1"/>
  <c r="U19" i="1"/>
  <c r="V19" i="1"/>
  <c r="C19" i="1"/>
  <c r="W17" i="1"/>
  <c r="W18" i="1"/>
  <c r="W229" i="1"/>
  <c r="W228" i="1"/>
  <c r="V229" i="1"/>
  <c r="U229" i="1"/>
  <c r="T229" i="1"/>
  <c r="S229" i="1"/>
  <c r="R229" i="1"/>
  <c r="Q229" i="1"/>
  <c r="P229" i="1"/>
  <c r="O229" i="1"/>
  <c r="N229" i="1"/>
  <c r="M229" i="1"/>
  <c r="L229" i="1"/>
  <c r="K229" i="1"/>
  <c r="I229" i="1"/>
  <c r="H229" i="1"/>
  <c r="F229" i="1"/>
  <c r="E229" i="1"/>
  <c r="D229" i="1"/>
  <c r="D228" i="1"/>
  <c r="I228" i="1"/>
  <c r="J228" i="1"/>
  <c r="K228" i="1"/>
  <c r="L228" i="1"/>
  <c r="M228" i="1"/>
  <c r="N228" i="1"/>
  <c r="O228" i="1"/>
  <c r="P228" i="1"/>
  <c r="Q228" i="1"/>
  <c r="R228" i="1"/>
  <c r="S228" i="1"/>
  <c r="T228" i="1"/>
  <c r="U228" i="1"/>
  <c r="V228" i="1"/>
  <c r="W162" i="1"/>
  <c r="AB93" i="1"/>
  <c r="Z93" i="1"/>
  <c r="D24" i="1"/>
  <c r="E24" i="1"/>
  <c r="F24" i="1"/>
  <c r="W13" i="1"/>
  <c r="W14" i="1"/>
  <c r="W15" i="1"/>
  <c r="W16" i="1"/>
  <c r="W20" i="1"/>
  <c r="W21" i="1"/>
  <c r="W22" i="1"/>
  <c r="W23" i="1"/>
  <c r="W24" i="1"/>
  <c r="W25" i="1"/>
  <c r="W26" i="1"/>
  <c r="W27" i="1"/>
  <c r="W28" i="1"/>
  <c r="W29" i="1"/>
  <c r="AB97" i="1"/>
  <c r="Z97" i="1"/>
  <c r="AA44" i="1"/>
  <c r="D65" i="1"/>
  <c r="H243" i="1"/>
  <c r="H239" i="1" s="1"/>
  <c r="I243" i="1"/>
  <c r="I239" i="1" s="1"/>
  <c r="J243" i="1"/>
  <c r="J239" i="1" s="1"/>
  <c r="K243" i="1"/>
  <c r="K239" i="1" s="1"/>
  <c r="L243" i="1"/>
  <c r="L239" i="1" s="1"/>
  <c r="M243" i="1"/>
  <c r="M239" i="1" s="1"/>
  <c r="N243" i="1"/>
  <c r="N239" i="1" s="1"/>
  <c r="O243" i="1"/>
  <c r="O239" i="1" s="1"/>
  <c r="P243" i="1"/>
  <c r="P239" i="1" s="1"/>
  <c r="Q243" i="1"/>
  <c r="Q239" i="1" s="1"/>
  <c r="R243" i="1"/>
  <c r="R239" i="1" s="1"/>
  <c r="S243" i="1"/>
  <c r="S239" i="1" s="1"/>
  <c r="T243" i="1"/>
  <c r="T239" i="1" s="1"/>
  <c r="U243" i="1"/>
  <c r="U239" i="1" s="1"/>
  <c r="V243" i="1"/>
  <c r="V239" i="1" s="1"/>
  <c r="H212" i="1"/>
  <c r="I212" i="1"/>
  <c r="J212" i="1"/>
  <c r="J202" i="1" s="1"/>
  <c r="K212" i="1"/>
  <c r="K202" i="1" s="1"/>
  <c r="L212" i="1"/>
  <c r="M212" i="1"/>
  <c r="N212" i="1"/>
  <c r="N202" i="1" s="1"/>
  <c r="O212" i="1"/>
  <c r="P212" i="1"/>
  <c r="Q212" i="1"/>
  <c r="Q202" i="1" s="1"/>
  <c r="R212" i="1"/>
  <c r="R202" i="1" s="1"/>
  <c r="S212" i="1"/>
  <c r="S202" i="1" s="1"/>
  <c r="T212" i="1"/>
  <c r="U212" i="1"/>
  <c r="V212" i="1"/>
  <c r="H65" i="1"/>
  <c r="H57" i="1" s="1"/>
  <c r="I65" i="1"/>
  <c r="J65" i="1"/>
  <c r="K65" i="1"/>
  <c r="K57" i="1" s="1"/>
  <c r="J23" i="32"/>
  <c r="L65" i="1"/>
  <c r="L57" i="1" s="1"/>
  <c r="M65" i="1"/>
  <c r="N65" i="1"/>
  <c r="N57" i="1" s="1"/>
  <c r="O65" i="1"/>
  <c r="O57" i="1" s="1"/>
  <c r="P65" i="1"/>
  <c r="Q65" i="1"/>
  <c r="Q57" i="1" s="1"/>
  <c r="R65" i="1"/>
  <c r="S65" i="1"/>
  <c r="T65" i="1"/>
  <c r="T57" i="1" s="1"/>
  <c r="U65" i="1"/>
  <c r="V65" i="1"/>
  <c r="V57" i="1" s="1"/>
  <c r="H51" i="1"/>
  <c r="H37" i="1" s="1"/>
  <c r="I51" i="1"/>
  <c r="J51" i="1"/>
  <c r="K51" i="1"/>
  <c r="K37" i="1" s="1"/>
  <c r="L51" i="1"/>
  <c r="M51" i="1"/>
  <c r="N51" i="1"/>
  <c r="O51" i="1"/>
  <c r="O37" i="1" s="1"/>
  <c r="P51" i="1"/>
  <c r="Q51" i="1"/>
  <c r="Q37" i="1" s="1"/>
  <c r="R51" i="1"/>
  <c r="R37" i="1" s="1"/>
  <c r="S51" i="1"/>
  <c r="S37" i="1" s="1"/>
  <c r="T51" i="1"/>
  <c r="T37" i="1" s="1"/>
  <c r="U51" i="1"/>
  <c r="V51" i="1"/>
  <c r="G243" i="1"/>
  <c r="G239" i="1" s="1"/>
  <c r="F243" i="1"/>
  <c r="F239" i="1" s="1"/>
  <c r="E243" i="1"/>
  <c r="E239" i="1" s="1"/>
  <c r="D243" i="1"/>
  <c r="D239" i="1" s="1"/>
  <c r="C243" i="1"/>
  <c r="C239" i="1" s="1"/>
  <c r="G212" i="1"/>
  <c r="F212" i="1"/>
  <c r="E212" i="1"/>
  <c r="D212" i="1"/>
  <c r="C212" i="1"/>
  <c r="G65" i="1"/>
  <c r="F65" i="1"/>
  <c r="E65" i="1"/>
  <c r="C65" i="1"/>
  <c r="G51" i="1"/>
  <c r="G37" i="1" s="1"/>
  <c r="F51" i="1"/>
  <c r="E51" i="1"/>
  <c r="D51" i="1"/>
  <c r="C51" i="1"/>
  <c r="E28" i="1"/>
  <c r="W170" i="1"/>
  <c r="D75" i="31"/>
  <c r="E82" i="31" s="1"/>
  <c r="B5" i="31"/>
  <c r="E59" i="31" s="1"/>
  <c r="B4" i="31"/>
  <c r="B4" i="34" s="1"/>
  <c r="B30" i="34" s="1"/>
  <c r="B3" i="31"/>
  <c r="E57" i="31" s="1"/>
  <c r="B2" i="31"/>
  <c r="B29" i="31" s="1"/>
  <c r="B127" i="31" s="1"/>
  <c r="AJ8" i="1"/>
  <c r="AA203" i="1" s="1"/>
  <c r="Q215" i="1" s="1"/>
  <c r="B4" i="1"/>
  <c r="X96" i="1" s="1"/>
  <c r="C87" i="31"/>
  <c r="AB143" i="1"/>
  <c r="AB142" i="1"/>
  <c r="AB141" i="1"/>
  <c r="AB140" i="1"/>
  <c r="AB139" i="1"/>
  <c r="AB138" i="1"/>
  <c r="AB137" i="1"/>
  <c r="AB136" i="1"/>
  <c r="AB135" i="1"/>
  <c r="AB134" i="1"/>
  <c r="AB133" i="1"/>
  <c r="AB132" i="1"/>
  <c r="AB131" i="1"/>
  <c r="AB130" i="1"/>
  <c r="AB129" i="1"/>
  <c r="Z143" i="1"/>
  <c r="Z142" i="1"/>
  <c r="Z141" i="1"/>
  <c r="Z140" i="1"/>
  <c r="Z139" i="1"/>
  <c r="Z138" i="1"/>
  <c r="Z137" i="1"/>
  <c r="Z136" i="1"/>
  <c r="Z135" i="1"/>
  <c r="Z134" i="1"/>
  <c r="Z133" i="1"/>
  <c r="Z132" i="1"/>
  <c r="Z131" i="1"/>
  <c r="Z130" i="1"/>
  <c r="Z129" i="1"/>
  <c r="AB119" i="1"/>
  <c r="AB118" i="1"/>
  <c r="AB117" i="1"/>
  <c r="AB116" i="1"/>
  <c r="AB115" i="1"/>
  <c r="AB114" i="1"/>
  <c r="AB113" i="1"/>
  <c r="AB112" i="1"/>
  <c r="AB111" i="1"/>
  <c r="AB110" i="1"/>
  <c r="AB109" i="1"/>
  <c r="AB108" i="1"/>
  <c r="Z119" i="1"/>
  <c r="Z118" i="1"/>
  <c r="Z117" i="1"/>
  <c r="Z116" i="1"/>
  <c r="Z115" i="1"/>
  <c r="Z114" i="1"/>
  <c r="Z113" i="1"/>
  <c r="Z112" i="1"/>
  <c r="Z111" i="1"/>
  <c r="Z110" i="1"/>
  <c r="Z109" i="1"/>
  <c r="Z108" i="1"/>
  <c r="D117" i="1"/>
  <c r="F117" i="1"/>
  <c r="G117" i="1"/>
  <c r="K117" i="1"/>
  <c r="L117" i="1"/>
  <c r="M117" i="1"/>
  <c r="N117" i="1"/>
  <c r="O117" i="1"/>
  <c r="P117" i="1"/>
  <c r="Q117" i="1"/>
  <c r="R117" i="1"/>
  <c r="S117" i="1"/>
  <c r="T117" i="1"/>
  <c r="U117" i="1"/>
  <c r="V117" i="1"/>
  <c r="C117" i="1"/>
  <c r="W194" i="1"/>
  <c r="W193" i="1"/>
  <c r="W192" i="1"/>
  <c r="W191" i="1"/>
  <c r="W190" i="1"/>
  <c r="W189" i="1"/>
  <c r="W188" i="1"/>
  <c r="W187" i="1"/>
  <c r="W186" i="1"/>
  <c r="W185" i="1"/>
  <c r="W184" i="1"/>
  <c r="W183" i="1"/>
  <c r="W182" i="1"/>
  <c r="W181" i="1"/>
  <c r="V193" i="1"/>
  <c r="V196" i="1" s="1"/>
  <c r="V179" i="1" s="1"/>
  <c r="U193" i="1"/>
  <c r="U196" i="1" s="1"/>
  <c r="U179" i="1" s="1"/>
  <c r="T193" i="1"/>
  <c r="T196" i="1" s="1"/>
  <c r="T179" i="1" s="1"/>
  <c r="S193" i="1"/>
  <c r="S196" i="1" s="1"/>
  <c r="S179" i="1" s="1"/>
  <c r="R193" i="1"/>
  <c r="R196" i="1" s="1"/>
  <c r="R179" i="1" s="1"/>
  <c r="Q193" i="1"/>
  <c r="Q196" i="1" s="1"/>
  <c r="P193" i="1"/>
  <c r="P196" i="1" s="1"/>
  <c r="O193" i="1"/>
  <c r="O196" i="1" s="1"/>
  <c r="O179" i="1" s="1"/>
  <c r="N193" i="1"/>
  <c r="N196" i="1" s="1"/>
  <c r="N179" i="1" s="1"/>
  <c r="M193" i="1"/>
  <c r="M196" i="1" s="1"/>
  <c r="L193" i="1"/>
  <c r="L196" i="1" s="1"/>
  <c r="K193" i="1"/>
  <c r="K196" i="1" s="1"/>
  <c r="K179" i="1" s="1"/>
  <c r="J193" i="1"/>
  <c r="J196" i="1" s="1"/>
  <c r="J179" i="1" s="1"/>
  <c r="I193" i="1"/>
  <c r="I196" i="1" s="1"/>
  <c r="I179" i="1" s="1"/>
  <c r="H193" i="1"/>
  <c r="H196" i="1" s="1"/>
  <c r="G193" i="1"/>
  <c r="G196" i="1" s="1"/>
  <c r="G179" i="1" s="1"/>
  <c r="F193" i="1"/>
  <c r="F196" i="1" s="1"/>
  <c r="F179" i="1" s="1"/>
  <c r="E193" i="1"/>
  <c r="E196" i="1" s="1"/>
  <c r="E179" i="1" s="1"/>
  <c r="D193" i="1"/>
  <c r="D196" i="1" s="1"/>
  <c r="C193" i="1"/>
  <c r="C196" i="1" s="1"/>
  <c r="C179" i="1" s="1"/>
  <c r="A6" i="32"/>
  <c r="A7" i="32"/>
  <c r="A8" i="32"/>
  <c r="A9" i="32"/>
  <c r="A10" i="32"/>
  <c r="A11" i="32"/>
  <c r="B24" i="31"/>
  <c r="B23" i="31"/>
  <c r="A22" i="32" s="1"/>
  <c r="A41" i="32" s="1"/>
  <c r="I41" i="32" s="1"/>
  <c r="B22" i="31"/>
  <c r="B20" i="31"/>
  <c r="B40" i="31" s="1"/>
  <c r="B138" i="31" s="1"/>
  <c r="B19" i="31"/>
  <c r="A18" i="32" s="1"/>
  <c r="A37" i="32" s="1"/>
  <c r="I37" i="32" s="1"/>
  <c r="B18" i="31"/>
  <c r="B17" i="31"/>
  <c r="B16" i="31"/>
  <c r="A15" i="33" s="1"/>
  <c r="A36" i="33" s="1"/>
  <c r="I36" i="33" s="1"/>
  <c r="B15" i="31"/>
  <c r="E62" i="31" s="1"/>
  <c r="B14" i="31"/>
  <c r="A13" i="33" s="1"/>
  <c r="A34" i="33" s="1"/>
  <c r="I34" i="33" s="1"/>
  <c r="K19" i="14"/>
  <c r="L19" i="14"/>
  <c r="M19" i="14"/>
  <c r="N19" i="14"/>
  <c r="O19" i="14"/>
  <c r="P19" i="14"/>
  <c r="Q19" i="14"/>
  <c r="R19" i="14"/>
  <c r="S19" i="14"/>
  <c r="T19" i="14"/>
  <c r="D21" i="1"/>
  <c r="F21" i="1"/>
  <c r="H21" i="1"/>
  <c r="K21" i="1"/>
  <c r="L21" i="1"/>
  <c r="M21" i="1"/>
  <c r="N21" i="1"/>
  <c r="O21" i="1"/>
  <c r="P21" i="1"/>
  <c r="Q21" i="1"/>
  <c r="R21" i="1"/>
  <c r="S21" i="1"/>
  <c r="T21" i="1"/>
  <c r="U21" i="1"/>
  <c r="V21" i="1"/>
  <c r="D22" i="1"/>
  <c r="E22" i="1"/>
  <c r="F22" i="1"/>
  <c r="H22" i="1"/>
  <c r="K22" i="1"/>
  <c r="L22" i="1"/>
  <c r="M22" i="1"/>
  <c r="N22" i="1"/>
  <c r="O22" i="1"/>
  <c r="P22" i="1"/>
  <c r="Q22" i="1"/>
  <c r="R22" i="1"/>
  <c r="S22" i="1"/>
  <c r="T22" i="1"/>
  <c r="U22" i="1"/>
  <c r="V22" i="1"/>
  <c r="D23" i="1"/>
  <c r="E23" i="1"/>
  <c r="F23" i="1"/>
  <c r="H23" i="1"/>
  <c r="K23" i="1"/>
  <c r="L23" i="1"/>
  <c r="M23" i="1"/>
  <c r="N23" i="1"/>
  <c r="O23" i="1"/>
  <c r="P23" i="1"/>
  <c r="Q23" i="1"/>
  <c r="R23" i="1"/>
  <c r="S23" i="1"/>
  <c r="T23" i="1"/>
  <c r="U23" i="1"/>
  <c r="V23" i="1"/>
  <c r="H24" i="1"/>
  <c r="K24" i="1"/>
  <c r="L24" i="1"/>
  <c r="M24" i="1"/>
  <c r="N24" i="1"/>
  <c r="O24" i="1"/>
  <c r="P24" i="1"/>
  <c r="Q24" i="1"/>
  <c r="R24" i="1"/>
  <c r="S24" i="1"/>
  <c r="T24" i="1"/>
  <c r="U24" i="1"/>
  <c r="V24" i="1"/>
  <c r="D25" i="1"/>
  <c r="E25" i="1"/>
  <c r="F25" i="1"/>
  <c r="H25" i="1"/>
  <c r="K25" i="1"/>
  <c r="L25" i="1"/>
  <c r="M25" i="1"/>
  <c r="N25" i="1"/>
  <c r="O25" i="1"/>
  <c r="P25" i="1"/>
  <c r="Q25" i="1"/>
  <c r="R25" i="1"/>
  <c r="S25" i="1"/>
  <c r="T25" i="1"/>
  <c r="U25" i="1"/>
  <c r="V25" i="1"/>
  <c r="D26" i="1"/>
  <c r="E26" i="1"/>
  <c r="F26" i="1"/>
  <c r="H26" i="1"/>
  <c r="K26" i="1"/>
  <c r="L26" i="1"/>
  <c r="M26" i="1"/>
  <c r="N26" i="1"/>
  <c r="O26" i="1"/>
  <c r="P26" i="1"/>
  <c r="Q26" i="1"/>
  <c r="R26" i="1"/>
  <c r="S26" i="1"/>
  <c r="T26" i="1"/>
  <c r="U26" i="1"/>
  <c r="V26" i="1"/>
  <c r="D27" i="1"/>
  <c r="E27" i="1"/>
  <c r="F27" i="1"/>
  <c r="H27" i="1"/>
  <c r="K27" i="1"/>
  <c r="L27" i="1"/>
  <c r="M27" i="1"/>
  <c r="N27" i="1"/>
  <c r="O27" i="1"/>
  <c r="P27" i="1"/>
  <c r="Q27" i="1"/>
  <c r="R27" i="1"/>
  <c r="S27" i="1"/>
  <c r="T27" i="1"/>
  <c r="U27" i="1"/>
  <c r="V27" i="1"/>
  <c r="D28" i="1"/>
  <c r="F28" i="1"/>
  <c r="H28" i="1"/>
  <c r="K28" i="1"/>
  <c r="L28" i="1"/>
  <c r="M28" i="1"/>
  <c r="N28" i="1"/>
  <c r="O28" i="1"/>
  <c r="P28" i="1"/>
  <c r="Q28" i="1"/>
  <c r="R28" i="1"/>
  <c r="S28" i="1"/>
  <c r="T28" i="1"/>
  <c r="U28" i="1"/>
  <c r="V28" i="1"/>
  <c r="D112" i="1"/>
  <c r="D116" i="1"/>
  <c r="D118" i="1"/>
  <c r="D113" i="1"/>
  <c r="E112" i="1"/>
  <c r="F112" i="1"/>
  <c r="G112" i="1"/>
  <c r="H112" i="1"/>
  <c r="I112" i="1"/>
  <c r="J112" i="1"/>
  <c r="K112" i="1"/>
  <c r="L112" i="1"/>
  <c r="M112" i="1"/>
  <c r="N112" i="1"/>
  <c r="O112" i="1"/>
  <c r="P112" i="1"/>
  <c r="Q112" i="1"/>
  <c r="R112" i="1"/>
  <c r="S112" i="1"/>
  <c r="T112" i="1"/>
  <c r="U112" i="1"/>
  <c r="V112" i="1"/>
  <c r="E113" i="1"/>
  <c r="F113" i="1"/>
  <c r="G113" i="1"/>
  <c r="H113" i="1"/>
  <c r="I113" i="1"/>
  <c r="J113" i="1"/>
  <c r="K113" i="1"/>
  <c r="L113" i="1"/>
  <c r="M113" i="1"/>
  <c r="N113" i="1"/>
  <c r="O113" i="1"/>
  <c r="P113" i="1"/>
  <c r="Q113" i="1"/>
  <c r="R113" i="1"/>
  <c r="S113" i="1"/>
  <c r="T113" i="1"/>
  <c r="U113" i="1"/>
  <c r="V113" i="1"/>
  <c r="F116" i="1"/>
  <c r="G116" i="1"/>
  <c r="K116" i="1"/>
  <c r="L116" i="1"/>
  <c r="M116" i="1"/>
  <c r="N116" i="1"/>
  <c r="O116" i="1"/>
  <c r="P116" i="1"/>
  <c r="Q116" i="1"/>
  <c r="R116" i="1"/>
  <c r="S116" i="1"/>
  <c r="T116" i="1"/>
  <c r="U116" i="1"/>
  <c r="V116" i="1"/>
  <c r="F118" i="1"/>
  <c r="G118" i="1"/>
  <c r="K118" i="1"/>
  <c r="L118" i="1"/>
  <c r="M118" i="1"/>
  <c r="N118" i="1"/>
  <c r="O118" i="1"/>
  <c r="P118" i="1"/>
  <c r="Q118" i="1"/>
  <c r="R118" i="1"/>
  <c r="S118" i="1"/>
  <c r="T118" i="1"/>
  <c r="U118" i="1"/>
  <c r="V118" i="1"/>
  <c r="E138" i="1"/>
  <c r="F138" i="1"/>
  <c r="G138" i="1"/>
  <c r="H138" i="1"/>
  <c r="I138" i="1"/>
  <c r="J138" i="1"/>
  <c r="K138" i="1"/>
  <c r="L138" i="1"/>
  <c r="M138" i="1"/>
  <c r="N138" i="1"/>
  <c r="O138" i="1"/>
  <c r="P138" i="1"/>
  <c r="Q138" i="1"/>
  <c r="R138" i="1"/>
  <c r="S138" i="1"/>
  <c r="T138" i="1"/>
  <c r="U138" i="1"/>
  <c r="V138" i="1"/>
  <c r="F168" i="1"/>
  <c r="F169" i="1"/>
  <c r="H167" i="1"/>
  <c r="I167" i="1"/>
  <c r="J167" i="1"/>
  <c r="K167" i="1"/>
  <c r="L167" i="1"/>
  <c r="M167" i="1"/>
  <c r="N167" i="1"/>
  <c r="O167" i="1"/>
  <c r="P167" i="1"/>
  <c r="Q167" i="1"/>
  <c r="R167" i="1"/>
  <c r="S167" i="1"/>
  <c r="T167" i="1"/>
  <c r="U167" i="1"/>
  <c r="V167" i="1"/>
  <c r="D168" i="1"/>
  <c r="E168" i="1"/>
  <c r="G168" i="1"/>
  <c r="H168" i="1"/>
  <c r="I168" i="1"/>
  <c r="J168" i="1"/>
  <c r="K168" i="1"/>
  <c r="L168" i="1"/>
  <c r="M168" i="1"/>
  <c r="N168" i="1"/>
  <c r="O168" i="1"/>
  <c r="P168" i="1"/>
  <c r="Q168" i="1"/>
  <c r="R168" i="1"/>
  <c r="S168" i="1"/>
  <c r="T168" i="1"/>
  <c r="U168" i="1"/>
  <c r="V168" i="1"/>
  <c r="D169" i="1"/>
  <c r="E169" i="1"/>
  <c r="G169" i="1"/>
  <c r="H169" i="1"/>
  <c r="I169" i="1"/>
  <c r="J169" i="1"/>
  <c r="K169" i="1"/>
  <c r="L169" i="1"/>
  <c r="M169" i="1"/>
  <c r="N169" i="1"/>
  <c r="O169" i="1"/>
  <c r="P169" i="1"/>
  <c r="Q169" i="1"/>
  <c r="R169" i="1"/>
  <c r="S169" i="1"/>
  <c r="T169" i="1"/>
  <c r="U169" i="1"/>
  <c r="V169" i="1"/>
  <c r="N1" i="3"/>
  <c r="N1" i="32"/>
  <c r="R1" i="3"/>
  <c r="S1" i="34"/>
  <c r="S27" i="34" s="1"/>
  <c r="T1" i="34"/>
  <c r="T27" i="34" s="1"/>
  <c r="L1" i="32"/>
  <c r="K1" i="32"/>
  <c r="K1" i="3"/>
  <c r="V43" i="34"/>
  <c r="U43" i="34"/>
  <c r="T43" i="34"/>
  <c r="S43" i="34"/>
  <c r="R43" i="34"/>
  <c r="Q43" i="34"/>
  <c r="P43" i="34"/>
  <c r="O43" i="34"/>
  <c r="N43" i="34"/>
  <c r="M43" i="34"/>
  <c r="L43" i="34"/>
  <c r="K43" i="34"/>
  <c r="J43" i="34"/>
  <c r="I43" i="34"/>
  <c r="H43" i="34"/>
  <c r="G43" i="34"/>
  <c r="F43" i="34"/>
  <c r="E43" i="34"/>
  <c r="D43" i="34"/>
  <c r="C43" i="34"/>
  <c r="V42" i="34"/>
  <c r="U42" i="34"/>
  <c r="T42" i="34"/>
  <c r="S42" i="34"/>
  <c r="R42" i="34"/>
  <c r="Q42" i="34"/>
  <c r="P42" i="34"/>
  <c r="O42" i="34"/>
  <c r="N42" i="34"/>
  <c r="M42" i="34"/>
  <c r="L42" i="34"/>
  <c r="K42" i="34"/>
  <c r="J42" i="34"/>
  <c r="I42" i="34"/>
  <c r="H42" i="34"/>
  <c r="G42" i="34"/>
  <c r="F42" i="34"/>
  <c r="E42" i="34"/>
  <c r="D42" i="34"/>
  <c r="C42" i="34"/>
  <c r="V41" i="34"/>
  <c r="U41" i="34"/>
  <c r="T41" i="34"/>
  <c r="S41" i="34"/>
  <c r="R41" i="34"/>
  <c r="Q41" i="34"/>
  <c r="P41" i="34"/>
  <c r="O41" i="34"/>
  <c r="N41" i="34"/>
  <c r="M41" i="34"/>
  <c r="L41" i="34"/>
  <c r="K41" i="34"/>
  <c r="J41" i="34"/>
  <c r="I41" i="34"/>
  <c r="H41" i="34"/>
  <c r="G41" i="34"/>
  <c r="F41" i="34"/>
  <c r="E41" i="34"/>
  <c r="D41" i="34"/>
  <c r="C41" i="34"/>
  <c r="V40" i="34"/>
  <c r="U40" i="34"/>
  <c r="T40" i="34"/>
  <c r="S40" i="34"/>
  <c r="R40" i="34"/>
  <c r="Q40" i="34"/>
  <c r="P40" i="34"/>
  <c r="O40" i="34"/>
  <c r="N40" i="34"/>
  <c r="M40" i="34"/>
  <c r="L40" i="34"/>
  <c r="K40" i="34"/>
  <c r="J40" i="34"/>
  <c r="I40" i="34"/>
  <c r="H40" i="34"/>
  <c r="G40" i="34"/>
  <c r="F40" i="34"/>
  <c r="E40" i="34"/>
  <c r="D40" i="34"/>
  <c r="C40" i="34"/>
  <c r="V39" i="34"/>
  <c r="U39" i="34"/>
  <c r="T39" i="34"/>
  <c r="S39" i="34"/>
  <c r="R39" i="34"/>
  <c r="Q39" i="34"/>
  <c r="P39" i="34"/>
  <c r="O39" i="34"/>
  <c r="N39" i="34"/>
  <c r="M39" i="34"/>
  <c r="L39" i="34"/>
  <c r="K39" i="34"/>
  <c r="J39" i="34"/>
  <c r="I39" i="34"/>
  <c r="H39" i="34"/>
  <c r="G39" i="34"/>
  <c r="F39" i="34"/>
  <c r="E39" i="34"/>
  <c r="D39" i="34"/>
  <c r="C39" i="34"/>
  <c r="V38" i="34"/>
  <c r="U38" i="34"/>
  <c r="T38" i="34"/>
  <c r="S38" i="34"/>
  <c r="R38" i="34"/>
  <c r="Q38" i="34"/>
  <c r="P38" i="34"/>
  <c r="O38" i="34"/>
  <c r="N38" i="34"/>
  <c r="M38" i="34"/>
  <c r="L38" i="34"/>
  <c r="K38" i="34"/>
  <c r="J38" i="34"/>
  <c r="I38" i="34"/>
  <c r="H38" i="34"/>
  <c r="G38" i="34"/>
  <c r="F38" i="34"/>
  <c r="E38" i="34"/>
  <c r="D38" i="34"/>
  <c r="C38" i="34"/>
  <c r="V37" i="34"/>
  <c r="U37" i="34"/>
  <c r="T37" i="34"/>
  <c r="S37" i="34"/>
  <c r="R37" i="34"/>
  <c r="Q37" i="34"/>
  <c r="P37" i="34"/>
  <c r="O37" i="34"/>
  <c r="N37" i="34"/>
  <c r="M37" i="34"/>
  <c r="L37" i="34"/>
  <c r="K37" i="34"/>
  <c r="J37" i="34"/>
  <c r="I37" i="34"/>
  <c r="H37" i="34"/>
  <c r="G37" i="34"/>
  <c r="F37" i="34"/>
  <c r="E37" i="34"/>
  <c r="D37" i="34"/>
  <c r="C37" i="34"/>
  <c r="V36" i="34"/>
  <c r="U36" i="34"/>
  <c r="T36" i="34"/>
  <c r="S36" i="34"/>
  <c r="R36" i="34"/>
  <c r="Q36" i="34"/>
  <c r="P36" i="34"/>
  <c r="O36" i="34"/>
  <c r="N36" i="34"/>
  <c r="M36" i="34"/>
  <c r="L36" i="34"/>
  <c r="K36" i="34"/>
  <c r="J36" i="34"/>
  <c r="I36" i="34"/>
  <c r="H36" i="34"/>
  <c r="G36" i="34"/>
  <c r="F36" i="34"/>
  <c r="E36" i="34"/>
  <c r="D36" i="34"/>
  <c r="C36" i="34"/>
  <c r="V35" i="34"/>
  <c r="U35" i="34"/>
  <c r="T35" i="34"/>
  <c r="S35" i="34"/>
  <c r="R35" i="34"/>
  <c r="Q35" i="34"/>
  <c r="P35" i="34"/>
  <c r="O35" i="34"/>
  <c r="N35" i="34"/>
  <c r="M35" i="34"/>
  <c r="L35" i="34"/>
  <c r="K35" i="34"/>
  <c r="J35" i="34"/>
  <c r="I35" i="34"/>
  <c r="H35" i="34"/>
  <c r="G35" i="34"/>
  <c r="F35" i="34"/>
  <c r="E35" i="34"/>
  <c r="D35" i="34"/>
  <c r="C35" i="34"/>
  <c r="V34" i="34"/>
  <c r="U34" i="34"/>
  <c r="T34" i="34"/>
  <c r="S34" i="34"/>
  <c r="R34" i="34"/>
  <c r="Q34" i="34"/>
  <c r="P34" i="34"/>
  <c r="O34" i="34"/>
  <c r="N34" i="34"/>
  <c r="M34" i="34"/>
  <c r="L34" i="34"/>
  <c r="K34" i="34"/>
  <c r="J34" i="34"/>
  <c r="I34" i="34"/>
  <c r="H34" i="34"/>
  <c r="G34" i="34"/>
  <c r="F34" i="34"/>
  <c r="E34" i="34"/>
  <c r="D34" i="34"/>
  <c r="C34" i="34"/>
  <c r="V33" i="34"/>
  <c r="U33" i="34"/>
  <c r="T33" i="34"/>
  <c r="S33" i="34"/>
  <c r="R33" i="34"/>
  <c r="Q33" i="34"/>
  <c r="P33" i="34"/>
  <c r="O33" i="34"/>
  <c r="N33" i="34"/>
  <c r="M33" i="34"/>
  <c r="L33" i="34"/>
  <c r="K33" i="34"/>
  <c r="J33" i="34"/>
  <c r="I33" i="34"/>
  <c r="H33" i="34"/>
  <c r="G33" i="34"/>
  <c r="F33" i="34"/>
  <c r="E33" i="34"/>
  <c r="D33" i="34"/>
  <c r="C33" i="34"/>
  <c r="Z23" i="34"/>
  <c r="X23" i="34"/>
  <c r="Y23" i="34" s="1"/>
  <c r="AA23" i="34" s="1"/>
  <c r="W23" i="34" s="1"/>
  <c r="W43" i="34" s="1"/>
  <c r="Z22" i="34"/>
  <c r="X22" i="34"/>
  <c r="Y22" i="34"/>
  <c r="Z21" i="34"/>
  <c r="X21" i="34"/>
  <c r="Y21" i="34" s="1"/>
  <c r="AA21" i="34" s="1"/>
  <c r="W21" i="34" s="1"/>
  <c r="W41" i="34" s="1"/>
  <c r="Z20" i="34"/>
  <c r="X20" i="34"/>
  <c r="Y20" i="34" s="1"/>
  <c r="Z19" i="34"/>
  <c r="X19" i="34"/>
  <c r="Y19" i="34"/>
  <c r="Z18" i="34"/>
  <c r="X18" i="34"/>
  <c r="Y18" i="34" s="1"/>
  <c r="AA18" i="34" s="1"/>
  <c r="W18" i="34" s="1"/>
  <c r="W38" i="34" s="1"/>
  <c r="Z17" i="34"/>
  <c r="X17" i="34"/>
  <c r="Y17" i="34" s="1"/>
  <c r="AA17" i="34" s="1"/>
  <c r="W17" i="34" s="1"/>
  <c r="W37" i="34" s="1"/>
  <c r="Z16" i="34"/>
  <c r="AA16" i="34" s="1"/>
  <c r="W16" i="34" s="1"/>
  <c r="W36" i="34" s="1"/>
  <c r="X16" i="34"/>
  <c r="Y16" i="34"/>
  <c r="Z15" i="34"/>
  <c r="X15" i="34"/>
  <c r="Y15" i="34" s="1"/>
  <c r="AA15" i="34" s="1"/>
  <c r="W15" i="34" s="1"/>
  <c r="W35" i="34" s="1"/>
  <c r="Z14" i="34"/>
  <c r="X14" i="34"/>
  <c r="Y14" i="34"/>
  <c r="Z13" i="34"/>
  <c r="X13" i="34"/>
  <c r="Y13" i="34" s="1"/>
  <c r="AA13" i="34" s="1"/>
  <c r="W13" i="34" s="1"/>
  <c r="W33" i="34" s="1"/>
  <c r="F66" i="33"/>
  <c r="E66" i="33"/>
  <c r="G66" i="33"/>
  <c r="K50" i="33" s="1"/>
  <c r="J58" i="33" s="1"/>
  <c r="Y110" i="31" s="1"/>
  <c r="F60" i="33"/>
  <c r="F59" i="33"/>
  <c r="F58" i="33"/>
  <c r="F57" i="33"/>
  <c r="F56" i="33"/>
  <c r="F54" i="33"/>
  <c r="F53" i="33"/>
  <c r="F52" i="33"/>
  <c r="F51" i="33"/>
  <c r="F50" i="33"/>
  <c r="F49" i="33"/>
  <c r="F48" i="33"/>
  <c r="F47" i="33"/>
  <c r="W174" i="31"/>
  <c r="A174" i="31"/>
  <c r="W173" i="31"/>
  <c r="A173" i="31"/>
  <c r="W172" i="31"/>
  <c r="A172" i="31"/>
  <c r="W171" i="31"/>
  <c r="A171" i="31"/>
  <c r="W170" i="31"/>
  <c r="A170" i="31"/>
  <c r="W169" i="31"/>
  <c r="A169" i="31"/>
  <c r="W168" i="31"/>
  <c r="A168" i="31"/>
  <c r="W167" i="31"/>
  <c r="A167" i="31"/>
  <c r="W166" i="31"/>
  <c r="A166" i="31"/>
  <c r="W165" i="31"/>
  <c r="A165" i="31"/>
  <c r="W164" i="31"/>
  <c r="A164" i="31"/>
  <c r="W162" i="31"/>
  <c r="A162" i="31"/>
  <c r="W161" i="31"/>
  <c r="A161" i="31"/>
  <c r="W160" i="31"/>
  <c r="A160" i="31"/>
  <c r="W159" i="31"/>
  <c r="A159" i="31"/>
  <c r="B126" i="31"/>
  <c r="H1" i="32"/>
  <c r="I1" i="3"/>
  <c r="G1" i="32"/>
  <c r="H1" i="3"/>
  <c r="I1" i="32"/>
  <c r="J1" i="3"/>
  <c r="M1" i="32"/>
  <c r="J1" i="34"/>
  <c r="J27" i="34" s="1"/>
  <c r="H1" i="34"/>
  <c r="H27" i="34" s="1"/>
  <c r="I1" i="34"/>
  <c r="I27" i="34" s="1"/>
  <c r="C1" i="34"/>
  <c r="C27" i="34" s="1"/>
  <c r="P28" i="34"/>
  <c r="Z2" i="34"/>
  <c r="U31" i="34"/>
  <c r="E31" i="34"/>
  <c r="K29" i="34"/>
  <c r="F30" i="34"/>
  <c r="R30" i="34"/>
  <c r="T28" i="34"/>
  <c r="V7" i="34"/>
  <c r="R10" i="34"/>
  <c r="J7" i="34"/>
  <c r="D29" i="34"/>
  <c r="C10" i="34"/>
  <c r="G28" i="34"/>
  <c r="G10" i="34"/>
  <c r="N10" i="34"/>
  <c r="E10" i="34"/>
  <c r="F11" i="34"/>
  <c r="N31" i="34"/>
  <c r="R11" i="34"/>
  <c r="P31" i="34"/>
  <c r="C7" i="34"/>
  <c r="P7" i="34"/>
  <c r="T7" i="34"/>
  <c r="V29" i="34"/>
  <c r="H30" i="34"/>
  <c r="H11" i="34"/>
  <c r="G31" i="34"/>
  <c r="S28" i="34"/>
  <c r="S10" i="34"/>
  <c r="S7" i="34"/>
  <c r="I29" i="34"/>
  <c r="G29" i="34"/>
  <c r="D7" i="34"/>
  <c r="L31" i="34"/>
  <c r="J31" i="34"/>
  <c r="M31" i="34"/>
  <c r="V10" i="34"/>
  <c r="N28" i="34"/>
  <c r="H29" i="34"/>
  <c r="M29" i="34"/>
  <c r="J29" i="34"/>
  <c r="J11" i="34"/>
  <c r="D28" i="34"/>
  <c r="O30" i="34"/>
  <c r="O11" i="34"/>
  <c r="L30" i="34"/>
  <c r="L11" i="34"/>
  <c r="I30" i="34"/>
  <c r="I11" i="34"/>
  <c r="T31" i="34"/>
  <c r="F28" i="34"/>
  <c r="K31" i="34"/>
  <c r="H31" i="34"/>
  <c r="U28" i="34"/>
  <c r="U10" i="34"/>
  <c r="U7" i="34"/>
  <c r="T10" i="34"/>
  <c r="R7" i="34"/>
  <c r="J10" i="34"/>
  <c r="E28" i="34"/>
  <c r="F29" i="34"/>
  <c r="E30" i="34"/>
  <c r="E11" i="34"/>
  <c r="S29" i="34"/>
  <c r="Q28" i="34"/>
  <c r="Q10" i="34"/>
  <c r="Q7" i="34"/>
  <c r="V31" i="34"/>
  <c r="V11" i="34"/>
  <c r="O29" i="34"/>
  <c r="V28" i="34"/>
  <c r="G7" i="34"/>
  <c r="L29" i="34"/>
  <c r="Q29" i="34"/>
  <c r="N29" i="34"/>
  <c r="J30" i="34"/>
  <c r="C30" i="34"/>
  <c r="C11" i="34"/>
  <c r="X4" i="34"/>
  <c r="Y4" i="34" s="1"/>
  <c r="Z4" i="34"/>
  <c r="S30" i="34"/>
  <c r="S11" i="34"/>
  <c r="P30" i="34"/>
  <c r="P11" i="34"/>
  <c r="M30" i="34"/>
  <c r="M11" i="34"/>
  <c r="H10" i="34"/>
  <c r="Z3" i="34"/>
  <c r="C29" i="34"/>
  <c r="X3" i="34"/>
  <c r="Y3" i="34" s="1"/>
  <c r="P10" i="34"/>
  <c r="F31" i="34"/>
  <c r="O31" i="34"/>
  <c r="I28" i="34"/>
  <c r="I10" i="34"/>
  <c r="I7" i="34"/>
  <c r="K28" i="34"/>
  <c r="K10" i="34"/>
  <c r="K7" i="34"/>
  <c r="D10" i="34"/>
  <c r="N11" i="34"/>
  <c r="J28" i="34"/>
  <c r="L28" i="34"/>
  <c r="T29" i="34"/>
  <c r="K30" i="34"/>
  <c r="K11" i="34"/>
  <c r="U30" i="34"/>
  <c r="U11" i="34"/>
  <c r="F10" i="34"/>
  <c r="D31" i="34"/>
  <c r="R31" i="34"/>
  <c r="V30" i="34"/>
  <c r="E29" i="34"/>
  <c r="N7" i="34"/>
  <c r="C28" i="34"/>
  <c r="P29" i="34"/>
  <c r="U29" i="34"/>
  <c r="R29" i="34"/>
  <c r="X2" i="34"/>
  <c r="Y2" i="34" s="1"/>
  <c r="G30" i="34"/>
  <c r="G11" i="34"/>
  <c r="D30" i="34"/>
  <c r="D11" i="34"/>
  <c r="T30" i="34"/>
  <c r="T11" i="34"/>
  <c r="Q30" i="34"/>
  <c r="Q11" i="34"/>
  <c r="I31" i="34"/>
  <c r="F7" i="34"/>
  <c r="H7" i="34"/>
  <c r="X5" i="34"/>
  <c r="Y5" i="34" s="1"/>
  <c r="C31" i="34"/>
  <c r="Z5" i="34"/>
  <c r="S31" i="34"/>
  <c r="M28" i="34"/>
  <c r="M10" i="34"/>
  <c r="M7" i="34"/>
  <c r="O28" i="34"/>
  <c r="O10" i="34"/>
  <c r="O7" i="34"/>
  <c r="L7" i="34"/>
  <c r="N30" i="34"/>
  <c r="R28" i="34"/>
  <c r="E7" i="34"/>
  <c r="Q31" i="34"/>
  <c r="H28" i="34"/>
  <c r="L10" i="34"/>
  <c r="C21" i="1"/>
  <c r="C23" i="1"/>
  <c r="C22" i="1"/>
  <c r="C24" i="1"/>
  <c r="C25" i="1"/>
  <c r="C26" i="1"/>
  <c r="C27" i="1"/>
  <c r="C28" i="1"/>
  <c r="C118" i="1"/>
  <c r="C116" i="1"/>
  <c r="C113" i="1"/>
  <c r="C112" i="1"/>
  <c r="W206" i="1"/>
  <c r="C169" i="1"/>
  <c r="C168" i="1"/>
  <c r="W225" i="1"/>
  <c r="W230" i="1"/>
  <c r="W224" i="1"/>
  <c r="W223" i="1"/>
  <c r="W222" i="1"/>
  <c r="W221" i="1"/>
  <c r="W220" i="1"/>
  <c r="W209" i="1"/>
  <c r="W169" i="1"/>
  <c r="W62" i="1"/>
  <c r="W80" i="1"/>
  <c r="AB96" i="1"/>
  <c r="Z96" i="1"/>
  <c r="AB98" i="1"/>
  <c r="AB95" i="1"/>
  <c r="AB94" i="1"/>
  <c r="AB92" i="1"/>
  <c r="AB91" i="1"/>
  <c r="AB90" i="1"/>
  <c r="Z98" i="1"/>
  <c r="Z95" i="1"/>
  <c r="Z94" i="1"/>
  <c r="Z92" i="1"/>
  <c r="Z91" i="1"/>
  <c r="Z90" i="1"/>
  <c r="W210" i="1"/>
  <c r="W208" i="1"/>
  <c r="W207" i="1"/>
  <c r="W205" i="1"/>
  <c r="W204" i="1"/>
  <c r="W74" i="1"/>
  <c r="W171" i="1"/>
  <c r="W168" i="1"/>
  <c r="W167" i="1"/>
  <c r="W166" i="1"/>
  <c r="W165" i="1"/>
  <c r="W164" i="1"/>
  <c r="W163" i="1"/>
  <c r="W161" i="1"/>
  <c r="W160" i="1"/>
  <c r="W159" i="1"/>
  <c r="W158" i="1"/>
  <c r="W157" i="1"/>
  <c r="W156" i="1"/>
  <c r="W155" i="1"/>
  <c r="W154" i="1"/>
  <c r="W153" i="1"/>
  <c r="W81" i="1"/>
  <c r="W79" i="1"/>
  <c r="W77" i="1"/>
  <c r="W76" i="1"/>
  <c r="W75" i="1"/>
  <c r="W73" i="1"/>
  <c r="W63" i="1"/>
  <c r="W61" i="1"/>
  <c r="W60" i="1"/>
  <c r="W59" i="1"/>
  <c r="W12" i="1"/>
  <c r="AB17" i="3"/>
  <c r="AC17" i="3" s="1"/>
  <c r="AD17" i="3" s="1"/>
  <c r="M739" i="11"/>
  <c r="L739" i="11"/>
  <c r="M738" i="11"/>
  <c r="L738" i="11"/>
  <c r="M737" i="11"/>
  <c r="L737" i="11"/>
  <c r="M736" i="11"/>
  <c r="L736" i="11"/>
  <c r="M735" i="11"/>
  <c r="L735" i="11"/>
  <c r="M734" i="11"/>
  <c r="L734" i="11"/>
  <c r="M733" i="11"/>
  <c r="L733" i="11"/>
  <c r="M732" i="11"/>
  <c r="L732" i="11"/>
  <c r="M731" i="11"/>
  <c r="L731" i="11"/>
  <c r="M730" i="11"/>
  <c r="L730" i="11"/>
  <c r="M729" i="11"/>
  <c r="L729" i="11"/>
  <c r="M728" i="11"/>
  <c r="L728" i="11"/>
  <c r="M727" i="11"/>
  <c r="L727" i="11"/>
  <c r="M726" i="11"/>
  <c r="L726" i="11"/>
  <c r="M725" i="11"/>
  <c r="L725" i="11"/>
  <c r="M724" i="11"/>
  <c r="L724" i="11"/>
  <c r="M723" i="11"/>
  <c r="L723" i="11"/>
  <c r="M722" i="11"/>
  <c r="L722" i="11"/>
  <c r="M721" i="11"/>
  <c r="L721" i="11"/>
  <c r="M720" i="11"/>
  <c r="L720" i="11"/>
  <c r="M719" i="11"/>
  <c r="L719" i="11"/>
  <c r="M718" i="11"/>
  <c r="L718" i="11"/>
  <c r="M717" i="11"/>
  <c r="L717" i="11"/>
  <c r="M716" i="11"/>
  <c r="L716" i="11"/>
  <c r="M715" i="11"/>
  <c r="L715" i="11"/>
  <c r="M714" i="11"/>
  <c r="L714" i="11"/>
  <c r="M713" i="11"/>
  <c r="L713" i="11"/>
  <c r="M712" i="11"/>
  <c r="L712" i="11"/>
  <c r="M711" i="11"/>
  <c r="L711" i="11"/>
  <c r="M710" i="11"/>
  <c r="L710" i="11"/>
  <c r="M709" i="11"/>
  <c r="L709" i="11"/>
  <c r="M708" i="11"/>
  <c r="L708" i="11"/>
  <c r="M707" i="11"/>
  <c r="L707" i="11"/>
  <c r="M706" i="11"/>
  <c r="L706" i="11"/>
  <c r="M705" i="11"/>
  <c r="L705" i="11"/>
  <c r="M704" i="11"/>
  <c r="L704" i="11"/>
  <c r="M703" i="11"/>
  <c r="L703" i="11"/>
  <c r="M702" i="11"/>
  <c r="L702" i="11"/>
  <c r="M701" i="11"/>
  <c r="L701" i="11"/>
  <c r="M700" i="11"/>
  <c r="L700" i="11"/>
  <c r="M699" i="11"/>
  <c r="L699" i="11"/>
  <c r="M698" i="11"/>
  <c r="L698" i="11"/>
  <c r="M697" i="11"/>
  <c r="L697" i="11"/>
  <c r="M696" i="11"/>
  <c r="L696" i="11"/>
  <c r="M695" i="11"/>
  <c r="L695" i="11"/>
  <c r="M694" i="11"/>
  <c r="L694" i="11"/>
  <c r="M693" i="11"/>
  <c r="L693" i="11"/>
  <c r="M692" i="11"/>
  <c r="L692" i="11"/>
  <c r="M691" i="11"/>
  <c r="L691" i="11"/>
  <c r="M690" i="11"/>
  <c r="L690" i="11"/>
  <c r="M689" i="11"/>
  <c r="L689" i="11"/>
  <c r="M688" i="11"/>
  <c r="L688" i="11"/>
  <c r="M687" i="11"/>
  <c r="L687" i="11"/>
  <c r="M686" i="11"/>
  <c r="L686" i="11"/>
  <c r="M685" i="11"/>
  <c r="L685" i="11"/>
  <c r="M684" i="11"/>
  <c r="L684" i="11"/>
  <c r="M683" i="11"/>
  <c r="L683" i="11"/>
  <c r="M682" i="11"/>
  <c r="L682" i="11"/>
  <c r="M681" i="11"/>
  <c r="L681" i="11"/>
  <c r="M680" i="11"/>
  <c r="L680" i="11"/>
  <c r="M679" i="11"/>
  <c r="L679" i="11"/>
  <c r="M678" i="11"/>
  <c r="L678" i="11"/>
  <c r="M677" i="11"/>
  <c r="L677" i="11"/>
  <c r="M676" i="11"/>
  <c r="L676" i="11"/>
  <c r="M675" i="11"/>
  <c r="L675" i="11"/>
  <c r="M674" i="11"/>
  <c r="L674" i="11"/>
  <c r="M673" i="11"/>
  <c r="L673" i="11"/>
  <c r="M672" i="11"/>
  <c r="L672" i="11"/>
  <c r="M671" i="11"/>
  <c r="L671" i="11"/>
  <c r="M670" i="11"/>
  <c r="L670" i="11"/>
  <c r="M669" i="11"/>
  <c r="L669" i="11"/>
  <c r="M668" i="11"/>
  <c r="L668" i="11"/>
  <c r="M667" i="11"/>
  <c r="L667" i="11"/>
  <c r="M666" i="11"/>
  <c r="L666" i="11"/>
  <c r="M665" i="11"/>
  <c r="L665" i="11"/>
  <c r="M664" i="11"/>
  <c r="L664" i="11"/>
  <c r="M663" i="11"/>
  <c r="L663" i="11"/>
  <c r="M662" i="11"/>
  <c r="L662" i="11"/>
  <c r="M661" i="11"/>
  <c r="L661" i="11"/>
  <c r="M660" i="11"/>
  <c r="L660" i="11"/>
  <c r="M659" i="11"/>
  <c r="L659" i="11"/>
  <c r="M658" i="11"/>
  <c r="L658" i="11"/>
  <c r="M657" i="11"/>
  <c r="L657" i="11"/>
  <c r="M656" i="11"/>
  <c r="L656" i="11"/>
  <c r="M655" i="11"/>
  <c r="L655" i="11"/>
  <c r="M654" i="11"/>
  <c r="L654" i="11"/>
  <c r="M653" i="11"/>
  <c r="L653" i="11"/>
  <c r="M652" i="11"/>
  <c r="L652" i="11"/>
  <c r="M651" i="11"/>
  <c r="L651" i="11"/>
  <c r="M650" i="11"/>
  <c r="L650" i="11"/>
  <c r="M649" i="11"/>
  <c r="L649" i="11"/>
  <c r="M648" i="11"/>
  <c r="L648" i="11"/>
  <c r="M647" i="11"/>
  <c r="L647" i="11"/>
  <c r="M646" i="11"/>
  <c r="L646" i="11"/>
  <c r="M645" i="11"/>
  <c r="L645" i="11"/>
  <c r="M644" i="11"/>
  <c r="L644" i="11"/>
  <c r="M643" i="11"/>
  <c r="L643" i="11"/>
  <c r="M642" i="11"/>
  <c r="L642" i="11"/>
  <c r="M641" i="11"/>
  <c r="L641" i="11"/>
  <c r="M640" i="11"/>
  <c r="L640" i="11"/>
  <c r="M639" i="11"/>
  <c r="L639" i="11"/>
  <c r="M638" i="11"/>
  <c r="L638" i="11"/>
  <c r="M637" i="11"/>
  <c r="L637" i="11"/>
  <c r="M636" i="11"/>
  <c r="L636" i="11"/>
  <c r="M635" i="11"/>
  <c r="L635" i="11"/>
  <c r="M634" i="11"/>
  <c r="L634" i="11"/>
  <c r="M633" i="11"/>
  <c r="L633" i="11"/>
  <c r="M632" i="11"/>
  <c r="L632" i="11"/>
  <c r="M631" i="11"/>
  <c r="L631" i="11"/>
  <c r="M630" i="11"/>
  <c r="L630" i="11"/>
  <c r="M629" i="11"/>
  <c r="L629" i="11"/>
  <c r="M628" i="11"/>
  <c r="L628" i="11"/>
  <c r="M627" i="11"/>
  <c r="L627" i="11"/>
  <c r="M626" i="11"/>
  <c r="L626" i="11"/>
  <c r="M625" i="11"/>
  <c r="L625" i="11"/>
  <c r="M624" i="11"/>
  <c r="L624" i="11"/>
  <c r="M623" i="11"/>
  <c r="L623" i="11"/>
  <c r="M622" i="11"/>
  <c r="L622" i="11"/>
  <c r="M621" i="11"/>
  <c r="L621" i="11"/>
  <c r="M620" i="11"/>
  <c r="L620" i="11"/>
  <c r="M619" i="11"/>
  <c r="L619" i="11"/>
  <c r="M618" i="11"/>
  <c r="L618" i="11"/>
  <c r="M617" i="11"/>
  <c r="L617" i="11"/>
  <c r="M616" i="11"/>
  <c r="L616" i="11"/>
  <c r="M615" i="11"/>
  <c r="L615" i="11"/>
  <c r="M614" i="11"/>
  <c r="L614" i="11"/>
  <c r="M613" i="11"/>
  <c r="L613" i="11"/>
  <c r="M612" i="11"/>
  <c r="L612" i="11"/>
  <c r="M611" i="11"/>
  <c r="L611" i="11"/>
  <c r="M610" i="11"/>
  <c r="L610" i="11"/>
  <c r="M609" i="11"/>
  <c r="L609" i="11"/>
  <c r="M608" i="11"/>
  <c r="L608" i="11"/>
  <c r="M607" i="11"/>
  <c r="L607" i="11"/>
  <c r="M606" i="11"/>
  <c r="L606" i="11"/>
  <c r="M605" i="11"/>
  <c r="L605" i="11"/>
  <c r="M604" i="11"/>
  <c r="L604" i="11"/>
  <c r="M603" i="11"/>
  <c r="L603" i="11"/>
  <c r="M602" i="11"/>
  <c r="L602" i="11"/>
  <c r="M601" i="11"/>
  <c r="L601" i="11"/>
  <c r="M600" i="11"/>
  <c r="L600" i="11"/>
  <c r="M599" i="11"/>
  <c r="L599" i="11"/>
  <c r="M598" i="11"/>
  <c r="L598" i="11"/>
  <c r="M597" i="11"/>
  <c r="L597" i="11"/>
  <c r="M596" i="11"/>
  <c r="L596" i="11"/>
  <c r="M595" i="11"/>
  <c r="L595" i="11"/>
  <c r="M594" i="11"/>
  <c r="L594" i="11"/>
  <c r="M593" i="11"/>
  <c r="L593" i="11"/>
  <c r="M592" i="11"/>
  <c r="L592" i="11"/>
  <c r="M591" i="11"/>
  <c r="L591" i="11"/>
  <c r="M590" i="11"/>
  <c r="L590" i="11"/>
  <c r="M589" i="11"/>
  <c r="L589" i="11"/>
  <c r="M588" i="11"/>
  <c r="L588" i="11"/>
  <c r="M587" i="11"/>
  <c r="L587" i="11"/>
  <c r="M586" i="11"/>
  <c r="L586" i="11"/>
  <c r="M585" i="11"/>
  <c r="L585" i="11"/>
  <c r="M584" i="11"/>
  <c r="L584" i="11"/>
  <c r="M583" i="11"/>
  <c r="L583" i="11"/>
  <c r="M582" i="11"/>
  <c r="L582" i="11"/>
  <c r="M581" i="11"/>
  <c r="L581" i="11"/>
  <c r="M580" i="11"/>
  <c r="L580" i="11"/>
  <c r="M579" i="11"/>
  <c r="L579" i="11"/>
  <c r="M578" i="11"/>
  <c r="L578" i="11"/>
  <c r="M577" i="11"/>
  <c r="L577" i="11"/>
  <c r="M576" i="11"/>
  <c r="L576" i="11"/>
  <c r="M575" i="11"/>
  <c r="L575" i="11"/>
  <c r="M574" i="11"/>
  <c r="L574" i="11"/>
  <c r="M573" i="11"/>
  <c r="L573" i="11"/>
  <c r="M572" i="11"/>
  <c r="L572" i="11"/>
  <c r="M571" i="11"/>
  <c r="L571" i="11"/>
  <c r="M570" i="11"/>
  <c r="L570" i="11"/>
  <c r="M569" i="11"/>
  <c r="L569" i="11"/>
  <c r="M568" i="11"/>
  <c r="L568" i="11"/>
  <c r="M567" i="11"/>
  <c r="L567" i="11"/>
  <c r="M566" i="11"/>
  <c r="L566" i="11"/>
  <c r="M565" i="11"/>
  <c r="L565" i="11"/>
  <c r="M564" i="11"/>
  <c r="L564" i="11"/>
  <c r="M563" i="11"/>
  <c r="L563" i="11"/>
  <c r="M562" i="11"/>
  <c r="L562" i="11"/>
  <c r="M561" i="11"/>
  <c r="L561" i="11"/>
  <c r="M560" i="11"/>
  <c r="L560" i="11"/>
  <c r="M559" i="11"/>
  <c r="L559" i="11"/>
  <c r="M558" i="11"/>
  <c r="L558" i="11"/>
  <c r="M557" i="11"/>
  <c r="L557" i="11"/>
  <c r="M556" i="11"/>
  <c r="L556" i="11"/>
  <c r="M555" i="11"/>
  <c r="L555" i="11"/>
  <c r="M554" i="11"/>
  <c r="L554" i="11"/>
  <c r="M553" i="11"/>
  <c r="L553" i="11"/>
  <c r="M552" i="11"/>
  <c r="L552" i="11"/>
  <c r="M551" i="11"/>
  <c r="L551" i="11"/>
  <c r="M550" i="11"/>
  <c r="L550" i="11"/>
  <c r="M549" i="11"/>
  <c r="L549" i="11"/>
  <c r="M548" i="11"/>
  <c r="L548" i="11"/>
  <c r="M547" i="11"/>
  <c r="L547" i="11"/>
  <c r="M546" i="11"/>
  <c r="L546" i="11"/>
  <c r="M545" i="11"/>
  <c r="L545" i="11"/>
  <c r="M544" i="11"/>
  <c r="L544" i="11"/>
  <c r="M543" i="11"/>
  <c r="L543" i="11"/>
  <c r="M542" i="11"/>
  <c r="L542" i="11"/>
  <c r="M541" i="11"/>
  <c r="L541" i="11"/>
  <c r="M540" i="11"/>
  <c r="L540" i="11"/>
  <c r="M539" i="11"/>
  <c r="L539" i="11"/>
  <c r="M538" i="11"/>
  <c r="L538" i="11"/>
  <c r="M537" i="11"/>
  <c r="L537" i="11"/>
  <c r="M536" i="11"/>
  <c r="L536" i="11"/>
  <c r="M535" i="11"/>
  <c r="L535" i="11"/>
  <c r="M534" i="11"/>
  <c r="L534" i="11"/>
  <c r="M533" i="11"/>
  <c r="L533" i="11"/>
  <c r="M532" i="11"/>
  <c r="L532" i="11"/>
  <c r="M531" i="11"/>
  <c r="L531" i="11"/>
  <c r="M530" i="11"/>
  <c r="L530" i="11"/>
  <c r="M529" i="11"/>
  <c r="L529" i="11"/>
  <c r="M528" i="11"/>
  <c r="L528" i="11"/>
  <c r="M527" i="11"/>
  <c r="L527" i="11"/>
  <c r="M526" i="11"/>
  <c r="L526" i="11"/>
  <c r="M525" i="11"/>
  <c r="L525" i="11"/>
  <c r="M524" i="11"/>
  <c r="L524" i="11"/>
  <c r="M523" i="11"/>
  <c r="L523" i="11"/>
  <c r="M522" i="11"/>
  <c r="L522" i="11"/>
  <c r="M521" i="11"/>
  <c r="L521" i="11"/>
  <c r="M520" i="11"/>
  <c r="L520" i="11"/>
  <c r="M519" i="11"/>
  <c r="L519" i="11"/>
  <c r="M518" i="11"/>
  <c r="L518" i="11"/>
  <c r="M517" i="11"/>
  <c r="L517" i="11"/>
  <c r="M516" i="11"/>
  <c r="L516" i="11"/>
  <c r="M515" i="11"/>
  <c r="L515" i="11"/>
  <c r="M514" i="11"/>
  <c r="L514" i="11"/>
  <c r="M513" i="11"/>
  <c r="L513" i="11"/>
  <c r="M512" i="11"/>
  <c r="L512" i="11"/>
  <c r="M511" i="11"/>
  <c r="L511" i="11"/>
  <c r="M510" i="11"/>
  <c r="L510" i="11"/>
  <c r="M509" i="11"/>
  <c r="L509" i="11"/>
  <c r="M508" i="11"/>
  <c r="L508" i="11"/>
  <c r="M507" i="11"/>
  <c r="L507" i="11"/>
  <c r="M506" i="11"/>
  <c r="L506" i="11"/>
  <c r="M505" i="11"/>
  <c r="L505" i="11"/>
  <c r="M504" i="11"/>
  <c r="L504" i="11"/>
  <c r="M503" i="11"/>
  <c r="L503" i="11"/>
  <c r="M502" i="11"/>
  <c r="L502" i="11"/>
  <c r="M501" i="11"/>
  <c r="L501" i="11"/>
  <c r="M500" i="11"/>
  <c r="L500" i="11"/>
  <c r="M499" i="11"/>
  <c r="L499" i="11"/>
  <c r="M498" i="11"/>
  <c r="L498" i="11"/>
  <c r="M497" i="11"/>
  <c r="L497" i="11"/>
  <c r="M496" i="11"/>
  <c r="L496" i="11"/>
  <c r="M495" i="11"/>
  <c r="L495" i="11"/>
  <c r="M494" i="11"/>
  <c r="L494" i="11"/>
  <c r="M493" i="11"/>
  <c r="L493" i="11"/>
  <c r="M492" i="11"/>
  <c r="L492" i="11"/>
  <c r="M491" i="11"/>
  <c r="L491" i="11"/>
  <c r="M490" i="11"/>
  <c r="L490" i="11"/>
  <c r="M489" i="11"/>
  <c r="L489" i="11"/>
  <c r="M488" i="11"/>
  <c r="L488" i="11"/>
  <c r="M487" i="11"/>
  <c r="L487" i="11"/>
  <c r="M486" i="11"/>
  <c r="L486" i="11"/>
  <c r="M485" i="11"/>
  <c r="L485" i="11"/>
  <c r="M484" i="11"/>
  <c r="L484" i="11"/>
  <c r="M483" i="11"/>
  <c r="L483" i="11"/>
  <c r="M482" i="11"/>
  <c r="L482" i="11"/>
  <c r="M481" i="11"/>
  <c r="L481" i="11"/>
  <c r="M480" i="11"/>
  <c r="L480" i="11"/>
  <c r="M479" i="11"/>
  <c r="L479" i="11"/>
  <c r="M478" i="11"/>
  <c r="L478" i="11"/>
  <c r="M477" i="11"/>
  <c r="L477" i="11"/>
  <c r="M476" i="11"/>
  <c r="L476" i="11"/>
  <c r="M475" i="11"/>
  <c r="L475" i="11"/>
  <c r="M474" i="11"/>
  <c r="L474" i="11"/>
  <c r="M473" i="11"/>
  <c r="L473" i="11"/>
  <c r="M472" i="11"/>
  <c r="L472" i="11"/>
  <c r="M471" i="11"/>
  <c r="L471" i="11"/>
  <c r="M470" i="11"/>
  <c r="L470" i="11"/>
  <c r="M469" i="11"/>
  <c r="L469" i="11"/>
  <c r="M468" i="11"/>
  <c r="L468" i="11"/>
  <c r="M467" i="11"/>
  <c r="L467" i="11"/>
  <c r="M466" i="11"/>
  <c r="L466" i="11"/>
  <c r="M465" i="11"/>
  <c r="L465" i="11"/>
  <c r="M464" i="11"/>
  <c r="L464" i="11"/>
  <c r="M463" i="11"/>
  <c r="L463" i="11"/>
  <c r="M462" i="11"/>
  <c r="L462" i="11"/>
  <c r="M461" i="11"/>
  <c r="L461" i="11"/>
  <c r="M460" i="11"/>
  <c r="L460" i="11"/>
  <c r="M459" i="11"/>
  <c r="L459" i="11"/>
  <c r="M458" i="11"/>
  <c r="L458" i="11"/>
  <c r="M457" i="11"/>
  <c r="L457" i="11"/>
  <c r="M456" i="11"/>
  <c r="L456" i="11"/>
  <c r="M455" i="11"/>
  <c r="L455" i="11"/>
  <c r="M454" i="11"/>
  <c r="L454" i="11"/>
  <c r="M453" i="11"/>
  <c r="L453" i="11"/>
  <c r="M452" i="11"/>
  <c r="L452" i="11"/>
  <c r="M451" i="11"/>
  <c r="L451" i="11"/>
  <c r="M450" i="11"/>
  <c r="L450" i="11"/>
  <c r="M449" i="11"/>
  <c r="L449" i="11"/>
  <c r="M448" i="11"/>
  <c r="L448" i="11"/>
  <c r="M447" i="11"/>
  <c r="L447" i="11"/>
  <c r="M446" i="11"/>
  <c r="L446" i="11"/>
  <c r="M445" i="11"/>
  <c r="L445" i="11"/>
  <c r="M444" i="11"/>
  <c r="L444" i="11"/>
  <c r="M443" i="11"/>
  <c r="L443" i="11"/>
  <c r="M442" i="11"/>
  <c r="L442" i="11"/>
  <c r="M441" i="11"/>
  <c r="L441" i="11"/>
  <c r="M440" i="11"/>
  <c r="L440" i="11"/>
  <c r="M439" i="11"/>
  <c r="L439" i="11"/>
  <c r="M438" i="11"/>
  <c r="L438" i="11"/>
  <c r="M437" i="11"/>
  <c r="L437" i="11"/>
  <c r="M436" i="11"/>
  <c r="L436" i="11"/>
  <c r="M435" i="11"/>
  <c r="L435" i="11"/>
  <c r="M434" i="11"/>
  <c r="L434" i="11"/>
  <c r="M433" i="11"/>
  <c r="L433" i="11"/>
  <c r="M432" i="11"/>
  <c r="L432" i="11"/>
  <c r="M431" i="11"/>
  <c r="L431" i="11"/>
  <c r="M430" i="11"/>
  <c r="L430" i="11"/>
  <c r="M429" i="11"/>
  <c r="L429" i="11"/>
  <c r="M428" i="11"/>
  <c r="L428" i="11"/>
  <c r="M427" i="11"/>
  <c r="L427" i="11"/>
  <c r="M426" i="11"/>
  <c r="L426" i="11"/>
  <c r="M425" i="11"/>
  <c r="L425" i="11"/>
  <c r="M424" i="11"/>
  <c r="L424" i="11"/>
  <c r="M423" i="11"/>
  <c r="L423" i="11"/>
  <c r="M422" i="11"/>
  <c r="L422" i="11"/>
  <c r="M421" i="11"/>
  <c r="L421" i="11"/>
  <c r="M420" i="11"/>
  <c r="L420" i="11"/>
  <c r="M419" i="11"/>
  <c r="L419" i="11"/>
  <c r="M418" i="11"/>
  <c r="L418" i="11"/>
  <c r="M417" i="11"/>
  <c r="L417" i="11"/>
  <c r="M416" i="11"/>
  <c r="L416" i="11"/>
  <c r="M415" i="11"/>
  <c r="L415" i="11"/>
  <c r="M414" i="11"/>
  <c r="L414" i="11"/>
  <c r="M413" i="11"/>
  <c r="L413" i="11"/>
  <c r="M412" i="11"/>
  <c r="L412" i="11"/>
  <c r="M411" i="11"/>
  <c r="L411" i="11"/>
  <c r="M410" i="11"/>
  <c r="L410" i="11"/>
  <c r="M409" i="11"/>
  <c r="L409" i="11"/>
  <c r="M408" i="11"/>
  <c r="L408" i="11"/>
  <c r="M407" i="11"/>
  <c r="L407" i="11"/>
  <c r="M406" i="11"/>
  <c r="L406" i="11"/>
  <c r="M405" i="11"/>
  <c r="L405" i="11"/>
  <c r="M404" i="11"/>
  <c r="L404" i="11"/>
  <c r="M403" i="11"/>
  <c r="L403" i="11"/>
  <c r="M402" i="11"/>
  <c r="L402" i="11"/>
  <c r="M401" i="11"/>
  <c r="L401" i="11"/>
  <c r="M400" i="11"/>
  <c r="L400" i="11"/>
  <c r="M399" i="11"/>
  <c r="L399" i="11"/>
  <c r="M398" i="11"/>
  <c r="L398" i="11"/>
  <c r="M397" i="11"/>
  <c r="L397" i="11"/>
  <c r="M396" i="11"/>
  <c r="L396" i="11"/>
  <c r="M395" i="11"/>
  <c r="L395" i="11"/>
  <c r="M394" i="11"/>
  <c r="L394" i="11"/>
  <c r="M393" i="11"/>
  <c r="L393" i="11"/>
  <c r="M392" i="11"/>
  <c r="L392" i="11"/>
  <c r="M391" i="11"/>
  <c r="L391" i="11"/>
  <c r="M390" i="11"/>
  <c r="L390" i="11"/>
  <c r="M389" i="11"/>
  <c r="L389" i="11"/>
  <c r="M388" i="11"/>
  <c r="L388" i="11"/>
  <c r="M387" i="11"/>
  <c r="L387" i="11"/>
  <c r="M386" i="11"/>
  <c r="L386" i="11"/>
  <c r="M385" i="11"/>
  <c r="L385" i="11"/>
  <c r="M384" i="11"/>
  <c r="L384" i="11"/>
  <c r="M383" i="11"/>
  <c r="L383" i="11"/>
  <c r="M382" i="11"/>
  <c r="L382" i="11"/>
  <c r="M381" i="11"/>
  <c r="L381" i="11"/>
  <c r="M380" i="11"/>
  <c r="L380" i="11"/>
  <c r="M379" i="11"/>
  <c r="L379" i="11"/>
  <c r="M378" i="11"/>
  <c r="L378" i="11"/>
  <c r="M377" i="11"/>
  <c r="L377" i="11"/>
  <c r="M376" i="11"/>
  <c r="L376" i="11"/>
  <c r="M375" i="11"/>
  <c r="L375" i="11"/>
  <c r="M374" i="11"/>
  <c r="L374" i="11"/>
  <c r="M373" i="11"/>
  <c r="L373" i="11"/>
  <c r="M372" i="11"/>
  <c r="L372" i="11"/>
  <c r="M371" i="11"/>
  <c r="L371" i="11"/>
  <c r="M370" i="11"/>
  <c r="L370" i="11"/>
  <c r="M369" i="11"/>
  <c r="L369" i="11"/>
  <c r="M368" i="11"/>
  <c r="L368" i="11"/>
  <c r="M367" i="11"/>
  <c r="L367" i="11"/>
  <c r="M366" i="11"/>
  <c r="L366" i="11"/>
  <c r="M365" i="11"/>
  <c r="L365" i="11"/>
  <c r="M364" i="11"/>
  <c r="L364" i="11"/>
  <c r="M363" i="11"/>
  <c r="L363" i="11"/>
  <c r="M362" i="11"/>
  <c r="L362" i="11"/>
  <c r="M361" i="11"/>
  <c r="L361" i="11"/>
  <c r="M360" i="11"/>
  <c r="L360" i="11"/>
  <c r="M359" i="11"/>
  <c r="L359" i="11"/>
  <c r="M358" i="11"/>
  <c r="L358" i="11"/>
  <c r="M357" i="11"/>
  <c r="L357" i="11"/>
  <c r="M356" i="11"/>
  <c r="L356" i="11"/>
  <c r="M355" i="11"/>
  <c r="L355" i="11"/>
  <c r="M354" i="11"/>
  <c r="L354" i="11"/>
  <c r="M353" i="11"/>
  <c r="L353" i="11"/>
  <c r="M352" i="11"/>
  <c r="L352" i="11"/>
  <c r="M351" i="11"/>
  <c r="L351" i="11"/>
  <c r="M350" i="11"/>
  <c r="L350" i="11"/>
  <c r="M349" i="11"/>
  <c r="L349" i="11"/>
  <c r="M348" i="11"/>
  <c r="L348" i="11"/>
  <c r="M347" i="11"/>
  <c r="L347" i="11"/>
  <c r="M346" i="11"/>
  <c r="L346" i="11"/>
  <c r="M345" i="11"/>
  <c r="L345" i="11"/>
  <c r="M344" i="11"/>
  <c r="L344" i="11"/>
  <c r="M343" i="11"/>
  <c r="L343" i="11"/>
  <c r="M342" i="11"/>
  <c r="L342" i="11"/>
  <c r="M341" i="11"/>
  <c r="L341" i="11"/>
  <c r="M340" i="11"/>
  <c r="L340" i="11"/>
  <c r="M339" i="11"/>
  <c r="L339" i="11"/>
  <c r="M338" i="11"/>
  <c r="L338" i="11"/>
  <c r="M337" i="11"/>
  <c r="L337" i="11"/>
  <c r="M336" i="11"/>
  <c r="L336" i="11"/>
  <c r="M335" i="11"/>
  <c r="L335" i="11"/>
  <c r="M334" i="11"/>
  <c r="L334" i="11"/>
  <c r="M333" i="11"/>
  <c r="L333" i="11"/>
  <c r="M332" i="11"/>
  <c r="L332" i="11"/>
  <c r="M331" i="11"/>
  <c r="L331" i="11"/>
  <c r="M330" i="11"/>
  <c r="L330" i="11"/>
  <c r="M329" i="11"/>
  <c r="L329" i="11"/>
  <c r="M328" i="11"/>
  <c r="L328" i="11"/>
  <c r="M327" i="11"/>
  <c r="L327" i="11"/>
  <c r="M326" i="11"/>
  <c r="L326" i="11"/>
  <c r="M325" i="11"/>
  <c r="L325" i="11"/>
  <c r="M324" i="11"/>
  <c r="L324" i="11"/>
  <c r="M323" i="11"/>
  <c r="L323" i="11"/>
  <c r="M322" i="11"/>
  <c r="L322" i="11"/>
  <c r="M321" i="11"/>
  <c r="L321" i="11"/>
  <c r="M320" i="11"/>
  <c r="L320" i="11"/>
  <c r="M319" i="11"/>
  <c r="L319" i="11"/>
  <c r="M318" i="11"/>
  <c r="L318" i="11"/>
  <c r="M317" i="11"/>
  <c r="L317" i="11"/>
  <c r="M316" i="11"/>
  <c r="L316" i="11"/>
  <c r="M315" i="11"/>
  <c r="L315" i="11"/>
  <c r="M314" i="11"/>
  <c r="L314" i="11"/>
  <c r="M313" i="11"/>
  <c r="L313" i="11"/>
  <c r="M312" i="11"/>
  <c r="L312" i="11"/>
  <c r="M311" i="11"/>
  <c r="L311" i="11"/>
  <c r="M310" i="11"/>
  <c r="L310" i="11"/>
  <c r="M309" i="11"/>
  <c r="L309" i="11"/>
  <c r="M308" i="11"/>
  <c r="L308" i="11"/>
  <c r="M307" i="11"/>
  <c r="L307" i="11"/>
  <c r="M306" i="11"/>
  <c r="L306" i="11"/>
  <c r="M305" i="11"/>
  <c r="L305" i="11"/>
  <c r="M304" i="11"/>
  <c r="L304" i="11"/>
  <c r="M303" i="11"/>
  <c r="L303" i="11"/>
  <c r="M302" i="11"/>
  <c r="L302" i="11"/>
  <c r="M301" i="11"/>
  <c r="L301" i="11"/>
  <c r="M300" i="11"/>
  <c r="L300" i="11"/>
  <c r="M299" i="11"/>
  <c r="L299" i="11"/>
  <c r="M298" i="11"/>
  <c r="L298" i="11"/>
  <c r="M297" i="11"/>
  <c r="L297" i="11"/>
  <c r="M296" i="11"/>
  <c r="L296" i="11"/>
  <c r="M295" i="11"/>
  <c r="L295" i="11"/>
  <c r="M294" i="11"/>
  <c r="L294" i="11"/>
  <c r="M293" i="11"/>
  <c r="L293" i="11"/>
  <c r="M292" i="11"/>
  <c r="L292" i="11"/>
  <c r="M291" i="11"/>
  <c r="L291" i="11"/>
  <c r="M290" i="11"/>
  <c r="L290" i="11"/>
  <c r="M289" i="11"/>
  <c r="L289" i="11"/>
  <c r="M288" i="11"/>
  <c r="L288" i="11"/>
  <c r="M287" i="11"/>
  <c r="L287" i="11"/>
  <c r="M286" i="11"/>
  <c r="L286" i="11"/>
  <c r="M285" i="11"/>
  <c r="L285" i="11"/>
  <c r="M284" i="11"/>
  <c r="L284" i="11"/>
  <c r="M283" i="11"/>
  <c r="L283" i="11"/>
  <c r="M282" i="11"/>
  <c r="L282" i="11"/>
  <c r="M281" i="11"/>
  <c r="L281" i="11"/>
  <c r="M280" i="11"/>
  <c r="L280" i="11"/>
  <c r="M279" i="11"/>
  <c r="L279" i="11"/>
  <c r="M278" i="11"/>
  <c r="L278" i="11"/>
  <c r="M277" i="11"/>
  <c r="L277" i="11"/>
  <c r="M276" i="11"/>
  <c r="L276" i="11"/>
  <c r="M275" i="11"/>
  <c r="L275" i="11"/>
  <c r="M274" i="11"/>
  <c r="L274" i="11"/>
  <c r="M273" i="11"/>
  <c r="L273" i="11"/>
  <c r="M272" i="11"/>
  <c r="L272" i="11"/>
  <c r="M271" i="11"/>
  <c r="L271" i="11"/>
  <c r="M270" i="11"/>
  <c r="L270" i="11"/>
  <c r="M269" i="11"/>
  <c r="L269" i="11"/>
  <c r="M268" i="11"/>
  <c r="L268" i="11"/>
  <c r="M267" i="11"/>
  <c r="L267" i="11"/>
  <c r="M266" i="11"/>
  <c r="L266" i="11"/>
  <c r="M265" i="11"/>
  <c r="L265" i="11"/>
  <c r="M264" i="11"/>
  <c r="L264" i="11"/>
  <c r="M263" i="11"/>
  <c r="L263" i="11"/>
  <c r="M262" i="11"/>
  <c r="L262" i="11"/>
  <c r="M261" i="11"/>
  <c r="L261" i="11"/>
  <c r="M260" i="11"/>
  <c r="L260" i="11"/>
  <c r="M259" i="11"/>
  <c r="L259" i="11"/>
  <c r="M258" i="11"/>
  <c r="L258" i="11"/>
  <c r="M257" i="11"/>
  <c r="L257" i="11"/>
  <c r="M256" i="11"/>
  <c r="L256" i="11"/>
  <c r="M255" i="11"/>
  <c r="L255" i="11"/>
  <c r="M254" i="11"/>
  <c r="L254" i="11"/>
  <c r="M253" i="11"/>
  <c r="L253" i="11"/>
  <c r="M252" i="11"/>
  <c r="L252" i="11"/>
  <c r="M251" i="11"/>
  <c r="L251" i="11"/>
  <c r="M250" i="11"/>
  <c r="L250" i="11"/>
  <c r="M249" i="11"/>
  <c r="L249" i="11"/>
  <c r="M248" i="11"/>
  <c r="L248" i="11"/>
  <c r="M247" i="11"/>
  <c r="L247" i="11"/>
  <c r="M246" i="11"/>
  <c r="L246" i="11"/>
  <c r="M245" i="11"/>
  <c r="L245" i="11"/>
  <c r="M244" i="11"/>
  <c r="L244" i="11"/>
  <c r="M243" i="11"/>
  <c r="L243" i="11"/>
  <c r="M242" i="11"/>
  <c r="L242" i="11"/>
  <c r="M241" i="11"/>
  <c r="L241" i="11"/>
  <c r="M240" i="11"/>
  <c r="L240" i="11"/>
  <c r="M239" i="11"/>
  <c r="L239" i="11"/>
  <c r="M238" i="11"/>
  <c r="L238" i="11"/>
  <c r="M237" i="11"/>
  <c r="L237" i="11"/>
  <c r="M236" i="11"/>
  <c r="L236" i="11"/>
  <c r="M235" i="11"/>
  <c r="L235" i="11"/>
  <c r="M234" i="11"/>
  <c r="L234" i="11"/>
  <c r="M233" i="11"/>
  <c r="L233" i="11"/>
  <c r="M232" i="11"/>
  <c r="L232" i="11"/>
  <c r="M231" i="11"/>
  <c r="L231" i="11"/>
  <c r="M230" i="11"/>
  <c r="L230" i="11"/>
  <c r="M229" i="11"/>
  <c r="L229" i="11"/>
  <c r="M228" i="11"/>
  <c r="L228" i="11"/>
  <c r="M227" i="11"/>
  <c r="L227" i="11"/>
  <c r="M226" i="11"/>
  <c r="L226" i="11"/>
  <c r="M225" i="11"/>
  <c r="L225" i="11"/>
  <c r="M224" i="11"/>
  <c r="L224" i="11"/>
  <c r="M223" i="11"/>
  <c r="L223" i="11"/>
  <c r="M222" i="11"/>
  <c r="L222" i="11"/>
  <c r="M221" i="11"/>
  <c r="L221" i="11"/>
  <c r="M220" i="11"/>
  <c r="L220" i="11"/>
  <c r="M219" i="11"/>
  <c r="L219" i="11"/>
  <c r="M218" i="11"/>
  <c r="L218" i="11"/>
  <c r="M217" i="11"/>
  <c r="L217" i="11"/>
  <c r="M216" i="11"/>
  <c r="L216" i="11"/>
  <c r="M215" i="11"/>
  <c r="L215" i="11"/>
  <c r="M214" i="11"/>
  <c r="L214" i="11"/>
  <c r="M213" i="11"/>
  <c r="L213" i="11"/>
  <c r="M212" i="11"/>
  <c r="L212" i="11"/>
  <c r="M211" i="11"/>
  <c r="L211" i="11"/>
  <c r="M210" i="11"/>
  <c r="L210" i="11"/>
  <c r="M209" i="11"/>
  <c r="L209" i="11"/>
  <c r="M208" i="11"/>
  <c r="L208" i="11"/>
  <c r="M207" i="11"/>
  <c r="L207" i="11"/>
  <c r="M206" i="11"/>
  <c r="L206" i="11"/>
  <c r="M205" i="11"/>
  <c r="L205" i="11"/>
  <c r="M204" i="11"/>
  <c r="L204" i="11"/>
  <c r="M203" i="11"/>
  <c r="L203" i="11"/>
  <c r="M202" i="11"/>
  <c r="L202" i="11"/>
  <c r="M201" i="11"/>
  <c r="L201" i="11"/>
  <c r="M200" i="11"/>
  <c r="L200" i="11"/>
  <c r="M199" i="11"/>
  <c r="L199" i="11"/>
  <c r="M198" i="11"/>
  <c r="L198" i="11"/>
  <c r="M197" i="11"/>
  <c r="L197" i="11"/>
  <c r="M196" i="11"/>
  <c r="L196" i="11"/>
  <c r="M195" i="11"/>
  <c r="L195" i="11"/>
  <c r="M194" i="11"/>
  <c r="L194" i="11"/>
  <c r="M193" i="11"/>
  <c r="L193" i="11"/>
  <c r="M192" i="11"/>
  <c r="L192" i="11"/>
  <c r="M191" i="11"/>
  <c r="L191" i="11"/>
  <c r="M190" i="11"/>
  <c r="L190" i="11"/>
  <c r="M189" i="11"/>
  <c r="L189" i="11"/>
  <c r="M188" i="11"/>
  <c r="L188" i="11"/>
  <c r="M187" i="11"/>
  <c r="L187" i="11"/>
  <c r="M186" i="11"/>
  <c r="L186" i="11"/>
  <c r="M185" i="11"/>
  <c r="L185" i="11"/>
  <c r="M184" i="11"/>
  <c r="L184" i="11"/>
  <c r="M183" i="11"/>
  <c r="L183" i="11"/>
  <c r="M182" i="11"/>
  <c r="L182" i="11"/>
  <c r="M181" i="11"/>
  <c r="L181" i="11"/>
  <c r="M180" i="11"/>
  <c r="L180" i="11"/>
  <c r="M179" i="11"/>
  <c r="L179" i="11"/>
  <c r="M178" i="11"/>
  <c r="L178" i="11"/>
  <c r="M177" i="11"/>
  <c r="L177" i="11"/>
  <c r="M176" i="11"/>
  <c r="L176" i="11"/>
  <c r="M175" i="11"/>
  <c r="L175" i="11"/>
  <c r="M174" i="11"/>
  <c r="L174" i="11"/>
  <c r="M173" i="11"/>
  <c r="L173" i="11"/>
  <c r="M172" i="11"/>
  <c r="L172" i="11"/>
  <c r="M171" i="11"/>
  <c r="L171" i="11"/>
  <c r="M170" i="11"/>
  <c r="L170" i="11"/>
  <c r="M169" i="11"/>
  <c r="L169" i="11"/>
  <c r="M168" i="11"/>
  <c r="L168" i="11"/>
  <c r="M167" i="11"/>
  <c r="L167" i="11"/>
  <c r="M166" i="11"/>
  <c r="L166" i="11"/>
  <c r="M165" i="11"/>
  <c r="L165" i="11"/>
  <c r="M164" i="11"/>
  <c r="L164" i="11"/>
  <c r="M163" i="11"/>
  <c r="L163" i="11"/>
  <c r="M162" i="11"/>
  <c r="L162" i="11"/>
  <c r="M161" i="11"/>
  <c r="L161" i="11"/>
  <c r="M160" i="11"/>
  <c r="L160" i="11"/>
  <c r="M159" i="11"/>
  <c r="L159" i="11"/>
  <c r="M158" i="11"/>
  <c r="L158" i="11"/>
  <c r="M157" i="11"/>
  <c r="L157" i="11"/>
  <c r="M156" i="11"/>
  <c r="L156" i="11"/>
  <c r="M155" i="11"/>
  <c r="L155" i="11"/>
  <c r="M154" i="11"/>
  <c r="L154" i="11"/>
  <c r="M153" i="11"/>
  <c r="L153" i="11"/>
  <c r="M152" i="11"/>
  <c r="L152" i="11"/>
  <c r="M151" i="11"/>
  <c r="L151" i="11"/>
  <c r="M150" i="11"/>
  <c r="L150" i="11"/>
  <c r="M149" i="11"/>
  <c r="L149" i="11"/>
  <c r="M148" i="11"/>
  <c r="L148" i="11"/>
  <c r="M147" i="11"/>
  <c r="L147" i="11"/>
  <c r="M146" i="11"/>
  <c r="L146" i="11"/>
  <c r="M145" i="11"/>
  <c r="L145" i="11"/>
  <c r="M144" i="11"/>
  <c r="L144" i="11"/>
  <c r="M143" i="11"/>
  <c r="L143" i="11"/>
  <c r="M142" i="11"/>
  <c r="L142" i="11"/>
  <c r="M141" i="11"/>
  <c r="L141" i="11"/>
  <c r="M140" i="11"/>
  <c r="L140" i="11"/>
  <c r="M139" i="11"/>
  <c r="L139" i="11"/>
  <c r="M138" i="11"/>
  <c r="L138" i="11"/>
  <c r="M137" i="11"/>
  <c r="L137" i="11"/>
  <c r="M136" i="11"/>
  <c r="L136" i="11"/>
  <c r="M135" i="11"/>
  <c r="L135" i="11"/>
  <c r="M134" i="11"/>
  <c r="L134" i="11"/>
  <c r="M133" i="11"/>
  <c r="L133" i="11"/>
  <c r="M132" i="11"/>
  <c r="L132" i="11"/>
  <c r="M131" i="11"/>
  <c r="L131" i="11"/>
  <c r="M130" i="11"/>
  <c r="L130" i="11"/>
  <c r="M129" i="11"/>
  <c r="L129" i="11"/>
  <c r="M128" i="11"/>
  <c r="L128" i="11"/>
  <c r="M127" i="11"/>
  <c r="L127" i="11"/>
  <c r="M126" i="11"/>
  <c r="L126" i="11"/>
  <c r="M125" i="11"/>
  <c r="L125" i="11"/>
  <c r="M124" i="11"/>
  <c r="L124" i="11"/>
  <c r="M123" i="11"/>
  <c r="L123" i="11"/>
  <c r="M122" i="11"/>
  <c r="L122" i="11"/>
  <c r="M121" i="11"/>
  <c r="L121" i="11"/>
  <c r="M120" i="11"/>
  <c r="L120" i="11"/>
  <c r="M119" i="11"/>
  <c r="L119" i="11"/>
  <c r="M118" i="11"/>
  <c r="L118" i="11"/>
  <c r="M117" i="11"/>
  <c r="L117" i="11"/>
  <c r="M116" i="11"/>
  <c r="L116" i="11"/>
  <c r="M115" i="11"/>
  <c r="L115" i="11"/>
  <c r="M114" i="11"/>
  <c r="L114" i="11"/>
  <c r="M113" i="11"/>
  <c r="L113" i="11"/>
  <c r="M112" i="11"/>
  <c r="L112" i="11"/>
  <c r="M111" i="11"/>
  <c r="L111" i="11"/>
  <c r="M110" i="11"/>
  <c r="L110" i="11"/>
  <c r="M109" i="11"/>
  <c r="L109" i="11"/>
  <c r="M108" i="11"/>
  <c r="L108" i="11"/>
  <c r="M107" i="11"/>
  <c r="L107" i="11"/>
  <c r="M106" i="11"/>
  <c r="L106" i="11"/>
  <c r="M105" i="11"/>
  <c r="L105" i="11"/>
  <c r="M104" i="11"/>
  <c r="L104" i="11"/>
  <c r="M103" i="11"/>
  <c r="L103" i="11"/>
  <c r="M102" i="11"/>
  <c r="L102" i="11"/>
  <c r="M101" i="11"/>
  <c r="L101" i="11"/>
  <c r="M100" i="11"/>
  <c r="L100" i="11"/>
  <c r="M99" i="11"/>
  <c r="L99" i="11"/>
  <c r="M98" i="11"/>
  <c r="L98" i="11"/>
  <c r="M97" i="11"/>
  <c r="L97" i="11"/>
  <c r="M96" i="11"/>
  <c r="L96" i="11"/>
  <c r="M95" i="11"/>
  <c r="L95" i="11"/>
  <c r="M94" i="11"/>
  <c r="L94" i="11"/>
  <c r="M93" i="11"/>
  <c r="L93" i="11"/>
  <c r="M92" i="11"/>
  <c r="L92" i="11"/>
  <c r="M91" i="11"/>
  <c r="L91" i="11"/>
  <c r="M90" i="11"/>
  <c r="L90" i="11"/>
  <c r="M89" i="11"/>
  <c r="L89" i="11"/>
  <c r="M88" i="11"/>
  <c r="L88" i="11"/>
  <c r="M87" i="11"/>
  <c r="L87" i="11"/>
  <c r="M86" i="11"/>
  <c r="L86" i="11"/>
  <c r="M85" i="11"/>
  <c r="L85" i="11"/>
  <c r="M84" i="11"/>
  <c r="L84" i="11"/>
  <c r="M83" i="11"/>
  <c r="L83" i="11"/>
  <c r="M82" i="11"/>
  <c r="L82" i="11"/>
  <c r="M81" i="11"/>
  <c r="L81" i="11"/>
  <c r="M80" i="11"/>
  <c r="L80" i="11"/>
  <c r="M79" i="11"/>
  <c r="L79" i="11"/>
  <c r="M78" i="11"/>
  <c r="L78" i="11"/>
  <c r="M77" i="11"/>
  <c r="L77" i="11"/>
  <c r="M76" i="11"/>
  <c r="L76" i="11"/>
  <c r="M75" i="11"/>
  <c r="L75" i="11"/>
  <c r="M74" i="11"/>
  <c r="L74" i="11"/>
  <c r="M73" i="11"/>
  <c r="L73" i="11"/>
  <c r="M72" i="11"/>
  <c r="L72" i="11"/>
  <c r="M71" i="11"/>
  <c r="L71" i="11"/>
  <c r="M70" i="11"/>
  <c r="L70" i="11"/>
  <c r="M69" i="11"/>
  <c r="L69" i="11"/>
  <c r="M68" i="11"/>
  <c r="L68" i="11"/>
  <c r="M67" i="11"/>
  <c r="L67" i="11"/>
  <c r="M66" i="11"/>
  <c r="L66" i="11"/>
  <c r="M65" i="11"/>
  <c r="L65" i="11"/>
  <c r="M64" i="11"/>
  <c r="L64" i="11"/>
  <c r="M63" i="11"/>
  <c r="L63" i="11"/>
  <c r="M62" i="11"/>
  <c r="L62" i="11"/>
  <c r="M61" i="11"/>
  <c r="L61" i="11"/>
  <c r="M60" i="11"/>
  <c r="L60" i="11"/>
  <c r="M59" i="11"/>
  <c r="L59" i="11"/>
  <c r="M58" i="11"/>
  <c r="L58" i="11"/>
  <c r="M57" i="11"/>
  <c r="L57" i="11"/>
  <c r="M56" i="11"/>
  <c r="L56" i="11"/>
  <c r="M55" i="11"/>
  <c r="L55" i="11"/>
  <c r="M54" i="11"/>
  <c r="L54" i="11"/>
  <c r="M53" i="11"/>
  <c r="L53" i="11"/>
  <c r="M52" i="11"/>
  <c r="L52" i="11"/>
  <c r="M51" i="11"/>
  <c r="L51" i="11"/>
  <c r="M50" i="11"/>
  <c r="L50" i="11"/>
  <c r="M49" i="11"/>
  <c r="L49" i="11"/>
  <c r="M48" i="11"/>
  <c r="L48" i="11"/>
  <c r="M47" i="11"/>
  <c r="L47" i="11"/>
  <c r="M46" i="11"/>
  <c r="L46" i="11"/>
  <c r="M45" i="11"/>
  <c r="L45" i="11"/>
  <c r="M44" i="11"/>
  <c r="L44" i="11"/>
  <c r="M43" i="11"/>
  <c r="L43" i="11"/>
  <c r="M42" i="11"/>
  <c r="L42" i="11"/>
  <c r="M41" i="11"/>
  <c r="L41" i="11"/>
  <c r="M40" i="11"/>
  <c r="L40" i="11"/>
  <c r="M39" i="11"/>
  <c r="L39" i="11"/>
  <c r="M38" i="11"/>
  <c r="L38" i="11"/>
  <c r="M37" i="11"/>
  <c r="L37" i="11"/>
  <c r="M36" i="11"/>
  <c r="L36" i="11"/>
  <c r="M35" i="11"/>
  <c r="L35" i="11"/>
  <c r="M34" i="11"/>
  <c r="L34" i="11"/>
  <c r="M33" i="11"/>
  <c r="L33" i="11"/>
  <c r="M32" i="11"/>
  <c r="L32" i="11"/>
  <c r="M31" i="11"/>
  <c r="L31" i="11"/>
  <c r="M30" i="11"/>
  <c r="L30" i="11"/>
  <c r="M29" i="11"/>
  <c r="L29" i="11"/>
  <c r="M28" i="11"/>
  <c r="L28" i="11"/>
  <c r="M27" i="11"/>
  <c r="L27" i="11"/>
  <c r="M26" i="11"/>
  <c r="L26" i="11"/>
  <c r="M25" i="11"/>
  <c r="L25" i="11"/>
  <c r="M24" i="11"/>
  <c r="L24" i="11"/>
  <c r="M23" i="11"/>
  <c r="L23" i="11"/>
  <c r="M22" i="11"/>
  <c r="L22" i="11"/>
  <c r="M21" i="11"/>
  <c r="L21" i="11"/>
  <c r="M20" i="11"/>
  <c r="L20" i="11"/>
  <c r="M19" i="11"/>
  <c r="L19" i="11"/>
  <c r="M18" i="11"/>
  <c r="L18" i="11"/>
  <c r="M17" i="11"/>
  <c r="L17" i="11"/>
  <c r="M16" i="11"/>
  <c r="L16" i="11"/>
  <c r="M15" i="11"/>
  <c r="L15" i="11"/>
  <c r="M14" i="11"/>
  <c r="L14" i="11"/>
  <c r="M13" i="11"/>
  <c r="L13" i="11"/>
  <c r="M12" i="11"/>
  <c r="L12" i="11"/>
  <c r="M11" i="11"/>
  <c r="L11" i="11"/>
  <c r="M10" i="11"/>
  <c r="L10" i="11"/>
  <c r="M9" i="11"/>
  <c r="L9" i="11"/>
  <c r="M8" i="11"/>
  <c r="L8" i="11"/>
  <c r="M7" i="11"/>
  <c r="L7" i="11"/>
  <c r="M6" i="11"/>
  <c r="L6" i="11"/>
  <c r="M5" i="11"/>
  <c r="L5" i="11"/>
  <c r="M4" i="11"/>
  <c r="L4" i="11"/>
  <c r="M3" i="11"/>
  <c r="L3" i="11"/>
  <c r="M2" i="11"/>
  <c r="L2" i="11"/>
  <c r="A15" i="3"/>
  <c r="A14" i="3"/>
  <c r="A13" i="3"/>
  <c r="A11" i="3"/>
  <c r="J19" i="14"/>
  <c r="AA17" i="3"/>
  <c r="AN17" i="3" s="1"/>
  <c r="E1" i="32"/>
  <c r="W241" i="1"/>
  <c r="W240" i="1"/>
  <c r="W49" i="1"/>
  <c r="AB89" i="1"/>
  <c r="AA89" i="1"/>
  <c r="Z89" i="1"/>
  <c r="Y89" i="1"/>
  <c r="C1" i="3"/>
  <c r="Z17" i="3"/>
  <c r="AE17" i="3"/>
  <c r="AM17" i="3"/>
  <c r="B180" i="1"/>
  <c r="B21" i="31" s="1"/>
  <c r="AB239" i="1"/>
  <c r="AA239" i="1"/>
  <c r="Z239" i="1"/>
  <c r="U245" i="1" s="1"/>
  <c r="Y239" i="1"/>
  <c r="AB219" i="1"/>
  <c r="AA219" i="1"/>
  <c r="Z219" i="1"/>
  <c r="Y219" i="1"/>
  <c r="AB128" i="1"/>
  <c r="AA128" i="1"/>
  <c r="Z128" i="1"/>
  <c r="Y128" i="1"/>
  <c r="AB107" i="1"/>
  <c r="AA107" i="1"/>
  <c r="Z107" i="1"/>
  <c r="Y107" i="1"/>
  <c r="AB72" i="1"/>
  <c r="AA72" i="1"/>
  <c r="Z72" i="1"/>
  <c r="Y72" i="1"/>
  <c r="AB58" i="1"/>
  <c r="N69" i="1" s="1"/>
  <c r="AA58" i="1"/>
  <c r="N68" i="1" s="1"/>
  <c r="Z58" i="1"/>
  <c r="Y58" i="1"/>
  <c r="Q66" i="1" s="1"/>
  <c r="AB38" i="1"/>
  <c r="R55" i="1" s="1"/>
  <c r="AA38" i="1"/>
  <c r="Z38" i="1"/>
  <c r="Y38" i="1"/>
  <c r="AB11" i="1"/>
  <c r="AA11" i="1"/>
  <c r="Z11" i="1"/>
  <c r="Y11" i="1"/>
  <c r="O55" i="1"/>
  <c r="O8" i="34" l="1"/>
  <c r="G20" i="32"/>
  <c r="H179" i="1"/>
  <c r="E14" i="32"/>
  <c r="F37" i="1"/>
  <c r="D21" i="32"/>
  <c r="E202" i="1"/>
  <c r="I14" i="32"/>
  <c r="J37" i="1"/>
  <c r="I23" i="32"/>
  <c r="J57" i="1"/>
  <c r="T21" i="32"/>
  <c r="U202" i="1"/>
  <c r="H21" i="32"/>
  <c r="I202" i="1"/>
  <c r="T246" i="1"/>
  <c r="L20" i="32"/>
  <c r="M179" i="1"/>
  <c r="P20" i="32"/>
  <c r="Q179" i="1"/>
  <c r="B14" i="32"/>
  <c r="C37" i="1"/>
  <c r="F23" i="32"/>
  <c r="G57" i="1"/>
  <c r="H14" i="32"/>
  <c r="I37" i="1"/>
  <c r="S21" i="32"/>
  <c r="T202" i="1"/>
  <c r="K21" i="32"/>
  <c r="L202" i="1"/>
  <c r="O22" i="32"/>
  <c r="P218" i="1"/>
  <c r="AA5" i="34"/>
  <c r="W5" i="34" s="1"/>
  <c r="W31" i="34" s="1"/>
  <c r="AA4" i="34"/>
  <c r="W4" i="34" s="1"/>
  <c r="W30" i="34" s="1"/>
  <c r="AA14" i="34"/>
  <c r="W14" i="34" s="1"/>
  <c r="W34" i="34" s="1"/>
  <c r="AA19" i="34"/>
  <c r="W19" i="34" s="1"/>
  <c r="W39" i="34" s="1"/>
  <c r="AA22" i="34"/>
  <c r="W22" i="34" s="1"/>
  <c r="W42" i="34" s="1"/>
  <c r="C14" i="32"/>
  <c r="D37" i="1"/>
  <c r="B23" i="32"/>
  <c r="C57" i="1"/>
  <c r="B21" i="32"/>
  <c r="C202" i="1"/>
  <c r="F21" i="32"/>
  <c r="G202" i="1"/>
  <c r="O14" i="32"/>
  <c r="P37" i="1"/>
  <c r="K14" i="32"/>
  <c r="L37" i="1"/>
  <c r="R23" i="32"/>
  <c r="S57" i="1"/>
  <c r="N21" i="32"/>
  <c r="O202" i="1"/>
  <c r="F8" i="34"/>
  <c r="M8" i="34"/>
  <c r="C20" i="32"/>
  <c r="D179" i="1"/>
  <c r="K20" i="32"/>
  <c r="L179" i="1"/>
  <c r="O20" i="32"/>
  <c r="P179" i="1"/>
  <c r="E23" i="32"/>
  <c r="F57" i="1"/>
  <c r="U14" i="32"/>
  <c r="V37" i="1"/>
  <c r="M14" i="32"/>
  <c r="N37" i="1"/>
  <c r="T23" i="32"/>
  <c r="U57" i="1"/>
  <c r="L23" i="32"/>
  <c r="M57" i="1"/>
  <c r="L21" i="32"/>
  <c r="M202" i="1"/>
  <c r="AA20" i="34"/>
  <c r="W20" i="34" s="1"/>
  <c r="W40" i="34" s="1"/>
  <c r="E21" i="32"/>
  <c r="F202" i="1"/>
  <c r="T14" i="32"/>
  <c r="U37" i="1"/>
  <c r="L14" i="32"/>
  <c r="M37" i="1"/>
  <c r="O23" i="32"/>
  <c r="P57" i="1"/>
  <c r="H23" i="32"/>
  <c r="I57" i="1"/>
  <c r="O21" i="32"/>
  <c r="P202" i="1"/>
  <c r="G21" i="32"/>
  <c r="H202" i="1"/>
  <c r="C23" i="32"/>
  <c r="D57" i="1"/>
  <c r="AB203" i="1"/>
  <c r="V216" i="1" s="1"/>
  <c r="T247" i="1"/>
  <c r="T244" i="1"/>
  <c r="AA3" i="34"/>
  <c r="W3" i="34" s="1"/>
  <c r="W29" i="34" s="1"/>
  <c r="A19" i="32"/>
  <c r="A38" i="32" s="1"/>
  <c r="I38" i="32" s="1"/>
  <c r="D14" i="32"/>
  <c r="E37" i="1"/>
  <c r="D23" i="32"/>
  <c r="E57" i="1"/>
  <c r="C21" i="32"/>
  <c r="D202" i="1"/>
  <c r="Q23" i="32"/>
  <c r="R57" i="1"/>
  <c r="U21" i="32"/>
  <c r="V202" i="1"/>
  <c r="P8" i="34"/>
  <c r="T8" i="34"/>
  <c r="AA2" i="34"/>
  <c r="W2" i="34" s="1"/>
  <c r="W28" i="34" s="1"/>
  <c r="J8" i="34"/>
  <c r="L8" i="34"/>
  <c r="C8" i="34"/>
  <c r="S8" i="34"/>
  <c r="Q8" i="34"/>
  <c r="V8" i="34"/>
  <c r="R8" i="34"/>
  <c r="R14" i="3"/>
  <c r="Q20" i="32"/>
  <c r="G7" i="3"/>
  <c r="F14" i="32"/>
  <c r="T8" i="3"/>
  <c r="S23" i="32"/>
  <c r="L8" i="3"/>
  <c r="K23" i="32"/>
  <c r="D8" i="34"/>
  <c r="N8" i="34"/>
  <c r="K8" i="34"/>
  <c r="E8" i="34"/>
  <c r="K14" i="3"/>
  <c r="J20" i="32"/>
  <c r="O14" i="3"/>
  <c r="N20" i="32"/>
  <c r="S14" i="3"/>
  <c r="R20" i="32"/>
  <c r="T7" i="3"/>
  <c r="S14" i="32"/>
  <c r="O8" i="3"/>
  <c r="N23" i="32"/>
  <c r="H8" i="3"/>
  <c r="G23" i="32"/>
  <c r="S15" i="3"/>
  <c r="R21" i="32"/>
  <c r="K15" i="3"/>
  <c r="J21" i="32"/>
  <c r="V232" i="1"/>
  <c r="R232" i="1"/>
  <c r="N232" i="1"/>
  <c r="J232" i="1"/>
  <c r="J218" i="1" s="1"/>
  <c r="K232" i="1"/>
  <c r="O232" i="1"/>
  <c r="S232" i="1"/>
  <c r="U232" i="1"/>
  <c r="Q232" i="1"/>
  <c r="M232" i="1"/>
  <c r="N14" i="3"/>
  <c r="M20" i="32"/>
  <c r="U8" i="34"/>
  <c r="I8" i="34"/>
  <c r="H8" i="34"/>
  <c r="T14" i="3"/>
  <c r="S20" i="32"/>
  <c r="S7" i="3"/>
  <c r="R14" i="32"/>
  <c r="O7" i="3"/>
  <c r="N14" i="32"/>
  <c r="K7" i="3"/>
  <c r="J14" i="32"/>
  <c r="V8" i="3"/>
  <c r="U23" i="32"/>
  <c r="N8" i="3"/>
  <c r="M23" i="32"/>
  <c r="R15" i="3"/>
  <c r="Q21" i="32"/>
  <c r="N15" i="3"/>
  <c r="M21" i="32"/>
  <c r="J15" i="3"/>
  <c r="I21" i="32"/>
  <c r="J14" i="3"/>
  <c r="I20" i="32"/>
  <c r="V14" i="3"/>
  <c r="U20" i="32"/>
  <c r="Q7" i="3"/>
  <c r="P14" i="32"/>
  <c r="G8" i="34"/>
  <c r="A2" i="32"/>
  <c r="A27" i="32" s="1"/>
  <c r="I27" i="32" s="1"/>
  <c r="U14" i="3"/>
  <c r="T20" i="32"/>
  <c r="R7" i="3"/>
  <c r="Q14" i="32"/>
  <c r="Q8" i="3"/>
  <c r="P23" i="32"/>
  <c r="Q15" i="3"/>
  <c r="P21" i="32"/>
  <c r="C14" i="3"/>
  <c r="Z14" i="3" s="1"/>
  <c r="AM14" i="3" s="1"/>
  <c r="B20" i="32"/>
  <c r="A15" i="32"/>
  <c r="A34" i="32" s="1"/>
  <c r="I34" i="32" s="1"/>
  <c r="N1" i="34"/>
  <c r="N27" i="34" s="1"/>
  <c r="H244" i="1"/>
  <c r="AC111" i="1"/>
  <c r="M1" i="3"/>
  <c r="J245" i="1"/>
  <c r="A14" i="33"/>
  <c r="A35" i="33" s="1"/>
  <c r="I35" i="33" s="1"/>
  <c r="E66" i="31"/>
  <c r="J247" i="1"/>
  <c r="S236" i="1"/>
  <c r="A19" i="33"/>
  <c r="A40" i="33" s="1"/>
  <c r="I40" i="33" s="1"/>
  <c r="E63" i="31"/>
  <c r="Q1" i="32"/>
  <c r="T66" i="1"/>
  <c r="A5" i="33"/>
  <c r="A30" i="33" s="1"/>
  <c r="I30" i="33" s="1"/>
  <c r="B19" i="34"/>
  <c r="B39" i="34" s="1"/>
  <c r="B35" i="31"/>
  <c r="B133" i="31" s="1"/>
  <c r="B36" i="31"/>
  <c r="B134" i="31" s="1"/>
  <c r="B32" i="31"/>
  <c r="B130" i="31" s="1"/>
  <c r="C247" i="1"/>
  <c r="N66" i="1"/>
  <c r="N244" i="1"/>
  <c r="R244" i="1"/>
  <c r="U244" i="1"/>
  <c r="K244" i="1"/>
  <c r="AC96" i="1"/>
  <c r="E69" i="31"/>
  <c r="O173" i="1"/>
  <c r="K173" i="1"/>
  <c r="K151" i="1" s="1"/>
  <c r="R1" i="34"/>
  <c r="R27" i="34" s="1"/>
  <c r="C80" i="31"/>
  <c r="M244" i="1"/>
  <c r="Q244" i="1"/>
  <c r="P66" i="1"/>
  <c r="O244" i="1"/>
  <c r="K233" i="1"/>
  <c r="M236" i="1"/>
  <c r="Q69" i="1"/>
  <c r="K52" i="1"/>
  <c r="Y203" i="1"/>
  <c r="T213" i="1" s="1"/>
  <c r="A5" i="32"/>
  <c r="A30" i="32" s="1"/>
  <c r="I30" i="32" s="1"/>
  <c r="B5" i="34"/>
  <c r="B31" i="34" s="1"/>
  <c r="M247" i="1"/>
  <c r="R52" i="1"/>
  <c r="V66" i="1"/>
  <c r="O53" i="1"/>
  <c r="Z203" i="1"/>
  <c r="E214" i="1" s="1"/>
  <c r="AC97" i="1"/>
  <c r="O52" i="1"/>
  <c r="K54" i="1"/>
  <c r="V235" i="1"/>
  <c r="C244" i="1"/>
  <c r="J244" i="1"/>
  <c r="A14" i="32"/>
  <c r="A33" i="32" s="1"/>
  <c r="I33" i="32" s="1"/>
  <c r="A4" i="32"/>
  <c r="A29" i="32" s="1"/>
  <c r="I29" i="32" s="1"/>
  <c r="X133" i="1"/>
  <c r="I215" i="1"/>
  <c r="U247" i="1"/>
  <c r="V215" i="1"/>
  <c r="AC98" i="1"/>
  <c r="B44" i="31"/>
  <c r="B142" i="31" s="1"/>
  <c r="A18" i="33"/>
  <c r="A39" i="33" s="1"/>
  <c r="I39" i="33" s="1"/>
  <c r="B23" i="34"/>
  <c r="B43" i="34" s="1"/>
  <c r="B39" i="31"/>
  <c r="B137" i="31" s="1"/>
  <c r="S1" i="3"/>
  <c r="T173" i="1"/>
  <c r="T151" i="1" s="1"/>
  <c r="X132" i="1"/>
  <c r="Q235" i="1"/>
  <c r="T67" i="1"/>
  <c r="E71" i="31"/>
  <c r="A23" i="33"/>
  <c r="A44" i="33" s="1"/>
  <c r="I44" i="33" s="1"/>
  <c r="A23" i="32"/>
  <c r="A42" i="32" s="1"/>
  <c r="I42" i="32" s="1"/>
  <c r="O1" i="34"/>
  <c r="O27" i="34" s="1"/>
  <c r="M1" i="34"/>
  <c r="M27" i="34" s="1"/>
  <c r="R1" i="32"/>
  <c r="T15" i="3"/>
  <c r="S234" i="1"/>
  <c r="Q52" i="1"/>
  <c r="J246" i="1"/>
  <c r="E58" i="31"/>
  <c r="X142" i="1"/>
  <c r="X130" i="1"/>
  <c r="C90" i="31"/>
  <c r="C92" i="31"/>
  <c r="X93" i="1"/>
  <c r="F244" i="1"/>
  <c r="M52" i="1"/>
  <c r="AC93" i="1"/>
  <c r="F245" i="1"/>
  <c r="R53" i="1"/>
  <c r="L68" i="1"/>
  <c r="B31" i="31"/>
  <c r="B129" i="31" s="1"/>
  <c r="A4" i="33"/>
  <c r="A29" i="33" s="1"/>
  <c r="I29" i="33" s="1"/>
  <c r="AC110" i="1"/>
  <c r="AC114" i="1"/>
  <c r="AC118" i="1"/>
  <c r="X143" i="1"/>
  <c r="X141" i="1"/>
  <c r="X116" i="1"/>
  <c r="C81" i="31"/>
  <c r="C79" i="31"/>
  <c r="X92" i="1"/>
  <c r="C245" i="1"/>
  <c r="P68" i="1"/>
  <c r="V245" i="1"/>
  <c r="S244" i="1"/>
  <c r="P245" i="1"/>
  <c r="H245" i="1"/>
  <c r="X138" i="1"/>
  <c r="T245" i="1"/>
  <c r="O1" i="3"/>
  <c r="AC115" i="1"/>
  <c r="AC119" i="1"/>
  <c r="X135" i="1"/>
  <c r="X112" i="1"/>
  <c r="X108" i="1"/>
  <c r="C89" i="31"/>
  <c r="C91" i="31"/>
  <c r="X91" i="1"/>
  <c r="C94" i="31"/>
  <c r="K247" i="1"/>
  <c r="E245" i="1"/>
  <c r="E244" i="1"/>
  <c r="I244" i="1"/>
  <c r="I246" i="1"/>
  <c r="I245" i="1"/>
  <c r="S69" i="1"/>
  <c r="S8" i="3"/>
  <c r="S66" i="1"/>
  <c r="M68" i="1"/>
  <c r="M66" i="1"/>
  <c r="M67" i="1"/>
  <c r="E56" i="31"/>
  <c r="R68" i="1"/>
  <c r="K246" i="1"/>
  <c r="N245" i="1"/>
  <c r="M245" i="1"/>
  <c r="K245" i="1"/>
  <c r="H247" i="1"/>
  <c r="K234" i="1"/>
  <c r="P67" i="1"/>
  <c r="R54" i="1"/>
  <c r="L66" i="1"/>
  <c r="Q55" i="1"/>
  <c r="V68" i="1"/>
  <c r="T69" i="1"/>
  <c r="AC90" i="1"/>
  <c r="A21" i="32"/>
  <c r="A40" i="32" s="1"/>
  <c r="I40" i="32" s="1"/>
  <c r="B21" i="34"/>
  <c r="B41" i="34" s="1"/>
  <c r="AC108" i="1"/>
  <c r="AC116" i="1"/>
  <c r="AC130" i="1"/>
  <c r="AC134" i="1"/>
  <c r="AC138" i="1"/>
  <c r="AC142" i="1"/>
  <c r="E77" i="31"/>
  <c r="D244" i="1"/>
  <c r="G244" i="1"/>
  <c r="K66" i="1"/>
  <c r="P213" i="1"/>
  <c r="P246" i="1"/>
  <c r="N234" i="1"/>
  <c r="Q245" i="1"/>
  <c r="R245" i="1"/>
  <c r="S245" i="1"/>
  <c r="D245" i="1"/>
  <c r="V244" i="1"/>
  <c r="V247" i="1"/>
  <c r="S247" i="1"/>
  <c r="P69" i="1"/>
  <c r="N213" i="1"/>
  <c r="R67" i="1"/>
  <c r="S246" i="1"/>
  <c r="A21" i="33"/>
  <c r="A42" i="33" s="1"/>
  <c r="I42" i="33" s="1"/>
  <c r="R213" i="1"/>
  <c r="T53" i="1"/>
  <c r="A2" i="33"/>
  <c r="A27" i="33" s="1"/>
  <c r="I27" i="33" s="1"/>
  <c r="B2" i="34"/>
  <c r="B28" i="34" s="1"/>
  <c r="B42" i="31"/>
  <c r="B140" i="31" s="1"/>
  <c r="O16" i="3"/>
  <c r="O235" i="1"/>
  <c r="O236" i="1"/>
  <c r="O233" i="1"/>
  <c r="O234" i="1"/>
  <c r="B41" i="31"/>
  <c r="B139" i="31" s="1"/>
  <c r="B20" i="34"/>
  <c r="B40" i="34" s="1"/>
  <c r="A20" i="32"/>
  <c r="A39" i="32" s="1"/>
  <c r="I39" i="32" s="1"/>
  <c r="E68" i="31"/>
  <c r="A20" i="33"/>
  <c r="A41" i="33" s="1"/>
  <c r="I41" i="33" s="1"/>
  <c r="M7" i="3"/>
  <c r="S16" i="3"/>
  <c r="C246" i="1"/>
  <c r="Q246" i="1"/>
  <c r="H246" i="1"/>
  <c r="O245" i="1"/>
  <c r="N215" i="1"/>
  <c r="K67" i="1"/>
  <c r="Q53" i="1"/>
  <c r="T54" i="1"/>
  <c r="S233" i="1"/>
  <c r="D20" i="32"/>
  <c r="H20" i="32"/>
  <c r="AC112" i="1"/>
  <c r="I15" i="3"/>
  <c r="M246" i="1"/>
  <c r="N246" i="1"/>
  <c r="F246" i="1"/>
  <c r="O246" i="1"/>
  <c r="D246" i="1"/>
  <c r="G245" i="1"/>
  <c r="P244" i="1"/>
  <c r="R69" i="1"/>
  <c r="O69" i="1"/>
  <c r="S215" i="1"/>
  <c r="T215" i="1"/>
  <c r="N67" i="1"/>
  <c r="Q67" i="1"/>
  <c r="S67" i="1"/>
  <c r="K53" i="1"/>
  <c r="O54" i="1"/>
  <c r="Q54" i="1"/>
  <c r="M233" i="1"/>
  <c r="Q68" i="1"/>
  <c r="L1" i="3"/>
  <c r="L1" i="34"/>
  <c r="L27" i="34" s="1"/>
  <c r="S1" i="32"/>
  <c r="T1" i="3"/>
  <c r="P1" i="3"/>
  <c r="O1" i="32"/>
  <c r="P1" i="34"/>
  <c r="P27" i="34" s="1"/>
  <c r="S173" i="1"/>
  <c r="A13" i="32"/>
  <c r="A32" i="32" s="1"/>
  <c r="I32" i="32" s="1"/>
  <c r="E61" i="31"/>
  <c r="B34" i="31"/>
  <c r="B132" i="31" s="1"/>
  <c r="B13" i="34"/>
  <c r="B33" i="34" s="1"/>
  <c r="E65" i="31"/>
  <c r="B38" i="31"/>
  <c r="B136" i="31" s="1"/>
  <c r="B17" i="34"/>
  <c r="B37" i="34" s="1"/>
  <c r="A17" i="32"/>
  <c r="A36" i="32" s="1"/>
  <c r="I36" i="32" s="1"/>
  <c r="A17" i="33"/>
  <c r="A38" i="33" s="1"/>
  <c r="I38" i="33" s="1"/>
  <c r="B43" i="31"/>
  <c r="B141" i="31" s="1"/>
  <c r="B22" i="34"/>
  <c r="B42" i="34" s="1"/>
  <c r="A22" i="33"/>
  <c r="A43" i="33" s="1"/>
  <c r="I43" i="33" s="1"/>
  <c r="E70" i="31"/>
  <c r="V15" i="3"/>
  <c r="O15" i="3"/>
  <c r="B3" i="34"/>
  <c r="B29" i="34" s="1"/>
  <c r="A3" i="32"/>
  <c r="A28" i="32" s="1"/>
  <c r="I28" i="32" s="1"/>
  <c r="A3" i="33"/>
  <c r="A28" i="33" s="1"/>
  <c r="I28" i="33" s="1"/>
  <c r="R8" i="3"/>
  <c r="M15" i="3"/>
  <c r="K16" i="3"/>
  <c r="R246" i="1"/>
  <c r="L246" i="1"/>
  <c r="U215" i="1"/>
  <c r="L67" i="1"/>
  <c r="U67" i="1"/>
  <c r="M53" i="1"/>
  <c r="M54" i="1"/>
  <c r="M55" i="1"/>
  <c r="M14" i="3"/>
  <c r="Q14" i="3"/>
  <c r="K8" i="3"/>
  <c r="P15" i="3"/>
  <c r="L15" i="3"/>
  <c r="E246" i="1"/>
  <c r="U246" i="1"/>
  <c r="V246" i="1"/>
  <c r="G246" i="1"/>
  <c r="K215" i="1"/>
  <c r="L215" i="1"/>
  <c r="M234" i="1"/>
  <c r="V67" i="1"/>
  <c r="O67" i="1"/>
  <c r="T52" i="1"/>
  <c r="S54" i="1"/>
  <c r="O66" i="1"/>
  <c r="R66" i="1"/>
  <c r="K235" i="1"/>
  <c r="U69" i="1"/>
  <c r="P8" i="3"/>
  <c r="U15" i="3"/>
  <c r="M8" i="3"/>
  <c r="B14" i="34"/>
  <c r="B34" i="34" s="1"/>
  <c r="B18" i="34"/>
  <c r="B38" i="34" s="1"/>
  <c r="B4" i="3"/>
  <c r="L247" i="1"/>
  <c r="K236" i="1"/>
  <c r="G247" i="1"/>
  <c r="AC92" i="1"/>
  <c r="AC95" i="1"/>
  <c r="M173" i="1"/>
  <c r="B15" i="34"/>
  <c r="B35" i="34" s="1"/>
  <c r="E67" i="31"/>
  <c r="AC131" i="1"/>
  <c r="AC135" i="1"/>
  <c r="AC139" i="1"/>
  <c r="AC143" i="1"/>
  <c r="AC132" i="1"/>
  <c r="AC136" i="1"/>
  <c r="AC140" i="1"/>
  <c r="AE8" i="1"/>
  <c r="X119" i="1"/>
  <c r="X131" i="1"/>
  <c r="X113" i="1"/>
  <c r="X110" i="1"/>
  <c r="X114" i="1"/>
  <c r="C93" i="31"/>
  <c r="C88" i="31"/>
  <c r="AH8" i="1"/>
  <c r="X97" i="1"/>
  <c r="B5" i="3"/>
  <c r="E87" i="31"/>
  <c r="AC94" i="1"/>
  <c r="AC91" i="1"/>
  <c r="P173" i="1"/>
  <c r="AC129" i="1"/>
  <c r="AC133" i="1"/>
  <c r="AC137" i="1"/>
  <c r="AC141" i="1"/>
  <c r="X111" i="1"/>
  <c r="X117" i="1"/>
  <c r="X140" i="1"/>
  <c r="X118" i="1"/>
  <c r="X109" i="1"/>
  <c r="X98" i="1"/>
  <c r="X94" i="1"/>
  <c r="B2" i="3"/>
  <c r="I173" i="1"/>
  <c r="I151" i="1" s="1"/>
  <c r="U52" i="1"/>
  <c r="U54" i="1"/>
  <c r="U53" i="1"/>
  <c r="J7" i="3"/>
  <c r="J52" i="1"/>
  <c r="J53" i="1"/>
  <c r="J54" i="1"/>
  <c r="L7" i="3"/>
  <c r="L54" i="1"/>
  <c r="L53" i="1"/>
  <c r="L52" i="1"/>
  <c r="N7" i="3"/>
  <c r="N52" i="1"/>
  <c r="N54" i="1"/>
  <c r="N53" i="1"/>
  <c r="I7" i="3"/>
  <c r="I55" i="1"/>
  <c r="I52" i="1"/>
  <c r="I53" i="1"/>
  <c r="I54" i="1"/>
  <c r="V53" i="1"/>
  <c r="V54" i="1"/>
  <c r="V52" i="1"/>
  <c r="V7" i="3"/>
  <c r="P7" i="3"/>
  <c r="P54" i="1"/>
  <c r="P55" i="1"/>
  <c r="P52" i="1"/>
  <c r="P53" i="1"/>
  <c r="O13" i="3"/>
  <c r="U173" i="1"/>
  <c r="U7" i="3"/>
  <c r="S53" i="1"/>
  <c r="S52" i="1"/>
  <c r="S55" i="1"/>
  <c r="J173" i="1"/>
  <c r="J216" i="1"/>
  <c r="J31" i="1"/>
  <c r="J10" i="1" s="1"/>
  <c r="I232" i="1"/>
  <c r="I218" i="1" s="1"/>
  <c r="J68" i="1"/>
  <c r="J66" i="1"/>
  <c r="J67" i="1"/>
  <c r="J8" i="3"/>
  <c r="I8" i="3"/>
  <c r="I67" i="1"/>
  <c r="I69" i="1"/>
  <c r="I66" i="1"/>
  <c r="H67" i="1"/>
  <c r="C173" i="1"/>
  <c r="G173" i="1"/>
  <c r="D173" i="1"/>
  <c r="D151" i="1" s="1"/>
  <c r="F173" i="1"/>
  <c r="F151" i="1" s="1"/>
  <c r="H232" i="1"/>
  <c r="H218" i="1" s="1"/>
  <c r="C232" i="1"/>
  <c r="G53" i="1"/>
  <c r="G52" i="1"/>
  <c r="G55" i="1"/>
  <c r="G54" i="1"/>
  <c r="H15" i="3"/>
  <c r="E216" i="1"/>
  <c r="G232" i="1"/>
  <c r="G218" i="1" s="1"/>
  <c r="J215" i="1"/>
  <c r="H215" i="1"/>
  <c r="R215" i="1"/>
  <c r="M215" i="1"/>
  <c r="E215" i="1"/>
  <c r="O215" i="1"/>
  <c r="P215" i="1"/>
  <c r="E173" i="1"/>
  <c r="E151" i="1" s="1"/>
  <c r="F1" i="3"/>
  <c r="E232" i="1"/>
  <c r="E218" i="1" s="1"/>
  <c r="F215" i="1"/>
  <c r="F15" i="3"/>
  <c r="F216" i="1"/>
  <c r="D15" i="3"/>
  <c r="D213" i="1"/>
  <c r="D215" i="1"/>
  <c r="D216" i="1"/>
  <c r="C213" i="1"/>
  <c r="C215" i="1"/>
  <c r="C15" i="3"/>
  <c r="F232" i="1"/>
  <c r="F218" i="1" s="1"/>
  <c r="E31" i="1"/>
  <c r="E10" i="1" s="1"/>
  <c r="H68" i="1"/>
  <c r="H66" i="1"/>
  <c r="F1" i="32"/>
  <c r="G1" i="3"/>
  <c r="G1" i="34"/>
  <c r="G27" i="34" s="1"/>
  <c r="P16" i="3"/>
  <c r="P235" i="1"/>
  <c r="P234" i="1"/>
  <c r="P233" i="1"/>
  <c r="P236" i="1"/>
  <c r="V16" i="3"/>
  <c r="N16" i="3"/>
  <c r="S31" i="1"/>
  <c r="G31" i="1"/>
  <c r="L232" i="1"/>
  <c r="D232" i="1"/>
  <c r="U16" i="3"/>
  <c r="Q16" i="3"/>
  <c r="L244" i="1"/>
  <c r="E247" i="1"/>
  <c r="Q247" i="1"/>
  <c r="F247" i="1"/>
  <c r="D247" i="1"/>
  <c r="R247" i="1"/>
  <c r="L69" i="1"/>
  <c r="K69" i="1"/>
  <c r="J69" i="1"/>
  <c r="T216" i="1"/>
  <c r="M216" i="1"/>
  <c r="R216" i="1"/>
  <c r="V234" i="1"/>
  <c r="N233" i="1"/>
  <c r="V233" i="1"/>
  <c r="V236" i="1"/>
  <c r="Q236" i="1"/>
  <c r="J55" i="1"/>
  <c r="V55" i="1"/>
  <c r="N55" i="1"/>
  <c r="K55" i="1"/>
  <c r="S68" i="1"/>
  <c r="O68" i="1"/>
  <c r="K68" i="1"/>
  <c r="S235" i="1"/>
  <c r="R16" i="3"/>
  <c r="C31" i="1"/>
  <c r="C10" i="1" s="1"/>
  <c r="K31" i="1"/>
  <c r="M16" i="3"/>
  <c r="M235" i="1"/>
  <c r="L245" i="1"/>
  <c r="Q233" i="1"/>
  <c r="D1" i="32"/>
  <c r="E1" i="34"/>
  <c r="E27" i="34" s="1"/>
  <c r="J1" i="32"/>
  <c r="K1" i="34"/>
  <c r="K27" i="34" s="1"/>
  <c r="T1" i="32"/>
  <c r="U1" i="3"/>
  <c r="U1" i="34"/>
  <c r="U27" i="34" s="1"/>
  <c r="Q1" i="3"/>
  <c r="P1" i="32"/>
  <c r="Q1" i="34"/>
  <c r="Q27" i="34" s="1"/>
  <c r="L173" i="1"/>
  <c r="U8" i="3"/>
  <c r="U68" i="1"/>
  <c r="O31" i="1"/>
  <c r="T232" i="1"/>
  <c r="Q234" i="1"/>
  <c r="J236" i="1"/>
  <c r="R235" i="1"/>
  <c r="C216" i="1"/>
  <c r="I247" i="1"/>
  <c r="P247" i="1"/>
  <c r="O247" i="1"/>
  <c r="N247" i="1"/>
  <c r="M69" i="1"/>
  <c r="H69" i="1"/>
  <c r="V69" i="1"/>
  <c r="Q216" i="1"/>
  <c r="L216" i="1"/>
  <c r="O216" i="1"/>
  <c r="I216" i="1"/>
  <c r="R234" i="1"/>
  <c r="R233" i="1"/>
  <c r="J233" i="1"/>
  <c r="U66" i="1"/>
  <c r="R236" i="1"/>
  <c r="N236" i="1"/>
  <c r="T55" i="1"/>
  <c r="L55" i="1"/>
  <c r="U55" i="1"/>
  <c r="N235" i="1"/>
  <c r="T68" i="1"/>
  <c r="I68" i="1"/>
  <c r="D1" i="3"/>
  <c r="C1" i="32"/>
  <c r="V173" i="1"/>
  <c r="R173" i="1"/>
  <c r="U31" i="1"/>
  <c r="Q31" i="1"/>
  <c r="M31" i="1"/>
  <c r="I31" i="1"/>
  <c r="T31" i="1"/>
  <c r="P31" i="1"/>
  <c r="H31" i="1"/>
  <c r="D31" i="1"/>
  <c r="D10" i="1" s="1"/>
  <c r="E64" i="31"/>
  <c r="B16" i="34"/>
  <c r="B36" i="34" s="1"/>
  <c r="A16" i="32"/>
  <c r="A35" i="32" s="1"/>
  <c r="I35" i="32" s="1"/>
  <c r="A16" i="33"/>
  <c r="A37" i="33" s="1"/>
  <c r="I37" i="33" s="1"/>
  <c r="B37" i="31"/>
  <c r="B135" i="31" s="1"/>
  <c r="V31" i="1"/>
  <c r="R31" i="1"/>
  <c r="N31" i="1"/>
  <c r="D14" i="3"/>
  <c r="H14" i="3"/>
  <c r="L14" i="3"/>
  <c r="P14" i="3"/>
  <c r="Q173" i="1"/>
  <c r="B3" i="3"/>
  <c r="B30" i="31"/>
  <c r="B128" i="31" s="1"/>
  <c r="N173" i="1"/>
  <c r="H173" i="1"/>
  <c r="AC109" i="1"/>
  <c r="AC113" i="1"/>
  <c r="AC117" i="1"/>
  <c r="L31" i="1"/>
  <c r="G66" i="1"/>
  <c r="G69" i="1"/>
  <c r="G8" i="3"/>
  <c r="G68" i="1"/>
  <c r="G67" i="1"/>
  <c r="F8" i="3"/>
  <c r="F67" i="1"/>
  <c r="F66" i="1"/>
  <c r="F68" i="1"/>
  <c r="F69" i="1"/>
  <c r="E68" i="1"/>
  <c r="E66" i="1"/>
  <c r="E8" i="3"/>
  <c r="E67" i="1"/>
  <c r="E69" i="1"/>
  <c r="D8" i="3"/>
  <c r="D68" i="1"/>
  <c r="D69" i="1"/>
  <c r="D66" i="1"/>
  <c r="D67" i="1"/>
  <c r="C66" i="1"/>
  <c r="C68" i="1"/>
  <c r="C8" i="3"/>
  <c r="C69" i="1"/>
  <c r="C67" i="1"/>
  <c r="F31" i="1"/>
  <c r="F10" i="1" s="1"/>
  <c r="F53" i="1"/>
  <c r="F7" i="3"/>
  <c r="F52" i="1"/>
  <c r="F55" i="1"/>
  <c r="F54" i="1"/>
  <c r="E7" i="3"/>
  <c r="E55" i="1"/>
  <c r="E52" i="1"/>
  <c r="E53" i="1"/>
  <c r="E54" i="1"/>
  <c r="D54" i="1"/>
  <c r="D53" i="1"/>
  <c r="D55" i="1"/>
  <c r="D52" i="1"/>
  <c r="D7" i="3"/>
  <c r="C55" i="1"/>
  <c r="C53" i="1"/>
  <c r="C54" i="1"/>
  <c r="C7" i="3"/>
  <c r="C52" i="1"/>
  <c r="E92" i="31"/>
  <c r="X139" i="1"/>
  <c r="X115" i="1"/>
  <c r="X136" i="1"/>
  <c r="X90" i="1"/>
  <c r="X134" i="1"/>
  <c r="X137" i="1"/>
  <c r="X129" i="1"/>
  <c r="C86" i="31"/>
  <c r="C85" i="31"/>
  <c r="C84" i="31"/>
  <c r="C82" i="31"/>
  <c r="X95" i="1"/>
  <c r="F1" i="34"/>
  <c r="F27" i="34" s="1"/>
  <c r="E1" i="3"/>
  <c r="D1" i="34"/>
  <c r="D27" i="34" s="1"/>
  <c r="B40" i="32" l="1"/>
  <c r="AA21" i="32" s="1"/>
  <c r="U13" i="32"/>
  <c r="V10" i="1"/>
  <c r="P13" i="32"/>
  <c r="Q10" i="1"/>
  <c r="F19" i="32"/>
  <c r="G151" i="1"/>
  <c r="U22" i="32"/>
  <c r="V218" i="1"/>
  <c r="K13" i="32"/>
  <c r="L10" i="1"/>
  <c r="S13" i="32"/>
  <c r="T10" i="1"/>
  <c r="B19" i="32"/>
  <c r="C151" i="1"/>
  <c r="R19" i="32"/>
  <c r="S151" i="1"/>
  <c r="T22" i="32"/>
  <c r="U218" i="1"/>
  <c r="B42" i="32"/>
  <c r="AA23" i="32" s="1"/>
  <c r="O13" i="32"/>
  <c r="P10" i="1"/>
  <c r="F13" i="32"/>
  <c r="G10" i="1"/>
  <c r="J22" i="32"/>
  <c r="K218" i="1"/>
  <c r="P19" i="32"/>
  <c r="Q151" i="1"/>
  <c r="K19" i="32"/>
  <c r="L151" i="1"/>
  <c r="R13" i="32"/>
  <c r="S10" i="1"/>
  <c r="P214" i="1"/>
  <c r="S88" i="1"/>
  <c r="R88" i="1"/>
  <c r="T88" i="1"/>
  <c r="U88" i="1"/>
  <c r="M19" i="32"/>
  <c r="N151" i="1"/>
  <c r="M13" i="32"/>
  <c r="N10" i="1"/>
  <c r="H13" i="32"/>
  <c r="I10" i="1"/>
  <c r="Q19" i="32"/>
  <c r="R151" i="1"/>
  <c r="N13" i="32"/>
  <c r="O10" i="1"/>
  <c r="C22" i="32"/>
  <c r="D218" i="1"/>
  <c r="Q214" i="1"/>
  <c r="H216" i="1"/>
  <c r="I19" i="32"/>
  <c r="J151" i="1"/>
  <c r="P216" i="1"/>
  <c r="N216" i="1"/>
  <c r="R106" i="1"/>
  <c r="Q106" i="1"/>
  <c r="I106" i="1"/>
  <c r="M106" i="1"/>
  <c r="S216" i="1"/>
  <c r="K216" i="1"/>
  <c r="R22" i="32"/>
  <c r="S218" i="1"/>
  <c r="M22" i="32"/>
  <c r="N218" i="1"/>
  <c r="J13" i="32"/>
  <c r="K10" i="1"/>
  <c r="B22" i="32"/>
  <c r="C218" i="1"/>
  <c r="N19" i="32"/>
  <c r="O151" i="1"/>
  <c r="P22" i="32"/>
  <c r="Q218" i="1"/>
  <c r="G19" i="32"/>
  <c r="H151" i="1"/>
  <c r="T13" i="32"/>
  <c r="U10" i="1"/>
  <c r="S22" i="32"/>
  <c r="T218" i="1"/>
  <c r="R127" i="1"/>
  <c r="M127" i="1"/>
  <c r="S127" i="1"/>
  <c r="E127" i="1"/>
  <c r="U127" i="1"/>
  <c r="Q13" i="32"/>
  <c r="R10" i="1"/>
  <c r="G13" i="32"/>
  <c r="H10" i="1"/>
  <c r="L13" i="32"/>
  <c r="M10" i="1"/>
  <c r="U19" i="32"/>
  <c r="V151" i="1"/>
  <c r="K22" i="32"/>
  <c r="L218" i="1"/>
  <c r="K214" i="1"/>
  <c r="S214" i="1"/>
  <c r="T19" i="32"/>
  <c r="U151" i="1"/>
  <c r="O19" i="32"/>
  <c r="P151" i="1"/>
  <c r="L19" i="32"/>
  <c r="M151" i="1"/>
  <c r="U216" i="1"/>
  <c r="L22" i="32"/>
  <c r="M218" i="1"/>
  <c r="N22" i="32"/>
  <c r="O218" i="1"/>
  <c r="Q22" i="32"/>
  <c r="R218" i="1"/>
  <c r="B39" i="32"/>
  <c r="AA20" i="32" s="1"/>
  <c r="AE14" i="3"/>
  <c r="I13" i="3"/>
  <c r="H19" i="32"/>
  <c r="J16" i="3"/>
  <c r="I22" i="32"/>
  <c r="J235" i="1"/>
  <c r="U235" i="1"/>
  <c r="I233" i="1"/>
  <c r="H22" i="32"/>
  <c r="J234" i="1"/>
  <c r="U234" i="1"/>
  <c r="U233" i="1"/>
  <c r="U236" i="1"/>
  <c r="J35" i="1"/>
  <c r="I13" i="32"/>
  <c r="G14" i="3"/>
  <c r="F20" i="32"/>
  <c r="T13" i="3"/>
  <c r="S19" i="32"/>
  <c r="K13" i="3"/>
  <c r="J19" i="32"/>
  <c r="F14" i="3"/>
  <c r="E20" i="32"/>
  <c r="F6" i="3"/>
  <c r="E13" i="32"/>
  <c r="E35" i="1"/>
  <c r="D13" i="32"/>
  <c r="G16" i="3"/>
  <c r="F22" i="32"/>
  <c r="F233" i="1"/>
  <c r="E22" i="32"/>
  <c r="E16" i="3"/>
  <c r="D22" i="32"/>
  <c r="F13" i="3"/>
  <c r="E19" i="32"/>
  <c r="E13" i="3"/>
  <c r="D19" i="32"/>
  <c r="C34" i="1"/>
  <c r="B13" i="32"/>
  <c r="J213" i="1"/>
  <c r="F213" i="1"/>
  <c r="H213" i="1"/>
  <c r="K213" i="1"/>
  <c r="U213" i="1"/>
  <c r="S213" i="1"/>
  <c r="E213" i="1"/>
  <c r="L213" i="1"/>
  <c r="I213" i="1"/>
  <c r="Q213" i="1"/>
  <c r="L214" i="1"/>
  <c r="AC34" i="31"/>
  <c r="D214" i="1"/>
  <c r="F214" i="1"/>
  <c r="N214" i="1"/>
  <c r="U214" i="1"/>
  <c r="V214" i="1"/>
  <c r="O214" i="1"/>
  <c r="J214" i="1"/>
  <c r="I214" i="1"/>
  <c r="R214" i="1"/>
  <c r="H214" i="1"/>
  <c r="T214" i="1"/>
  <c r="C214" i="1"/>
  <c r="M214" i="1"/>
  <c r="M213" i="1"/>
  <c r="V213" i="1"/>
  <c r="O213" i="1"/>
  <c r="W95" i="1"/>
  <c r="E14" i="3"/>
  <c r="P13" i="3"/>
  <c r="M13" i="3"/>
  <c r="W239" i="1"/>
  <c r="S13" i="3"/>
  <c r="I14" i="3"/>
  <c r="Y152" i="1"/>
  <c r="R174" i="1" s="1"/>
  <c r="AA152" i="1"/>
  <c r="P176" i="1" s="1"/>
  <c r="Z152" i="1"/>
  <c r="P175" i="1" s="1"/>
  <c r="AB152" i="1"/>
  <c r="P177" i="1" s="1"/>
  <c r="AB180" i="1"/>
  <c r="Y180" i="1"/>
  <c r="G197" i="1" s="1"/>
  <c r="Z180" i="1"/>
  <c r="E198" i="1" s="1"/>
  <c r="AA180" i="1"/>
  <c r="G22" i="32"/>
  <c r="J13" i="3"/>
  <c r="U13" i="3"/>
  <c r="J34" i="1"/>
  <c r="J33" i="1"/>
  <c r="J6" i="3"/>
  <c r="J32" i="1"/>
  <c r="I16" i="3"/>
  <c r="I236" i="1"/>
  <c r="I235" i="1"/>
  <c r="I234" i="1"/>
  <c r="C13" i="3"/>
  <c r="Z13" i="3" s="1"/>
  <c r="AE13" i="3" s="1"/>
  <c r="C235" i="1"/>
  <c r="E15" i="3"/>
  <c r="C234" i="1"/>
  <c r="C236" i="1"/>
  <c r="G13" i="3"/>
  <c r="C16" i="3"/>
  <c r="Z16" i="3" s="1"/>
  <c r="AE16" i="3" s="1"/>
  <c r="C233" i="1"/>
  <c r="G234" i="1"/>
  <c r="G236" i="1"/>
  <c r="G233" i="1"/>
  <c r="G235" i="1"/>
  <c r="E235" i="1"/>
  <c r="E233" i="1"/>
  <c r="E236" i="1"/>
  <c r="E234" i="1"/>
  <c r="Z15" i="3"/>
  <c r="F16" i="3"/>
  <c r="F236" i="1"/>
  <c r="F234" i="1"/>
  <c r="F235" i="1"/>
  <c r="E33" i="1"/>
  <c r="E34" i="1"/>
  <c r="E32" i="1"/>
  <c r="E6" i="3"/>
  <c r="C33" i="1"/>
  <c r="C32" i="1"/>
  <c r="C35" i="1"/>
  <c r="C6" i="3"/>
  <c r="Z6" i="3" s="1"/>
  <c r="R6" i="3"/>
  <c r="R35" i="1"/>
  <c r="R34" i="1"/>
  <c r="R32" i="1"/>
  <c r="R33" i="1"/>
  <c r="H6" i="3"/>
  <c r="H32" i="1"/>
  <c r="H35" i="1"/>
  <c r="H33" i="1"/>
  <c r="H34" i="1"/>
  <c r="M6" i="3"/>
  <c r="M35" i="1"/>
  <c r="M34" i="1"/>
  <c r="M32" i="1"/>
  <c r="M33" i="1"/>
  <c r="T16" i="3"/>
  <c r="T235" i="1"/>
  <c r="T234" i="1"/>
  <c r="T236" i="1"/>
  <c r="T233" i="1"/>
  <c r="L13" i="3"/>
  <c r="K6" i="3"/>
  <c r="K34" i="1"/>
  <c r="K32" i="1"/>
  <c r="K33" i="1"/>
  <c r="K35" i="1"/>
  <c r="D16" i="3"/>
  <c r="D236" i="1"/>
  <c r="D233" i="1"/>
  <c r="D234" i="1"/>
  <c r="D235" i="1"/>
  <c r="L6" i="3"/>
  <c r="L34" i="1"/>
  <c r="L33" i="1"/>
  <c r="L35" i="1"/>
  <c r="L32" i="1"/>
  <c r="H13" i="3"/>
  <c r="V6" i="3"/>
  <c r="V35" i="1"/>
  <c r="V34" i="1"/>
  <c r="V32" i="1"/>
  <c r="V33" i="1"/>
  <c r="P6" i="3"/>
  <c r="P32" i="1"/>
  <c r="P35" i="1"/>
  <c r="P33" i="1"/>
  <c r="P34" i="1"/>
  <c r="Q6" i="3"/>
  <c r="Q32" i="1"/>
  <c r="Q33" i="1"/>
  <c r="Q35" i="1"/>
  <c r="Q34" i="1"/>
  <c r="R13" i="3"/>
  <c r="O35" i="1"/>
  <c r="O34" i="1"/>
  <c r="O32" i="1"/>
  <c r="O6" i="3"/>
  <c r="O33" i="1"/>
  <c r="L16" i="3"/>
  <c r="L235" i="1"/>
  <c r="L234" i="1"/>
  <c r="L233" i="1"/>
  <c r="L236" i="1"/>
  <c r="N13" i="3"/>
  <c r="Q13" i="3"/>
  <c r="T6" i="3"/>
  <c r="T34" i="1"/>
  <c r="T35" i="1"/>
  <c r="T32" i="1"/>
  <c r="T33" i="1"/>
  <c r="U6" i="3"/>
  <c r="U35" i="1"/>
  <c r="U34" i="1"/>
  <c r="U32" i="1"/>
  <c r="U33" i="1"/>
  <c r="V13" i="3"/>
  <c r="G6" i="3"/>
  <c r="G35" i="1"/>
  <c r="G32" i="1"/>
  <c r="G33" i="1"/>
  <c r="G34" i="1"/>
  <c r="N6" i="3"/>
  <c r="N35" i="1"/>
  <c r="N32" i="1"/>
  <c r="N33" i="1"/>
  <c r="N34" i="1"/>
  <c r="I6" i="3"/>
  <c r="I35" i="1"/>
  <c r="I33" i="1"/>
  <c r="I34" i="1"/>
  <c r="I32" i="1"/>
  <c r="S6" i="3"/>
  <c r="S34" i="1"/>
  <c r="S35" i="1"/>
  <c r="S32" i="1"/>
  <c r="S33" i="1"/>
  <c r="AB8" i="3"/>
  <c r="AC8" i="3" s="1"/>
  <c r="Z8" i="3"/>
  <c r="X8" i="3"/>
  <c r="Y8" i="3" s="1"/>
  <c r="AL8" i="3" s="1"/>
  <c r="AU8" i="3" s="1"/>
  <c r="AA8" i="3"/>
  <c r="AN8" i="3" s="1"/>
  <c r="W58" i="1"/>
  <c r="F33" i="1"/>
  <c r="F32" i="1"/>
  <c r="F35" i="1"/>
  <c r="F34" i="1"/>
  <c r="Z7" i="3"/>
  <c r="S100" i="1"/>
  <c r="R17" i="32" s="1"/>
  <c r="W94" i="1"/>
  <c r="O100" i="1"/>
  <c r="N17" i="32" s="1"/>
  <c r="H100" i="1"/>
  <c r="G17" i="32" s="1"/>
  <c r="J100" i="1"/>
  <c r="I17" i="32" s="1"/>
  <c r="I100" i="1"/>
  <c r="H17" i="32" s="1"/>
  <c r="D100" i="1"/>
  <c r="W98" i="1"/>
  <c r="K100" i="1"/>
  <c r="J17" i="32" s="1"/>
  <c r="E100" i="1"/>
  <c r="D17" i="32" s="1"/>
  <c r="T100" i="1"/>
  <c r="S17" i="32" s="1"/>
  <c r="U100" i="1"/>
  <c r="T17" i="32" s="1"/>
  <c r="G100" i="1"/>
  <c r="F17" i="32" s="1"/>
  <c r="W97" i="1"/>
  <c r="F100" i="1"/>
  <c r="E17" i="32" s="1"/>
  <c r="P100" i="1"/>
  <c r="O17" i="32" s="1"/>
  <c r="C100" i="1"/>
  <c r="Q100" i="1"/>
  <c r="P17" i="32" s="1"/>
  <c r="R100" i="1"/>
  <c r="Q17" i="32" s="1"/>
  <c r="V100" i="1"/>
  <c r="U17" i="32" s="1"/>
  <c r="L100" i="1"/>
  <c r="K17" i="32" s="1"/>
  <c r="N100" i="1"/>
  <c r="M17" i="32" s="1"/>
  <c r="M100" i="1"/>
  <c r="L17" i="32" s="1"/>
  <c r="W90" i="1"/>
  <c r="W93" i="1"/>
  <c r="W138" i="1"/>
  <c r="W132" i="1"/>
  <c r="W142" i="1"/>
  <c r="C145" i="1"/>
  <c r="B18" i="32" s="1"/>
  <c r="W143" i="1"/>
  <c r="D145" i="1"/>
  <c r="C18" i="32" s="1"/>
  <c r="E145" i="1"/>
  <c r="D18" i="32" s="1"/>
  <c r="F145" i="1"/>
  <c r="E18" i="32" s="1"/>
  <c r="G145" i="1"/>
  <c r="F18" i="32" s="1"/>
  <c r="H145" i="1"/>
  <c r="G18" i="32" s="1"/>
  <c r="I145" i="1"/>
  <c r="H18" i="32" s="1"/>
  <c r="J145" i="1"/>
  <c r="I18" i="32" s="1"/>
  <c r="K145" i="1"/>
  <c r="J18" i="32" s="1"/>
  <c r="L145" i="1"/>
  <c r="K18" i="32" s="1"/>
  <c r="M145" i="1"/>
  <c r="L18" i="32" s="1"/>
  <c r="N145" i="1"/>
  <c r="M18" i="32" s="1"/>
  <c r="O145" i="1"/>
  <c r="N18" i="32" s="1"/>
  <c r="P145" i="1"/>
  <c r="O18" i="32" s="1"/>
  <c r="Q145" i="1"/>
  <c r="P18" i="32" s="1"/>
  <c r="R145" i="1"/>
  <c r="Q18" i="32" s="1"/>
  <c r="T145" i="1"/>
  <c r="S18" i="32" s="1"/>
  <c r="W131" i="1"/>
  <c r="W141" i="1"/>
  <c r="S145" i="1"/>
  <c r="R18" i="32" s="1"/>
  <c r="W135" i="1"/>
  <c r="W133" i="1"/>
  <c r="V145" i="1"/>
  <c r="U18" i="32" s="1"/>
  <c r="W129" i="1"/>
  <c r="W130" i="1"/>
  <c r="W140" i="1"/>
  <c r="U145" i="1"/>
  <c r="T18" i="32" s="1"/>
  <c r="W136" i="1"/>
  <c r="W96" i="1"/>
  <c r="W137" i="1"/>
  <c r="D121" i="1"/>
  <c r="C16" i="32" s="1"/>
  <c r="T121" i="1"/>
  <c r="S16" i="32" s="1"/>
  <c r="S121" i="1"/>
  <c r="R16" i="32" s="1"/>
  <c r="J121" i="1"/>
  <c r="I16" i="32" s="1"/>
  <c r="M121" i="1"/>
  <c r="L16" i="32" s="1"/>
  <c r="W119" i="1"/>
  <c r="W114" i="1"/>
  <c r="W109" i="1"/>
  <c r="P121" i="1"/>
  <c r="O16" i="32" s="1"/>
  <c r="N121" i="1"/>
  <c r="M16" i="32" s="1"/>
  <c r="U121" i="1"/>
  <c r="T16" i="32" s="1"/>
  <c r="C121" i="1"/>
  <c r="B16" i="32" s="1"/>
  <c r="W118" i="1"/>
  <c r="W112" i="1"/>
  <c r="W108" i="1"/>
  <c r="W117" i="1"/>
  <c r="L121" i="1"/>
  <c r="K16" i="32" s="1"/>
  <c r="Q121" i="1"/>
  <c r="P16" i="32" s="1"/>
  <c r="O121" i="1"/>
  <c r="N16" i="32" s="1"/>
  <c r="W115" i="1"/>
  <c r="G121" i="1"/>
  <c r="F16" i="32" s="1"/>
  <c r="V121" i="1"/>
  <c r="U16" i="32" s="1"/>
  <c r="W111" i="1"/>
  <c r="R121" i="1"/>
  <c r="Q16" i="32" s="1"/>
  <c r="I121" i="1"/>
  <c r="H16" i="32" s="1"/>
  <c r="W110" i="1"/>
  <c r="W113" i="1"/>
  <c r="W116" i="1"/>
  <c r="H121" i="1"/>
  <c r="G16" i="32" s="1"/>
  <c r="F121" i="1"/>
  <c r="E16" i="32" s="1"/>
  <c r="K121" i="1"/>
  <c r="J16" i="32" s="1"/>
  <c r="E121" i="1"/>
  <c r="D16" i="32" s="1"/>
  <c r="W92" i="1"/>
  <c r="W134" i="1"/>
  <c r="W139" i="1"/>
  <c r="W91" i="1"/>
  <c r="B38" i="32" l="1"/>
  <c r="AA19" i="32" s="1"/>
  <c r="I127" i="1"/>
  <c r="P127" i="1"/>
  <c r="O127" i="1"/>
  <c r="T127" i="1"/>
  <c r="N127" i="1"/>
  <c r="P106" i="1"/>
  <c r="T106" i="1"/>
  <c r="O106" i="1"/>
  <c r="E106" i="1"/>
  <c r="N106" i="1"/>
  <c r="I88" i="1"/>
  <c r="P88" i="1"/>
  <c r="J88" i="1"/>
  <c r="O88" i="1"/>
  <c r="S106" i="1"/>
  <c r="L127" i="1"/>
  <c r="D127" i="1"/>
  <c r="K127" i="1"/>
  <c r="H127" i="1"/>
  <c r="J127" i="1"/>
  <c r="D106" i="1"/>
  <c r="H106" i="1"/>
  <c r="K106" i="1"/>
  <c r="L106" i="1"/>
  <c r="J106" i="1"/>
  <c r="V88" i="1"/>
  <c r="N88" i="1"/>
  <c r="L88" i="1"/>
  <c r="Q88" i="1"/>
  <c r="K88" i="1"/>
  <c r="Q127" i="1"/>
  <c r="C127" i="1"/>
  <c r="G127" i="1"/>
  <c r="V127" i="1"/>
  <c r="F127" i="1"/>
  <c r="U106" i="1"/>
  <c r="C106" i="1"/>
  <c r="G106" i="1"/>
  <c r="V106" i="1"/>
  <c r="F106" i="1"/>
  <c r="F88" i="1"/>
  <c r="M88" i="1"/>
  <c r="H88" i="1"/>
  <c r="E88" i="1"/>
  <c r="G88" i="1"/>
  <c r="B41" i="32"/>
  <c r="AA22" i="32" s="1"/>
  <c r="B37" i="32"/>
  <c r="AA18" i="32" s="1"/>
  <c r="B35" i="32"/>
  <c r="AA16" i="32" s="1"/>
  <c r="C17" i="32"/>
  <c r="D88" i="1"/>
  <c r="B17" i="32"/>
  <c r="B36" i="32" s="1"/>
  <c r="AA17" i="32" s="1"/>
  <c r="C88" i="1"/>
  <c r="G175" i="1"/>
  <c r="B32" i="32"/>
  <c r="AA13" i="32" s="1"/>
  <c r="V175" i="1"/>
  <c r="AA14" i="3"/>
  <c r="AN14" i="3" s="1"/>
  <c r="D33" i="1"/>
  <c r="C13" i="32"/>
  <c r="D13" i="3"/>
  <c r="AB13" i="3" s="1"/>
  <c r="AC13" i="3" s="1"/>
  <c r="AD13" i="3" s="1"/>
  <c r="C19" i="32"/>
  <c r="G198" i="1"/>
  <c r="C176" i="1"/>
  <c r="G176" i="1"/>
  <c r="J176" i="1"/>
  <c r="N175" i="1"/>
  <c r="H175" i="1"/>
  <c r="H235" i="1"/>
  <c r="Q175" i="1"/>
  <c r="L175" i="1"/>
  <c r="R175" i="1"/>
  <c r="E175" i="1"/>
  <c r="F175" i="1"/>
  <c r="AB14" i="3"/>
  <c r="AC14" i="3" s="1"/>
  <c r="AD14" i="3" s="1"/>
  <c r="X14" i="3"/>
  <c r="Y14" i="3" s="1"/>
  <c r="AL14" i="3" s="1"/>
  <c r="AU14" i="3" s="1"/>
  <c r="C175" i="1"/>
  <c r="D175" i="1"/>
  <c r="J177" i="1"/>
  <c r="I175" i="1"/>
  <c r="D35" i="1"/>
  <c r="L177" i="1"/>
  <c r="Q177" i="1"/>
  <c r="D177" i="1"/>
  <c r="M175" i="1"/>
  <c r="I198" i="1"/>
  <c r="N174" i="1"/>
  <c r="U177" i="1"/>
  <c r="S177" i="1"/>
  <c r="V177" i="1"/>
  <c r="N177" i="1"/>
  <c r="R177" i="1"/>
  <c r="F177" i="1"/>
  <c r="H177" i="1"/>
  <c r="E177" i="1"/>
  <c r="G177" i="1"/>
  <c r="C177" i="1"/>
  <c r="U175" i="1"/>
  <c r="J175" i="1"/>
  <c r="I177" i="1"/>
  <c r="I200" i="1"/>
  <c r="K200" i="1"/>
  <c r="R200" i="1"/>
  <c r="M200" i="1"/>
  <c r="C200" i="1"/>
  <c r="H200" i="1"/>
  <c r="D200" i="1"/>
  <c r="S200" i="1"/>
  <c r="L200" i="1"/>
  <c r="O200" i="1"/>
  <c r="F200" i="1"/>
  <c r="Q200" i="1"/>
  <c r="E200" i="1"/>
  <c r="U200" i="1"/>
  <c r="J200" i="1"/>
  <c r="G200" i="1"/>
  <c r="P200" i="1"/>
  <c r="N200" i="1"/>
  <c r="V200" i="1"/>
  <c r="T200" i="1"/>
  <c r="K174" i="1"/>
  <c r="Y252" i="1"/>
  <c r="T174" i="1"/>
  <c r="O174" i="1"/>
  <c r="V176" i="1"/>
  <c r="G174" i="1"/>
  <c r="T197" i="1"/>
  <c r="R197" i="1"/>
  <c r="D197" i="1"/>
  <c r="N197" i="1"/>
  <c r="H197" i="1"/>
  <c r="O197" i="1"/>
  <c r="V197" i="1"/>
  <c r="L197" i="1"/>
  <c r="S197" i="1"/>
  <c r="P197" i="1"/>
  <c r="Q197" i="1"/>
  <c r="K197" i="1"/>
  <c r="C197" i="1"/>
  <c r="M197" i="1"/>
  <c r="J197" i="1"/>
  <c r="F197" i="1"/>
  <c r="U197" i="1"/>
  <c r="K176" i="1"/>
  <c r="L176" i="1"/>
  <c r="T176" i="1"/>
  <c r="O176" i="1"/>
  <c r="M176" i="1"/>
  <c r="N176" i="1"/>
  <c r="AA252" i="1"/>
  <c r="S176" i="1"/>
  <c r="R176" i="1"/>
  <c r="E176" i="1"/>
  <c r="V174" i="1"/>
  <c r="L174" i="1"/>
  <c r="H16" i="3"/>
  <c r="AA16" i="3" s="1"/>
  <c r="AN16" i="3" s="1"/>
  <c r="F174" i="1"/>
  <c r="D174" i="1"/>
  <c r="C174" i="1"/>
  <c r="U174" i="1"/>
  <c r="J174" i="1"/>
  <c r="I174" i="1"/>
  <c r="P199" i="1"/>
  <c r="R199" i="1"/>
  <c r="C199" i="1"/>
  <c r="N199" i="1"/>
  <c r="J199" i="1"/>
  <c r="K199" i="1"/>
  <c r="T199" i="1"/>
  <c r="I199" i="1"/>
  <c r="O199" i="1"/>
  <c r="S199" i="1"/>
  <c r="M199" i="1"/>
  <c r="Q199" i="1"/>
  <c r="F199" i="1"/>
  <c r="E199" i="1"/>
  <c r="D199" i="1"/>
  <c r="H199" i="1"/>
  <c r="V199" i="1"/>
  <c r="U199" i="1"/>
  <c r="G199" i="1"/>
  <c r="L199" i="1"/>
  <c r="T177" i="1"/>
  <c r="K177" i="1"/>
  <c r="AB252" i="1"/>
  <c r="O177" i="1"/>
  <c r="M177" i="1"/>
  <c r="U176" i="1"/>
  <c r="S175" i="1"/>
  <c r="Q176" i="1"/>
  <c r="I197" i="1"/>
  <c r="M174" i="1"/>
  <c r="Q174" i="1"/>
  <c r="H174" i="1"/>
  <c r="E174" i="1"/>
  <c r="F176" i="1"/>
  <c r="I176" i="1"/>
  <c r="E197" i="1"/>
  <c r="S198" i="1"/>
  <c r="O198" i="1"/>
  <c r="C198" i="1"/>
  <c r="T198" i="1"/>
  <c r="K198" i="1"/>
  <c r="D198" i="1"/>
  <c r="Q198" i="1"/>
  <c r="L198" i="1"/>
  <c r="H198" i="1"/>
  <c r="P198" i="1"/>
  <c r="J198" i="1"/>
  <c r="F198" i="1"/>
  <c r="N198" i="1"/>
  <c r="M198" i="1"/>
  <c r="U198" i="1"/>
  <c r="V198" i="1"/>
  <c r="R198" i="1"/>
  <c r="T175" i="1"/>
  <c r="K175" i="1"/>
  <c r="Z252" i="1"/>
  <c r="O175" i="1"/>
  <c r="S174" i="1"/>
  <c r="P174" i="1"/>
  <c r="H176" i="1"/>
  <c r="D32" i="1"/>
  <c r="D6" i="3"/>
  <c r="AA6" i="3" s="1"/>
  <c r="AN6" i="3" s="1"/>
  <c r="D34" i="1"/>
  <c r="H236" i="1"/>
  <c r="H233" i="1"/>
  <c r="D176" i="1"/>
  <c r="H234" i="1"/>
  <c r="AM13" i="3"/>
  <c r="AM16" i="3"/>
  <c r="AE15" i="3"/>
  <c r="AM15" i="3"/>
  <c r="AV8" i="3"/>
  <c r="AD8" i="3"/>
  <c r="AM8" i="3"/>
  <c r="AE8" i="3"/>
  <c r="AM6" i="3"/>
  <c r="AE6" i="3"/>
  <c r="AE7" i="3"/>
  <c r="AM7" i="3"/>
  <c r="H10" i="3"/>
  <c r="H124" i="1"/>
  <c r="H122" i="1"/>
  <c r="H123" i="1"/>
  <c r="H125" i="1"/>
  <c r="E10" i="3"/>
  <c r="E125" i="1"/>
  <c r="E122" i="1"/>
  <c r="E123" i="1"/>
  <c r="E124" i="1"/>
  <c r="R10" i="3"/>
  <c r="R122" i="1"/>
  <c r="R123" i="1"/>
  <c r="R124" i="1"/>
  <c r="R125" i="1"/>
  <c r="C122" i="1"/>
  <c r="C10" i="3"/>
  <c r="C123" i="1"/>
  <c r="C124" i="1"/>
  <c r="C125" i="1"/>
  <c r="J10" i="3"/>
  <c r="J124" i="1"/>
  <c r="J122" i="1"/>
  <c r="J125" i="1"/>
  <c r="J123" i="1"/>
  <c r="U12" i="3"/>
  <c r="U148" i="1"/>
  <c r="U146" i="1"/>
  <c r="U147" i="1"/>
  <c r="U149" i="1"/>
  <c r="V12" i="3"/>
  <c r="V146" i="1"/>
  <c r="V149" i="1"/>
  <c r="V147" i="1"/>
  <c r="V148" i="1"/>
  <c r="Q12" i="3"/>
  <c r="Q149" i="1"/>
  <c r="Q146" i="1"/>
  <c r="Q148" i="1"/>
  <c r="Q147" i="1"/>
  <c r="M12" i="3"/>
  <c r="M148" i="1"/>
  <c r="M149" i="1"/>
  <c r="M146" i="1"/>
  <c r="M147" i="1"/>
  <c r="I12" i="3"/>
  <c r="I148" i="1"/>
  <c r="I146" i="1"/>
  <c r="I147" i="1"/>
  <c r="I149" i="1"/>
  <c r="E12" i="3"/>
  <c r="E148" i="1"/>
  <c r="E147" i="1"/>
  <c r="E149" i="1"/>
  <c r="E146" i="1"/>
  <c r="V11" i="3"/>
  <c r="V80" i="1"/>
  <c r="V103" i="1"/>
  <c r="V102" i="1"/>
  <c r="V104" i="1"/>
  <c r="V101" i="1"/>
  <c r="P11" i="3"/>
  <c r="P80" i="1"/>
  <c r="P103" i="1"/>
  <c r="P102" i="1"/>
  <c r="P101" i="1"/>
  <c r="P104" i="1"/>
  <c r="U11" i="3"/>
  <c r="U80" i="1"/>
  <c r="U103" i="1"/>
  <c r="U104" i="1"/>
  <c r="U102" i="1"/>
  <c r="U101" i="1"/>
  <c r="H11" i="3"/>
  <c r="H80" i="1"/>
  <c r="H102" i="1"/>
  <c r="H103" i="1"/>
  <c r="H104" i="1"/>
  <c r="H101" i="1"/>
  <c r="K10" i="3"/>
  <c r="K124" i="1"/>
  <c r="K125" i="1"/>
  <c r="K122" i="1"/>
  <c r="K123" i="1"/>
  <c r="O10" i="3"/>
  <c r="O123" i="1"/>
  <c r="O122" i="1"/>
  <c r="O125" i="1"/>
  <c r="O124" i="1"/>
  <c r="U10" i="3"/>
  <c r="U122" i="1"/>
  <c r="U125" i="1"/>
  <c r="U123" i="1"/>
  <c r="U124" i="1"/>
  <c r="S10" i="3"/>
  <c r="S122" i="1"/>
  <c r="S124" i="1"/>
  <c r="S125" i="1"/>
  <c r="S123" i="1"/>
  <c r="P12" i="3"/>
  <c r="P149" i="1"/>
  <c r="P146" i="1"/>
  <c r="P147" i="1"/>
  <c r="P148" i="1"/>
  <c r="L12" i="3"/>
  <c r="L149" i="1"/>
  <c r="L148" i="1"/>
  <c r="L146" i="1"/>
  <c r="L147" i="1"/>
  <c r="H12" i="3"/>
  <c r="H149" i="1"/>
  <c r="H146" i="1"/>
  <c r="H147" i="1"/>
  <c r="H148" i="1"/>
  <c r="D12" i="3"/>
  <c r="D149" i="1"/>
  <c r="D146" i="1"/>
  <c r="D147" i="1"/>
  <c r="D148" i="1"/>
  <c r="M11" i="3"/>
  <c r="M103" i="1"/>
  <c r="M101" i="1"/>
  <c r="M80" i="1"/>
  <c r="M102" i="1"/>
  <c r="M104" i="1"/>
  <c r="R11" i="3"/>
  <c r="R104" i="1"/>
  <c r="R101" i="1"/>
  <c r="R102" i="1"/>
  <c r="R80" i="1"/>
  <c r="R103" i="1"/>
  <c r="F11" i="3"/>
  <c r="F80" i="1"/>
  <c r="F103" i="1"/>
  <c r="F104" i="1"/>
  <c r="F101" i="1"/>
  <c r="F102" i="1"/>
  <c r="T80" i="1"/>
  <c r="T11" i="3"/>
  <c r="T103" i="1"/>
  <c r="T101" i="1"/>
  <c r="T104" i="1"/>
  <c r="T102" i="1"/>
  <c r="D11" i="3"/>
  <c r="D80" i="1"/>
  <c r="D103" i="1"/>
  <c r="D101" i="1"/>
  <c r="D104" i="1"/>
  <c r="D102" i="1"/>
  <c r="O11" i="3"/>
  <c r="O80" i="1"/>
  <c r="O104" i="1"/>
  <c r="O101" i="1"/>
  <c r="O102" i="1"/>
  <c r="O103" i="1"/>
  <c r="F10" i="3"/>
  <c r="F124" i="1"/>
  <c r="F125" i="1"/>
  <c r="F123" i="1"/>
  <c r="F122" i="1"/>
  <c r="V10" i="3"/>
  <c r="V124" i="1"/>
  <c r="V125" i="1"/>
  <c r="V123" i="1"/>
  <c r="V122" i="1"/>
  <c r="Q10" i="3"/>
  <c r="Q122" i="1"/>
  <c r="Q125" i="1"/>
  <c r="Q124" i="1"/>
  <c r="Q123" i="1"/>
  <c r="N10" i="3"/>
  <c r="N123" i="1"/>
  <c r="N124" i="1"/>
  <c r="N125" i="1"/>
  <c r="N122" i="1"/>
  <c r="T10" i="3"/>
  <c r="T124" i="1"/>
  <c r="T125" i="1"/>
  <c r="T123" i="1"/>
  <c r="T122" i="1"/>
  <c r="T12" i="3"/>
  <c r="T146" i="1"/>
  <c r="T149" i="1"/>
  <c r="T148" i="1"/>
  <c r="T147" i="1"/>
  <c r="O12" i="3"/>
  <c r="O146" i="1"/>
  <c r="O147" i="1"/>
  <c r="O149" i="1"/>
  <c r="O148" i="1"/>
  <c r="K12" i="3"/>
  <c r="K147" i="1"/>
  <c r="K149" i="1"/>
  <c r="K146" i="1"/>
  <c r="K148" i="1"/>
  <c r="G12" i="3"/>
  <c r="G148" i="1"/>
  <c r="G146" i="1"/>
  <c r="G147" i="1"/>
  <c r="G149" i="1"/>
  <c r="N11" i="3"/>
  <c r="N80" i="1"/>
  <c r="N103" i="1"/>
  <c r="N102" i="1"/>
  <c r="N101" i="1"/>
  <c r="N104" i="1"/>
  <c r="Q11" i="3"/>
  <c r="Q80" i="1"/>
  <c r="Q104" i="1"/>
  <c r="Q101" i="1"/>
  <c r="Q103" i="1"/>
  <c r="Q102" i="1"/>
  <c r="E11" i="3"/>
  <c r="E80" i="1"/>
  <c r="E103" i="1"/>
  <c r="E104" i="1"/>
  <c r="E101" i="1"/>
  <c r="E102" i="1"/>
  <c r="I11" i="3"/>
  <c r="I80" i="1"/>
  <c r="I104" i="1"/>
  <c r="I102" i="1"/>
  <c r="I101" i="1"/>
  <c r="I103" i="1"/>
  <c r="I10" i="3"/>
  <c r="I123" i="1"/>
  <c r="I124" i="1"/>
  <c r="I125" i="1"/>
  <c r="I122" i="1"/>
  <c r="G10" i="3"/>
  <c r="G122" i="1"/>
  <c r="G124" i="1"/>
  <c r="G125" i="1"/>
  <c r="G123" i="1"/>
  <c r="L10" i="3"/>
  <c r="L124" i="1"/>
  <c r="L122" i="1"/>
  <c r="L125" i="1"/>
  <c r="L123" i="1"/>
  <c r="P10" i="3"/>
  <c r="P125" i="1"/>
  <c r="P124" i="1"/>
  <c r="P122" i="1"/>
  <c r="P123" i="1"/>
  <c r="M10" i="3"/>
  <c r="M123" i="1"/>
  <c r="M125" i="1"/>
  <c r="M124" i="1"/>
  <c r="M122" i="1"/>
  <c r="D10" i="3"/>
  <c r="D123" i="1"/>
  <c r="D122" i="1"/>
  <c r="D125" i="1"/>
  <c r="D124" i="1"/>
  <c r="S12" i="3"/>
  <c r="S146" i="1"/>
  <c r="S147" i="1"/>
  <c r="S148" i="1"/>
  <c r="S149" i="1"/>
  <c r="R12" i="3"/>
  <c r="R149" i="1"/>
  <c r="R147" i="1"/>
  <c r="R148" i="1"/>
  <c r="R146" i="1"/>
  <c r="N12" i="3"/>
  <c r="N148" i="1"/>
  <c r="N146" i="1"/>
  <c r="N149" i="1"/>
  <c r="N147" i="1"/>
  <c r="J12" i="3"/>
  <c r="J149" i="1"/>
  <c r="J148" i="1"/>
  <c r="J147" i="1"/>
  <c r="J146" i="1"/>
  <c r="F12" i="3"/>
  <c r="F149" i="1"/>
  <c r="F147" i="1"/>
  <c r="F148" i="1"/>
  <c r="F146" i="1"/>
  <c r="C12" i="3"/>
  <c r="C146" i="1"/>
  <c r="C148" i="1"/>
  <c r="C147" i="1"/>
  <c r="C149" i="1"/>
  <c r="L11" i="3"/>
  <c r="L80" i="1"/>
  <c r="L103" i="1"/>
  <c r="L102" i="1"/>
  <c r="L104" i="1"/>
  <c r="L101" i="1"/>
  <c r="C80" i="1"/>
  <c r="C11" i="3"/>
  <c r="C103" i="1"/>
  <c r="C102" i="1"/>
  <c r="C101" i="1"/>
  <c r="C104" i="1"/>
  <c r="G11" i="3"/>
  <c r="G103" i="1"/>
  <c r="G104" i="1"/>
  <c r="G101" i="1"/>
  <c r="G102" i="1"/>
  <c r="G80" i="1"/>
  <c r="K11" i="3"/>
  <c r="K80" i="1"/>
  <c r="K103" i="1"/>
  <c r="K101" i="1"/>
  <c r="K104" i="1"/>
  <c r="K102" i="1"/>
  <c r="J11" i="3"/>
  <c r="J80" i="1"/>
  <c r="J101" i="1"/>
  <c r="J103" i="1"/>
  <c r="J104" i="1"/>
  <c r="J102" i="1"/>
  <c r="S11" i="3"/>
  <c r="S80" i="1"/>
  <c r="S103" i="1"/>
  <c r="S104" i="1"/>
  <c r="S101" i="1"/>
  <c r="S102" i="1"/>
  <c r="N83" i="1" l="1"/>
  <c r="M15" i="32" s="1"/>
  <c r="T83" i="1"/>
  <c r="S15" i="32" s="1"/>
  <c r="R83" i="1"/>
  <c r="Q15" i="32" s="1"/>
  <c r="H83" i="1"/>
  <c r="G15" i="32" s="1"/>
  <c r="U83" i="1"/>
  <c r="T15" i="32" s="1"/>
  <c r="V83" i="1"/>
  <c r="U15" i="32" s="1"/>
  <c r="O83" i="1"/>
  <c r="N15" i="32" s="1"/>
  <c r="M83" i="1"/>
  <c r="L15" i="32" s="1"/>
  <c r="P83" i="1"/>
  <c r="O15" i="32" s="1"/>
  <c r="J83" i="1"/>
  <c r="I15" i="32" s="1"/>
  <c r="G83" i="1"/>
  <c r="F15" i="32" s="1"/>
  <c r="L83" i="1"/>
  <c r="K15" i="32" s="1"/>
  <c r="E83" i="1"/>
  <c r="D15" i="32" s="1"/>
  <c r="F83" i="1"/>
  <c r="E15" i="32" s="1"/>
  <c r="S83" i="1"/>
  <c r="R15" i="32" s="1"/>
  <c r="K83" i="1"/>
  <c r="J15" i="32" s="1"/>
  <c r="I83" i="1"/>
  <c r="H15" i="32" s="1"/>
  <c r="Q83" i="1"/>
  <c r="P15" i="32" s="1"/>
  <c r="C83" i="1"/>
  <c r="B15" i="32" s="1"/>
  <c r="W11" i="1"/>
  <c r="X13" i="3"/>
  <c r="Y13" i="3" s="1"/>
  <c r="AL13" i="3" s="1"/>
  <c r="AU13" i="3" s="1"/>
  <c r="AA13" i="3"/>
  <c r="AN13" i="3" s="1"/>
  <c r="AV14" i="3"/>
  <c r="X6" i="3"/>
  <c r="Y6" i="3" s="1"/>
  <c r="AL6" i="3" s="1"/>
  <c r="AU6" i="3" s="1"/>
  <c r="X16" i="3"/>
  <c r="Y16" i="3" s="1"/>
  <c r="AL16" i="3" s="1"/>
  <c r="AU16" i="3" s="1"/>
  <c r="W180" i="1"/>
  <c r="AB16" i="3"/>
  <c r="AC16" i="3" s="1"/>
  <c r="AD16" i="3" s="1"/>
  <c r="AB6" i="3"/>
  <c r="AC6" i="3" s="1"/>
  <c r="AD6" i="3" s="1"/>
  <c r="W152" i="1"/>
  <c r="W219" i="1"/>
  <c r="D83" i="1"/>
  <c r="C15" i="32" s="1"/>
  <c r="W128" i="1"/>
  <c r="S86" i="1"/>
  <c r="S254" i="1" s="1"/>
  <c r="R4" i="32" s="1"/>
  <c r="S9" i="3"/>
  <c r="S87" i="1"/>
  <c r="S255" i="1" s="1"/>
  <c r="R5" i="32" s="1"/>
  <c r="S84" i="1"/>
  <c r="S252" i="1" s="1"/>
  <c r="S85" i="1"/>
  <c r="S253" i="1" s="1"/>
  <c r="R3" i="32" s="1"/>
  <c r="J9" i="3"/>
  <c r="J86" i="1"/>
  <c r="J254" i="1" s="1"/>
  <c r="I4" i="32" s="1"/>
  <c r="J87" i="1"/>
  <c r="J255" i="1" s="1"/>
  <c r="I5" i="32" s="1"/>
  <c r="J85" i="1"/>
  <c r="J253" i="1" s="1"/>
  <c r="I3" i="32" s="1"/>
  <c r="J84" i="1"/>
  <c r="J252" i="1" s="1"/>
  <c r="AA11" i="3"/>
  <c r="AN11" i="3" s="1"/>
  <c r="AB11" i="3"/>
  <c r="AC11" i="3" s="1"/>
  <c r="X11" i="3"/>
  <c r="Y11" i="3" s="1"/>
  <c r="AL11" i="3" s="1"/>
  <c r="AU11" i="3" s="1"/>
  <c r="Z11" i="3"/>
  <c r="L84" i="1"/>
  <c r="L252" i="1" s="1"/>
  <c r="L9" i="3"/>
  <c r="L87" i="1"/>
  <c r="L255" i="1" s="1"/>
  <c r="K5" i="32" s="1"/>
  <c r="L86" i="1"/>
  <c r="L254" i="1" s="1"/>
  <c r="K4" i="32" s="1"/>
  <c r="L85" i="1"/>
  <c r="L253" i="1" s="1"/>
  <c r="K3" i="32" s="1"/>
  <c r="Q9" i="3"/>
  <c r="Q86" i="1"/>
  <c r="Q254" i="1" s="1"/>
  <c r="P4" i="32" s="1"/>
  <c r="Q84" i="1"/>
  <c r="Q252" i="1" s="1"/>
  <c r="Q85" i="1"/>
  <c r="Q253" i="1" s="1"/>
  <c r="P3" i="32" s="1"/>
  <c r="Q87" i="1"/>
  <c r="Q255" i="1" s="1"/>
  <c r="P5" i="32" s="1"/>
  <c r="O9" i="3"/>
  <c r="O84" i="1"/>
  <c r="O252" i="1" s="1"/>
  <c r="O87" i="1"/>
  <c r="O255" i="1" s="1"/>
  <c r="N5" i="32" s="1"/>
  <c r="O86" i="1"/>
  <c r="O254" i="1" s="1"/>
  <c r="N4" i="32" s="1"/>
  <c r="O85" i="1"/>
  <c r="O253" i="1" s="1"/>
  <c r="N3" i="32" s="1"/>
  <c r="T9" i="3"/>
  <c r="T85" i="1"/>
  <c r="T253" i="1" s="1"/>
  <c r="S3" i="32" s="1"/>
  <c r="T86" i="1"/>
  <c r="T254" i="1" s="1"/>
  <c r="S4" i="32" s="1"/>
  <c r="T84" i="1"/>
  <c r="T252" i="1" s="1"/>
  <c r="T87" i="1"/>
  <c r="T255" i="1" s="1"/>
  <c r="S5" i="32" s="1"/>
  <c r="W107" i="1"/>
  <c r="E9" i="3"/>
  <c r="E86" i="1"/>
  <c r="E254" i="1" s="1"/>
  <c r="D4" i="32" s="1"/>
  <c r="E84" i="1"/>
  <c r="E252" i="1" s="1"/>
  <c r="E85" i="1"/>
  <c r="E253" i="1" s="1"/>
  <c r="D3" i="32" s="1"/>
  <c r="E87" i="1"/>
  <c r="E255" i="1" s="1"/>
  <c r="D5" i="32" s="1"/>
  <c r="R9" i="3"/>
  <c r="R86" i="1"/>
  <c r="R254" i="1" s="1"/>
  <c r="Q4" i="32" s="1"/>
  <c r="R85" i="1"/>
  <c r="R253" i="1" s="1"/>
  <c r="Q3" i="32" s="1"/>
  <c r="R87" i="1"/>
  <c r="R255" i="1" s="1"/>
  <c r="Q5" i="32" s="1"/>
  <c r="R84" i="1"/>
  <c r="R252" i="1" s="1"/>
  <c r="M9" i="3"/>
  <c r="M87" i="1"/>
  <c r="M255" i="1" s="1"/>
  <c r="L5" i="32" s="1"/>
  <c r="M84" i="1"/>
  <c r="M252" i="1" s="1"/>
  <c r="M86" i="1"/>
  <c r="M254" i="1" s="1"/>
  <c r="L4" i="32" s="1"/>
  <c r="M85" i="1"/>
  <c r="M253" i="1" s="1"/>
  <c r="L3" i="32" s="1"/>
  <c r="U9" i="3"/>
  <c r="U87" i="1"/>
  <c r="U255" i="1" s="1"/>
  <c r="T5" i="32" s="1"/>
  <c r="U84" i="1"/>
  <c r="U252" i="1" s="1"/>
  <c r="U86" i="1"/>
  <c r="U254" i="1" s="1"/>
  <c r="T4" i="32" s="1"/>
  <c r="U85" i="1"/>
  <c r="U253" i="1" s="1"/>
  <c r="T3" i="32" s="1"/>
  <c r="P87" i="1"/>
  <c r="P255" i="1" s="1"/>
  <c r="O5" i="32" s="1"/>
  <c r="P85" i="1"/>
  <c r="P253" i="1" s="1"/>
  <c r="O3" i="32" s="1"/>
  <c r="P9" i="3"/>
  <c r="P84" i="1"/>
  <c r="P252" i="1" s="1"/>
  <c r="P86" i="1"/>
  <c r="P254" i="1" s="1"/>
  <c r="O4" i="32" s="1"/>
  <c r="G84" i="1"/>
  <c r="G87" i="1"/>
  <c r="G9" i="3"/>
  <c r="G86" i="1"/>
  <c r="G85" i="1"/>
  <c r="W89" i="1"/>
  <c r="C84" i="1"/>
  <c r="C87" i="1"/>
  <c r="C255" i="1" s="1"/>
  <c r="B5" i="32" s="1"/>
  <c r="C85" i="1"/>
  <c r="C253" i="1" s="1"/>
  <c r="B3" i="32" s="1"/>
  <c r="C86" i="1"/>
  <c r="C254" i="1" s="1"/>
  <c r="B4" i="32" s="1"/>
  <c r="C9" i="3"/>
  <c r="X12" i="3"/>
  <c r="Y12" i="3" s="1"/>
  <c r="AL12" i="3" s="1"/>
  <c r="AU12" i="3" s="1"/>
  <c r="AA12" i="3"/>
  <c r="AN12" i="3" s="1"/>
  <c r="Z12" i="3"/>
  <c r="AB12" i="3"/>
  <c r="AC12" i="3" s="1"/>
  <c r="F9" i="3"/>
  <c r="F84" i="1"/>
  <c r="F252" i="1" s="1"/>
  <c r="F85" i="1"/>
  <c r="F253" i="1" s="1"/>
  <c r="E3" i="32" s="1"/>
  <c r="F87" i="1"/>
  <c r="F255" i="1" s="1"/>
  <c r="E5" i="32" s="1"/>
  <c r="F86" i="1"/>
  <c r="F254" i="1" s="1"/>
  <c r="E4" i="32" s="1"/>
  <c r="K9" i="3"/>
  <c r="K87" i="1"/>
  <c r="K255" i="1" s="1"/>
  <c r="J5" i="32" s="1"/>
  <c r="K86" i="1"/>
  <c r="K254" i="1" s="1"/>
  <c r="J4" i="32" s="1"/>
  <c r="K84" i="1"/>
  <c r="K252" i="1" s="1"/>
  <c r="K85" i="1"/>
  <c r="K253" i="1" s="1"/>
  <c r="J3" i="32" s="1"/>
  <c r="I9" i="3"/>
  <c r="I87" i="1"/>
  <c r="I255" i="1" s="1"/>
  <c r="H5" i="32" s="1"/>
  <c r="I86" i="1"/>
  <c r="I254" i="1" s="1"/>
  <c r="H4" i="32" s="1"/>
  <c r="I84" i="1"/>
  <c r="I252" i="1" s="1"/>
  <c r="I85" i="1"/>
  <c r="I253" i="1" s="1"/>
  <c r="H3" i="32" s="1"/>
  <c r="N9" i="3"/>
  <c r="N86" i="1"/>
  <c r="N254" i="1" s="1"/>
  <c r="M4" i="32" s="1"/>
  <c r="N85" i="1"/>
  <c r="N253" i="1" s="1"/>
  <c r="M3" i="32" s="1"/>
  <c r="N84" i="1"/>
  <c r="N252" i="1" s="1"/>
  <c r="N87" i="1"/>
  <c r="N255" i="1" s="1"/>
  <c r="M5" i="32" s="1"/>
  <c r="H9" i="3"/>
  <c r="H84" i="1"/>
  <c r="H85" i="1"/>
  <c r="H86" i="1"/>
  <c r="H87" i="1"/>
  <c r="V9" i="3"/>
  <c r="V87" i="1"/>
  <c r="V255" i="1" s="1"/>
  <c r="V84" i="1"/>
  <c r="V252" i="1" s="1"/>
  <c r="V85" i="1"/>
  <c r="V253" i="1" s="1"/>
  <c r="V86" i="1"/>
  <c r="V254" i="1" s="1"/>
  <c r="U4" i="32" s="1"/>
  <c r="X10" i="3"/>
  <c r="Y10" i="3" s="1"/>
  <c r="AL10" i="3" s="1"/>
  <c r="AU10" i="3" s="1"/>
  <c r="AA10" i="3"/>
  <c r="AN10" i="3" s="1"/>
  <c r="AB10" i="3"/>
  <c r="AC10" i="3" s="1"/>
  <c r="Z10" i="3"/>
  <c r="B34" i="32" l="1"/>
  <c r="AA15" i="32" s="1"/>
  <c r="AV13" i="3"/>
  <c r="G71" i="1"/>
  <c r="E71" i="1"/>
  <c r="U71" i="1"/>
  <c r="S71" i="1"/>
  <c r="O71" i="1"/>
  <c r="T71" i="1"/>
  <c r="I71" i="1"/>
  <c r="P71" i="1"/>
  <c r="H71" i="1"/>
  <c r="R71" i="1"/>
  <c r="N71" i="1"/>
  <c r="Q71" i="1"/>
  <c r="K71" i="1"/>
  <c r="F71" i="1"/>
  <c r="L71" i="1"/>
  <c r="J71" i="1"/>
  <c r="M71" i="1"/>
  <c r="V71" i="1"/>
  <c r="D71" i="1"/>
  <c r="C71" i="1"/>
  <c r="U2" i="32"/>
  <c r="P7" i="31"/>
  <c r="O2" i="32"/>
  <c r="D2" i="32"/>
  <c r="E7" i="31"/>
  <c r="O7" i="31"/>
  <c r="N2" i="32"/>
  <c r="Q7" i="31"/>
  <c r="P2" i="32"/>
  <c r="J7" i="31"/>
  <c r="I2" i="32"/>
  <c r="L7" i="31"/>
  <c r="K2" i="32"/>
  <c r="N7" i="31"/>
  <c r="M2" i="32"/>
  <c r="I7" i="31"/>
  <c r="H2" i="32"/>
  <c r="E2" i="32"/>
  <c r="F7" i="31"/>
  <c r="U7" i="31"/>
  <c r="T2" i="32"/>
  <c r="R7" i="31"/>
  <c r="Q2" i="32"/>
  <c r="T7" i="31"/>
  <c r="S2" i="32"/>
  <c r="K7" i="31"/>
  <c r="J2" i="32"/>
  <c r="M7" i="31"/>
  <c r="L2" i="32"/>
  <c r="S7" i="31"/>
  <c r="R2" i="32"/>
  <c r="G2" i="32"/>
  <c r="AV16" i="3"/>
  <c r="AV6" i="3"/>
  <c r="D85" i="1"/>
  <c r="D253" i="1" s="1"/>
  <c r="C3" i="32" s="1"/>
  <c r="D84" i="1"/>
  <c r="D252" i="1" s="1"/>
  <c r="D86" i="1"/>
  <c r="D254" i="1" s="1"/>
  <c r="C4" i="32" s="1"/>
  <c r="D9" i="3"/>
  <c r="X9" i="3" s="1"/>
  <c r="Y9" i="3" s="1"/>
  <c r="AL9" i="3" s="1"/>
  <c r="AU9" i="3" s="1"/>
  <c r="D87" i="1"/>
  <c r="D255" i="1" s="1"/>
  <c r="C5" i="32" s="1"/>
  <c r="AV10" i="3"/>
  <c r="AV12" i="3"/>
  <c r="H4" i="3"/>
  <c r="N2" i="3"/>
  <c r="I5" i="3"/>
  <c r="K2" i="3"/>
  <c r="F3" i="3"/>
  <c r="C5" i="3"/>
  <c r="P2" i="3"/>
  <c r="U5" i="3"/>
  <c r="M2" i="3"/>
  <c r="R3" i="3"/>
  <c r="E5" i="3"/>
  <c r="E4" i="3"/>
  <c r="T3" i="3"/>
  <c r="O2" i="3"/>
  <c r="Q5" i="3"/>
  <c r="L5" i="3"/>
  <c r="AE11" i="3"/>
  <c r="AM11" i="3"/>
  <c r="AD11" i="3"/>
  <c r="J2" i="3"/>
  <c r="S5" i="3"/>
  <c r="V4" i="3"/>
  <c r="N3" i="3"/>
  <c r="I3" i="3"/>
  <c r="K4" i="3"/>
  <c r="F2" i="3"/>
  <c r="Z9" i="3"/>
  <c r="C252" i="1"/>
  <c r="C7" i="31" s="1"/>
  <c r="U3" i="3"/>
  <c r="M5" i="3"/>
  <c r="R4" i="3"/>
  <c r="T5" i="3"/>
  <c r="O3" i="3"/>
  <c r="Q3" i="3"/>
  <c r="J3" i="3"/>
  <c r="AD10" i="3"/>
  <c r="AE10" i="3"/>
  <c r="AM10" i="3"/>
  <c r="H2" i="3"/>
  <c r="N4" i="3"/>
  <c r="I2" i="3"/>
  <c r="K5" i="3"/>
  <c r="F4" i="3"/>
  <c r="AD12" i="3"/>
  <c r="AM12" i="3"/>
  <c r="AE12" i="3"/>
  <c r="C4" i="3"/>
  <c r="P3" i="3"/>
  <c r="U4" i="3"/>
  <c r="M3" i="3"/>
  <c r="R2" i="3"/>
  <c r="E3" i="3"/>
  <c r="T2" i="3"/>
  <c r="O4" i="3"/>
  <c r="Q2" i="3"/>
  <c r="L3" i="3"/>
  <c r="L2" i="3"/>
  <c r="J5" i="3"/>
  <c r="S3" i="3"/>
  <c r="V2" i="3"/>
  <c r="N5" i="3"/>
  <c r="I4" i="3"/>
  <c r="K3" i="3"/>
  <c r="F5" i="3"/>
  <c r="C3" i="3"/>
  <c r="P4" i="3"/>
  <c r="P5" i="3"/>
  <c r="U2" i="3"/>
  <c r="M4" i="3"/>
  <c r="R5" i="3"/>
  <c r="E2" i="3"/>
  <c r="T4" i="3"/>
  <c r="O5" i="3"/>
  <c r="Q4" i="3"/>
  <c r="L4" i="3"/>
  <c r="AV11" i="3"/>
  <c r="J4" i="3"/>
  <c r="S2" i="3"/>
  <c r="S4" i="3"/>
  <c r="C2" i="32" l="1"/>
  <c r="D7" i="31"/>
  <c r="B2" i="32"/>
  <c r="B27" i="32" s="1"/>
  <c r="AA2" i="32" s="1"/>
  <c r="D2" i="3"/>
  <c r="D3" i="3"/>
  <c r="D5" i="3"/>
  <c r="AA9" i="3"/>
  <c r="AN9" i="3" s="1"/>
  <c r="AV9" i="3" s="1"/>
  <c r="W72" i="1"/>
  <c r="AB9" i="3"/>
  <c r="AC9" i="3" s="1"/>
  <c r="AD9" i="3" s="1"/>
  <c r="D4" i="3"/>
  <c r="Z5" i="3"/>
  <c r="Z3" i="3"/>
  <c r="AE9" i="3"/>
  <c r="AM9" i="3"/>
  <c r="Z4" i="3"/>
  <c r="C2" i="3"/>
  <c r="AE3" i="3" l="1"/>
  <c r="AM3" i="3"/>
  <c r="Z2" i="3"/>
  <c r="AM4" i="3"/>
  <c r="AE4" i="3"/>
  <c r="AM5" i="3"/>
  <c r="AE5" i="3"/>
  <c r="AE2" i="3" l="1"/>
  <c r="AM2" i="3"/>
  <c r="G15" i="3" l="1"/>
  <c r="G215" i="1"/>
  <c r="G254" i="1" s="1"/>
  <c r="G216" i="1"/>
  <c r="G255" i="1" s="1"/>
  <c r="F5" i="32" s="1"/>
  <c r="G213" i="1"/>
  <c r="G252" i="1" s="1"/>
  <c r="G214" i="1"/>
  <c r="G253" i="1" s="1"/>
  <c r="F3" i="32" s="1"/>
  <c r="F2" i="32" l="1"/>
  <c r="G7" i="31"/>
  <c r="G4" i="3"/>
  <c r="X4" i="3" s="1"/>
  <c r="Y4" i="3" s="1"/>
  <c r="AL4" i="3" s="1"/>
  <c r="AU4" i="3" s="1"/>
  <c r="F4" i="32"/>
  <c r="W203" i="1"/>
  <c r="G3" i="3"/>
  <c r="G2" i="3"/>
  <c r="G5" i="3"/>
  <c r="AA15" i="3"/>
  <c r="AN15" i="3" s="1"/>
  <c r="X15" i="3"/>
  <c r="Y15" i="3" s="1"/>
  <c r="AL15" i="3" s="1"/>
  <c r="AU15" i="3" s="1"/>
  <c r="AB15" i="3"/>
  <c r="AC15" i="3" s="1"/>
  <c r="AD15" i="3" s="1"/>
  <c r="AB4" i="3" l="1"/>
  <c r="AC4" i="3" s="1"/>
  <c r="AD4" i="3" s="1"/>
  <c r="AA4" i="3"/>
  <c r="AN4" i="3" s="1"/>
  <c r="AV4" i="3" s="1"/>
  <c r="AV15" i="3"/>
  <c r="X2" i="3"/>
  <c r="Y2" i="3" s="1"/>
  <c r="AL2" i="3" s="1"/>
  <c r="AU2" i="3" s="1"/>
  <c r="AA2" i="3"/>
  <c r="AN2" i="3" s="1"/>
  <c r="AB2" i="3"/>
  <c r="AC2" i="3" s="1"/>
  <c r="AD2" i="3" s="1"/>
  <c r="AV2" i="3" l="1"/>
  <c r="F11" i="32" l="1"/>
  <c r="P11" i="32"/>
  <c r="O11" i="32"/>
  <c r="AB13" i="32" l="1"/>
  <c r="AC13" i="32" s="1"/>
  <c r="W19" i="32"/>
  <c r="X19" i="32" s="1"/>
  <c r="C38" i="32" s="1"/>
  <c r="AB18" i="32"/>
  <c r="AC18" i="32" s="1"/>
  <c r="W18" i="32"/>
  <c r="X18" i="32" s="1"/>
  <c r="C37" i="32" s="1"/>
  <c r="Y18" i="32"/>
  <c r="Y23" i="32"/>
  <c r="AB23" i="32"/>
  <c r="AC23" i="32" s="1"/>
  <c r="W23" i="32"/>
  <c r="X23" i="32" s="1"/>
  <c r="C42" i="32" s="1"/>
  <c r="AE21" i="32"/>
  <c r="W21" i="32"/>
  <c r="X21" i="32" s="1"/>
  <c r="C40" i="32" s="1"/>
  <c r="Y21" i="32"/>
  <c r="AB21" i="32"/>
  <c r="AC21" i="32" s="1"/>
  <c r="W17" i="32"/>
  <c r="X17" i="32" s="1"/>
  <c r="C36" i="32" s="1"/>
  <c r="AB17" i="32"/>
  <c r="AC17" i="32" s="1"/>
  <c r="Y17" i="32"/>
  <c r="N11" i="32"/>
  <c r="I11" i="32"/>
  <c r="C11" i="32"/>
  <c r="T11" i="32"/>
  <c r="AE19" i="32"/>
  <c r="AB19" i="32"/>
  <c r="AC19" i="32" s="1"/>
  <c r="Y19" i="32"/>
  <c r="AE20" i="32"/>
  <c r="W20" i="32"/>
  <c r="X20" i="32" s="1"/>
  <c r="C39" i="32" s="1"/>
  <c r="AB20" i="32"/>
  <c r="AC20" i="32" s="1"/>
  <c r="Y20" i="32"/>
  <c r="Y16" i="32"/>
  <c r="AB16" i="32"/>
  <c r="AC16" i="32" s="1"/>
  <c r="W16" i="32"/>
  <c r="X16" i="32" s="1"/>
  <c r="C35" i="32" s="1"/>
  <c r="W15" i="32"/>
  <c r="X15" i="32" s="1"/>
  <c r="C34" i="32" s="1"/>
  <c r="Y15" i="32"/>
  <c r="K11" i="32"/>
  <c r="R11" i="32"/>
  <c r="W13" i="32"/>
  <c r="X13" i="32" s="1"/>
  <c r="C32" i="32" s="1"/>
  <c r="Y13" i="32"/>
  <c r="AE22" i="32"/>
  <c r="AB22" i="32"/>
  <c r="AC22" i="32" s="1"/>
  <c r="W22" i="32"/>
  <c r="X22" i="32" s="1"/>
  <c r="C41" i="32" s="1"/>
  <c r="Y22" i="32"/>
  <c r="L11" i="32"/>
  <c r="AB15" i="32"/>
  <c r="AC15" i="32" s="1"/>
  <c r="B11" i="32"/>
  <c r="I10" i="32"/>
  <c r="I7" i="32"/>
  <c r="S7" i="32"/>
  <c r="S10" i="32"/>
  <c r="T10" i="32"/>
  <c r="T7" i="32"/>
  <c r="P10" i="32"/>
  <c r="P7" i="32"/>
  <c r="O10" i="32"/>
  <c r="O7" i="32"/>
  <c r="S11" i="32"/>
  <c r="N10" i="32"/>
  <c r="N7" i="32"/>
  <c r="R7" i="32"/>
  <c r="R10" i="32"/>
  <c r="E10" i="32"/>
  <c r="E7" i="32"/>
  <c r="H7" i="32"/>
  <c r="H10" i="32"/>
  <c r="H11" i="32"/>
  <c r="K10" i="32"/>
  <c r="K7" i="32"/>
  <c r="M7" i="32"/>
  <c r="M10" i="32"/>
  <c r="Q11" i="32"/>
  <c r="L10" i="32"/>
  <c r="L7" i="32"/>
  <c r="E11" i="32"/>
  <c r="D10" i="32"/>
  <c r="D7" i="32"/>
  <c r="J7" i="32"/>
  <c r="J10" i="32"/>
  <c r="AD34" i="31"/>
  <c r="C10" i="32"/>
  <c r="C7" i="32"/>
  <c r="F10" i="32"/>
  <c r="F7" i="32"/>
  <c r="Q10" i="32"/>
  <c r="Q7" i="32"/>
  <c r="AE34" i="31"/>
  <c r="D11" i="32"/>
  <c r="M11" i="32"/>
  <c r="J11" i="32"/>
  <c r="B10" i="32"/>
  <c r="B7" i="32"/>
  <c r="AB2" i="32"/>
  <c r="AC2" i="32" s="1"/>
  <c r="Y2" i="32"/>
  <c r="W2" i="32"/>
  <c r="X2" i="32" s="1"/>
  <c r="C27" i="32" s="1"/>
  <c r="X25" i="32"/>
  <c r="AD19" i="32" l="1"/>
  <c r="AD20" i="32"/>
  <c r="Z20" i="32"/>
  <c r="D39" i="32"/>
  <c r="Z17" i="32"/>
  <c r="D36" i="32"/>
  <c r="D41" i="32"/>
  <c r="Z22" i="32"/>
  <c r="AD15" i="32"/>
  <c r="AE15" i="32"/>
  <c r="D38" i="32"/>
  <c r="Z19" i="32"/>
  <c r="AD21" i="32"/>
  <c r="D42" i="32"/>
  <c r="Z23" i="32"/>
  <c r="AE13" i="32"/>
  <c r="AD13" i="32"/>
  <c r="D32" i="32"/>
  <c r="Z13" i="32"/>
  <c r="D40" i="32"/>
  <c r="Z21" i="32"/>
  <c r="AE23" i="32"/>
  <c r="AD23" i="32"/>
  <c r="AE18" i="32"/>
  <c r="AD18" i="32"/>
  <c r="AE16" i="32"/>
  <c r="AD16" i="32"/>
  <c r="AD22" i="32"/>
  <c r="Z15" i="32"/>
  <c r="D34" i="32"/>
  <c r="Z16" i="32"/>
  <c r="D35" i="32"/>
  <c r="AE17" i="32"/>
  <c r="AD17" i="32"/>
  <c r="Z18" i="32"/>
  <c r="D37" i="32"/>
  <c r="D27" i="32"/>
  <c r="Z2" i="32"/>
  <c r="AG17" i="32"/>
  <c r="AG18" i="32"/>
  <c r="AG5" i="32"/>
  <c r="AG4" i="32"/>
  <c r="AG13" i="32"/>
  <c r="AG22" i="32"/>
  <c r="AG2" i="32"/>
  <c r="AG15" i="32"/>
  <c r="AG21" i="32"/>
  <c r="AG3" i="32"/>
  <c r="AG19" i="32"/>
  <c r="AF21" i="32"/>
  <c r="AF19" i="32"/>
  <c r="AG20" i="32"/>
  <c r="AF20" i="32"/>
  <c r="AF17" i="32"/>
  <c r="AF18" i="32"/>
  <c r="AG14" i="32"/>
  <c r="AF16" i="32"/>
  <c r="AG23" i="32"/>
  <c r="AF22" i="32"/>
  <c r="AF15" i="32"/>
  <c r="AF13" i="32"/>
  <c r="AF23" i="32"/>
  <c r="AG16" i="32"/>
  <c r="D19" i="3"/>
  <c r="AD2" i="32"/>
  <c r="AF2" i="32"/>
  <c r="AE2" i="32"/>
  <c r="AH18" i="32" l="1"/>
  <c r="AI18" i="32" s="1"/>
  <c r="AJ18" i="32" s="1"/>
  <c r="F37" i="32" s="1"/>
  <c r="AH15" i="32"/>
  <c r="AI15" i="32" s="1"/>
  <c r="AJ15" i="32" s="1"/>
  <c r="F34" i="32" s="1"/>
  <c r="AH17" i="32"/>
  <c r="AI17" i="32" s="1"/>
  <c r="AJ17" i="32" s="1"/>
  <c r="F36" i="32" s="1"/>
  <c r="V18" i="32"/>
  <c r="G37" i="32"/>
  <c r="G35" i="32"/>
  <c r="V16" i="32"/>
  <c r="V22" i="32"/>
  <c r="G41" i="32"/>
  <c r="V17" i="32"/>
  <c r="G36" i="32"/>
  <c r="V15" i="32"/>
  <c r="G34" i="32"/>
  <c r="V19" i="32"/>
  <c r="G38" i="32"/>
  <c r="V21" i="32"/>
  <c r="G40" i="32"/>
  <c r="G32" i="32"/>
  <c r="V13" i="32"/>
  <c r="V23" i="32"/>
  <c r="G42" i="32"/>
  <c r="V20" i="32"/>
  <c r="G39" i="32"/>
  <c r="AH13" i="32"/>
  <c r="AI13" i="32" s="1"/>
  <c r="AJ13" i="32" s="1"/>
  <c r="F32" i="32" s="1"/>
  <c r="AH19" i="32"/>
  <c r="AI19" i="32" s="1"/>
  <c r="AJ19" i="32" s="1"/>
  <c r="F38" i="32" s="1"/>
  <c r="AH2" i="32"/>
  <c r="AI2" i="32" s="1"/>
  <c r="AJ2" i="32" s="1"/>
  <c r="F27" i="32" s="1"/>
  <c r="AH20" i="32"/>
  <c r="AI20" i="32" s="1"/>
  <c r="AJ20" i="32" s="1"/>
  <c r="F39" i="32" s="1"/>
  <c r="AG16" i="3"/>
  <c r="AG13" i="3"/>
  <c r="AG11" i="3"/>
  <c r="AG2" i="3"/>
  <c r="AG9" i="3"/>
  <c r="AG3" i="3"/>
  <c r="AG8" i="3"/>
  <c r="AG12" i="3"/>
  <c r="AG15" i="3"/>
  <c r="AG14" i="3"/>
  <c r="AF15" i="3"/>
  <c r="Y17" i="3"/>
  <c r="AL17" i="3" s="1"/>
  <c r="AF6" i="3"/>
  <c r="AF2" i="3"/>
  <c r="AF17" i="3"/>
  <c r="AG6" i="3"/>
  <c r="AG4" i="3"/>
  <c r="AF12" i="3"/>
  <c r="AF4" i="3"/>
  <c r="AG5" i="3"/>
  <c r="AF16" i="3"/>
  <c r="AF9" i="3"/>
  <c r="AG7" i="3"/>
  <c r="AF14" i="3"/>
  <c r="AF11" i="3"/>
  <c r="AG17" i="3"/>
  <c r="AF8" i="3"/>
  <c r="AF10" i="3"/>
  <c r="AG10" i="3"/>
  <c r="AF13" i="3"/>
  <c r="G27" i="32"/>
  <c r="V2" i="32"/>
  <c r="AH16" i="32"/>
  <c r="AI16" i="32" s="1"/>
  <c r="AJ16" i="32" s="1"/>
  <c r="F35" i="32" s="1"/>
  <c r="AH21" i="32"/>
  <c r="AI21" i="32" s="1"/>
  <c r="AJ21" i="32" s="1"/>
  <c r="F40" i="32" s="1"/>
  <c r="AH23" i="32"/>
  <c r="AI23" i="32" s="1"/>
  <c r="AJ23" i="32" s="1"/>
  <c r="F42" i="32" s="1"/>
  <c r="AH22" i="32"/>
  <c r="AI22" i="32" s="1"/>
  <c r="AJ22" i="32" s="1"/>
  <c r="F41" i="32" s="1"/>
  <c r="AH11" i="3" l="1"/>
  <c r="AI11" i="3" s="1"/>
  <c r="AJ11" i="3" s="1"/>
  <c r="AQ11" i="3" s="1"/>
  <c r="AH16" i="3"/>
  <c r="AI16" i="3" s="1"/>
  <c r="AJ16" i="3" s="1"/>
  <c r="AQ16" i="3" s="1"/>
  <c r="AH14" i="3"/>
  <c r="AI14" i="3" s="1"/>
  <c r="AJ14" i="3" s="1"/>
  <c r="AP14" i="3" s="1"/>
  <c r="AH13" i="3"/>
  <c r="AI13" i="3" s="1"/>
  <c r="AJ13" i="3" s="1"/>
  <c r="AP13" i="3" s="1"/>
  <c r="AH9" i="3"/>
  <c r="AI9" i="3" s="1"/>
  <c r="AJ9" i="3" s="1"/>
  <c r="AP9" i="3" s="1"/>
  <c r="AH4" i="3"/>
  <c r="AI4" i="3" s="1"/>
  <c r="AJ4" i="3" s="1"/>
  <c r="AP4" i="3" s="1"/>
  <c r="AH15" i="3"/>
  <c r="AI15" i="3" s="1"/>
  <c r="AJ15" i="3" s="1"/>
  <c r="AO15" i="3" s="1"/>
  <c r="AV17" i="3"/>
  <c r="AU17" i="3"/>
  <c r="AH17" i="3"/>
  <c r="AI17" i="3" s="1"/>
  <c r="AJ17" i="3" s="1"/>
  <c r="AH10" i="3"/>
  <c r="AI10" i="3" s="1"/>
  <c r="AJ10" i="3" s="1"/>
  <c r="AH12" i="3"/>
  <c r="AI12" i="3" s="1"/>
  <c r="AJ12" i="3" s="1"/>
  <c r="AH2" i="3"/>
  <c r="AI2" i="3" s="1"/>
  <c r="AJ2" i="3" s="1"/>
  <c r="AH8" i="3"/>
  <c r="AI8" i="3" s="1"/>
  <c r="AJ8" i="3" s="1"/>
  <c r="AH6" i="3"/>
  <c r="AI6" i="3" s="1"/>
  <c r="AJ6" i="3" s="1"/>
  <c r="AP16" i="3" l="1"/>
  <c r="AO11" i="3"/>
  <c r="AP11" i="3"/>
  <c r="AO16" i="3"/>
  <c r="AQ4" i="3"/>
  <c r="AQ14" i="3"/>
  <c r="AO14" i="3"/>
  <c r="AQ13" i="3"/>
  <c r="AP15" i="3"/>
  <c r="AO13" i="3"/>
  <c r="AQ9" i="3"/>
  <c r="AO9" i="3"/>
  <c r="AO4" i="3"/>
  <c r="AQ15" i="3"/>
  <c r="AQ10" i="3"/>
  <c r="AP10" i="3"/>
  <c r="AO10" i="3"/>
  <c r="AP17" i="3"/>
  <c r="AO17" i="3"/>
  <c r="AQ17" i="3"/>
  <c r="AO8" i="3"/>
  <c r="AP8" i="3"/>
  <c r="AQ8" i="3"/>
  <c r="AQ2" i="3"/>
  <c r="AO2" i="3"/>
  <c r="AP2" i="3"/>
  <c r="AO6" i="3"/>
  <c r="AQ6" i="3"/>
  <c r="AP6" i="3"/>
  <c r="AQ12" i="3"/>
  <c r="AP12" i="3"/>
  <c r="AO12" i="3"/>
  <c r="H38" i="1"/>
  <c r="Y23" i="41" l="1"/>
  <c r="W23" i="41"/>
  <c r="G14" i="32"/>
  <c r="B33" i="32" s="1"/>
  <c r="AA14" i="32" s="1"/>
  <c r="AE14" i="32" s="1"/>
  <c r="H7" i="3"/>
  <c r="H53" i="1"/>
  <c r="H253" i="1" s="1"/>
  <c r="H55" i="1"/>
  <c r="H255" i="1" s="1"/>
  <c r="H52" i="1"/>
  <c r="H54" i="1"/>
  <c r="H254" i="1" s="1"/>
  <c r="G4" i="32" s="1"/>
  <c r="B29" i="32" s="1"/>
  <c r="AA4" i="32" s="1"/>
  <c r="AE4" i="32" s="1"/>
  <c r="AQ16" i="41"/>
  <c r="AQ12" i="41"/>
  <c r="AQ21" i="41"/>
  <c r="AQ5" i="41"/>
  <c r="AQ3" i="41"/>
  <c r="AQ17" i="41"/>
  <c r="AQ19" i="41"/>
  <c r="AQ20" i="41"/>
  <c r="AQ8" i="41"/>
  <c r="AQ7" i="41"/>
  <c r="AQ14" i="41"/>
  <c r="AQ11" i="41"/>
  <c r="AQ15" i="41"/>
  <c r="AQ10" i="41"/>
  <c r="AQ9" i="41"/>
  <c r="AQ22" i="41"/>
  <c r="AQ13" i="41"/>
  <c r="AQ18" i="41"/>
  <c r="AQ4" i="41"/>
  <c r="H5" i="1"/>
  <c r="H3" i="1"/>
  <c r="V5" i="1"/>
  <c r="V3" i="1"/>
  <c r="BE22" i="41" l="1"/>
  <c r="U3" i="32"/>
  <c r="V7" i="31"/>
  <c r="V3" i="3"/>
  <c r="U5" i="32"/>
  <c r="U11" i="32" s="1"/>
  <c r="V5" i="3"/>
  <c r="H5" i="3"/>
  <c r="H3" i="3"/>
  <c r="H7" i="31"/>
  <c r="AO21" i="41"/>
  <c r="AO13" i="41"/>
  <c r="AO22" i="41"/>
  <c r="AO5" i="41"/>
  <c r="AO4" i="41"/>
  <c r="AO14" i="41"/>
  <c r="AO20" i="41"/>
  <c r="AO16" i="41"/>
  <c r="AO10" i="41"/>
  <c r="AO7" i="41"/>
  <c r="AO8" i="41"/>
  <c r="AO19" i="41"/>
  <c r="AO15" i="41"/>
  <c r="AO12" i="41"/>
  <c r="AO9" i="41"/>
  <c r="AO3" i="41"/>
  <c r="AO18" i="41"/>
  <c r="AO11" i="41"/>
  <c r="AO17" i="41"/>
  <c r="G5" i="32"/>
  <c r="G3" i="32"/>
  <c r="B28" i="32" s="1"/>
  <c r="AA3" i="32" s="1"/>
  <c r="AE3" i="32" s="1"/>
  <c r="BE8" i="41"/>
  <c r="AM17" i="41"/>
  <c r="AM12" i="41"/>
  <c r="AM11" i="41"/>
  <c r="AM10" i="41"/>
  <c r="AM8" i="41"/>
  <c r="AM5" i="41"/>
  <c r="AM21" i="41"/>
  <c r="AM16" i="41"/>
  <c r="AM15" i="41"/>
  <c r="AM14" i="41"/>
  <c r="AM22" i="41"/>
  <c r="BB8" i="41"/>
  <c r="BC6" i="41" s="1"/>
  <c r="AM9" i="41"/>
  <c r="AM4" i="41"/>
  <c r="AM20" i="41"/>
  <c r="AM19" i="41"/>
  <c r="AM18" i="41"/>
  <c r="AM13" i="41"/>
  <c r="AM3" i="41"/>
  <c r="AM7" i="41"/>
  <c r="AB4" i="32"/>
  <c r="AC4" i="32" s="1"/>
  <c r="AD4" i="32" s="1"/>
  <c r="W4" i="32"/>
  <c r="X4" i="32" s="1"/>
  <c r="C29" i="32" s="1"/>
  <c r="Y4" i="32"/>
  <c r="AF4" i="32"/>
  <c r="AH4" i="32" s="1"/>
  <c r="AI4" i="32" s="1"/>
  <c r="AA7" i="3"/>
  <c r="AN7" i="3" s="1"/>
  <c r="AB7" i="3"/>
  <c r="AC7" i="3" s="1"/>
  <c r="AD7" i="3" s="1"/>
  <c r="X7" i="3"/>
  <c r="Y7" i="3" s="1"/>
  <c r="AL7" i="3" s="1"/>
  <c r="AU7" i="3" s="1"/>
  <c r="AF7" i="3"/>
  <c r="AH7" i="3" s="1"/>
  <c r="AI7" i="3" s="1"/>
  <c r="W38" i="1"/>
  <c r="C21" i="3" s="1"/>
  <c r="H252" i="1"/>
  <c r="Y14" i="32"/>
  <c r="W14" i="32"/>
  <c r="X14" i="32" s="1"/>
  <c r="C33" i="32" s="1"/>
  <c r="AB14" i="32"/>
  <c r="AC14" i="32" s="1"/>
  <c r="AD14" i="32" s="1"/>
  <c r="AF14" i="32"/>
  <c r="AH14" i="32" s="1"/>
  <c r="AI14" i="32" s="1"/>
  <c r="U10" i="32" l="1"/>
  <c r="U7" i="32"/>
  <c r="G11" i="32"/>
  <c r="B30" i="32"/>
  <c r="AA5" i="32" s="1"/>
  <c r="AE5" i="32" s="1"/>
  <c r="AJ4" i="32"/>
  <c r="F29" i="32" s="1"/>
  <c r="AJ14" i="32"/>
  <c r="F33" i="32" s="1"/>
  <c r="AV7" i="3"/>
  <c r="AJ7" i="3"/>
  <c r="B23" i="41"/>
  <c r="E23" i="41"/>
  <c r="AU23" i="41"/>
  <c r="AM23" i="41"/>
  <c r="AO23" i="41"/>
  <c r="AW23" i="41"/>
  <c r="BD23" i="41"/>
  <c r="AT23" i="41"/>
  <c r="C23" i="41"/>
  <c r="F23" i="41"/>
  <c r="A23" i="41"/>
  <c r="T23" i="41"/>
  <c r="AQ23" i="41"/>
  <c r="N23" i="41"/>
  <c r="AK23" i="41"/>
  <c r="D23" i="41"/>
  <c r="P23" i="41"/>
  <c r="BB23" i="41"/>
  <c r="H23" i="41"/>
  <c r="AX23" i="41"/>
  <c r="M23" i="41"/>
  <c r="I23" i="41"/>
  <c r="AS23" i="41"/>
  <c r="R23" i="41"/>
  <c r="AY23" i="41"/>
  <c r="BA23" i="41"/>
  <c r="AR23" i="41"/>
  <c r="K23" i="41"/>
  <c r="O23" i="41"/>
  <c r="G23" i="41"/>
  <c r="J23" i="41"/>
  <c r="S23" i="41"/>
  <c r="Q23" i="41"/>
  <c r="AZ23" i="41"/>
  <c r="AL23" i="41"/>
  <c r="AP23" i="41"/>
  <c r="BC23" i="41"/>
  <c r="AN23" i="41"/>
  <c r="AV23" i="41"/>
  <c r="L23" i="41"/>
  <c r="U23" i="41"/>
  <c r="D33" i="32"/>
  <c r="Z14" i="32"/>
  <c r="D29" i="32"/>
  <c r="Z4" i="32"/>
  <c r="BC18" i="41"/>
  <c r="BC15" i="41"/>
  <c r="BC8" i="41"/>
  <c r="BC5" i="41"/>
  <c r="BC21" i="41"/>
  <c r="BC22" i="41"/>
  <c r="BC19" i="41"/>
  <c r="BC12" i="41"/>
  <c r="BC9" i="41"/>
  <c r="BC10" i="41"/>
  <c r="BC7" i="41"/>
  <c r="BC3" i="41"/>
  <c r="BC16" i="41"/>
  <c r="BC13" i="41"/>
  <c r="BC14" i="41"/>
  <c r="BC11" i="41"/>
  <c r="BC4" i="41"/>
  <c r="BC20" i="41"/>
  <c r="BC17" i="41"/>
  <c r="Y3" i="32"/>
  <c r="G10" i="32"/>
  <c r="AB3" i="32"/>
  <c r="AC3" i="32" s="1"/>
  <c r="AD3" i="32" s="1"/>
  <c r="G7" i="32"/>
  <c r="W3" i="32"/>
  <c r="X3" i="32" s="1"/>
  <c r="C28" i="32" s="1"/>
  <c r="AF3" i="32"/>
  <c r="AH3" i="32" s="1"/>
  <c r="AI3" i="32" s="1"/>
  <c r="S8" i="31"/>
  <c r="N8" i="31"/>
  <c r="D9" i="31"/>
  <c r="M8" i="31"/>
  <c r="L9" i="31"/>
  <c r="L8" i="31"/>
  <c r="K9" i="31"/>
  <c r="F8" i="31"/>
  <c r="D8" i="31"/>
  <c r="O9" i="31"/>
  <c r="V9" i="31"/>
  <c r="E8" i="31"/>
  <c r="P9" i="31"/>
  <c r="S9" i="31"/>
  <c r="Q8" i="31"/>
  <c r="I9" i="31"/>
  <c r="J8" i="31"/>
  <c r="M9" i="31"/>
  <c r="J9" i="31"/>
  <c r="G9" i="31"/>
  <c r="R8" i="31"/>
  <c r="T9" i="31"/>
  <c r="P8" i="31"/>
  <c r="I8" i="31"/>
  <c r="E9" i="31"/>
  <c r="R9" i="31"/>
  <c r="V8" i="31"/>
  <c r="O8" i="31"/>
  <c r="H8" i="31"/>
  <c r="C8" i="31"/>
  <c r="C54" i="31" s="1"/>
  <c r="T8" i="31"/>
  <c r="U9" i="31"/>
  <c r="Q9" i="31"/>
  <c r="K8" i="31"/>
  <c r="G8" i="31"/>
  <c r="H9" i="31"/>
  <c r="F9" i="31"/>
  <c r="N9" i="31"/>
  <c r="U8" i="31"/>
  <c r="C9" i="31"/>
  <c r="AA3" i="3"/>
  <c r="AN3" i="3" s="1"/>
  <c r="AB3" i="3"/>
  <c r="AC3" i="3" s="1"/>
  <c r="AD3" i="3" s="1"/>
  <c r="X3" i="3"/>
  <c r="Y3" i="3" s="1"/>
  <c r="AL3" i="3" s="1"/>
  <c r="AU3" i="3" s="1"/>
  <c r="AF3" i="3"/>
  <c r="AH3" i="3" s="1"/>
  <c r="AI3" i="3" s="1"/>
  <c r="W5" i="32"/>
  <c r="X5" i="32" s="1"/>
  <c r="C30" i="32" s="1"/>
  <c r="Y5" i="32"/>
  <c r="AB5" i="32"/>
  <c r="AC5" i="32" s="1"/>
  <c r="AB5" i="3"/>
  <c r="AC5" i="3" s="1"/>
  <c r="AD5" i="3" s="1"/>
  <c r="X5" i="3"/>
  <c r="Y5" i="3" s="1"/>
  <c r="AL5" i="3" s="1"/>
  <c r="AU5" i="3" s="1"/>
  <c r="AA5" i="3"/>
  <c r="AN5" i="3" s="1"/>
  <c r="AF5" i="3"/>
  <c r="AH5" i="3" s="1"/>
  <c r="AI5" i="3" s="1"/>
  <c r="V1" i="1"/>
  <c r="V1" i="34" l="1"/>
  <c r="V27" i="34" s="1"/>
  <c r="V1" i="3"/>
  <c r="U1" i="32"/>
  <c r="AD5" i="32"/>
  <c r="AF5" i="32"/>
  <c r="AH5" i="32" s="1"/>
  <c r="AI5" i="32" s="1"/>
  <c r="AJ5" i="3"/>
  <c r="AP5" i="3" s="1"/>
  <c r="AJ3" i="32"/>
  <c r="F28" i="32" s="1"/>
  <c r="AJ3" i="3"/>
  <c r="AP3" i="3" s="1"/>
  <c r="AV5" i="3"/>
  <c r="D30" i="32"/>
  <c r="Z5" i="32"/>
  <c r="D28" i="32"/>
  <c r="Z3" i="32"/>
  <c r="AV3" i="3"/>
  <c r="G8" i="32"/>
  <c r="T8" i="32"/>
  <c r="J8" i="32"/>
  <c r="L8" i="32"/>
  <c r="S8" i="32"/>
  <c r="D8" i="32"/>
  <c r="I8" i="32"/>
  <c r="E8" i="32"/>
  <c r="M8" i="32"/>
  <c r="O8" i="32"/>
  <c r="H8" i="32"/>
  <c r="U8" i="32"/>
  <c r="N8" i="32"/>
  <c r="R8" i="32"/>
  <c r="K8" i="32"/>
  <c r="B8" i="32"/>
  <c r="C8" i="32"/>
  <c r="F8" i="32"/>
  <c r="P8" i="32"/>
  <c r="Q8" i="32"/>
  <c r="V4" i="32"/>
  <c r="G29" i="32"/>
  <c r="AO7" i="3"/>
  <c r="AQ7" i="3"/>
  <c r="AP7" i="3"/>
  <c r="D14" i="31"/>
  <c r="T14" i="31"/>
  <c r="Q15" i="31"/>
  <c r="N16" i="31"/>
  <c r="K17" i="31"/>
  <c r="H18" i="31"/>
  <c r="E19" i="31"/>
  <c r="U19" i="31"/>
  <c r="R20" i="31"/>
  <c r="O21" i="31"/>
  <c r="L22" i="31"/>
  <c r="I23" i="31"/>
  <c r="F24" i="31"/>
  <c r="V24" i="31"/>
  <c r="K14" i="31"/>
  <c r="U16" i="31"/>
  <c r="L19" i="31"/>
  <c r="R21" i="31"/>
  <c r="I24" i="31"/>
  <c r="M14" i="31"/>
  <c r="J15" i="31"/>
  <c r="G16" i="31"/>
  <c r="D17" i="31"/>
  <c r="T17" i="31"/>
  <c r="Q18" i="31"/>
  <c r="N19" i="31"/>
  <c r="K20" i="31"/>
  <c r="H21" i="31"/>
  <c r="E22" i="31"/>
  <c r="U22" i="31"/>
  <c r="R23" i="31"/>
  <c r="O24" i="31"/>
  <c r="O14" i="31"/>
  <c r="R17" i="31"/>
  <c r="Q20" i="31"/>
  <c r="L23" i="31"/>
  <c r="F14" i="31"/>
  <c r="V14" i="31"/>
  <c r="S15" i="31"/>
  <c r="P16" i="31"/>
  <c r="M17" i="31"/>
  <c r="J18" i="31"/>
  <c r="G19" i="31"/>
  <c r="D20" i="31"/>
  <c r="T20" i="31"/>
  <c r="Q21" i="31"/>
  <c r="N22" i="31"/>
  <c r="K23" i="31"/>
  <c r="H24" i="31"/>
  <c r="C23" i="31"/>
  <c r="S14" i="31"/>
  <c r="Q16" i="31"/>
  <c r="H19" i="31"/>
  <c r="N21" i="31"/>
  <c r="T23" i="31"/>
  <c r="C3" i="31"/>
  <c r="S3" i="31"/>
  <c r="O4" i="31"/>
  <c r="K5" i="31"/>
  <c r="H2" i="31"/>
  <c r="F4" i="31"/>
  <c r="S2" i="31"/>
  <c r="P3" i="31"/>
  <c r="L4" i="31"/>
  <c r="H5" i="31"/>
  <c r="E2" i="31"/>
  <c r="U2" i="31"/>
  <c r="K2" i="31"/>
  <c r="Q3" i="31"/>
  <c r="M4" i="31"/>
  <c r="I5" i="31"/>
  <c r="F2" i="31"/>
  <c r="V2" i="31"/>
  <c r="R3" i="31"/>
  <c r="J5" i="31"/>
  <c r="R1" i="31"/>
  <c r="N1" i="31"/>
  <c r="K1" i="31"/>
  <c r="C1" i="31"/>
  <c r="F1" i="31"/>
  <c r="H14" i="31"/>
  <c r="E15" i="31"/>
  <c r="U15" i="31"/>
  <c r="R16" i="31"/>
  <c r="O17" i="31"/>
  <c r="L18" i="31"/>
  <c r="I19" i="31"/>
  <c r="F20" i="31"/>
  <c r="V20" i="31"/>
  <c r="S21" i="31"/>
  <c r="P22" i="31"/>
  <c r="M23" i="31"/>
  <c r="J24" i="31"/>
  <c r="C21" i="31"/>
  <c r="D15" i="31"/>
  <c r="N17" i="31"/>
  <c r="E20" i="31"/>
  <c r="K22" i="31"/>
  <c r="U24" i="31"/>
  <c r="Q14" i="31"/>
  <c r="N15" i="31"/>
  <c r="K16" i="31"/>
  <c r="H17" i="31"/>
  <c r="E18" i="31"/>
  <c r="U18" i="31"/>
  <c r="R19" i="31"/>
  <c r="O20" i="31"/>
  <c r="L21" i="31"/>
  <c r="I22" i="31"/>
  <c r="F23" i="31"/>
  <c r="V23" i="31"/>
  <c r="S24" i="31"/>
  <c r="T15" i="31"/>
  <c r="K18" i="31"/>
  <c r="J21" i="31"/>
  <c r="E24" i="31"/>
  <c r="J14" i="31"/>
  <c r="G15" i="31"/>
  <c r="D16" i="31"/>
  <c r="T16" i="31"/>
  <c r="Q17" i="31"/>
  <c r="N18" i="31"/>
  <c r="K19" i="31"/>
  <c r="H20" i="31"/>
  <c r="E21" i="31"/>
  <c r="U21" i="31"/>
  <c r="R22" i="31"/>
  <c r="O23" i="31"/>
  <c r="L24" i="31"/>
  <c r="C19" i="31"/>
  <c r="H15" i="31"/>
  <c r="J17" i="31"/>
  <c r="P19" i="31"/>
  <c r="G22" i="31"/>
  <c r="M24" i="31"/>
  <c r="G3" i="31"/>
  <c r="C4" i="31"/>
  <c r="S4" i="31"/>
  <c r="O5" i="31"/>
  <c r="L2" i="31"/>
  <c r="F5" i="31"/>
  <c r="D3" i="31"/>
  <c r="T3" i="31"/>
  <c r="P4" i="31"/>
  <c r="L5" i="31"/>
  <c r="I2" i="31"/>
  <c r="J4" i="31"/>
  <c r="E3" i="31"/>
  <c r="U3" i="31"/>
  <c r="Q4" i="31"/>
  <c r="M5" i="31"/>
  <c r="J2" i="31"/>
  <c r="F3" i="31"/>
  <c r="V3" i="31"/>
  <c r="V5" i="31"/>
  <c r="M1" i="31"/>
  <c r="G1" i="31"/>
  <c r="P1" i="31"/>
  <c r="I1" i="31"/>
  <c r="O1" i="31"/>
  <c r="L14" i="31"/>
  <c r="I15" i="31"/>
  <c r="F16" i="31"/>
  <c r="V16" i="31"/>
  <c r="S17" i="31"/>
  <c r="P18" i="31"/>
  <c r="M19" i="31"/>
  <c r="J20" i="31"/>
  <c r="G21" i="31"/>
  <c r="D22" i="31"/>
  <c r="T22" i="31"/>
  <c r="Q23" i="31"/>
  <c r="N24" i="31"/>
  <c r="C17" i="31"/>
  <c r="P15" i="31"/>
  <c r="G18" i="31"/>
  <c r="M20" i="31"/>
  <c r="D23" i="31"/>
  <c r="E14" i="31"/>
  <c r="U14" i="31"/>
  <c r="R15" i="31"/>
  <c r="O16" i="31"/>
  <c r="L17" i="31"/>
  <c r="I18" i="31"/>
  <c r="F19" i="31"/>
  <c r="V19" i="31"/>
  <c r="S20" i="31"/>
  <c r="P21" i="31"/>
  <c r="M22" i="31"/>
  <c r="J23" i="31"/>
  <c r="G24" i="31"/>
  <c r="C24" i="31"/>
  <c r="M16" i="31"/>
  <c r="D19" i="31"/>
  <c r="V21" i="31"/>
  <c r="Q24" i="31"/>
  <c r="N14" i="31"/>
  <c r="K15" i="31"/>
  <c r="H16" i="31"/>
  <c r="E17" i="31"/>
  <c r="U17" i="31"/>
  <c r="R18" i="31"/>
  <c r="O19" i="31"/>
  <c r="L20" i="31"/>
  <c r="I21" i="31"/>
  <c r="F22" i="31"/>
  <c r="V22" i="31"/>
  <c r="S23" i="31"/>
  <c r="P24" i="31"/>
  <c r="C15" i="31"/>
  <c r="L15" i="31"/>
  <c r="V17" i="31"/>
  <c r="I20" i="31"/>
  <c r="O22" i="31"/>
  <c r="C22" i="31"/>
  <c r="K3" i="31"/>
  <c r="G4" i="31"/>
  <c r="C5" i="31"/>
  <c r="S5" i="31"/>
  <c r="P2" i="31"/>
  <c r="N5" i="31"/>
  <c r="H3" i="31"/>
  <c r="D4" i="31"/>
  <c r="T4" i="31"/>
  <c r="P5" i="31"/>
  <c r="M2" i="31"/>
  <c r="V4" i="31"/>
  <c r="I3" i="31"/>
  <c r="E4" i="31"/>
  <c r="U4" i="31"/>
  <c r="Q5" i="31"/>
  <c r="N2" i="31"/>
  <c r="J3" i="31"/>
  <c r="N4" i="31"/>
  <c r="O2" i="31"/>
  <c r="D1" i="31"/>
  <c r="H1" i="31"/>
  <c r="E1" i="31"/>
  <c r="T1" i="31"/>
  <c r="C2" i="31"/>
  <c r="P14" i="31"/>
  <c r="M15" i="31"/>
  <c r="J16" i="31"/>
  <c r="G17" i="31"/>
  <c r="D18" i="31"/>
  <c r="T18" i="31"/>
  <c r="Q19" i="31"/>
  <c r="N20" i="31"/>
  <c r="K21" i="31"/>
  <c r="H22" i="31"/>
  <c r="E23" i="31"/>
  <c r="U23" i="31"/>
  <c r="R24" i="31"/>
  <c r="C16" i="31"/>
  <c r="I16" i="31"/>
  <c r="S18" i="31"/>
  <c r="F21" i="31"/>
  <c r="P23" i="31"/>
  <c r="I14" i="31"/>
  <c r="F15" i="31"/>
  <c r="V15" i="31"/>
  <c r="S16" i="31"/>
  <c r="P17" i="31"/>
  <c r="M18" i="31"/>
  <c r="J19" i="31"/>
  <c r="G20" i="31"/>
  <c r="D21" i="31"/>
  <c r="T21" i="31"/>
  <c r="Q22" i="31"/>
  <c r="N23" i="31"/>
  <c r="K24" i="31"/>
  <c r="C20" i="31"/>
  <c r="F17" i="31"/>
  <c r="T19" i="31"/>
  <c r="S22" i="31"/>
  <c r="C18" i="31"/>
  <c r="R14" i="31"/>
  <c r="O15" i="31"/>
  <c r="L16" i="31"/>
  <c r="I17" i="31"/>
  <c r="F18" i="31"/>
  <c r="V18" i="31"/>
  <c r="S19" i="31"/>
  <c r="P20" i="31"/>
  <c r="M21" i="31"/>
  <c r="J22" i="31"/>
  <c r="G23" i="31"/>
  <c r="D24" i="31"/>
  <c r="T24" i="31"/>
  <c r="G14" i="31"/>
  <c r="E16" i="31"/>
  <c r="O18" i="31"/>
  <c r="U20" i="31"/>
  <c r="H23" i="31"/>
  <c r="C14" i="31"/>
  <c r="O3" i="31"/>
  <c r="K4" i="31"/>
  <c r="G5" i="31"/>
  <c r="D2" i="31"/>
  <c r="T2" i="31"/>
  <c r="G2" i="31"/>
  <c r="L3" i="31"/>
  <c r="H4" i="31"/>
  <c r="D5" i="31"/>
  <c r="T5" i="31"/>
  <c r="Q2" i="31"/>
  <c r="R5" i="31"/>
  <c r="M3" i="31"/>
  <c r="I4" i="31"/>
  <c r="E5" i="31"/>
  <c r="U5" i="31"/>
  <c r="R2" i="31"/>
  <c r="N3" i="31"/>
  <c r="R4" i="31"/>
  <c r="S1" i="31"/>
  <c r="Q1" i="31"/>
  <c r="U1" i="31"/>
  <c r="V1" i="31"/>
  <c r="J1" i="31"/>
  <c r="L1" i="31"/>
  <c r="G33" i="32"/>
  <c r="V14" i="32"/>
  <c r="AJ5" i="32" l="1"/>
  <c r="F30" i="32" s="1"/>
  <c r="AO5" i="3"/>
  <c r="AO3" i="3"/>
  <c r="AQ5" i="3"/>
  <c r="AQ3" i="3"/>
  <c r="L126" i="31"/>
  <c r="L48" i="31"/>
  <c r="K1" i="33"/>
  <c r="L28" i="31"/>
  <c r="AC23" i="31"/>
  <c r="Q126" i="31"/>
  <c r="Q48" i="31"/>
  <c r="AC28" i="31"/>
  <c r="Q28" i="31"/>
  <c r="P1" i="33"/>
  <c r="R11" i="31"/>
  <c r="AD29" i="31" s="1"/>
  <c r="Q2" i="33"/>
  <c r="R29" i="31"/>
  <c r="R127" i="31" s="1"/>
  <c r="M30" i="31"/>
  <c r="M128" i="31" s="1"/>
  <c r="L3" i="33"/>
  <c r="D32" i="31"/>
  <c r="D130" i="31" s="1"/>
  <c r="C5" i="33"/>
  <c r="T11" i="31"/>
  <c r="AD31" i="31" s="1"/>
  <c r="S2" i="33"/>
  <c r="T29" i="31"/>
  <c r="T127" i="31" s="1"/>
  <c r="N3" i="33"/>
  <c r="O30" i="31"/>
  <c r="O128" i="31" s="1"/>
  <c r="O38" i="31"/>
  <c r="O136" i="31" s="1"/>
  <c r="N17" i="33"/>
  <c r="D44" i="31"/>
  <c r="D142" i="31" s="1"/>
  <c r="C23" i="33"/>
  <c r="O19" i="33"/>
  <c r="P40" i="31"/>
  <c r="P138" i="31" s="1"/>
  <c r="H16" i="33"/>
  <c r="I37" i="31"/>
  <c r="I135" i="31" s="1"/>
  <c r="H65" i="31"/>
  <c r="X18" i="31"/>
  <c r="Y18" i="31" s="1"/>
  <c r="Z18" i="31"/>
  <c r="C38" i="31"/>
  <c r="C136" i="31" s="1"/>
  <c r="B17" i="33"/>
  <c r="F65" i="31"/>
  <c r="X20" i="31"/>
  <c r="Y20" i="31" s="1"/>
  <c r="Z20" i="31"/>
  <c r="C40" i="31"/>
  <c r="C138" i="31" s="1"/>
  <c r="B19" i="33"/>
  <c r="H67" i="31"/>
  <c r="F67" i="31"/>
  <c r="S20" i="33"/>
  <c r="T41" i="31"/>
  <c r="T139" i="31" s="1"/>
  <c r="L17" i="33"/>
  <c r="M38" i="31"/>
  <c r="M136" i="31" s="1"/>
  <c r="E14" i="33"/>
  <c r="F35" i="31"/>
  <c r="F133" i="31" s="1"/>
  <c r="S38" i="31"/>
  <c r="S136" i="31" s="1"/>
  <c r="R17" i="33"/>
  <c r="T22" i="33"/>
  <c r="U43" i="31"/>
  <c r="U141" i="31" s="1"/>
  <c r="M19" i="33"/>
  <c r="N40" i="31"/>
  <c r="N138" i="31" s="1"/>
  <c r="G37" i="31"/>
  <c r="G135" i="31" s="1"/>
  <c r="F16" i="33"/>
  <c r="C11" i="31"/>
  <c r="AD15" i="31" s="1"/>
  <c r="Z2" i="31"/>
  <c r="C29" i="31"/>
  <c r="C127" i="31" s="1"/>
  <c r="H56" i="31"/>
  <c r="F56" i="31"/>
  <c r="X2" i="31"/>
  <c r="B2" i="33"/>
  <c r="D28" i="31"/>
  <c r="D126" i="31"/>
  <c r="C1" i="33"/>
  <c r="D48" i="31"/>
  <c r="AC16" i="31"/>
  <c r="N11" i="31"/>
  <c r="AD25" i="31" s="1"/>
  <c r="M2" i="33"/>
  <c r="N29" i="31"/>
  <c r="N127" i="31" s="1"/>
  <c r="H3" i="33"/>
  <c r="I30" i="31"/>
  <c r="I128" i="31" s="1"/>
  <c r="T12" i="31"/>
  <c r="AE31" i="31" s="1"/>
  <c r="S4" i="33"/>
  <c r="T31" i="31"/>
  <c r="T129" i="31" s="1"/>
  <c r="O2" i="33"/>
  <c r="P11" i="31"/>
  <c r="AD27" i="31" s="1"/>
  <c r="P29" i="31"/>
  <c r="P127" i="31" s="1"/>
  <c r="J3" i="33"/>
  <c r="K30" i="31"/>
  <c r="K128" i="31" s="1"/>
  <c r="U16" i="33"/>
  <c r="V37" i="31"/>
  <c r="V135" i="31" s="1"/>
  <c r="R22" i="33"/>
  <c r="S43" i="31"/>
  <c r="S141" i="31" s="1"/>
  <c r="K19" i="33"/>
  <c r="L40" i="31"/>
  <c r="L138" i="31" s="1"/>
  <c r="D16" i="33"/>
  <c r="E37" i="31"/>
  <c r="E135" i="31" s="1"/>
  <c r="P23" i="33"/>
  <c r="Q44" i="31"/>
  <c r="Q142" i="31" s="1"/>
  <c r="B23" i="33"/>
  <c r="C44" i="31"/>
  <c r="C142" i="31" s="1"/>
  <c r="H71" i="31"/>
  <c r="X24" i="31"/>
  <c r="Y24" i="31" s="1"/>
  <c r="Z24" i="31"/>
  <c r="F71" i="31"/>
  <c r="P41" i="31"/>
  <c r="P139" i="31" s="1"/>
  <c r="O20" i="33"/>
  <c r="I38" i="31"/>
  <c r="I136" i="31" s="1"/>
  <c r="H17" i="33"/>
  <c r="U34" i="31"/>
  <c r="U132" i="31" s="1"/>
  <c r="U49" i="31"/>
  <c r="U50" i="31"/>
  <c r="T13" i="33"/>
  <c r="F17" i="33"/>
  <c r="G38" i="31"/>
  <c r="G136" i="31" s="1"/>
  <c r="P22" i="33"/>
  <c r="Q43" i="31"/>
  <c r="Q141" i="31" s="1"/>
  <c r="I19" i="33"/>
  <c r="J40" i="31"/>
  <c r="J138" i="31" s="1"/>
  <c r="U15" i="33"/>
  <c r="V36" i="31"/>
  <c r="V134" i="31" s="1"/>
  <c r="O48" i="31"/>
  <c r="O126" i="31"/>
  <c r="O28" i="31"/>
  <c r="AC26" i="31"/>
  <c r="N1" i="33"/>
  <c r="AC24" i="31"/>
  <c r="M48" i="31"/>
  <c r="M126" i="31"/>
  <c r="L1" i="33"/>
  <c r="M28" i="31"/>
  <c r="I2" i="33"/>
  <c r="J11" i="31"/>
  <c r="AD22" i="31" s="1"/>
  <c r="J29" i="31"/>
  <c r="J127" i="31" s="1"/>
  <c r="D3" i="33"/>
  <c r="E30" i="31"/>
  <c r="E128" i="31" s="1"/>
  <c r="O4" i="33"/>
  <c r="P31" i="31"/>
  <c r="P129" i="31" s="1"/>
  <c r="P12" i="31"/>
  <c r="AE27" i="31" s="1"/>
  <c r="K2" i="33"/>
  <c r="L11" i="31"/>
  <c r="AD23" i="31" s="1"/>
  <c r="L29" i="31"/>
  <c r="L127" i="31" s="1"/>
  <c r="F3" i="33"/>
  <c r="G30" i="31"/>
  <c r="G128" i="31" s="1"/>
  <c r="J37" i="31"/>
  <c r="J135" i="31" s="1"/>
  <c r="I16" i="33"/>
  <c r="O43" i="31"/>
  <c r="O141" i="31" s="1"/>
  <c r="N22" i="33"/>
  <c r="H40" i="31"/>
  <c r="H138" i="31" s="1"/>
  <c r="G19" i="33"/>
  <c r="T36" i="31"/>
  <c r="T134" i="31" s="1"/>
  <c r="S15" i="33"/>
  <c r="D23" i="33"/>
  <c r="E44" i="31"/>
  <c r="E142" i="31" s="1"/>
  <c r="R23" i="33"/>
  <c r="S44" i="31"/>
  <c r="S142" i="31" s="1"/>
  <c r="K20" i="33"/>
  <c r="L41" i="31"/>
  <c r="L139" i="31" s="1"/>
  <c r="D17" i="33"/>
  <c r="E38" i="31"/>
  <c r="E136" i="31" s="1"/>
  <c r="Q49" i="31"/>
  <c r="P13" i="33"/>
  <c r="Q34" i="31"/>
  <c r="Q132" i="31" s="1"/>
  <c r="Q50" i="31"/>
  <c r="N37" i="31"/>
  <c r="N135" i="31" s="1"/>
  <c r="M16" i="33"/>
  <c r="L22" i="33"/>
  <c r="M43" i="31"/>
  <c r="M141" i="31" s="1"/>
  <c r="E19" i="33"/>
  <c r="F40" i="31"/>
  <c r="F138" i="31" s="1"/>
  <c r="R36" i="31"/>
  <c r="R134" i="31" s="1"/>
  <c r="Q15" i="33"/>
  <c r="F48" i="31"/>
  <c r="AC18" i="31"/>
  <c r="E1" i="33"/>
  <c r="F126" i="31"/>
  <c r="F28" i="31"/>
  <c r="R48" i="31"/>
  <c r="Q1" i="33"/>
  <c r="AC29" i="31"/>
  <c r="R126" i="31"/>
  <c r="R28" i="31"/>
  <c r="E2" i="33"/>
  <c r="F11" i="31"/>
  <c r="AD18" i="31" s="1"/>
  <c r="F29" i="31"/>
  <c r="F127" i="31" s="1"/>
  <c r="J2" i="33"/>
  <c r="K11" i="31"/>
  <c r="K29" i="31"/>
  <c r="K127" i="31" s="1"/>
  <c r="K4" i="33"/>
  <c r="L12" i="31"/>
  <c r="AE23" i="31" s="1"/>
  <c r="L31" i="31"/>
  <c r="L129" i="31" s="1"/>
  <c r="H11" i="31"/>
  <c r="AD20" i="31" s="1"/>
  <c r="G2" i="33"/>
  <c r="H29" i="31"/>
  <c r="H127" i="31" s="1"/>
  <c r="X3" i="31"/>
  <c r="Y3" i="31" s="1"/>
  <c r="F57" i="31"/>
  <c r="H57" i="31"/>
  <c r="C30" i="31"/>
  <c r="C128" i="31" s="1"/>
  <c r="B3" i="33"/>
  <c r="Z3" i="31"/>
  <c r="P15" i="33"/>
  <c r="Q36" i="31"/>
  <c r="Q134" i="31" s="1"/>
  <c r="J22" i="33"/>
  <c r="K43" i="31"/>
  <c r="K141" i="31" s="1"/>
  <c r="C19" i="33"/>
  <c r="D40" i="31"/>
  <c r="D138" i="31" s="1"/>
  <c r="O15" i="33"/>
  <c r="P36" i="31"/>
  <c r="P134" i="31" s="1"/>
  <c r="K22" i="33"/>
  <c r="L43" i="31"/>
  <c r="L141" i="31" s="1"/>
  <c r="O44" i="31"/>
  <c r="O142" i="31" s="1"/>
  <c r="N23" i="33"/>
  <c r="H41" i="31"/>
  <c r="H139" i="31" s="1"/>
  <c r="G20" i="33"/>
  <c r="T37" i="31"/>
  <c r="T135" i="31" s="1"/>
  <c r="S16" i="33"/>
  <c r="M50" i="31"/>
  <c r="M49" i="31"/>
  <c r="L13" i="33"/>
  <c r="M34" i="31"/>
  <c r="M132" i="31" s="1"/>
  <c r="T15" i="33"/>
  <c r="U36" i="31"/>
  <c r="U134" i="31" s="1"/>
  <c r="H22" i="33"/>
  <c r="I43" i="31"/>
  <c r="I141" i="31" s="1"/>
  <c r="T18" i="33"/>
  <c r="U39" i="31"/>
  <c r="U137" i="31" s="1"/>
  <c r="M15" i="33"/>
  <c r="N36" i="31"/>
  <c r="N134" i="31" s="1"/>
  <c r="S48" i="31"/>
  <c r="S126" i="31"/>
  <c r="R1" i="33"/>
  <c r="S28" i="31"/>
  <c r="AC30" i="31"/>
  <c r="T5" i="33"/>
  <c r="U32" i="31"/>
  <c r="U130" i="31" s="1"/>
  <c r="Q5" i="33"/>
  <c r="R32" i="31"/>
  <c r="R130" i="31" s="1"/>
  <c r="H12" i="31"/>
  <c r="AE20" i="31" s="1"/>
  <c r="H31" i="31"/>
  <c r="H129" i="31" s="1"/>
  <c r="G4" i="33"/>
  <c r="D11" i="31"/>
  <c r="AD16" i="31" s="1"/>
  <c r="C2" i="33"/>
  <c r="D29" i="31"/>
  <c r="D127" i="31" s="1"/>
  <c r="B13" i="33"/>
  <c r="H61" i="31"/>
  <c r="Z14" i="31"/>
  <c r="C49" i="31"/>
  <c r="C55" i="31" s="1"/>
  <c r="C34" i="31"/>
  <c r="C132" i="31" s="1"/>
  <c r="C50" i="31"/>
  <c r="C56" i="31" s="1"/>
  <c r="X14" i="31"/>
  <c r="Y14" i="31" s="1"/>
  <c r="F61" i="31"/>
  <c r="D15" i="33"/>
  <c r="E36" i="31"/>
  <c r="E134" i="31" s="1"/>
  <c r="G43" i="31"/>
  <c r="G141" i="31" s="1"/>
  <c r="F22" i="33"/>
  <c r="R18" i="33"/>
  <c r="S39" i="31"/>
  <c r="S137" i="31" s="1"/>
  <c r="K15" i="33"/>
  <c r="L36" i="31"/>
  <c r="L134" i="31" s="1"/>
  <c r="R21" i="33"/>
  <c r="S42" i="31"/>
  <c r="S140" i="31" s="1"/>
  <c r="J23" i="33"/>
  <c r="K44" i="31"/>
  <c r="K142" i="31" s="1"/>
  <c r="C20" i="33"/>
  <c r="D41" i="31"/>
  <c r="D139" i="31" s="1"/>
  <c r="C16" i="33"/>
  <c r="P37" i="31"/>
  <c r="P135" i="31" s="1"/>
  <c r="O16" i="33"/>
  <c r="I34" i="31"/>
  <c r="I132" i="31" s="1"/>
  <c r="I50" i="31"/>
  <c r="I49" i="31"/>
  <c r="H13" i="33"/>
  <c r="H15" i="33"/>
  <c r="I36" i="31"/>
  <c r="I134" i="31" s="1"/>
  <c r="D22" i="33"/>
  <c r="E43" i="31"/>
  <c r="E141" i="31" s="1"/>
  <c r="Q39" i="31"/>
  <c r="Q137" i="31" s="1"/>
  <c r="P18" i="33"/>
  <c r="I15" i="33"/>
  <c r="J36" i="31"/>
  <c r="J134" i="31" s="1"/>
  <c r="T48" i="31"/>
  <c r="T126" i="31"/>
  <c r="AC31" i="31"/>
  <c r="S1" i="33"/>
  <c r="T28" i="31"/>
  <c r="O11" i="31"/>
  <c r="AD26" i="31" s="1"/>
  <c r="N2" i="33"/>
  <c r="O29" i="31"/>
  <c r="O127" i="31" s="1"/>
  <c r="P5" i="33"/>
  <c r="Q32" i="31"/>
  <c r="Q130" i="31" s="1"/>
  <c r="V31" i="31"/>
  <c r="V129" i="31" s="1"/>
  <c r="U4" i="33"/>
  <c r="V12" i="31"/>
  <c r="AE33" i="31" s="1"/>
  <c r="C4" i="33"/>
  <c r="D12" i="31"/>
  <c r="AE16" i="31" s="1"/>
  <c r="D31" i="31"/>
  <c r="D129" i="31" s="1"/>
  <c r="R5" i="33"/>
  <c r="S32" i="31"/>
  <c r="S130" i="31" s="1"/>
  <c r="H69" i="31"/>
  <c r="X22" i="31"/>
  <c r="Y22" i="31" s="1"/>
  <c r="B21" i="33"/>
  <c r="Z22" i="31"/>
  <c r="C42" i="31"/>
  <c r="C140" i="31" s="1"/>
  <c r="F69" i="31"/>
  <c r="K14" i="33"/>
  <c r="L35" i="31"/>
  <c r="L133" i="31" s="1"/>
  <c r="U21" i="33"/>
  <c r="V42" i="31"/>
  <c r="V140" i="31" s="1"/>
  <c r="O39" i="31"/>
  <c r="O137" i="31" s="1"/>
  <c r="N18" i="33"/>
  <c r="G15" i="33"/>
  <c r="H36" i="31"/>
  <c r="H134" i="31" s="1"/>
  <c r="U20" i="33"/>
  <c r="V41" i="31"/>
  <c r="V139" i="31" s="1"/>
  <c r="G44" i="31"/>
  <c r="G142" i="31" s="1"/>
  <c r="F23" i="33"/>
  <c r="R19" i="33"/>
  <c r="S40" i="31"/>
  <c r="S138" i="31" s="1"/>
  <c r="L37" i="31"/>
  <c r="L135" i="31" s="1"/>
  <c r="K16" i="33"/>
  <c r="E34" i="31"/>
  <c r="E132" i="31" s="1"/>
  <c r="E50" i="31"/>
  <c r="E49" i="31"/>
  <c r="D13" i="33"/>
  <c r="P35" i="31"/>
  <c r="P133" i="31" s="1"/>
  <c r="O14" i="33"/>
  <c r="S21" i="33"/>
  <c r="T42" i="31"/>
  <c r="T140" i="31" s="1"/>
  <c r="M39" i="31"/>
  <c r="M137" i="31" s="1"/>
  <c r="L18" i="33"/>
  <c r="E15" i="33"/>
  <c r="F36" i="31"/>
  <c r="F134" i="31" s="1"/>
  <c r="H1" i="33"/>
  <c r="I28" i="31"/>
  <c r="AC21" i="31"/>
  <c r="I126" i="31"/>
  <c r="I48" i="31"/>
  <c r="U5" i="33"/>
  <c r="V32" i="31"/>
  <c r="V130" i="31" s="1"/>
  <c r="L5" i="33"/>
  <c r="M32" i="31"/>
  <c r="M130" i="31" s="1"/>
  <c r="J12" i="31"/>
  <c r="AE22" i="31" s="1"/>
  <c r="I4" i="33"/>
  <c r="J31" i="31"/>
  <c r="J129" i="31" s="1"/>
  <c r="T30" i="31"/>
  <c r="T128" i="31" s="1"/>
  <c r="S3" i="33"/>
  <c r="O32" i="31"/>
  <c r="O130" i="31" s="1"/>
  <c r="N5" i="33"/>
  <c r="M44" i="31"/>
  <c r="M142" i="31" s="1"/>
  <c r="L23" i="33"/>
  <c r="H35" i="31"/>
  <c r="H133" i="31" s="1"/>
  <c r="G14" i="33"/>
  <c r="Q21" i="33"/>
  <c r="R42" i="31"/>
  <c r="R140" i="31" s="1"/>
  <c r="K39" i="31"/>
  <c r="K137" i="31" s="1"/>
  <c r="J18" i="33"/>
  <c r="D36" i="31"/>
  <c r="D134" i="31" s="1"/>
  <c r="C15" i="33"/>
  <c r="J41" i="31"/>
  <c r="J139" i="31" s="1"/>
  <c r="I20" i="33"/>
  <c r="V43" i="31"/>
  <c r="V141" i="31" s="1"/>
  <c r="U22" i="33"/>
  <c r="O40" i="31"/>
  <c r="O138" i="31" s="1"/>
  <c r="N19" i="33"/>
  <c r="G16" i="33"/>
  <c r="H37" i="31"/>
  <c r="H135" i="31" s="1"/>
  <c r="T23" i="33"/>
  <c r="U44" i="31"/>
  <c r="U142" i="31" s="1"/>
  <c r="C14" i="33"/>
  <c r="D35" i="31"/>
  <c r="D133" i="31" s="1"/>
  <c r="O21" i="33"/>
  <c r="P42" i="31"/>
  <c r="P140" i="31" s="1"/>
  <c r="H18" i="33"/>
  <c r="I39" i="31"/>
  <c r="I137" i="31" s="1"/>
  <c r="U35" i="31"/>
  <c r="U133" i="31" s="1"/>
  <c r="T14" i="33"/>
  <c r="C48" i="31"/>
  <c r="B1" i="33"/>
  <c r="J53" i="33" s="1"/>
  <c r="Y99" i="31" s="1"/>
  <c r="AC15" i="31"/>
  <c r="C126" i="31"/>
  <c r="C28" i="31"/>
  <c r="B54" i="31"/>
  <c r="I5" i="33"/>
  <c r="J32" i="31"/>
  <c r="J130" i="31" s="1"/>
  <c r="I32" i="31"/>
  <c r="I130" i="31" s="1"/>
  <c r="H5" i="33"/>
  <c r="T2" i="33"/>
  <c r="U29" i="31"/>
  <c r="U127" i="31" s="1"/>
  <c r="U11" i="31"/>
  <c r="AD32" i="31" s="1"/>
  <c r="P30" i="31"/>
  <c r="P128" i="31" s="1"/>
  <c r="O3" i="33"/>
  <c r="J5" i="33"/>
  <c r="K32" i="31"/>
  <c r="K130" i="31" s="1"/>
  <c r="S22" i="33"/>
  <c r="T43" i="31"/>
  <c r="T141" i="31" s="1"/>
  <c r="S49" i="31"/>
  <c r="S50" i="31"/>
  <c r="R13" i="33"/>
  <c r="S34" i="31"/>
  <c r="S132" i="31" s="1"/>
  <c r="N42" i="31"/>
  <c r="N140" i="31" s="1"/>
  <c r="M21" i="33"/>
  <c r="G39" i="31"/>
  <c r="G137" i="31" s="1"/>
  <c r="F18" i="33"/>
  <c r="R14" i="33"/>
  <c r="S35" i="31"/>
  <c r="S133" i="31" s="1"/>
  <c r="Q40" i="31"/>
  <c r="Q138" i="31" s="1"/>
  <c r="P19" i="33"/>
  <c r="Q22" i="33"/>
  <c r="R43" i="31"/>
  <c r="R141" i="31" s="1"/>
  <c r="J19" i="33"/>
  <c r="K40" i="31"/>
  <c r="K138" i="31" s="1"/>
  <c r="D37" i="31"/>
  <c r="D135" i="31" s="1"/>
  <c r="H23" i="33"/>
  <c r="I44" i="31"/>
  <c r="I142" i="31" s="1"/>
  <c r="K50" i="31"/>
  <c r="K49" i="31"/>
  <c r="J13" i="33"/>
  <c r="K34" i="31"/>
  <c r="K132" i="31" s="1"/>
  <c r="K21" i="33"/>
  <c r="L42" i="31"/>
  <c r="L140" i="31" s="1"/>
  <c r="E39" i="31"/>
  <c r="E137" i="31" s="1"/>
  <c r="D18" i="33"/>
  <c r="P14" i="33"/>
  <c r="Q35" i="31"/>
  <c r="Q133" i="31" s="1"/>
  <c r="G28" i="32"/>
  <c r="V3" i="32"/>
  <c r="J48" i="31"/>
  <c r="J28" i="31"/>
  <c r="AC22" i="31"/>
  <c r="I1" i="33"/>
  <c r="J126" i="31"/>
  <c r="R31" i="31"/>
  <c r="R129" i="31" s="1"/>
  <c r="Q4" i="33"/>
  <c r="R12" i="31"/>
  <c r="AE29" i="31" s="1"/>
  <c r="D5" i="33"/>
  <c r="E32" i="31"/>
  <c r="E130" i="31" s="1"/>
  <c r="P2" i="33"/>
  <c r="Q11" i="31"/>
  <c r="AD28" i="31" s="1"/>
  <c r="Q29" i="31"/>
  <c r="Q127" i="31" s="1"/>
  <c r="K3" i="33"/>
  <c r="L30" i="31"/>
  <c r="L128" i="31" s="1"/>
  <c r="G32" i="31"/>
  <c r="G130" i="31" s="1"/>
  <c r="F5" i="33"/>
  <c r="H43" i="31"/>
  <c r="H141" i="31" s="1"/>
  <c r="G22" i="33"/>
  <c r="G34" i="31"/>
  <c r="G132" i="31" s="1"/>
  <c r="G49" i="31"/>
  <c r="G50" i="31"/>
  <c r="F13" i="33"/>
  <c r="J42" i="31"/>
  <c r="J140" i="31" s="1"/>
  <c r="I21" i="33"/>
  <c r="U17" i="33"/>
  <c r="V38" i="31"/>
  <c r="V136" i="31" s="1"/>
  <c r="N14" i="33"/>
  <c r="O35" i="31"/>
  <c r="O133" i="31" s="1"/>
  <c r="S18" i="33"/>
  <c r="T39" i="31"/>
  <c r="T137" i="31" s="1"/>
  <c r="M22" i="33"/>
  <c r="N43" i="31"/>
  <c r="N141" i="31" s="1"/>
  <c r="G40" i="31"/>
  <c r="G138" i="31" s="1"/>
  <c r="F19" i="33"/>
  <c r="R15" i="33"/>
  <c r="S36" i="31"/>
  <c r="S134" i="31" s="1"/>
  <c r="O22" i="33"/>
  <c r="P43" i="31"/>
  <c r="P141" i="31" s="1"/>
  <c r="C36" i="31"/>
  <c r="C134" i="31" s="1"/>
  <c r="Z16" i="31"/>
  <c r="H63" i="31"/>
  <c r="B15" i="33"/>
  <c r="X16" i="31"/>
  <c r="Y16" i="31" s="1"/>
  <c r="F63" i="31"/>
  <c r="G21" i="33"/>
  <c r="H42" i="31"/>
  <c r="H140" i="31" s="1"/>
  <c r="S17" i="33"/>
  <c r="T38" i="31"/>
  <c r="T136" i="31" s="1"/>
  <c r="L14" i="33"/>
  <c r="M35" i="31"/>
  <c r="M133" i="31" s="1"/>
  <c r="E126" i="31"/>
  <c r="AC17" i="31"/>
  <c r="E28" i="31"/>
  <c r="D1" i="33"/>
  <c r="E48" i="31"/>
  <c r="M4" i="33"/>
  <c r="N12" i="31"/>
  <c r="AE25" i="31" s="1"/>
  <c r="N31" i="31"/>
  <c r="N129" i="31" s="1"/>
  <c r="U31" i="31"/>
  <c r="U129" i="31" s="1"/>
  <c r="T4" i="33"/>
  <c r="U12" i="31"/>
  <c r="AE32" i="31" s="1"/>
  <c r="L2" i="33"/>
  <c r="M11" i="31"/>
  <c r="AD24" i="31" s="1"/>
  <c r="M29" i="31"/>
  <c r="M127" i="31" s="1"/>
  <c r="H30" i="31"/>
  <c r="H128" i="31" s="1"/>
  <c r="G3" i="33"/>
  <c r="X5" i="31"/>
  <c r="Y5" i="31" s="1"/>
  <c r="Z5" i="31"/>
  <c r="H59" i="31"/>
  <c r="B5" i="33"/>
  <c r="C32" i="31"/>
  <c r="C130" i="31" s="1"/>
  <c r="F59" i="31"/>
  <c r="O42" i="31"/>
  <c r="O140" i="31" s="1"/>
  <c r="N21" i="33"/>
  <c r="H62" i="31"/>
  <c r="Z15" i="31"/>
  <c r="C35" i="31"/>
  <c r="C133" i="31" s="1"/>
  <c r="B14" i="33"/>
  <c r="X15" i="31"/>
  <c r="Y15" i="31" s="1"/>
  <c r="F62" i="31"/>
  <c r="E21" i="33"/>
  <c r="F42" i="31"/>
  <c r="F140" i="31" s="1"/>
  <c r="R38" i="31"/>
  <c r="R136" i="31" s="1"/>
  <c r="Q17" i="33"/>
  <c r="J14" i="33"/>
  <c r="K35" i="31"/>
  <c r="K133" i="31" s="1"/>
  <c r="D39" i="31"/>
  <c r="D137" i="31" s="1"/>
  <c r="C18" i="33"/>
  <c r="J43" i="31"/>
  <c r="J141" i="31" s="1"/>
  <c r="I22" i="33"/>
  <c r="V39" i="31"/>
  <c r="V137" i="31" s="1"/>
  <c r="U18" i="33"/>
  <c r="O36" i="31"/>
  <c r="O134" i="31" s="1"/>
  <c r="N15" i="33"/>
  <c r="C22" i="33"/>
  <c r="D43" i="31"/>
  <c r="D141" i="31" s="1"/>
  <c r="B16" i="33"/>
  <c r="Z17" i="31"/>
  <c r="H64" i="31"/>
  <c r="C37" i="31"/>
  <c r="C135" i="31" s="1"/>
  <c r="X17" i="31"/>
  <c r="Y17" i="31" s="1"/>
  <c r="F64" i="31"/>
  <c r="C21" i="33"/>
  <c r="D42" i="31"/>
  <c r="D140" i="31" s="1"/>
  <c r="P38" i="31"/>
  <c r="P136" i="31" s="1"/>
  <c r="O17" i="33"/>
  <c r="I35" i="31"/>
  <c r="I133" i="31" s="1"/>
  <c r="H14" i="33"/>
  <c r="P126" i="31"/>
  <c r="O1" i="33"/>
  <c r="P48" i="31"/>
  <c r="P28" i="31"/>
  <c r="AC27" i="31"/>
  <c r="U3" i="33"/>
  <c r="V30" i="31"/>
  <c r="V128" i="31" s="1"/>
  <c r="P4" i="33"/>
  <c r="Q12" i="31"/>
  <c r="AE28" i="31" s="1"/>
  <c r="Q31" i="31"/>
  <c r="Q129" i="31" s="1"/>
  <c r="H2" i="33"/>
  <c r="I11" i="31"/>
  <c r="AD21" i="31" s="1"/>
  <c r="I29" i="31"/>
  <c r="I127" i="31" s="1"/>
  <c r="C3" i="33"/>
  <c r="D30" i="31"/>
  <c r="D128" i="31" s="1"/>
  <c r="R4" i="33"/>
  <c r="S12" i="31"/>
  <c r="AE30" i="31" s="1"/>
  <c r="S31" i="31"/>
  <c r="S129" i="31" s="1"/>
  <c r="G42" i="31"/>
  <c r="G140" i="31" s="1"/>
  <c r="F21" i="33"/>
  <c r="B18" i="33"/>
  <c r="C39" i="31"/>
  <c r="C137" i="31" s="1"/>
  <c r="H66" i="31"/>
  <c r="X19" i="31"/>
  <c r="Y19" i="31" s="1"/>
  <c r="Z19" i="31"/>
  <c r="F66" i="31"/>
  <c r="U41" i="31"/>
  <c r="U139" i="31" s="1"/>
  <c r="T20" i="33"/>
  <c r="M17" i="33"/>
  <c r="N38" i="31"/>
  <c r="N136" i="31" s="1"/>
  <c r="G35" i="31"/>
  <c r="G133" i="31" s="1"/>
  <c r="F14" i="33"/>
  <c r="J17" i="33"/>
  <c r="K38" i="31"/>
  <c r="K136" i="31" s="1"/>
  <c r="F43" i="31"/>
  <c r="F141" i="31" s="1"/>
  <c r="E22" i="33"/>
  <c r="R39" i="31"/>
  <c r="R137" i="31" s="1"/>
  <c r="Q18" i="33"/>
  <c r="J15" i="33"/>
  <c r="K36" i="31"/>
  <c r="K134" i="31" s="1"/>
  <c r="K42" i="31"/>
  <c r="K140" i="31" s="1"/>
  <c r="J21" i="33"/>
  <c r="X21" i="31"/>
  <c r="Y21" i="31" s="1"/>
  <c r="C41" i="31"/>
  <c r="C139" i="31" s="1"/>
  <c r="Z21" i="31"/>
  <c r="B20" i="33"/>
  <c r="H68" i="31"/>
  <c r="F68" i="31"/>
  <c r="R20" i="33"/>
  <c r="S41" i="31"/>
  <c r="S139" i="31" s="1"/>
  <c r="K17" i="33"/>
  <c r="L38" i="31"/>
  <c r="L136" i="31" s="1"/>
  <c r="E35" i="31"/>
  <c r="E133" i="31" s="1"/>
  <c r="D14" i="33"/>
  <c r="K28" i="31"/>
  <c r="K48" i="31"/>
  <c r="K126" i="31"/>
  <c r="J1" i="33"/>
  <c r="C60" i="31"/>
  <c r="R30" i="31"/>
  <c r="R128" i="31" s="1"/>
  <c r="Q3" i="33"/>
  <c r="M12" i="31"/>
  <c r="AE24" i="31" s="1"/>
  <c r="L4" i="33"/>
  <c r="M31" i="31"/>
  <c r="M129" i="31" s="1"/>
  <c r="E11" i="31"/>
  <c r="AD17" i="31" s="1"/>
  <c r="E29" i="31"/>
  <c r="E127" i="31" s="1"/>
  <c r="D2" i="33"/>
  <c r="S29" i="31"/>
  <c r="S127" i="31" s="1"/>
  <c r="S11" i="31"/>
  <c r="AD30" i="31" s="1"/>
  <c r="R2" i="33"/>
  <c r="O31" i="31"/>
  <c r="O129" i="31" s="1"/>
  <c r="O12" i="31"/>
  <c r="AE26" i="31" s="1"/>
  <c r="N4" i="33"/>
  <c r="N11" i="33" s="1"/>
  <c r="M20" i="33"/>
  <c r="N41" i="31"/>
  <c r="N139" i="31" s="1"/>
  <c r="X23" i="31"/>
  <c r="Y23" i="31" s="1"/>
  <c r="H70" i="31"/>
  <c r="B22" i="33"/>
  <c r="Z23" i="31"/>
  <c r="C43" i="31"/>
  <c r="C141" i="31" s="1"/>
  <c r="F70" i="31"/>
  <c r="P20" i="33"/>
  <c r="Q41" i="31"/>
  <c r="Q139" i="31" s="1"/>
  <c r="I17" i="33"/>
  <c r="J38" i="31"/>
  <c r="J136" i="31" s="1"/>
  <c r="V49" i="31"/>
  <c r="U13" i="33"/>
  <c r="V34" i="31"/>
  <c r="V132" i="31" s="1"/>
  <c r="V50" i="31"/>
  <c r="R37" i="31"/>
  <c r="R135" i="31" s="1"/>
  <c r="Q16" i="33"/>
  <c r="U42" i="31"/>
  <c r="U140" i="31" s="1"/>
  <c r="T21" i="33"/>
  <c r="M18" i="33"/>
  <c r="N39" i="31"/>
  <c r="N137" i="31" s="1"/>
  <c r="F15" i="33"/>
  <c r="G36" i="31"/>
  <c r="G134" i="31" s="1"/>
  <c r="Q20" i="33"/>
  <c r="R41" i="31"/>
  <c r="R139" i="31" s="1"/>
  <c r="U23" i="33"/>
  <c r="V44" i="31"/>
  <c r="V142" i="31" s="1"/>
  <c r="N20" i="33"/>
  <c r="O41" i="31"/>
  <c r="O139" i="31" s="1"/>
  <c r="G17" i="33"/>
  <c r="H38" i="31"/>
  <c r="H136" i="31" s="1"/>
  <c r="T49" i="31"/>
  <c r="T50" i="31"/>
  <c r="S13" i="33"/>
  <c r="T34" i="31"/>
  <c r="T132" i="31" s="1"/>
  <c r="V126" i="31"/>
  <c r="U1" i="33"/>
  <c r="AC33" i="31"/>
  <c r="V48" i="31"/>
  <c r="V28" i="31"/>
  <c r="T1" i="33"/>
  <c r="AC32" i="31"/>
  <c r="U126" i="31"/>
  <c r="U48" i="31"/>
  <c r="U28" i="31"/>
  <c r="M3" i="33"/>
  <c r="N30" i="31"/>
  <c r="N128" i="31" s="1"/>
  <c r="I31" i="31"/>
  <c r="I129" i="31" s="1"/>
  <c r="I12" i="31"/>
  <c r="AE21" i="31" s="1"/>
  <c r="H4" i="33"/>
  <c r="S5" i="33"/>
  <c r="T32" i="31"/>
  <c r="T130" i="31" s="1"/>
  <c r="G11" i="31"/>
  <c r="AD19" i="31" s="1"/>
  <c r="F2" i="33"/>
  <c r="G29" i="31"/>
  <c r="G127" i="31" s="1"/>
  <c r="K31" i="31"/>
  <c r="K129" i="31" s="1"/>
  <c r="K12" i="31"/>
  <c r="J4" i="33"/>
  <c r="T19" i="33"/>
  <c r="U40" i="31"/>
  <c r="U138" i="31" s="1"/>
  <c r="S23" i="33"/>
  <c r="T44" i="31"/>
  <c r="T142" i="31" s="1"/>
  <c r="L20" i="33"/>
  <c r="M41" i="31"/>
  <c r="M139" i="31" s="1"/>
  <c r="E17" i="33"/>
  <c r="F38" i="31"/>
  <c r="F136" i="31" s="1"/>
  <c r="R50" i="31"/>
  <c r="Q13" i="33"/>
  <c r="R34" i="31"/>
  <c r="R132" i="31" s="1"/>
  <c r="R49" i="31"/>
  <c r="F37" i="31"/>
  <c r="F135" i="31" s="1"/>
  <c r="E16" i="33"/>
  <c r="P21" i="33"/>
  <c r="Q42" i="31"/>
  <c r="Q140" i="31" s="1"/>
  <c r="I18" i="33"/>
  <c r="J39" i="31"/>
  <c r="J137" i="31" s="1"/>
  <c r="U14" i="33"/>
  <c r="V35" i="31"/>
  <c r="V133" i="31" s="1"/>
  <c r="E20" i="33"/>
  <c r="F41" i="31"/>
  <c r="F139" i="31" s="1"/>
  <c r="Q23" i="33"/>
  <c r="R44" i="31"/>
  <c r="R142" i="31" s="1"/>
  <c r="J20" i="33"/>
  <c r="K41" i="31"/>
  <c r="K139" i="31" s="1"/>
  <c r="D38" i="31"/>
  <c r="D136" i="31" s="1"/>
  <c r="C17" i="33"/>
  <c r="P49" i="31"/>
  <c r="P50" i="31"/>
  <c r="O13" i="33"/>
  <c r="P34" i="31"/>
  <c r="P132" i="31" s="1"/>
  <c r="G1" i="33"/>
  <c r="H48" i="31"/>
  <c r="H28" i="31"/>
  <c r="H126" i="31"/>
  <c r="AC20" i="31"/>
  <c r="I3" i="33"/>
  <c r="J30" i="31"/>
  <c r="J128" i="31" s="1"/>
  <c r="E12" i="31"/>
  <c r="AE17" i="31" s="1"/>
  <c r="D4" i="33"/>
  <c r="E31" i="31"/>
  <c r="E129" i="31" s="1"/>
  <c r="P32" i="31"/>
  <c r="P130" i="31" s="1"/>
  <c r="O5" i="33"/>
  <c r="M5" i="33"/>
  <c r="N32" i="31"/>
  <c r="N130" i="31" s="1"/>
  <c r="G12" i="31"/>
  <c r="AE19" i="31" s="1"/>
  <c r="F4" i="33"/>
  <c r="F11" i="33" s="1"/>
  <c r="G31" i="31"/>
  <c r="G129" i="31" s="1"/>
  <c r="H19" i="33"/>
  <c r="I40" i="31"/>
  <c r="I138" i="31" s="1"/>
  <c r="P44" i="31"/>
  <c r="P142" i="31" s="1"/>
  <c r="O23" i="33"/>
  <c r="H20" i="33"/>
  <c r="I41" i="31"/>
  <c r="I139" i="31" s="1"/>
  <c r="U37" i="31"/>
  <c r="U135" i="31" s="1"/>
  <c r="T16" i="33"/>
  <c r="M13" i="33"/>
  <c r="N34" i="31"/>
  <c r="N132" i="31" s="1"/>
  <c r="N49" i="31"/>
  <c r="N50" i="31"/>
  <c r="L15" i="33"/>
  <c r="M36" i="31"/>
  <c r="M134" i="31" s="1"/>
  <c r="L21" i="33"/>
  <c r="M42" i="31"/>
  <c r="M140" i="31" s="1"/>
  <c r="E18" i="33"/>
  <c r="F39" i="31"/>
  <c r="F137" i="31" s="1"/>
  <c r="Q14" i="33"/>
  <c r="R35" i="31"/>
  <c r="R133" i="31" s="1"/>
  <c r="L19" i="33"/>
  <c r="M40" i="31"/>
  <c r="M138" i="31" s="1"/>
  <c r="M23" i="33"/>
  <c r="N44" i="31"/>
  <c r="N142" i="31" s="1"/>
  <c r="G41" i="31"/>
  <c r="G139" i="31" s="1"/>
  <c r="F20" i="33"/>
  <c r="S37" i="31"/>
  <c r="S135" i="31" s="1"/>
  <c r="R16" i="33"/>
  <c r="K13" i="33"/>
  <c r="L34" i="31"/>
  <c r="L132" i="31" s="1"/>
  <c r="L50" i="31"/>
  <c r="L49" i="31"/>
  <c r="G126" i="31"/>
  <c r="AC19" i="31"/>
  <c r="G28" i="31"/>
  <c r="F1" i="33"/>
  <c r="G48" i="31"/>
  <c r="E3" i="33"/>
  <c r="F30" i="31"/>
  <c r="F128" i="31" s="1"/>
  <c r="T3" i="33"/>
  <c r="U30" i="31"/>
  <c r="U128" i="31" s="1"/>
  <c r="K5" i="33"/>
  <c r="L32" i="31"/>
  <c r="L130" i="31" s="1"/>
  <c r="F32" i="31"/>
  <c r="F130" i="31" s="1"/>
  <c r="E5" i="33"/>
  <c r="B4" i="33"/>
  <c r="H58" i="31"/>
  <c r="C12" i="31"/>
  <c r="AE15" i="31" s="1"/>
  <c r="X4" i="31"/>
  <c r="Y4" i="31" s="1"/>
  <c r="C31" i="31"/>
  <c r="C129" i="31" s="1"/>
  <c r="Z4" i="31"/>
  <c r="F58" i="31"/>
  <c r="P39" i="31"/>
  <c r="P137" i="31" s="1"/>
  <c r="O18" i="33"/>
  <c r="K23" i="33"/>
  <c r="L44" i="31"/>
  <c r="L142" i="31" s="1"/>
  <c r="D20" i="33"/>
  <c r="E41" i="31"/>
  <c r="E139" i="31" s="1"/>
  <c r="Q37" i="31"/>
  <c r="Q135" i="31" s="1"/>
  <c r="P16" i="33"/>
  <c r="J50" i="31"/>
  <c r="I13" i="33"/>
  <c r="J34" i="31"/>
  <c r="J132" i="31" s="1"/>
  <c r="J49" i="31"/>
  <c r="S14" i="33"/>
  <c r="T35" i="31"/>
  <c r="T133" i="31" s="1"/>
  <c r="I42" i="31"/>
  <c r="I140" i="31" s="1"/>
  <c r="H21" i="33"/>
  <c r="U38" i="31"/>
  <c r="U136" i="31" s="1"/>
  <c r="T17" i="33"/>
  <c r="N35" i="31"/>
  <c r="N133" i="31" s="1"/>
  <c r="M14" i="33"/>
  <c r="D19" i="33"/>
  <c r="E40" i="31"/>
  <c r="E138" i="31" s="1"/>
  <c r="I23" i="33"/>
  <c r="J44" i="31"/>
  <c r="J142" i="31" s="1"/>
  <c r="U19" i="33"/>
  <c r="V40" i="31"/>
  <c r="V138" i="31" s="1"/>
  <c r="O37" i="31"/>
  <c r="O135" i="31" s="1"/>
  <c r="N16" i="33"/>
  <c r="H49" i="31"/>
  <c r="H50" i="31"/>
  <c r="G13" i="33"/>
  <c r="H34" i="31"/>
  <c r="H132" i="31" s="1"/>
  <c r="N48" i="31"/>
  <c r="N126" i="31"/>
  <c r="N28" i="31"/>
  <c r="M1" i="33"/>
  <c r="AC25" i="31"/>
  <c r="V11" i="31"/>
  <c r="AD33" i="31" s="1"/>
  <c r="V29" i="31"/>
  <c r="V127" i="31" s="1"/>
  <c r="U2" i="33"/>
  <c r="P3" i="33"/>
  <c r="Q30" i="31"/>
  <c r="Q128" i="31" s="1"/>
  <c r="G5" i="33"/>
  <c r="H32" i="31"/>
  <c r="H130" i="31" s="1"/>
  <c r="E4" i="33"/>
  <c r="E11" i="33" s="1"/>
  <c r="F31" i="31"/>
  <c r="F129" i="31" s="1"/>
  <c r="F12" i="31"/>
  <c r="AE18" i="31" s="1"/>
  <c r="R3" i="33"/>
  <c r="S30" i="31"/>
  <c r="S128" i="31" s="1"/>
  <c r="G18" i="33"/>
  <c r="H39" i="31"/>
  <c r="H137" i="31" s="1"/>
  <c r="H44" i="31"/>
  <c r="H142" i="31" s="1"/>
  <c r="G23" i="33"/>
  <c r="T40" i="31"/>
  <c r="T138" i="31" s="1"/>
  <c r="S19" i="33"/>
  <c r="M37" i="31"/>
  <c r="M135" i="31" s="1"/>
  <c r="L16" i="33"/>
  <c r="F49" i="31"/>
  <c r="E13" i="33"/>
  <c r="F34" i="31"/>
  <c r="F132" i="31" s="1"/>
  <c r="F50" i="31"/>
  <c r="O34" i="31"/>
  <c r="O132" i="31" s="1"/>
  <c r="O49" i="31"/>
  <c r="O50" i="31"/>
  <c r="N13" i="33"/>
  <c r="D21" i="33"/>
  <c r="E42" i="31"/>
  <c r="E140" i="31" s="1"/>
  <c r="P17" i="33"/>
  <c r="Q38" i="31"/>
  <c r="Q136" i="31" s="1"/>
  <c r="I14" i="33"/>
  <c r="J35" i="31"/>
  <c r="J133" i="31" s="1"/>
  <c r="L39" i="31"/>
  <c r="L137" i="31" s="1"/>
  <c r="K18" i="33"/>
  <c r="F44" i="31"/>
  <c r="F142" i="31" s="1"/>
  <c r="E23" i="33"/>
  <c r="Q19" i="33"/>
  <c r="R40" i="31"/>
  <c r="R138" i="31" s="1"/>
  <c r="K37" i="31"/>
  <c r="K135" i="31" s="1"/>
  <c r="J16" i="33"/>
  <c r="D50" i="31"/>
  <c r="D49" i="31"/>
  <c r="D34" i="31"/>
  <c r="D132" i="31" s="1"/>
  <c r="C13" i="33"/>
  <c r="G30" i="32"/>
  <c r="V5" i="32"/>
  <c r="H11" i="33" l="1"/>
  <c r="T11" i="33"/>
  <c r="R11" i="33"/>
  <c r="P11" i="33"/>
  <c r="C11" i="33"/>
  <c r="AA4" i="31"/>
  <c r="W4" i="31" s="1"/>
  <c r="W31" i="31" s="1"/>
  <c r="X31" i="31" s="1"/>
  <c r="D11" i="33"/>
  <c r="AA23" i="31"/>
  <c r="W23" i="31" s="1"/>
  <c r="W43" i="31" s="1"/>
  <c r="X43" i="31" s="1"/>
  <c r="V144" i="31"/>
  <c r="J11" i="33"/>
  <c r="W141" i="31"/>
  <c r="L11" i="33"/>
  <c r="AA22" i="31"/>
  <c r="W22" i="31" s="1"/>
  <c r="W42" i="31" s="1"/>
  <c r="X42" i="31" s="1"/>
  <c r="AA17" i="31"/>
  <c r="W17" i="31" s="1"/>
  <c r="W37" i="31" s="1"/>
  <c r="X37" i="31" s="1"/>
  <c r="Q11" i="33"/>
  <c r="U10" i="33"/>
  <c r="U7" i="33"/>
  <c r="G144" i="31"/>
  <c r="AA21" i="31"/>
  <c r="W21" i="31" s="1"/>
  <c r="W41" i="31" s="1"/>
  <c r="X41" i="31" s="1"/>
  <c r="AA19" i="31"/>
  <c r="W19" i="31" s="1"/>
  <c r="W39" i="31" s="1"/>
  <c r="X39" i="31" s="1"/>
  <c r="AA18" i="33"/>
  <c r="Y18" i="33"/>
  <c r="C39" i="33"/>
  <c r="AB18" i="33"/>
  <c r="AC18" i="33" s="1"/>
  <c r="W18" i="33"/>
  <c r="X18" i="33" s="1"/>
  <c r="B39" i="33" s="1"/>
  <c r="I144" i="31"/>
  <c r="Y16" i="33"/>
  <c r="C37" i="33"/>
  <c r="AB16" i="33"/>
  <c r="AC16" i="33" s="1"/>
  <c r="AA16" i="33"/>
  <c r="W16" i="33"/>
  <c r="X16" i="33" s="1"/>
  <c r="B37" i="33" s="1"/>
  <c r="W133" i="31"/>
  <c r="U144" i="31"/>
  <c r="U11" i="33"/>
  <c r="O144" i="31"/>
  <c r="W132" i="31"/>
  <c r="AA13" i="33"/>
  <c r="W13" i="33"/>
  <c r="X13" i="33" s="1"/>
  <c r="B34" i="33" s="1"/>
  <c r="Y13" i="33"/>
  <c r="AB13" i="33"/>
  <c r="AC13" i="33" s="1"/>
  <c r="C34" i="33"/>
  <c r="G11" i="33"/>
  <c r="AA3" i="31"/>
  <c r="W3" i="31" s="1"/>
  <c r="W30" i="31" s="1"/>
  <c r="X30" i="31" s="1"/>
  <c r="K144" i="31"/>
  <c r="K10" i="33"/>
  <c r="K7" i="33"/>
  <c r="I7" i="33"/>
  <c r="I10" i="33"/>
  <c r="AA24" i="31"/>
  <c r="W24" i="31" s="1"/>
  <c r="W44" i="31" s="1"/>
  <c r="X44" i="31" s="1"/>
  <c r="AA23" i="33"/>
  <c r="W23" i="33"/>
  <c r="X23" i="33" s="1"/>
  <c r="B44" i="33" s="1"/>
  <c r="Y23" i="33"/>
  <c r="AB23" i="33"/>
  <c r="AC23" i="33" s="1"/>
  <c r="C44" i="33"/>
  <c r="Y19" i="33"/>
  <c r="W19" i="33"/>
  <c r="X19" i="33" s="1"/>
  <c r="B40" i="33" s="1"/>
  <c r="C40" i="33"/>
  <c r="AB19" i="33"/>
  <c r="AC19" i="33" s="1"/>
  <c r="AA19" i="33"/>
  <c r="T144" i="31"/>
  <c r="Q7" i="33"/>
  <c r="Q10" i="33"/>
  <c r="F10" i="33"/>
  <c r="F7" i="33"/>
  <c r="S144" i="31"/>
  <c r="W139" i="31"/>
  <c r="W135" i="31"/>
  <c r="AA15" i="31"/>
  <c r="W15" i="31" s="1"/>
  <c r="W35" i="31" s="1"/>
  <c r="X35" i="31" s="1"/>
  <c r="AA5" i="31"/>
  <c r="W5" i="31" s="1"/>
  <c r="W32" i="31" s="1"/>
  <c r="X32" i="31" s="1"/>
  <c r="M144" i="31"/>
  <c r="M11" i="33"/>
  <c r="AA16" i="31"/>
  <c r="W16" i="31" s="1"/>
  <c r="W36" i="31" s="1"/>
  <c r="X36" i="31" s="1"/>
  <c r="Q144" i="31"/>
  <c r="T10" i="33"/>
  <c r="T7" i="33"/>
  <c r="I11" i="33"/>
  <c r="W140" i="31"/>
  <c r="N10" i="33"/>
  <c r="N7" i="33"/>
  <c r="D144" i="31"/>
  <c r="C28" i="33"/>
  <c r="W3" i="33"/>
  <c r="X3" i="33" s="1"/>
  <c r="B28" i="33" s="1"/>
  <c r="AA3" i="33"/>
  <c r="X25" i="33"/>
  <c r="Y3" i="33"/>
  <c r="AB3" i="33"/>
  <c r="AC3" i="33" s="1"/>
  <c r="E7" i="33"/>
  <c r="E10" i="33"/>
  <c r="P144" i="31"/>
  <c r="S11" i="33"/>
  <c r="N144" i="31"/>
  <c r="B10" i="33"/>
  <c r="W2" i="33"/>
  <c r="X2" i="33" s="1"/>
  <c r="B27" i="33" s="1"/>
  <c r="Y2" i="33"/>
  <c r="AB2" i="33"/>
  <c r="AC2" i="33" s="1"/>
  <c r="AA2" i="33"/>
  <c r="B7" i="33"/>
  <c r="C27" i="33"/>
  <c r="W127" i="31"/>
  <c r="C144" i="31"/>
  <c r="W138" i="31"/>
  <c r="W17" i="33"/>
  <c r="X17" i="33" s="1"/>
  <c r="B38" i="33" s="1"/>
  <c r="Y17" i="33"/>
  <c r="C38" i="33"/>
  <c r="AA17" i="33"/>
  <c r="AB17" i="33"/>
  <c r="AC17" i="33" s="1"/>
  <c r="S10" i="33"/>
  <c r="S7" i="33"/>
  <c r="W129" i="31"/>
  <c r="AA4" i="33"/>
  <c r="AB4" i="33"/>
  <c r="AC4" i="33" s="1"/>
  <c r="Y4" i="33"/>
  <c r="B11" i="33"/>
  <c r="W4" i="33"/>
  <c r="X4" i="33" s="1"/>
  <c r="B29" i="33" s="1"/>
  <c r="C29" i="33"/>
  <c r="D10" i="33"/>
  <c r="D7" i="33"/>
  <c r="H10" i="33"/>
  <c r="H7" i="33"/>
  <c r="W130" i="31"/>
  <c r="W134" i="31"/>
  <c r="AA14" i="31"/>
  <c r="W14" i="31" s="1"/>
  <c r="W34" i="31" s="1"/>
  <c r="X34" i="31" s="1"/>
  <c r="C7" i="33"/>
  <c r="C10" i="33"/>
  <c r="W128" i="31"/>
  <c r="H144" i="31"/>
  <c r="J10" i="33"/>
  <c r="J7" i="33"/>
  <c r="L144" i="31"/>
  <c r="J144" i="31"/>
  <c r="M7" i="33"/>
  <c r="M10" i="33"/>
  <c r="Y2" i="31"/>
  <c r="AA2" i="31" s="1"/>
  <c r="W2" i="31" s="1"/>
  <c r="W29" i="31" s="1"/>
  <c r="X29" i="31" s="1"/>
  <c r="C61" i="31"/>
  <c r="AA20" i="31"/>
  <c r="W20" i="31" s="1"/>
  <c r="W40" i="31" s="1"/>
  <c r="X40" i="31" s="1"/>
  <c r="W136" i="31"/>
  <c r="AA22" i="33"/>
  <c r="AB22" i="33"/>
  <c r="AC22" i="33" s="1"/>
  <c r="Y22" i="33"/>
  <c r="C43" i="33"/>
  <c r="W22" i="33"/>
  <c r="X22" i="33" s="1"/>
  <c r="B43" i="33" s="1"/>
  <c r="R7" i="33"/>
  <c r="R10" i="33"/>
  <c r="E144" i="31"/>
  <c r="AA20" i="33"/>
  <c r="W20" i="33"/>
  <c r="X20" i="33" s="1"/>
  <c r="B41" i="33" s="1"/>
  <c r="C41" i="33"/>
  <c r="AB20" i="33"/>
  <c r="AC20" i="33" s="1"/>
  <c r="Y20" i="33"/>
  <c r="W137" i="31"/>
  <c r="AB14" i="33"/>
  <c r="AC14" i="33" s="1"/>
  <c r="AA14" i="33"/>
  <c r="C35" i="33"/>
  <c r="W14" i="33"/>
  <c r="X14" i="33" s="1"/>
  <c r="B35" i="33" s="1"/>
  <c r="Y14" i="33"/>
  <c r="W5" i="33"/>
  <c r="X5" i="33" s="1"/>
  <c r="B30" i="33" s="1"/>
  <c r="AA5" i="33"/>
  <c r="Y5" i="33"/>
  <c r="C30" i="33"/>
  <c r="AB5" i="33"/>
  <c r="AC5" i="33" s="1"/>
  <c r="L7" i="33"/>
  <c r="L10" i="33"/>
  <c r="AB15" i="33"/>
  <c r="AC15" i="33" s="1"/>
  <c r="C36" i="33"/>
  <c r="Y15" i="33"/>
  <c r="AA15" i="33"/>
  <c r="W15" i="33"/>
  <c r="X15" i="33" s="1"/>
  <c r="B36" i="33" s="1"/>
  <c r="P10" i="33"/>
  <c r="P7" i="33"/>
  <c r="AB21" i="33"/>
  <c r="AC21" i="33" s="1"/>
  <c r="W21" i="33"/>
  <c r="X21" i="33" s="1"/>
  <c r="B42" i="33" s="1"/>
  <c r="C42" i="33"/>
  <c r="Y21" i="33"/>
  <c r="AA21" i="33"/>
  <c r="G10" i="33"/>
  <c r="G7" i="33"/>
  <c r="K11" i="33"/>
  <c r="F144" i="31"/>
  <c r="O11" i="33"/>
  <c r="W142" i="31"/>
  <c r="O10" i="33"/>
  <c r="O7" i="33"/>
  <c r="AA18" i="31"/>
  <c r="W18" i="31" s="1"/>
  <c r="W38" i="31" s="1"/>
  <c r="X38" i="31" s="1"/>
  <c r="R144" i="31"/>
  <c r="O8" i="33" l="1"/>
  <c r="Z14" i="33"/>
  <c r="D35" i="33"/>
  <c r="Q35" i="33" s="1"/>
  <c r="Z22" i="33"/>
  <c r="D43" i="33"/>
  <c r="Q43" i="33" s="1"/>
  <c r="M8" i="33"/>
  <c r="C8" i="33"/>
  <c r="H8" i="33"/>
  <c r="Z17" i="33"/>
  <c r="D38" i="33"/>
  <c r="Q38" i="33" s="1"/>
  <c r="G148" i="31"/>
  <c r="G147" i="31"/>
  <c r="G149" i="31"/>
  <c r="E8" i="33"/>
  <c r="AE3" i="33"/>
  <c r="AD3" i="33"/>
  <c r="AF3" i="33"/>
  <c r="N8" i="33"/>
  <c r="T8" i="33"/>
  <c r="AE19" i="33"/>
  <c r="AD19" i="33"/>
  <c r="AF19" i="33"/>
  <c r="Z19" i="33"/>
  <c r="D40" i="33"/>
  <c r="Q40" i="33" s="1"/>
  <c r="I8" i="33"/>
  <c r="D34" i="33"/>
  <c r="Q34" i="33" s="1"/>
  <c r="Z13" i="33"/>
  <c r="D37" i="33"/>
  <c r="Q37" i="33" s="1"/>
  <c r="Z16" i="33"/>
  <c r="AE21" i="33"/>
  <c r="AD21" i="33"/>
  <c r="AF21" i="33"/>
  <c r="D30" i="33"/>
  <c r="Q30" i="33" s="1"/>
  <c r="Z5" i="33"/>
  <c r="R8" i="33"/>
  <c r="AD4" i="33"/>
  <c r="AE4" i="33"/>
  <c r="AF4" i="33"/>
  <c r="T29" i="33"/>
  <c r="T26" i="33"/>
  <c r="C32" i="33"/>
  <c r="Z2" i="33"/>
  <c r="D27" i="33"/>
  <c r="Q27" i="33" s="1"/>
  <c r="AE23" i="33"/>
  <c r="AD23" i="33"/>
  <c r="AF23" i="33"/>
  <c r="K8" i="33"/>
  <c r="AE16" i="33"/>
  <c r="AF16" i="33"/>
  <c r="AD16" i="33"/>
  <c r="Z18" i="33"/>
  <c r="D39" i="33"/>
  <c r="Q39" i="33" s="1"/>
  <c r="P8" i="33"/>
  <c r="D36" i="33"/>
  <c r="Q36" i="33" s="1"/>
  <c r="Z15" i="33"/>
  <c r="L8" i="33"/>
  <c r="AE5" i="33"/>
  <c r="AD5" i="33"/>
  <c r="AF5" i="33"/>
  <c r="D41" i="33"/>
  <c r="Q41" i="33" s="1"/>
  <c r="Z20" i="33"/>
  <c r="AE20" i="33"/>
  <c r="AD20" i="33"/>
  <c r="AF20" i="33"/>
  <c r="AE22" i="33"/>
  <c r="AF22" i="33"/>
  <c r="AD22" i="33"/>
  <c r="D8" i="33"/>
  <c r="AE17" i="33"/>
  <c r="AF17" i="33"/>
  <c r="AD17" i="33"/>
  <c r="W7" i="33"/>
  <c r="X7" i="33" s="1"/>
  <c r="Y7" i="33"/>
  <c r="AA7" i="33"/>
  <c r="AB7" i="33"/>
  <c r="AC7" i="33" s="1"/>
  <c r="B8" i="33"/>
  <c r="B32" i="33"/>
  <c r="Z3" i="33"/>
  <c r="D28" i="33"/>
  <c r="Q28" i="33" s="1"/>
  <c r="E57" i="33"/>
  <c r="G57" i="33" s="1"/>
  <c r="Q8" i="33"/>
  <c r="T27" i="33"/>
  <c r="E60" i="33"/>
  <c r="G60" i="33" s="1"/>
  <c r="T30" i="33" a="1"/>
  <c r="T30" i="33" s="1"/>
  <c r="AE13" i="33"/>
  <c r="AF13" i="33"/>
  <c r="AD13" i="33"/>
  <c r="AD18" i="33"/>
  <c r="AE18" i="33"/>
  <c r="AF18" i="33"/>
  <c r="U8" i="33"/>
  <c r="AE15" i="33"/>
  <c r="AD15" i="33"/>
  <c r="AF15" i="33"/>
  <c r="D42" i="33"/>
  <c r="Q42" i="33" s="1"/>
  <c r="Z21" i="33"/>
  <c r="G8" i="33"/>
  <c r="AF14" i="33"/>
  <c r="AD14" i="33"/>
  <c r="AE14" i="33"/>
  <c r="J8" i="33"/>
  <c r="Z4" i="33"/>
  <c r="D29" i="33"/>
  <c r="Q29" i="33" s="1"/>
  <c r="S8" i="33"/>
  <c r="C147" i="31"/>
  <c r="C148" i="31"/>
  <c r="AE2" i="33"/>
  <c r="AD2" i="33"/>
  <c r="AF2" i="33"/>
  <c r="AG17" i="33"/>
  <c r="AG13" i="33"/>
  <c r="AG2" i="33"/>
  <c r="AG20" i="33"/>
  <c r="AG16" i="33"/>
  <c r="AG23" i="33"/>
  <c r="AG3" i="33"/>
  <c r="AG7" i="33"/>
  <c r="AG15" i="33"/>
  <c r="AG18" i="33"/>
  <c r="AG19" i="33"/>
  <c r="AG21" i="33"/>
  <c r="AG22" i="33"/>
  <c r="AG14" i="33"/>
  <c r="AG5" i="33"/>
  <c r="AG4" i="33"/>
  <c r="F8" i="33"/>
  <c r="D44" i="33"/>
  <c r="Q44" i="33" s="1"/>
  <c r="Z23" i="33"/>
  <c r="AH14" i="33" l="1"/>
  <c r="AI14" i="33" s="1"/>
  <c r="AJ14" i="33" s="1"/>
  <c r="F35" i="33" s="1"/>
  <c r="M35" i="33" s="1"/>
  <c r="N35" i="33" s="1"/>
  <c r="E49" i="33"/>
  <c r="G49" i="33" s="1"/>
  <c r="Z7" i="33"/>
  <c r="AH15" i="33"/>
  <c r="AI15" i="33" s="1"/>
  <c r="AJ15" i="33" s="1"/>
  <c r="F36" i="33" s="1"/>
  <c r="AH18" i="33"/>
  <c r="AI18" i="33" s="1"/>
  <c r="AJ18" i="33" s="1"/>
  <c r="F39" i="33" s="1"/>
  <c r="AH13" i="33"/>
  <c r="AI13" i="33" s="1"/>
  <c r="AJ13" i="33" s="1"/>
  <c r="F34" i="33" s="1"/>
  <c r="G28" i="33"/>
  <c r="V3" i="33"/>
  <c r="AE7" i="33"/>
  <c r="AD7" i="33"/>
  <c r="AF7" i="33"/>
  <c r="AH7" i="33" s="1"/>
  <c r="AI7" i="33" s="1"/>
  <c r="AH17" i="33"/>
  <c r="AI17" i="33" s="1"/>
  <c r="AJ17" i="33" s="1"/>
  <c r="F38" i="33" s="1"/>
  <c r="AH22" i="33"/>
  <c r="AI22" i="33" s="1"/>
  <c r="AJ22" i="33" s="1"/>
  <c r="F43" i="33" s="1"/>
  <c r="AH23" i="33"/>
  <c r="AI23" i="33" s="1"/>
  <c r="AJ23" i="33" s="1"/>
  <c r="F44" i="33" s="1"/>
  <c r="G27" i="33"/>
  <c r="V2" i="33"/>
  <c r="V13" i="33"/>
  <c r="G34" i="33"/>
  <c r="G40" i="33"/>
  <c r="V19" i="33"/>
  <c r="E59" i="33"/>
  <c r="G59" i="33" s="1"/>
  <c r="V4" i="33"/>
  <c r="G29" i="33"/>
  <c r="AH2" i="33"/>
  <c r="AI2" i="33" s="1"/>
  <c r="AJ2" i="33" s="1"/>
  <c r="F27" i="33" s="1"/>
  <c r="V20" i="33"/>
  <c r="G41" i="33"/>
  <c r="AH16" i="33"/>
  <c r="AI16" i="33" s="1"/>
  <c r="AJ16" i="33" s="1"/>
  <c r="F37" i="33" s="1"/>
  <c r="AH4" i="33"/>
  <c r="AI4" i="33" s="1"/>
  <c r="AJ4" i="33" s="1"/>
  <c r="F29" i="33" s="1"/>
  <c r="V5" i="33"/>
  <c r="G30" i="33"/>
  <c r="AH19" i="33"/>
  <c r="AI19" i="33" s="1"/>
  <c r="AJ19" i="33" s="1"/>
  <c r="F40" i="33" s="1"/>
  <c r="G43" i="33"/>
  <c r="V22" i="33"/>
  <c r="AH20" i="33"/>
  <c r="AI20" i="33" s="1"/>
  <c r="AJ20" i="33" s="1"/>
  <c r="F41" i="33" s="1"/>
  <c r="G37" i="33"/>
  <c r="V16" i="33"/>
  <c r="AH3" i="33"/>
  <c r="AI3" i="33" s="1"/>
  <c r="AJ3" i="33" s="1"/>
  <c r="F28" i="33" s="1"/>
  <c r="V17" i="33"/>
  <c r="G38" i="33"/>
  <c r="G44" i="33"/>
  <c r="V23" i="33"/>
  <c r="G42" i="33"/>
  <c r="V21" i="33"/>
  <c r="AH5" i="33"/>
  <c r="AI5" i="33" s="1"/>
  <c r="AJ5" i="33" s="1"/>
  <c r="F30" i="33" s="1"/>
  <c r="V15" i="33"/>
  <c r="G36" i="33"/>
  <c r="V18" i="33"/>
  <c r="G39" i="33"/>
  <c r="D32" i="33"/>
  <c r="E47" i="33" s="1"/>
  <c r="G47" i="33" s="1"/>
  <c r="E56" i="33"/>
  <c r="G56" i="33" s="1"/>
  <c r="AH21" i="33"/>
  <c r="AI21" i="33" s="1"/>
  <c r="AJ21" i="33" s="1"/>
  <c r="F42" i="33" s="1"/>
  <c r="V14" i="33"/>
  <c r="G35" i="33"/>
  <c r="L35" i="33" l="1"/>
  <c r="O35" i="33" s="1"/>
  <c r="AJ7" i="33"/>
  <c r="E51" i="33"/>
  <c r="G51" i="33" s="1"/>
  <c r="E54" i="33"/>
  <c r="G54" i="33" s="1"/>
  <c r="E50" i="33"/>
  <c r="G50" i="33" s="1"/>
  <c r="L42" i="33"/>
  <c r="M42" i="33"/>
  <c r="N42" i="33" s="1"/>
  <c r="L29" i="33"/>
  <c r="M29" i="33"/>
  <c r="N29" i="33" s="1"/>
  <c r="L30" i="33"/>
  <c r="M30" i="33"/>
  <c r="N30" i="33" s="1"/>
  <c r="L27" i="33"/>
  <c r="E48" i="33"/>
  <c r="G48" i="33" s="1"/>
  <c r="E53" i="33"/>
  <c r="G53" i="33" s="1"/>
  <c r="M27" i="33"/>
  <c r="N27" i="33" s="1"/>
  <c r="M43" i="33"/>
  <c r="N43" i="33" s="1"/>
  <c r="L43" i="33"/>
  <c r="L39" i="33"/>
  <c r="M39" i="33"/>
  <c r="N39" i="33" s="1"/>
  <c r="L40" i="33"/>
  <c r="M40" i="33"/>
  <c r="N40" i="33" s="1"/>
  <c r="M37" i="33"/>
  <c r="N37" i="33" s="1"/>
  <c r="L37" i="33"/>
  <c r="M38" i="33"/>
  <c r="N38" i="33" s="1"/>
  <c r="L38" i="33"/>
  <c r="L36" i="33"/>
  <c r="M36" i="33"/>
  <c r="N36" i="33" s="1"/>
  <c r="M28" i="33"/>
  <c r="N28" i="33" s="1"/>
  <c r="L28" i="33"/>
  <c r="L41" i="33"/>
  <c r="M41" i="33"/>
  <c r="N41" i="33" s="1"/>
  <c r="M44" i="33"/>
  <c r="N44" i="33" s="1"/>
  <c r="L44" i="33"/>
  <c r="E62" i="33"/>
  <c r="G62" i="33" s="1"/>
  <c r="L34" i="33"/>
  <c r="M34" i="33"/>
  <c r="N34" i="33" s="1"/>
  <c r="E58" i="33"/>
  <c r="G58" i="33" s="1"/>
  <c r="K48" i="33" s="1"/>
  <c r="J56" i="33" s="1"/>
  <c r="Y104" i="31" s="1"/>
  <c r="P35" i="33" l="1"/>
  <c r="O38" i="33"/>
  <c r="P38" i="33"/>
  <c r="P43" i="33"/>
  <c r="O43" i="33"/>
  <c r="O40" i="33"/>
  <c r="P40" i="33"/>
  <c r="O27" i="33"/>
  <c r="P27" i="33"/>
  <c r="O29" i="33"/>
  <c r="P29" i="33"/>
  <c r="O34" i="33"/>
  <c r="P34" i="33"/>
  <c r="E52" i="33"/>
  <c r="G52" i="33" s="1"/>
  <c r="K47" i="33" s="1"/>
  <c r="J55" i="33" s="1"/>
  <c r="Y101" i="31" s="1"/>
  <c r="P28" i="33"/>
  <c r="O28" i="33"/>
  <c r="O44" i="33"/>
  <c r="P44" i="33"/>
  <c r="P41" i="33"/>
  <c r="O41" i="33"/>
  <c r="O37" i="33"/>
  <c r="P37" i="33"/>
  <c r="O36" i="33"/>
  <c r="P36" i="33"/>
  <c r="O39" i="33"/>
  <c r="P39" i="33"/>
  <c r="O30" i="33"/>
  <c r="P30" i="33"/>
  <c r="O42" i="33"/>
  <c r="P42" i="33"/>
  <c r="E64" i="33" l="1"/>
  <c r="G64" i="33" s="1"/>
  <c r="T35" i="33"/>
  <c r="T37" i="33"/>
  <c r="T34" i="33"/>
  <c r="T36" i="33"/>
  <c r="E63" i="33"/>
  <c r="G63" i="33" s="1"/>
  <c r="F63" i="33" l="1"/>
  <c r="F62" i="33"/>
  <c r="F64" i="33"/>
  <c r="K49" i="33" l="1"/>
  <c r="J57" i="33" s="1"/>
  <c r="Y107" i="31" s="1"/>
</calcChain>
</file>

<file path=xl/comments1.xml><?xml version="1.0" encoding="utf-8"?>
<comments xmlns="http://schemas.openxmlformats.org/spreadsheetml/2006/main">
  <authors>
    <author>Chetan</author>
  </authors>
  <commentList>
    <comment ref="L2" authorId="0">
      <text>
        <r>
          <rPr>
            <sz val="9"/>
            <color indexed="81"/>
            <rFont val="Tahoma"/>
            <family val="2"/>
          </rPr>
          <t xml:space="preserve">Roll-up of web tech inputs
</t>
        </r>
      </text>
    </comment>
    <comment ref="M2" authorId="0">
      <text>
        <r>
          <rPr>
            <sz val="9"/>
            <color indexed="81"/>
            <rFont val="Tahoma"/>
            <family val="2"/>
          </rPr>
          <t xml:space="preserve">Template, Taxonomy
</t>
        </r>
      </text>
    </comment>
    <comment ref="O2" authorId="0">
      <text>
        <r>
          <rPr>
            <sz val="9"/>
            <color indexed="81"/>
            <rFont val="Tahoma"/>
            <family val="2"/>
          </rPr>
          <t xml:space="preserve">Google Page Speed Optimization Score
</t>
        </r>
      </text>
    </comment>
    <comment ref="P2" authorId="0">
      <text>
        <r>
          <rPr>
            <sz val="9"/>
            <color indexed="81"/>
            <rFont val="Tahoma"/>
            <family val="2"/>
          </rPr>
          <t xml:space="preserve">Google Page Speed FCP&amp;DCL Score = Fast/Green%+(.5)Average/Orange%
</t>
        </r>
      </text>
    </comment>
    <comment ref="Q2" authorId="0">
      <text>
        <r>
          <rPr>
            <sz val="9"/>
            <color indexed="81"/>
            <rFont val="Tahoma"/>
            <family val="2"/>
          </rPr>
          <t xml:space="preserve">Google Page Speed FCP&amp;DCL Score = Fast/Green%+(.5)Average/Orange%
</t>
        </r>
      </text>
    </comment>
    <comment ref="R2" authorId="0">
      <text>
        <r>
          <rPr>
            <sz val="9"/>
            <color indexed="81"/>
            <rFont val="Tahoma"/>
            <family val="2"/>
          </rPr>
          <t>Roll-up of mobile tech inputs</t>
        </r>
        <r>
          <rPr>
            <sz val="9"/>
            <color indexed="81"/>
            <rFont val="Tahoma"/>
            <family val="2"/>
          </rPr>
          <t xml:space="preserve">
</t>
        </r>
      </text>
    </comment>
    <comment ref="S2" authorId="0">
      <text>
        <r>
          <rPr>
            <sz val="9"/>
            <color indexed="81"/>
            <rFont val="Tahoma"/>
            <family val="2"/>
          </rPr>
          <t xml:space="preserve">Mobile UX and Funtionality
</t>
        </r>
      </text>
    </comment>
    <comment ref="T2" authorId="0">
      <text>
        <r>
          <rPr>
            <sz val="9"/>
            <color indexed="81"/>
            <rFont val="Tahoma"/>
            <family val="2"/>
          </rPr>
          <t xml:space="preserve">Search Constructs (Tags, URLs)
</t>
        </r>
      </text>
    </comment>
    <comment ref="U2" authorId="0">
      <text>
        <r>
          <rPr>
            <sz val="9"/>
            <color indexed="81"/>
            <rFont val="Tahoma"/>
            <family val="2"/>
          </rPr>
          <t xml:space="preserve">Search Content - the depth, breadth and quality of text content on the site that can be crawled by search engines
</t>
        </r>
      </text>
    </comment>
  </commentList>
</comments>
</file>

<file path=xl/comments2.xml><?xml version="1.0" encoding="utf-8"?>
<comments xmlns="http://schemas.openxmlformats.org/spreadsheetml/2006/main">
  <authors>
    <author>Dejvis</author>
  </authors>
  <commentList>
    <comment ref="B49" authorId="0">
      <text>
        <r>
          <rPr>
            <b/>
            <sz val="9"/>
            <color indexed="81"/>
            <rFont val="Tahoma"/>
            <family val="2"/>
          </rPr>
          <t>Dejvis:</t>
        </r>
        <r>
          <rPr>
            <sz val="9"/>
            <color indexed="81"/>
            <rFont val="Tahoma"/>
            <family val="2"/>
          </rPr>
          <t xml:space="preserve">
Highest recorded - E-Commerce Functionality Conversion</t>
        </r>
      </text>
    </comment>
    <comment ref="H49" authorId="0">
      <text>
        <r>
          <rPr>
            <b/>
            <sz val="9"/>
            <color indexed="81"/>
            <rFont val="Tahoma"/>
            <family val="2"/>
          </rPr>
          <t>Dejvis:</t>
        </r>
        <r>
          <rPr>
            <sz val="9"/>
            <color indexed="81"/>
            <rFont val="Tahoma"/>
            <family val="2"/>
          </rPr>
          <t xml:space="preserve">
Highest recorded - User Reg. Conversion</t>
        </r>
      </text>
    </comment>
    <comment ref="H63" authorId="0">
      <text>
        <r>
          <rPr>
            <b/>
            <sz val="9"/>
            <color indexed="81"/>
            <rFont val="Tahoma"/>
            <family val="2"/>
          </rPr>
          <t>Dejvis:</t>
        </r>
        <r>
          <rPr>
            <sz val="9"/>
            <color indexed="81"/>
            <rFont val="Tahoma"/>
            <family val="2"/>
          </rPr>
          <t xml:space="preserve">
This needs to be rescored, if using all Salesforce.com scores please re-score Social Media!!!!!!!!!!!!</t>
        </r>
      </text>
    </comment>
  </commentList>
</comments>
</file>

<file path=xl/comments3.xml><?xml version="1.0" encoding="utf-8"?>
<comments xmlns="http://schemas.openxmlformats.org/spreadsheetml/2006/main">
  <authors>
    <author>Dejvis</author>
  </authors>
  <commentList>
    <comment ref="K1616" authorId="0">
      <text>
        <r>
          <rPr>
            <b/>
            <sz val="9"/>
            <color indexed="81"/>
            <rFont val="Tahoma"/>
            <family val="2"/>
          </rPr>
          <t>Dejvis:
Company score here doesn't match projects xls</t>
        </r>
      </text>
    </comment>
    <comment ref="K1617" authorId="0">
      <text>
        <r>
          <rPr>
            <b/>
            <sz val="9"/>
            <color indexed="81"/>
            <rFont val="Tahoma"/>
            <family val="2"/>
          </rPr>
          <t>Dejvis:</t>
        </r>
        <r>
          <rPr>
            <sz val="9"/>
            <color indexed="81"/>
            <rFont val="Tahoma"/>
            <family val="2"/>
          </rPr>
          <t xml:space="preserve">
Company score here doesn't match projects xls</t>
        </r>
      </text>
    </comment>
    <comment ref="K1618" authorId="0">
      <text>
        <r>
          <rPr>
            <b/>
            <sz val="9"/>
            <color indexed="81"/>
            <rFont val="Tahoma"/>
            <family val="2"/>
          </rPr>
          <t>Dejvis:</t>
        </r>
        <r>
          <rPr>
            <sz val="9"/>
            <color indexed="81"/>
            <rFont val="Tahoma"/>
            <family val="2"/>
          </rPr>
          <t xml:space="preserve">
Company score here doesn't match projects xls</t>
        </r>
      </text>
    </comment>
    <comment ref="K1619" authorId="0">
      <text>
        <r>
          <rPr>
            <b/>
            <sz val="9"/>
            <color indexed="81"/>
            <rFont val="Tahoma"/>
            <family val="2"/>
          </rPr>
          <t>Dejvis:</t>
        </r>
        <r>
          <rPr>
            <sz val="9"/>
            <color indexed="81"/>
            <rFont val="Tahoma"/>
            <family val="2"/>
          </rPr>
          <t xml:space="preserve">
Company score here doesn't match projects xls</t>
        </r>
      </text>
    </comment>
    <comment ref="K1620" authorId="0">
      <text>
        <r>
          <rPr>
            <b/>
            <sz val="9"/>
            <color indexed="81"/>
            <rFont val="Tahoma"/>
            <family val="2"/>
          </rPr>
          <t>Dejvis:</t>
        </r>
        <r>
          <rPr>
            <sz val="9"/>
            <color indexed="81"/>
            <rFont val="Tahoma"/>
            <family val="2"/>
          </rPr>
          <t xml:space="preserve">
Company score here doesn't match projects xls</t>
        </r>
      </text>
    </comment>
    <comment ref="K1642" authorId="0">
      <text>
        <r>
          <rPr>
            <b/>
            <sz val="9"/>
            <color indexed="81"/>
            <rFont val="Tahoma"/>
            <family val="2"/>
          </rPr>
          <t>Dejvis:</t>
        </r>
        <r>
          <rPr>
            <sz val="9"/>
            <color indexed="81"/>
            <rFont val="Tahoma"/>
            <family val="2"/>
          </rPr>
          <t xml:space="preserve">
E-referral was off</t>
        </r>
      </text>
    </comment>
    <comment ref="K1644" authorId="0">
      <text>
        <r>
          <rPr>
            <b/>
            <sz val="9"/>
            <color indexed="81"/>
            <rFont val="Tahoma"/>
            <family val="2"/>
          </rPr>
          <t>Dejvis:</t>
        </r>
        <r>
          <rPr>
            <sz val="9"/>
            <color indexed="81"/>
            <rFont val="Tahoma"/>
            <family val="2"/>
          </rPr>
          <t xml:space="preserve">
E-referral was off</t>
        </r>
      </text>
    </comment>
    <comment ref="K1646" authorId="0">
      <text>
        <r>
          <rPr>
            <b/>
            <sz val="9"/>
            <color indexed="81"/>
            <rFont val="Tahoma"/>
            <family val="2"/>
          </rPr>
          <t>Dejvis:</t>
        </r>
        <r>
          <rPr>
            <sz val="9"/>
            <color indexed="81"/>
            <rFont val="Tahoma"/>
            <family val="2"/>
          </rPr>
          <t xml:space="preserve">
E-referral was off</t>
        </r>
      </text>
    </comment>
    <comment ref="K1648" authorId="0">
      <text>
        <r>
          <rPr>
            <b/>
            <sz val="9"/>
            <color indexed="81"/>
            <rFont val="Tahoma"/>
            <family val="2"/>
          </rPr>
          <t>Dejvis:</t>
        </r>
        <r>
          <rPr>
            <sz val="9"/>
            <color indexed="81"/>
            <rFont val="Tahoma"/>
            <family val="2"/>
          </rPr>
          <t xml:space="preserve">
E-referral was off</t>
        </r>
      </text>
    </comment>
    <comment ref="K1650" authorId="0">
      <text>
        <r>
          <rPr>
            <b/>
            <sz val="9"/>
            <color indexed="81"/>
            <rFont val="Tahoma"/>
            <family val="2"/>
          </rPr>
          <t>Dejvis:</t>
        </r>
        <r>
          <rPr>
            <sz val="9"/>
            <color indexed="81"/>
            <rFont val="Tahoma"/>
            <family val="2"/>
          </rPr>
          <t xml:space="preserve">
E-referral was off</t>
        </r>
      </text>
    </comment>
    <comment ref="K1652" authorId="0">
      <text>
        <r>
          <rPr>
            <b/>
            <sz val="9"/>
            <color indexed="81"/>
            <rFont val="Tahoma"/>
            <family val="2"/>
          </rPr>
          <t>Dejvis:</t>
        </r>
        <r>
          <rPr>
            <sz val="9"/>
            <color indexed="81"/>
            <rFont val="Tahoma"/>
            <family val="2"/>
          </rPr>
          <t xml:space="preserve">
E-referral was off</t>
        </r>
      </text>
    </comment>
    <comment ref="D2283" authorId="0">
      <text>
        <r>
          <rPr>
            <b/>
            <sz val="9"/>
            <color indexed="81"/>
            <rFont val="Tahoma"/>
            <family val="2"/>
          </rPr>
          <t>Dejvis:</t>
        </r>
        <r>
          <rPr>
            <sz val="9"/>
            <color indexed="81"/>
            <rFont val="Tahoma"/>
            <family val="2"/>
          </rPr>
          <t xml:space="preserve">
On Hold / not delivered
</t>
        </r>
      </text>
    </comment>
    <comment ref="D2284" authorId="0">
      <text>
        <r>
          <rPr>
            <b/>
            <sz val="9"/>
            <color indexed="81"/>
            <rFont val="Tahoma"/>
            <family val="2"/>
          </rPr>
          <t>Dejvis:</t>
        </r>
        <r>
          <rPr>
            <sz val="9"/>
            <color indexed="81"/>
            <rFont val="Tahoma"/>
            <family val="2"/>
          </rPr>
          <t xml:space="preserve">
On Hold / not delivered
</t>
        </r>
      </text>
    </comment>
    <comment ref="D2285" authorId="0">
      <text>
        <r>
          <rPr>
            <b/>
            <sz val="9"/>
            <color indexed="81"/>
            <rFont val="Tahoma"/>
            <family val="2"/>
          </rPr>
          <t>Dejvis:</t>
        </r>
        <r>
          <rPr>
            <sz val="9"/>
            <color indexed="81"/>
            <rFont val="Tahoma"/>
            <family val="2"/>
          </rPr>
          <t xml:space="preserve">
On Hold / not delivered
</t>
        </r>
      </text>
    </comment>
    <comment ref="D2286" authorId="0">
      <text>
        <r>
          <rPr>
            <b/>
            <sz val="9"/>
            <color indexed="81"/>
            <rFont val="Tahoma"/>
            <family val="2"/>
          </rPr>
          <t>Dejvis:</t>
        </r>
        <r>
          <rPr>
            <sz val="9"/>
            <color indexed="81"/>
            <rFont val="Tahoma"/>
            <family val="2"/>
          </rPr>
          <t xml:space="preserve">
On Hold / not delivered
</t>
        </r>
      </text>
    </comment>
    <comment ref="D2287" authorId="0">
      <text>
        <r>
          <rPr>
            <b/>
            <sz val="9"/>
            <color indexed="81"/>
            <rFont val="Tahoma"/>
            <family val="2"/>
          </rPr>
          <t>Dejvis:</t>
        </r>
        <r>
          <rPr>
            <sz val="9"/>
            <color indexed="81"/>
            <rFont val="Tahoma"/>
            <family val="2"/>
          </rPr>
          <t xml:space="preserve">
On Hold / not delivered
</t>
        </r>
      </text>
    </comment>
  </commentList>
</comments>
</file>

<file path=xl/comments4.xml><?xml version="1.0" encoding="utf-8"?>
<comments xmlns="http://schemas.openxmlformats.org/spreadsheetml/2006/main">
  <authors>
    <author>Chetan</author>
  </authors>
  <commentList>
    <comment ref="B12" authorId="0">
      <text>
        <r>
          <rPr>
            <sz val="9"/>
            <color indexed="81"/>
            <rFont val="Tahoma"/>
            <family val="2"/>
          </rPr>
          <t>Topic relevance, mechanical structure</t>
        </r>
      </text>
    </comment>
    <comment ref="B13" authorId="0">
      <text>
        <r>
          <rPr>
            <sz val="9"/>
            <color indexed="81"/>
            <rFont val="Tahoma"/>
            <family val="2"/>
          </rPr>
          <t>Topic relevance, mechanical structure</t>
        </r>
      </text>
    </comment>
    <comment ref="B14" authorId="0">
      <text>
        <r>
          <rPr>
            <sz val="9"/>
            <color indexed="81"/>
            <rFont val="Tahoma"/>
            <family val="2"/>
          </rPr>
          <t>Topic relevance, mechanical structure</t>
        </r>
      </text>
    </comment>
    <comment ref="B15" authorId="0">
      <text>
        <r>
          <rPr>
            <sz val="9"/>
            <color indexed="81"/>
            <rFont val="Tahoma"/>
            <family val="2"/>
          </rPr>
          <t xml:space="preserve">Primary: Topic relevance, # of levels (under 3 is good)
Secondary: No dynamic characters, no repeat keywords
</t>
        </r>
      </text>
    </comment>
    <comment ref="B16" authorId="0">
      <text>
        <r>
          <rPr>
            <sz val="9"/>
            <color indexed="81"/>
            <rFont val="Tahoma"/>
            <family val="2"/>
          </rPr>
          <t>site/robots.txt or site/sitemap.xml</t>
        </r>
        <r>
          <rPr>
            <sz val="9"/>
            <color indexed="81"/>
            <rFont val="Tahoma"/>
            <family val="2"/>
          </rPr>
          <t xml:space="preserve">
</t>
        </r>
      </text>
    </comment>
    <comment ref="B18" authorId="0">
      <text>
        <r>
          <rPr>
            <sz val="9"/>
            <color indexed="81"/>
            <rFont val="Tahoma"/>
            <family val="2"/>
          </rPr>
          <t xml:space="preserve">Test here: http://www.seoreviewtools.com/bulk-seomoz-authority-checker/
</t>
        </r>
      </text>
    </comment>
    <comment ref="B19" authorId="0">
      <text>
        <r>
          <rPr>
            <sz val="9"/>
            <color indexed="81"/>
            <rFont val="Tahoma"/>
            <family val="2"/>
          </rPr>
          <t>Product / Category Quick Links - Existence, Clarity, Merchandising
For E-Comm: Suggeted Products</t>
        </r>
      </text>
    </comment>
    <comment ref="B21" authorId="0">
      <text>
        <r>
          <rPr>
            <sz val="9"/>
            <color indexed="81"/>
            <rFont val="Tahoma"/>
            <family val="2"/>
          </rPr>
          <t>Depth, Breadth, Relevance, Benefit Orientation, Sizzle (e.g., verb based)</t>
        </r>
      </text>
    </comment>
    <comment ref="B39" authorId="0">
      <text>
        <r>
          <rPr>
            <sz val="9"/>
            <color indexed="81"/>
            <rFont val="Tahoma"/>
            <family val="2"/>
          </rPr>
          <t xml:space="preserve">Usability, Merchandising, Desktop functionality consistency
</t>
        </r>
      </text>
    </comment>
    <comment ref="B40" authorId="0">
      <text>
        <r>
          <rPr>
            <sz val="9"/>
            <color indexed="81"/>
            <rFont val="Tahoma"/>
            <family val="2"/>
          </rPr>
          <t>Usability, Desktop Consistency, Merchandising</t>
        </r>
        <r>
          <rPr>
            <sz val="9"/>
            <color indexed="81"/>
            <rFont val="Tahoma"/>
            <family val="2"/>
          </rPr>
          <t xml:space="preserve">
</t>
        </r>
      </text>
    </comment>
    <comment ref="B41" authorId="0">
      <text>
        <r>
          <rPr>
            <sz val="9"/>
            <color indexed="81"/>
            <rFont val="Tahoma"/>
            <family val="2"/>
          </rPr>
          <t xml:space="preserve">Usability, Desktop Consistency, Merchandising
</t>
        </r>
      </text>
    </comment>
    <comment ref="B42" authorId="0">
      <text>
        <r>
          <rPr>
            <sz val="9"/>
            <color indexed="81"/>
            <rFont val="Tahoma"/>
            <family val="2"/>
          </rPr>
          <t>Usability, Desktop Consistency, Merchandising</t>
        </r>
      </text>
    </comment>
    <comment ref="B43" authorId="0">
      <text>
        <r>
          <rPr>
            <sz val="9"/>
            <color indexed="81"/>
            <rFont val="Tahoma"/>
            <family val="2"/>
          </rPr>
          <t xml:space="preserve">Usability, Desktop Consistency, Merchandising
</t>
        </r>
      </text>
    </comment>
    <comment ref="B45"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6"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7"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8" authorId="0">
      <text>
        <r>
          <rPr>
            <b/>
            <sz val="9"/>
            <color indexed="81"/>
            <rFont val="Tahoma"/>
            <family val="2"/>
          </rPr>
          <t>Test Here:</t>
        </r>
        <r>
          <rPr>
            <sz val="9"/>
            <color indexed="81"/>
            <rFont val="Tahoma"/>
            <family val="2"/>
          </rPr>
          <t xml:space="preserve"> https://search.google.com/search-console/mobile-friendly?utm_source=psi&amp;utm_medium=link&amp;utm_campaign=psi-ux-banner&amp;hl=en-US</t>
        </r>
      </text>
    </comment>
    <comment ref="B59" authorId="0">
      <text>
        <r>
          <rPr>
            <sz val="9"/>
            <color indexed="81"/>
            <rFont val="Tahoma"/>
            <family val="2"/>
          </rPr>
          <t>Video Quantity/Currency/Frequency; Video Constructs (Title, Description); Video Integration (Links from Video to site, account to account); Misc Capabilties</t>
        </r>
      </text>
    </comment>
    <comment ref="B60" authorId="0">
      <text>
        <r>
          <rPr>
            <sz val="9"/>
            <color indexed="81"/>
            <rFont val="Tahoma"/>
            <family val="2"/>
          </rPr>
          <t>Post Quantity/Currency/Frequency; Post Constructs (Title, Description); Integration (with other social accounts); *Misc Capabilties; General Deployment</t>
        </r>
      </text>
    </comment>
    <comment ref="B61" authorId="0">
      <text>
        <r>
          <rPr>
            <sz val="9"/>
            <color indexed="81"/>
            <rFont val="Tahoma"/>
            <family val="2"/>
          </rPr>
          <t>Post Quantity/Currency/Frequency; Links to main site; General Deployment</t>
        </r>
      </text>
    </comment>
    <comment ref="B62" authorId="0">
      <text>
        <r>
          <rPr>
            <sz val="9"/>
            <color indexed="81"/>
            <rFont val="Tahoma"/>
            <family val="2"/>
          </rPr>
          <t xml:space="preserve">Icon links, videos, twitter feeds, etc.
</t>
        </r>
      </text>
    </comment>
    <comment ref="B74" authorId="0">
      <text>
        <r>
          <rPr>
            <sz val="9"/>
            <color indexed="81"/>
            <rFont val="Tahoma"/>
            <family val="2"/>
          </rPr>
          <t>As it relates to accesibility, abandonment drivers and UX</t>
        </r>
      </text>
    </comment>
    <comment ref="B75" authorId="0">
      <text>
        <r>
          <rPr>
            <b/>
            <sz val="9"/>
            <color indexed="81"/>
            <rFont val="Tahoma"/>
            <family val="2"/>
          </rPr>
          <t xml:space="preserve">Test Here: </t>
        </r>
        <r>
          <rPr>
            <sz val="9"/>
            <color indexed="81"/>
            <rFont val="Tahoma"/>
            <family val="2"/>
          </rPr>
          <t xml:space="preserve">https://gtmetrix.com/
</t>
        </r>
      </text>
    </comment>
    <comment ref="B76" authorId="0">
      <text>
        <r>
          <rPr>
            <b/>
            <sz val="9"/>
            <color indexed="81"/>
            <rFont val="Tahoma"/>
            <family val="2"/>
          </rPr>
          <t xml:space="preserve">Test Here: </t>
        </r>
        <r>
          <rPr>
            <sz val="9"/>
            <color indexed="81"/>
            <rFont val="Tahoma"/>
            <family val="2"/>
          </rPr>
          <t xml:space="preserve">https://gtmetrix.com/
</t>
        </r>
      </text>
    </comment>
    <comment ref="B77" authorId="0">
      <text>
        <r>
          <rPr>
            <b/>
            <sz val="9"/>
            <color indexed="81"/>
            <rFont val="Tahoma"/>
            <family val="2"/>
          </rPr>
          <t xml:space="preserve">Test Here: </t>
        </r>
        <r>
          <rPr>
            <sz val="9"/>
            <color indexed="81"/>
            <rFont val="Tahoma"/>
            <family val="2"/>
          </rPr>
          <t xml:space="preserve">https://tools.pingdom.com/
</t>
        </r>
      </text>
    </comment>
    <comment ref="B90" authorId="0">
      <text>
        <r>
          <rPr>
            <sz val="9"/>
            <color indexed="81"/>
            <rFont val="Tahoma"/>
            <family val="2"/>
          </rPr>
          <t>Functionality (e.g, hover activated); Taxonomy (categorization,completeness); Usability (Promoted drill downs paths, Energy expenditure to value); Presentation; Consistency</t>
        </r>
      </text>
    </comment>
    <comment ref="B91" authorId="0">
      <text>
        <r>
          <rPr>
            <sz val="9"/>
            <color indexed="81"/>
            <rFont val="Tahoma"/>
            <family val="2"/>
          </rPr>
          <t>Presence (Prominence, ease of access, contrast size); Predictive Capabilties; Results Page (Layout, Filtering, Result Merchandising)</t>
        </r>
      </text>
    </comment>
    <comment ref="B92" authorId="0">
      <text>
        <r>
          <rPr>
            <sz val="9"/>
            <color indexed="81"/>
            <rFont val="Tahoma"/>
            <family val="2"/>
          </rPr>
          <t>E-Commerce: Sorting/Filtering, Listing Merchandising (Layout, Descriptions, Images, Misc Functionality), Pagination
Website: Drill down capabilties / paths</t>
        </r>
      </text>
    </comment>
    <comment ref="B94" authorId="0">
      <text>
        <r>
          <rPr>
            <sz val="9"/>
            <color indexed="81"/>
            <rFont val="Tahoma"/>
            <family val="2"/>
          </rPr>
          <t>Product / Category Quick Links - Existence, Clarity, Merchandising
For E-Comm: Suggeted Products</t>
        </r>
      </text>
    </comment>
    <comment ref="B95" authorId="0">
      <text>
        <r>
          <rPr>
            <sz val="9"/>
            <color indexed="81"/>
            <rFont val="Tahoma"/>
            <family val="2"/>
          </rPr>
          <t>Relevance, Presentation, Usability, Consistency of Deployment, Extent of Deployment (e.g., on all pages, on relevant articles, etc.)</t>
        </r>
      </text>
    </comment>
    <comment ref="B96" authorId="0">
      <text>
        <r>
          <rPr>
            <sz val="9"/>
            <color indexed="81"/>
            <rFont val="Tahoma"/>
            <family val="2"/>
          </rPr>
          <t xml:space="preserve">Existence; Coverage; Quality; Integration; Presence
</t>
        </r>
      </text>
    </comment>
    <comment ref="B110" authorId="0">
      <text>
        <r>
          <rPr>
            <sz val="9"/>
            <color indexed="81"/>
            <rFont val="Tahoma"/>
            <family val="2"/>
          </rPr>
          <t>Assets with website (product guide links to relevant products); Website with assets - PDP page has guides or helpful content</t>
        </r>
      </text>
    </comment>
    <comment ref="B129" authorId="0">
      <text>
        <r>
          <rPr>
            <sz val="9"/>
            <color indexed="81"/>
            <rFont val="Tahoma"/>
            <family val="2"/>
          </rPr>
          <t>Depth, Breadth, Relevance, Benefit Orientation, Sizzle (e.g., verb based)</t>
        </r>
      </text>
    </comment>
    <comment ref="B130" authorId="0">
      <text>
        <r>
          <rPr>
            <sz val="9"/>
            <color indexed="81"/>
            <rFont val="Tahoma"/>
            <family val="2"/>
          </rPr>
          <t xml:space="preserve">Page Order, Page Flow, Information/Text Organization
</t>
        </r>
      </text>
    </comment>
    <comment ref="B131" authorId="0">
      <text>
        <r>
          <rPr>
            <sz val="9"/>
            <color indexed="81"/>
            <rFont val="Tahoma"/>
            <family val="2"/>
          </rPr>
          <t>Template + Info: Visual Appeal, Modernity, Consistency, Content Merchandising</t>
        </r>
      </text>
    </comment>
    <comment ref="B132" authorId="0">
      <text>
        <r>
          <rPr>
            <sz val="9"/>
            <color indexed="81"/>
            <rFont val="Tahoma"/>
            <family val="2"/>
          </rPr>
          <t>Existence; Quality of Deployment (Functionality, Usability)</t>
        </r>
      </text>
    </comment>
    <comment ref="B134" authorId="0">
      <text>
        <r>
          <rPr>
            <sz val="9"/>
            <color indexed="81"/>
            <rFont val="Tahoma"/>
            <family val="2"/>
          </rPr>
          <t>E.g., 360 view, Zoom, Sliders, Native Calculators</t>
        </r>
      </text>
    </comment>
    <comment ref="B135" authorId="0">
      <text>
        <r>
          <rPr>
            <sz val="9"/>
            <color indexed="81"/>
            <rFont val="Tahoma"/>
            <family val="2"/>
          </rPr>
          <t>Quantity, Perspective/Angles, In-Use (and/or demos relevant features), Resolution</t>
        </r>
      </text>
    </comment>
    <comment ref="B136" authorId="0">
      <text>
        <r>
          <rPr>
            <sz val="9"/>
            <color indexed="81"/>
            <rFont val="Tahoma"/>
            <family val="2"/>
          </rPr>
          <t xml:space="preserve">Presence, Organization, Presentation, Pricing
</t>
        </r>
      </text>
    </comment>
    <comment ref="B137" authorId="0">
      <text>
        <r>
          <rPr>
            <sz val="9"/>
            <color indexed="81"/>
            <rFont val="Tahoma"/>
            <family val="2"/>
          </rPr>
          <t>Text, Contrast, Presence</t>
        </r>
      </text>
    </comment>
    <comment ref="B139" authorId="0">
      <text>
        <r>
          <rPr>
            <sz val="9"/>
            <color indexed="81"/>
            <rFont val="Tahoma"/>
            <family val="2"/>
          </rPr>
          <t xml:space="preserve">Depth, Breadth, Merchandising
</t>
        </r>
      </text>
    </comment>
    <comment ref="B140" authorId="0">
      <text>
        <r>
          <rPr>
            <sz val="9"/>
            <color indexed="81"/>
            <rFont val="Tahoma"/>
            <family val="2"/>
          </rPr>
          <t>Quantity, Quality</t>
        </r>
      </text>
    </comment>
    <comment ref="B141" authorId="0">
      <text>
        <r>
          <rPr>
            <sz val="9"/>
            <color indexed="81"/>
            <rFont val="Tahoma"/>
            <family val="2"/>
          </rPr>
          <t xml:space="preserve">Image toggle, Quick view, Color toggle, Native videos, Hover activation
</t>
        </r>
      </text>
    </comment>
    <comment ref="B142" authorId="0">
      <text>
        <r>
          <rPr>
            <sz val="9"/>
            <color indexed="81"/>
            <rFont val="Tahoma"/>
            <family val="2"/>
          </rPr>
          <t xml:space="preserve">Product Related Content / Images
</t>
        </r>
      </text>
    </comment>
    <comment ref="B162" authorId="0">
      <text>
        <r>
          <rPr>
            <sz val="9"/>
            <color indexed="81"/>
            <rFont val="Tahoma"/>
            <family val="2"/>
          </rPr>
          <t>Presentation, Usability, Pricing Clarity</t>
        </r>
        <r>
          <rPr>
            <sz val="9"/>
            <color indexed="81"/>
            <rFont val="Tahoma"/>
            <family val="2"/>
          </rPr>
          <t xml:space="preserve">
</t>
        </r>
      </text>
    </comment>
    <comment ref="B183" authorId="0">
      <text>
        <r>
          <rPr>
            <sz val="9"/>
            <color indexed="81"/>
            <rFont val="Tahoma"/>
            <family val="2"/>
          </rPr>
          <t xml:space="preserve">Are multiple steps used if form is very long?
</t>
        </r>
      </text>
    </comment>
    <comment ref="B186" authorId="0">
      <text>
        <r>
          <rPr>
            <sz val="9"/>
            <color indexed="81"/>
            <rFont val="Tahoma"/>
            <family val="2"/>
          </rPr>
          <t>Is it clear what needs to be entered in each cell?</t>
        </r>
      </text>
    </comment>
    <comment ref="B204" authorId="0">
      <text>
        <r>
          <rPr>
            <sz val="9"/>
            <color indexed="81"/>
            <rFont val="Tahoma"/>
            <family val="2"/>
          </rPr>
          <t xml:space="preserve">(Home Page, Product Pages, Support Page)
</t>
        </r>
      </text>
    </comment>
    <comment ref="B206" authorId="0">
      <text>
        <r>
          <rPr>
            <sz val="9"/>
            <color indexed="81"/>
            <rFont val="Tahoma"/>
            <family val="2"/>
          </rPr>
          <t>E.g., Filtering, Search, Predictive Search</t>
        </r>
      </text>
    </comment>
    <comment ref="B207" authorId="0">
      <text>
        <r>
          <rPr>
            <sz val="9"/>
            <color indexed="81"/>
            <rFont val="Tahoma"/>
            <family val="2"/>
          </rPr>
          <t>For each location / listing</t>
        </r>
      </text>
    </comment>
    <comment ref="B209" authorId="0">
      <text>
        <r>
          <rPr>
            <sz val="9"/>
            <color indexed="81"/>
            <rFont val="Tahoma"/>
            <family val="2"/>
          </rPr>
          <t xml:space="preserve">(e.g., if you search a common town (e.g., "newton") do all possible results appear, or just one (bad)?
</t>
        </r>
      </text>
    </comment>
    <comment ref="B220" authorId="0">
      <text>
        <r>
          <rPr>
            <sz val="9"/>
            <color indexed="81"/>
            <rFont val="Tahoma"/>
            <family val="2"/>
          </rPr>
          <t xml:space="preserve">How easy is it to find / access support paths? 
Included: Promotion, Accessibility
</t>
        </r>
      </text>
    </comment>
    <comment ref="B221" authorId="0">
      <text>
        <r>
          <rPr>
            <sz val="9"/>
            <color indexed="81"/>
            <rFont val="Tahoma"/>
            <family val="2"/>
          </rPr>
          <t>Support Section/Collections + PDP Integration</t>
        </r>
      </text>
    </comment>
    <comment ref="B222" authorId="0">
      <text>
        <r>
          <rPr>
            <sz val="9"/>
            <color indexed="81"/>
            <rFont val="Tahoma"/>
            <family val="2"/>
          </rPr>
          <t xml:space="preserve">Support Section/Collections + PDP Integration
</t>
        </r>
      </text>
    </comment>
  </commentList>
</comments>
</file>

<file path=xl/sharedStrings.xml><?xml version="1.0" encoding="utf-8"?>
<sst xmlns="http://schemas.openxmlformats.org/spreadsheetml/2006/main" count="17958" uniqueCount="2533">
  <si>
    <t>AC</t>
  </si>
  <si>
    <t>DG</t>
  </si>
  <si>
    <t>OC</t>
  </si>
  <si>
    <t>CE</t>
  </si>
  <si>
    <t>Website</t>
  </si>
  <si>
    <t>Mobile</t>
  </si>
  <si>
    <t>Social</t>
  </si>
  <si>
    <t>P. Merch</t>
  </si>
  <si>
    <t>Content</t>
  </si>
  <si>
    <t>User Registration</t>
  </si>
  <si>
    <t>Support</t>
  </si>
  <si>
    <t>SEM</t>
  </si>
  <si>
    <t>E-Comm</t>
  </si>
  <si>
    <t>E-Referral</t>
  </si>
  <si>
    <t>WEIGHTED VALUE - AC</t>
  </si>
  <si>
    <t>WEIGHTED VALUE - DG</t>
  </si>
  <si>
    <t>WEIGHTED VALUE - OC</t>
  </si>
  <si>
    <t>WEIGHTED VALUE - CE</t>
  </si>
  <si>
    <t>SUMS&gt;&gt;</t>
  </si>
  <si>
    <t>AC&gt;&gt;</t>
  </si>
  <si>
    <t>DG&gt;&gt;</t>
  </si>
  <si>
    <t>OC&gt;&gt;</t>
  </si>
  <si>
    <t>CE&gt;&gt;</t>
  </si>
  <si>
    <t>Category</t>
  </si>
  <si>
    <t>Awareness Creation</t>
  </si>
  <si>
    <t>Demand Generation</t>
  </si>
  <si>
    <t>Opportunity Conversion</t>
  </si>
  <si>
    <t>Customer Engagement</t>
  </si>
  <si>
    <t>LowDec</t>
  </si>
  <si>
    <t>TargetDec</t>
  </si>
  <si>
    <t>HighDec</t>
  </si>
  <si>
    <t>Average</t>
  </si>
  <si>
    <t>Above Adj Average</t>
  </si>
  <si>
    <t>Advanced</t>
  </si>
  <si>
    <t># of Better</t>
  </si>
  <si>
    <t># of comp</t>
  </si>
  <si>
    <t>%ile</t>
  </si>
  <si>
    <t>&gt;50%</t>
  </si>
  <si>
    <t>Dot Color</t>
  </si>
  <si>
    <t>Color Code</t>
  </si>
  <si>
    <t>0-2 = Red</t>
  </si>
  <si>
    <t>3-4 = Yellow</t>
  </si>
  <si>
    <t>5 = Green</t>
  </si>
  <si>
    <t>SEM (Engine/Old)</t>
  </si>
  <si>
    <t>Mobile (Engine/Old)</t>
  </si>
  <si>
    <t>Social Media (Engine/Old)</t>
  </si>
  <si>
    <t>Website (Engine/Old)</t>
  </si>
  <si>
    <t>Content Marketing (Engine/Old)</t>
  </si>
  <si>
    <t>Product Merchandising (Engine/Old)</t>
  </si>
  <si>
    <t>E-Commerce (Engine/Old)</t>
  </si>
  <si>
    <t>User Registration (Engine/Old)</t>
  </si>
  <si>
    <t>Online Support (Engine/Old)</t>
  </si>
  <si>
    <t>E-Referral (Engine/Old)</t>
  </si>
  <si>
    <t>Order</t>
  </si>
  <si>
    <t>Low</t>
  </si>
  <si>
    <t>Target</t>
  </si>
  <si>
    <t>High</t>
  </si>
  <si>
    <t>Dot Value Y</t>
  </si>
  <si>
    <t>Dot Value G</t>
  </si>
  <si>
    <t>Dot Value R</t>
  </si>
  <si>
    <t>VLine1</t>
  </si>
  <si>
    <t>VLine2</t>
  </si>
  <si>
    <t>VLine3</t>
  </si>
  <si>
    <t>RangeLevel1</t>
  </si>
  <si>
    <t>RangeLevel2</t>
  </si>
  <si>
    <t>Social Media Deployment</t>
  </si>
  <si>
    <t>E-Commerce</t>
  </si>
  <si>
    <t>**** these 3 lines  just to extend the vertical dash lines out of the area</t>
  </si>
  <si>
    <t xml:space="preserve">Content Marketing </t>
  </si>
  <si>
    <t xml:space="preserve">Product Merchandising </t>
  </si>
  <si>
    <t xml:space="preserve">E-Referral </t>
  </si>
  <si>
    <t xml:space="preserve">Online Support </t>
  </si>
  <si>
    <t>Fxn Used?&gt;</t>
  </si>
  <si>
    <t>ID</t>
  </si>
  <si>
    <t>N/A</t>
  </si>
  <si>
    <t>YouTube</t>
  </si>
  <si>
    <t>Facebook</t>
  </si>
  <si>
    <t>Twitter</t>
  </si>
  <si>
    <t>Amazon</t>
  </si>
  <si>
    <t>Verizon</t>
  </si>
  <si>
    <t>Usability</t>
  </si>
  <si>
    <t>Please Annotate &lt;function name&gt;:  &lt;Explanation&gt;</t>
  </si>
  <si>
    <t>Mobile Compatibility &amp; Functionality</t>
  </si>
  <si>
    <t>Website Technical &amp; Functional</t>
  </si>
  <si>
    <t>Product &amp; Category Discovery</t>
  </si>
  <si>
    <t xml:space="preserve">   Menus</t>
  </si>
  <si>
    <t xml:space="preserve">   Reccomendations / Suggestions (Cross Selling, etc)</t>
  </si>
  <si>
    <t>Analysis Id</t>
  </si>
  <si>
    <t>Analysis Description</t>
  </si>
  <si>
    <t>Start Date</t>
  </si>
  <si>
    <t>End Date</t>
  </si>
  <si>
    <t>Date Generated</t>
  </si>
  <si>
    <t>Asset</t>
  </si>
  <si>
    <t>Function Id</t>
  </si>
  <si>
    <t>Function Name</t>
  </si>
  <si>
    <t>Score</t>
  </si>
  <si>
    <t>Score/100</t>
  </si>
  <si>
    <t>Function Name ID</t>
  </si>
  <si>
    <t>E-Commerce/Product Merchandising</t>
  </si>
  <si>
    <t>Social Media</t>
  </si>
  <si>
    <t>Sum of Score/100</t>
  </si>
  <si>
    <t>Column Labels</t>
  </si>
  <si>
    <t>Row Labels</t>
  </si>
  <si>
    <t>Grand Total</t>
  </si>
  <si>
    <t>Paste data from above into box below</t>
  </si>
  <si>
    <t>Export Data from EXPORT tab in project analysis. Make sure to export " -- All Analyses --" and not just one url (click the x on the dropdown selector to do so)</t>
  </si>
  <si>
    <t>Go to PIVOT(EXPORT) tab, right click the yellow highlighted text and click REFRESH</t>
  </si>
  <si>
    <t>Copy the data and paste VALUES into the indicated tan colored area in the area below (on the PIVOT (EXPORT) tab)</t>
  </si>
  <si>
    <t>Go to cells Y2 to Y5 on the MASTER tab and select the appropriate answers (this will select function weights and CDJ area names)</t>
  </si>
  <si>
    <t>Adjust function scores as needed in the highlighted yellow areas, the grey text above this represents the original engine score for comparison</t>
  </si>
  <si>
    <t># of Comp (from MASTER tab):</t>
  </si>
  <si>
    <t>Hide unecessary columns on the MASTER tab (if fewer than 9 competitors)</t>
  </si>
  <si>
    <t xml:space="preserve"> Function to CDJ weights</t>
  </si>
  <si>
    <t>For unused tan columns, change all scores to 0</t>
  </si>
  <si>
    <t>Re-order columns in the 2nd tan area with the target listed first</t>
  </si>
  <si>
    <t>MUST PASTE INTO THE BOTTOM SET OF BOXES. REARAGE COLUMNS SO TARGET IS IN THE FIRST COLUMN</t>
  </si>
  <si>
    <t>Complete empty tests (indicated with a small highlighted red area to the left of the tests - this will change based on the answers to the 5 questions from step 7)</t>
  </si>
  <si>
    <t>Chart?</t>
  </si>
  <si>
    <t>Copy the data from the resuting csv and paste into top left corner of EXPORTED SCORES TAB</t>
  </si>
  <si>
    <t>All Assets</t>
  </si>
  <si>
    <t>Abandonment</t>
  </si>
  <si>
    <t>Average Order Value</t>
  </si>
  <si>
    <t>Content/Access</t>
  </si>
  <si>
    <t>Access</t>
  </si>
  <si>
    <t>Content/Content/Unassigned</t>
  </si>
  <si>
    <t>Content/Unassigned</t>
  </si>
  <si>
    <t>Content/Core Content</t>
  </si>
  <si>
    <t>Core Content</t>
  </si>
  <si>
    <t>Content/User Generated Content</t>
  </si>
  <si>
    <t>User Generated Content</t>
  </si>
  <si>
    <t>Content/Content/Infrastructure</t>
  </si>
  <si>
    <t>Content/Infrastructure</t>
  </si>
  <si>
    <t>Content/Content/Promotion</t>
  </si>
  <si>
    <t>Content/Promotion</t>
  </si>
  <si>
    <t>Content/Content/Appeal</t>
  </si>
  <si>
    <t>Content/Appeal</t>
  </si>
  <si>
    <t>Conversion</t>
  </si>
  <si>
    <t>E-Commerce/Checkout</t>
  </si>
  <si>
    <t>Checkout</t>
  </si>
  <si>
    <t>E-Commerce/E-Commerce/Infrastructure</t>
  </si>
  <si>
    <t>E-Commerce/Infrastructure</t>
  </si>
  <si>
    <t>E-Commerce/E-Commerce/Latency</t>
  </si>
  <si>
    <t>E-Commerce/Latency</t>
  </si>
  <si>
    <t>E-Commerce/Product Listings</t>
  </si>
  <si>
    <t>Product Listings</t>
  </si>
  <si>
    <t>E-Commerce/Product Listings/Site Functionality</t>
  </si>
  <si>
    <t>Site Functionality</t>
  </si>
  <si>
    <t>E-Commerce/Product Listings/Product Listings/Reviews</t>
  </si>
  <si>
    <t>Product Listings/Reviews</t>
  </si>
  <si>
    <t>E-Commerce/Product Listings/PLP Usability</t>
  </si>
  <si>
    <t>PLP Usability</t>
  </si>
  <si>
    <t>E-Commerce/Product Listings/PLP Merchandising</t>
  </si>
  <si>
    <t>PLP Merchandising</t>
  </si>
  <si>
    <t>E-Commerce/Product Listings/Non-Product Site Content</t>
  </si>
  <si>
    <t>Non-Product Site Content</t>
  </si>
  <si>
    <t>E-Commerce/Product Listings/PLP Content</t>
  </si>
  <si>
    <t>PLP Content</t>
  </si>
  <si>
    <t>E-Commerce/Product Listings/PLP Functionality</t>
  </si>
  <si>
    <t>PLP Functionality</t>
  </si>
  <si>
    <t>E-Commerce/User Engagement</t>
  </si>
  <si>
    <t>User Engagement</t>
  </si>
  <si>
    <t>E-Commerce/Site Content</t>
  </si>
  <si>
    <t>Site Content</t>
  </si>
  <si>
    <t>E-Commerce/E-Commerce/Product Merchandising</t>
  </si>
  <si>
    <t>E-Commerce/E-Commerce/Reviews</t>
  </si>
  <si>
    <t>E-Commerce/Reviews</t>
  </si>
  <si>
    <t>E-Commerce/Product Search</t>
  </si>
  <si>
    <t>Product Search</t>
  </si>
  <si>
    <t>E-Commerce/E-Commerce/Unassigned</t>
  </si>
  <si>
    <t>E-Commerce/Unassigned</t>
  </si>
  <si>
    <t>E-Commerce/Section Pages</t>
  </si>
  <si>
    <t>Section Pages</t>
  </si>
  <si>
    <t>Mobile/Mobile/Content</t>
  </si>
  <si>
    <t>Mobile/Content</t>
  </si>
  <si>
    <t>Mobile/Compatibility</t>
  </si>
  <si>
    <t>Compatibility</t>
  </si>
  <si>
    <t>Mobile/Mobile/Infrastructure</t>
  </si>
  <si>
    <t>Mobile/Infrastructure</t>
  </si>
  <si>
    <t>Mobile/Functionality</t>
  </si>
  <si>
    <t>Functionality</t>
  </si>
  <si>
    <t>Mobile/Mobile/Latency</t>
  </si>
  <si>
    <t>Mobile/Latency</t>
  </si>
  <si>
    <t>Mobile/Mobile/Promotion</t>
  </si>
  <si>
    <t>Mobile/Promotion</t>
  </si>
  <si>
    <t>Online Channel</t>
  </si>
  <si>
    <t>Online Channel/E-Referral</t>
  </si>
  <si>
    <t>Online Channel/Online Channel/Product Merchandising</t>
  </si>
  <si>
    <t>Online Channel/Product Merchandising</t>
  </si>
  <si>
    <t>Online Channel/Brand Merchandising</t>
  </si>
  <si>
    <t>Brand Merchandising</t>
  </si>
  <si>
    <t>SEM/SEM/Content</t>
  </si>
  <si>
    <t>SEM/Content</t>
  </si>
  <si>
    <t>SEM/Inclusion</t>
  </si>
  <si>
    <t>Inclusion</t>
  </si>
  <si>
    <t>SEM/Advertising</t>
  </si>
  <si>
    <t>Advertising</t>
  </si>
  <si>
    <t>SEM/Constructs</t>
  </si>
  <si>
    <t>Constructs</t>
  </si>
  <si>
    <t>SEM/SEM/Unassigned</t>
  </si>
  <si>
    <t>SEM/Unassigned</t>
  </si>
  <si>
    <t>SEM/SEM/Infrastructure</t>
  </si>
  <si>
    <t>SEM/Infrastructure</t>
  </si>
  <si>
    <t>SEM/Ranking</t>
  </si>
  <si>
    <t>Ranking</t>
  </si>
  <si>
    <t>Social Media/Social Media/Unassigned</t>
  </si>
  <si>
    <t>Social Media/Unassigned</t>
  </si>
  <si>
    <t>Social Media/YouTube</t>
  </si>
  <si>
    <t>Social Media/Twitter</t>
  </si>
  <si>
    <t>Social Media/Social Media/Promotion</t>
  </si>
  <si>
    <t>Social Media/Promotion</t>
  </si>
  <si>
    <t>Social Media/Other Social Networks</t>
  </si>
  <si>
    <t>Other Social Networks</t>
  </si>
  <si>
    <t>Social Media/LinkedIn</t>
  </si>
  <si>
    <t>LinkedIn</t>
  </si>
  <si>
    <t>Social Media/Social Media/Content</t>
  </si>
  <si>
    <t>Social Media/Content</t>
  </si>
  <si>
    <t>Social Media/Social Media/Infrastructure</t>
  </si>
  <si>
    <t>Social Media/Infrastructure</t>
  </si>
  <si>
    <t>Social Media/Facebook</t>
  </si>
  <si>
    <t>Social Media/Social Media/Appeal</t>
  </si>
  <si>
    <t>Social Media/Appeal</t>
  </si>
  <si>
    <t>Task Completion</t>
  </si>
  <si>
    <t>Time Spent on Site</t>
  </si>
  <si>
    <t>Traffic</t>
  </si>
  <si>
    <t>Website/E-Retail</t>
  </si>
  <si>
    <t>E-Retail</t>
  </si>
  <si>
    <t>Website/Website/Infrastructure</t>
  </si>
  <si>
    <t>Website/Infrastructure</t>
  </si>
  <si>
    <t>Website/Website/Latency</t>
  </si>
  <si>
    <t>Website/Latency</t>
  </si>
  <si>
    <t>Website/Website/Promotion</t>
  </si>
  <si>
    <t>Website/Promotion</t>
  </si>
  <si>
    <t>Website/Website/Appeal</t>
  </si>
  <si>
    <t>Website/Appeal</t>
  </si>
  <si>
    <t>Website/Website/Content</t>
  </si>
  <si>
    <t>Website/Content</t>
  </si>
  <si>
    <t>Website/Website/Reviews</t>
  </si>
  <si>
    <t>Website/Reviews</t>
  </si>
  <si>
    <t>Website/User Registration</t>
  </si>
  <si>
    <t>Website/Website/Unassigned</t>
  </si>
  <si>
    <t>Website/Unassigned</t>
  </si>
  <si>
    <t>Website/Website/Traffic</t>
  </si>
  <si>
    <t>Website/Traffic</t>
  </si>
  <si>
    <t>Website/Usability</t>
  </si>
  <si>
    <t>Website/Site Search</t>
  </si>
  <si>
    <t>Site Search</t>
  </si>
  <si>
    <t>Website/Search Engine Constructs</t>
  </si>
  <si>
    <t>Search Engine Constructs</t>
  </si>
  <si>
    <t>Asset URL</t>
  </si>
  <si>
    <t>Path</t>
  </si>
  <si>
    <t>Chase Analysis</t>
  </si>
  <si>
    <t>Wells Fargo Analysis</t>
  </si>
  <si>
    <t>Westpac Analysis</t>
  </si>
  <si>
    <t>KB Bank Analysis</t>
  </si>
  <si>
    <t>Shinhan Bank Analysis</t>
  </si>
  <si>
    <t>Attach this file to the charting Jira task.</t>
  </si>
  <si>
    <t>Num non-zero scores</t>
  </si>
  <si>
    <t>WEIGHT CHECKER (if red, some weights have been deleted. Scores should not be pulblished until this is green.)</t>
  </si>
  <si>
    <t>&lt;&lt;if it says BROKEN, that is bad.</t>
  </si>
  <si>
    <t>&lt;weight checker (red = bad)</t>
  </si>
  <si>
    <t>Search Infrastructure (Site Map: 100/0)</t>
  </si>
  <si>
    <t>GTMetrix - Page Speed (Child)</t>
  </si>
  <si>
    <t>GTMetrix - Yslow (Child)</t>
  </si>
  <si>
    <t>GTMetrix - Page Speed (Parent)</t>
  </si>
  <si>
    <t>GTMetrix - Yslow (Parent)</t>
  </si>
  <si>
    <t>Product &amp; Category Discovery (Child)</t>
  </si>
  <si>
    <t>Pingdom - Performance Grade (Parent)</t>
  </si>
  <si>
    <t>Pingdom Performance Grade (Child)</t>
  </si>
  <si>
    <t>Add-to-Cart Confirmation</t>
  </si>
  <si>
    <t>Checkout Product Merchandising</t>
  </si>
  <si>
    <t>Checkout Functionality (e.g., errors / validations)</t>
  </si>
  <si>
    <t>Cart Page Template</t>
  </si>
  <si>
    <t>Cart Page Product Merchandising</t>
  </si>
  <si>
    <t>Category Page</t>
  </si>
  <si>
    <t>Product Page</t>
  </si>
  <si>
    <t>Guest Checkout (100/0)</t>
  </si>
  <si>
    <t>Category Page CTAs (100/0)</t>
  </si>
  <si>
    <t>Checkout Cross/Up Selling (100/0)</t>
  </si>
  <si>
    <t>Checkout General Friction</t>
  </si>
  <si>
    <t>Checkout Pricing Clarity</t>
  </si>
  <si>
    <t>Checkout Status Tracker if multiple steps (100/50/0)</t>
  </si>
  <si>
    <t>PDP - Presentation</t>
  </si>
  <si>
    <t>PDP - Misc Functionality</t>
  </si>
  <si>
    <t>PDP - Image Quality / Quantity</t>
  </si>
  <si>
    <t>Category Page - Descriptions</t>
  </si>
  <si>
    <t>Category Page - Images</t>
  </si>
  <si>
    <t>Category Page - Functionality</t>
  </si>
  <si>
    <t xml:space="preserve">   PDP - Buy Box / Pricing (Child)</t>
  </si>
  <si>
    <t xml:space="preserve">   PDP - CTA Quality (Child)</t>
  </si>
  <si>
    <t>PDP - Buy Box / Pricing (Parent)</t>
  </si>
  <si>
    <t>PDP - CTA Quality (Parent)</t>
  </si>
  <si>
    <t>Home Page - Merchandising</t>
  </si>
  <si>
    <t>PDP - Reviews (Child)</t>
  </si>
  <si>
    <t xml:space="preserve">   *Interactive Product Finders (0 if none; up to 400 if great)</t>
  </si>
  <si>
    <t>Mobile Conversion Path (Parent)</t>
  </si>
  <si>
    <t>Website Integration</t>
  </si>
  <si>
    <t>Presentation / Usability</t>
  </si>
  <si>
    <t>Information Depth</t>
  </si>
  <si>
    <t>Presence / Prominence</t>
  </si>
  <si>
    <t>*Data Quality / Accuracy / Brokeness (100 if no issues; 0 if some issues; -100 if large issues)</t>
  </si>
  <si>
    <t>PDP - Information Quality/Quantity (Parent)</t>
  </si>
  <si>
    <t>Google Page Speed - Mobile Speed</t>
  </si>
  <si>
    <t>Google Page Speed - Mobile Friendliness</t>
  </si>
  <si>
    <t xml:space="preserve">   Google Page Speed - Desktop Speed (Parent)</t>
  </si>
  <si>
    <t xml:space="preserve">   Google Page Speed - Desktop Speed (Child)</t>
  </si>
  <si>
    <t>Web</t>
  </si>
  <si>
    <t>Topic Content / Testimonials - Integration</t>
  </si>
  <si>
    <t>Topic Content / Testimonials - Organization</t>
  </si>
  <si>
    <t>PDP - Information Quality/Quantity (Child)</t>
  </si>
  <si>
    <t>--</t>
  </si>
  <si>
    <t>--------------------------------------------</t>
  </si>
  <si>
    <t>Promotion (on Website / PDPs)</t>
  </si>
  <si>
    <t>Functionality (e.g., errors / validation)</t>
  </si>
  <si>
    <t>Benefit / Product Merchandising</t>
  </si>
  <si>
    <t>Support Path Availability (Call, Chat, FAQs)</t>
  </si>
  <si>
    <t>Status Tracker if multiple steps (100/50/0)</t>
  </si>
  <si>
    <t>First Step E-mail Capture (100/0)</t>
  </si>
  <si>
    <t>Checkout First Step E-mail Capture (100/0)</t>
  </si>
  <si>
    <t>Consistency of Paths (if multiple paths)</t>
  </si>
  <si>
    <t>Registration CTA Quality</t>
  </si>
  <si>
    <t>Template Density</t>
  </si>
  <si>
    <t>Trust Signal on page (100/0) (e.g., lock icon)</t>
  </si>
  <si>
    <t>Form Field Clarity</t>
  </si>
  <si>
    <t>Structure</t>
  </si>
  <si>
    <t>Support Path Accessibility</t>
  </si>
  <si>
    <t>PDP Support Integration (Parent)</t>
  </si>
  <si>
    <t>Support Content Breadth (Parent)</t>
  </si>
  <si>
    <t>Support Content Breadth (Child)</t>
  </si>
  <si>
    <t>Support Content Depth (Child)</t>
  </si>
  <si>
    <t>Support Content Taxonomy</t>
  </si>
  <si>
    <t>Support Content Depth (Parent)</t>
  </si>
  <si>
    <t>Support Content Usability</t>
  </si>
  <si>
    <t>Misc</t>
  </si>
  <si>
    <t>&lt;&lt;Should be 0</t>
  </si>
  <si>
    <t>Mobile Conversion Path (Child)</t>
  </si>
  <si>
    <t>Auto-Geo Locate</t>
  </si>
  <si>
    <t>Topic Content / Testimonials - Quantity (Child)</t>
  </si>
  <si>
    <t>Topic Content / Testimonials - Quality (Child)</t>
  </si>
  <si>
    <t>Topic Content / Testimonials - Quantity (Parent)</t>
  </si>
  <si>
    <t>Topic Content / Testimonials - Quality (Parent)</t>
  </si>
  <si>
    <t>Spread</t>
  </si>
  <si>
    <t>Num non-zero scores (minus) 1</t>
  </si>
  <si>
    <t>Min</t>
  </si>
  <si>
    <t>Max</t>
  </si>
  <si>
    <t>CDJ INDEX</t>
  </si>
  <si>
    <t>CDJ INDEX PCTNTLE</t>
  </si>
  <si>
    <t>Gartner - Front</t>
  </si>
  <si>
    <t>Gartner - Back</t>
  </si>
  <si>
    <t>&gt; &gt; &gt; &gt; &gt; &gt; &gt; &gt; &gt; &gt; DO NOT DELETE ACROSS THIS ROW. ENTER DATA BELOW, BUT NOT ABOVE THIS LINE &lt; &lt; &lt; &lt; &lt; &lt; &lt; &lt; &lt; &lt;</t>
  </si>
  <si>
    <t>U. Reg</t>
  </si>
  <si>
    <t>E-Ref</t>
  </si>
  <si>
    <t>RANKS</t>
  </si>
  <si>
    <t>Rank Range Controls</t>
  </si>
  <si>
    <t>Red:</t>
  </si>
  <si>
    <t>Green:</t>
  </si>
  <si>
    <t>MARKET PROFILE</t>
  </si>
  <si>
    <t>STRENGTHS / WEAKNESSES</t>
  </si>
  <si>
    <t>Strength:</t>
  </si>
  <si>
    <t>Weakness:</t>
  </si>
  <si>
    <t>TARGET</t>
  </si>
  <si>
    <t>FUNCTION LEADERS</t>
  </si>
  <si>
    <t>PAST INDUSTRY HIGH WATER MARKS</t>
  </si>
  <si>
    <t>Fxn</t>
  </si>
  <si>
    <t xml:space="preserve">Target </t>
  </si>
  <si>
    <t>Retail</t>
  </si>
  <si>
    <t>Fin. Serv.</t>
  </si>
  <si>
    <t>Telecom</t>
  </si>
  <si>
    <t>Tech</t>
  </si>
  <si>
    <t>Samsung</t>
  </si>
  <si>
    <t>Liberty Mutual</t>
  </si>
  <si>
    <t>AWS</t>
  </si>
  <si>
    <t>Commonwealth</t>
  </si>
  <si>
    <t>Betterment</t>
  </si>
  <si>
    <t>Comcast</t>
  </si>
  <si>
    <t>Salesforce</t>
  </si>
  <si>
    <t>OVERALL</t>
  </si>
  <si>
    <t>DirecTV</t>
  </si>
  <si>
    <t>Market Leader is:</t>
  </si>
  <si>
    <t>Market Laggard is:</t>
  </si>
  <si>
    <t>Wells Fargo</t>
  </si>
  <si>
    <t>Adobe</t>
  </si>
  <si>
    <t>Extra (BR)</t>
  </si>
  <si>
    <t>Aviva (UK)</t>
  </si>
  <si>
    <t>Digi (MY)</t>
  </si>
  <si>
    <t xml:space="preserve">Commonwealth </t>
  </si>
  <si>
    <t>EE</t>
  </si>
  <si>
    <t>Nationwide</t>
  </si>
  <si>
    <t>FirstCry</t>
  </si>
  <si>
    <t>xx</t>
  </si>
  <si>
    <t>Apple</t>
  </si>
  <si>
    <t>Home Depot</t>
  </si>
  <si>
    <t>Bank of America</t>
  </si>
  <si>
    <t>Cisco Cloud</t>
  </si>
  <si>
    <t>Walmart</t>
  </si>
  <si>
    <t>Allstate</t>
  </si>
  <si>
    <t>Vodaphone (UK)</t>
  </si>
  <si>
    <t>Quicken Loans</t>
  </si>
  <si>
    <t>Telstra</t>
  </si>
  <si>
    <t>RELATIVE IMPORTANCE</t>
  </si>
  <si>
    <t>Industry (Sector):</t>
  </si>
  <si>
    <t>Function</t>
  </si>
  <si>
    <t>Value</t>
  </si>
  <si>
    <t>CHARTS - GARTNER &amp; LEADER / LAGGARD</t>
  </si>
  <si>
    <t>KEY FINDINGS</t>
  </si>
  <si>
    <t>Q-OVER-Q CHANGES (RELATIVE)</t>
  </si>
  <si>
    <t>Average Change:</t>
  </si>
  <si>
    <t>AWARDS</t>
  </si>
  <si>
    <t>Biggest Gainer</t>
  </si>
  <si>
    <t>1st Most Active Fxn:</t>
  </si>
  <si>
    <t>Biggest Loser</t>
  </si>
  <si>
    <t>2nd Most Active Fxn:</t>
  </si>
  <si>
    <t>3rd Most Active Fxn:</t>
  </si>
  <si>
    <t>**Post past Q scores into the "Past Q Scores" tab to use this section</t>
  </si>
  <si>
    <t>Q-OVER-Q CHANGES (ABSOLUTE)</t>
  </si>
  <si>
    <t>&gt; &gt; &gt; &gt; &gt; &gt; &gt; &gt; &gt; &gt; DO NOT ENTER DATA ON THIS SHEET. DATA PULLED FROM MASTER TAB &lt; &lt; &lt; &lt; &lt; &lt; &lt; &lt; &lt; &lt;</t>
  </si>
  <si>
    <t>Number of Competitors:</t>
  </si>
  <si>
    <t>CHARTING DATA</t>
  </si>
  <si>
    <t>LOW</t>
  </si>
  <si>
    <t>HIGH</t>
  </si>
  <si>
    <t>Performance</t>
  </si>
  <si>
    <t>Distribution</t>
  </si>
  <si>
    <t>High Importance</t>
  </si>
  <si>
    <t>Importance</t>
  </si>
  <si>
    <t>"Yellow"</t>
  </si>
  <si>
    <t>"Red"</t>
  </si>
  <si>
    <t>"Significant Shortcommings" value</t>
  </si>
  <si>
    <t>"Challenges" Value</t>
  </si>
  <si>
    <t>Opportunity Size</t>
  </si>
  <si>
    <t>Target = Max</t>
  </si>
  <si>
    <t>CDJ Range</t>
  </si>
  <si>
    <t>Fxn Range</t>
  </si>
  <si>
    <t>CDJ Stdev</t>
  </si>
  <si>
    <t>Fxn Stdev</t>
  </si>
  <si>
    <t>1st Highest Opportunity</t>
  </si>
  <si>
    <t>2nd Highest Opportunity</t>
  </si>
  <si>
    <t>3rd Highest Opportunity</t>
  </si>
  <si>
    <t>4th Highest Opportunity</t>
  </si>
  <si>
    <t>Key Finding (Raw)</t>
  </si>
  <si>
    <t>Condition</t>
  </si>
  <si>
    <t>Formula</t>
  </si>
  <si>
    <t>Key Finding (Final)</t>
  </si>
  <si>
    <t>Match x Value</t>
  </si>
  <si>
    <t>Selection</t>
  </si>
  <si>
    <t>Findings:</t>
  </si>
  <si>
    <t>Competiition</t>
  </si>
  <si>
    <t>Are functional but lack refinement and perform at levels below those of key competitors</t>
  </si>
  <si>
    <t>Target CDJ Index is above 50, but is at least 8 points below the leader composite CDJ Index (the highest CDJ score per function)</t>
  </si>
  <si>
    <t>Competition:</t>
  </si>
  <si>
    <t>Perform at levels significantly below those of competitive [industry players, e.g., "banking and financial service providers]</t>
  </si>
  <si>
    <t>All four CDJ scores have "red" perforamnce and the CDJ index is at least 9 points below the leader composite CDJ Index (the highest CDJ score per function)</t>
  </si>
  <si>
    <t>Misc:</t>
  </si>
  <si>
    <t>Perform at levels higher than those of analyzed competitors but at levels well lower than those of global leaders</t>
  </si>
  <si>
    <t>Target has highest score in at least 3 of the 4 CDJ areas, but an average CDJ score below 60</t>
  </si>
  <si>
    <t>Performance:</t>
  </si>
  <si>
    <t>Are functional but lack advanced capabilities and perform at levels below those of key competitors</t>
  </si>
  <si>
    <t>Opportunity:</t>
  </si>
  <si>
    <t>Have a balanced set of capabilities but lack refinement</t>
  </si>
  <si>
    <t>The Max-Min range for the collection of CDJ scores is less than 8 and the collection of Function scores is less than 10. The CDJ index is below 60%. 2+ CDJ areas have "red" performance</t>
  </si>
  <si>
    <t>Have a solid founcation and are "mid-pack" relative to the analyzed competitiors</t>
  </si>
  <si>
    <t>Target ranks in the 40%-60% CDJ percentile and has all "yellow" performance for CDJ areas</t>
  </si>
  <si>
    <t>Perform at levels below those of key competitors</t>
  </si>
  <si>
    <t>At least 3 of the 4 CDJ scores have "red" performance, and the CDJ index is at least 8 points below the leader composite CDJ Index (the highest CDJ score per function)</t>
  </si>
  <si>
    <t>Have a balanced, capable digital foundation</t>
  </si>
  <si>
    <t>The Max-Min range for the collection of CDJ scores is less than 8 and the collection of Function scores is less than 10. The CDJ index is above 55%. None of the CDJ areas have "red" performance</t>
  </si>
  <si>
    <t>Have widely-varying, inconsistent levels of capability and performance across the four Customer Digital Journey areas</t>
  </si>
  <si>
    <t>The CDJ range is greater than 10 and the CDJ Stdev is greater than 4.5</t>
  </si>
  <si>
    <t>Are weakest in the areas of greatest importance - Active Evaluation and Conversion</t>
  </si>
  <si>
    <t>Both the Active Evaluation and Conversion CDJ scores are more than 1 point less than the Initial Consideration and Loyalty and Engagement CDJ score</t>
  </si>
  <si>
    <t>Are strongest in the customer journey functions that hold the least value (Initial Consideration and Loyalty &amp; Experience)</t>
  </si>
  <si>
    <t>Both the Active Evaluation and Conversion CDJ scores are more than 1 point less than the Initial Consideration and Loyalty and Engagement CDJ low score. No CDJ functions have "red" performance</t>
  </si>
  <si>
    <t>Are strongest at converting visitors compared to other analyzed [industry players, e.g., "banking and financial service providers]</t>
  </si>
  <si>
    <t xml:space="preserve">Target has the strongest CDJ conversion score of all competitors </t>
  </si>
  <si>
    <t>Have no areas of distinction or relative strength</t>
  </si>
  <si>
    <t>No function scores are above 53</t>
  </si>
  <si>
    <t>Have significant shortcoming in critical areas including [function1], [function2], [function3]</t>
  </si>
  <si>
    <t>3+ functions with "red" performance</t>
  </si>
  <si>
    <t>Have challenges in key areas including [funtion1], [function2], [function3], [function4]</t>
  </si>
  <si>
    <t>Have at least 3 "opportunities"</t>
  </si>
  <si>
    <t>Have opportunities in key areas including [funtion1], [function2], [function3], [function4]</t>
  </si>
  <si>
    <t>Fewer than 3 "opportunities"</t>
  </si>
  <si>
    <t>Opportunity</t>
  </si>
  <si>
    <t xml:space="preserve">Possess significant opportunities to increase KPI performance and financial impact </t>
  </si>
  <si>
    <t>Always True</t>
  </si>
  <si>
    <t>Have solid foundational capabilities, with particular strength in organic traffic generation through SEO</t>
  </si>
  <si>
    <t>Lack the refinement and functionality of those analyzed [industry players, e.g., "banking and financial service providers]</t>
  </si>
  <si>
    <t xml:space="preserve">                                                                                                                                                                                                                                                                                                                                                                                                                                                                                                                                                                                                                                                                                                                                                                                                                                                                                                                                                                                                                                                                                                                                                                                                                                                                                                                                                                                                                                                                                                                                                                                                                                                                                                             </t>
  </si>
  <si>
    <t>SECTOR</t>
  </si>
  <si>
    <t>Rel_Imp</t>
  </si>
  <si>
    <t>Example Company</t>
  </si>
  <si>
    <t>Text Bullet 1</t>
  </si>
  <si>
    <t>Text Bullet 2</t>
  </si>
  <si>
    <t>Text Bullet 3</t>
  </si>
  <si>
    <t>Aerospace &amp; Defense</t>
  </si>
  <si>
    <t>Healthcare</t>
  </si>
  <si>
    <t>Insurance</t>
  </si>
  <si>
    <t>Search Engine Optimization</t>
  </si>
  <si>
    <t>SEO</t>
  </si>
  <si>
    <t>Misc (Engine/Old)</t>
  </si>
  <si>
    <t>PDP - Ask &amp; Answer (Parent) (0 = none; 100 = weak; 300 = great)</t>
  </si>
  <si>
    <t>PDP - Ask &amp; Answer (Child) (0 = none; 100 = weak; 300 = great)</t>
  </si>
  <si>
    <t>PDP - Reviews (Parent)</t>
  </si>
  <si>
    <t>Adj Avg</t>
  </si>
  <si>
    <t>Everything after this sheet can be ignored for project scoring</t>
  </si>
  <si>
    <t>Misc Pages (non-menu, category, product, conversion)</t>
  </si>
  <si>
    <t>Menu / Header / Site Search</t>
  </si>
  <si>
    <t>PDP - Page Organization</t>
  </si>
  <si>
    <t>Product Discovery</t>
  </si>
  <si>
    <t>Automotive</t>
  </si>
  <si>
    <t>Banking</t>
  </si>
  <si>
    <t>Business Services</t>
  </si>
  <si>
    <t>Chemicals &amp; Petroleum</t>
  </si>
  <si>
    <t>Consumer Products</t>
  </si>
  <si>
    <t>Education</t>
  </si>
  <si>
    <t>Electronics</t>
  </si>
  <si>
    <t>Energy &amp; Utilities</t>
  </si>
  <si>
    <t>Financial Markets</t>
  </si>
  <si>
    <t>Government</t>
  </si>
  <si>
    <t>Hospitality</t>
  </si>
  <si>
    <t>Industrial Products</t>
  </si>
  <si>
    <t>Life Sciences</t>
  </si>
  <si>
    <t>Manufacturing</t>
  </si>
  <si>
    <t>Other</t>
  </si>
  <si>
    <t>Media &amp; Entertainment</t>
  </si>
  <si>
    <t>Professional Services</t>
  </si>
  <si>
    <t>Technology</t>
  </si>
  <si>
    <t>Travel &amp; Transportation</t>
  </si>
  <si>
    <t>Wholsale Distribution &amp; Services</t>
  </si>
  <si>
    <t>Sector Type</t>
  </si>
  <si>
    <t>Website / Lead Gen</t>
  </si>
  <si>
    <t>&lt;Industry Sector&gt;</t>
  </si>
  <si>
    <t>&lt;Source&gt;</t>
  </si>
  <si>
    <t>Non-McKinsey</t>
  </si>
  <si>
    <t>McKinsey</t>
  </si>
  <si>
    <t>&lt;Type&gt;</t>
  </si>
  <si>
    <t>No E-Referral</t>
  </si>
  <si>
    <r>
      <rPr>
        <b/>
        <sz val="11"/>
        <color theme="0"/>
        <rFont val="Wingdings"/>
        <charset val="2"/>
      </rPr>
      <t>«</t>
    </r>
    <r>
      <rPr>
        <b/>
        <sz val="11"/>
        <color theme="0"/>
        <rFont val="Calibri"/>
        <family val="2"/>
        <scheme val="minor"/>
      </rPr>
      <t>PROJECT CONFIGURATION</t>
    </r>
    <r>
      <rPr>
        <b/>
        <sz val="11"/>
        <color theme="0"/>
        <rFont val="Wingdings"/>
        <charset val="2"/>
      </rPr>
      <t>«</t>
    </r>
  </si>
  <si>
    <t>DO NOT DELETE</t>
  </si>
  <si>
    <t>Yes E-Referral</t>
  </si>
  <si>
    <t>E-Commerce Functionality</t>
  </si>
  <si>
    <t>P. Disc</t>
  </si>
  <si>
    <t>Union Bank</t>
  </si>
  <si>
    <t>Text Bullet 4</t>
  </si>
  <si>
    <t>Dorner Conveyors</t>
  </si>
  <si>
    <t>Example Deck</t>
  </si>
  <si>
    <t>http://northpage.com/dlx_files/mck067/northpage-digital-insight-dorner-pre-lop-mckinsey-january-2017.zip</t>
  </si>
  <si>
    <t>http://northpage.com/dlx_files/mck067/northpage-digital-insight-union-bank-competitive-pre-lop-mckinsey-jan-2017.zip</t>
  </si>
  <si>
    <t>http://northpage.com/dlx_files/mck067/northpage-digital-insight-intermountian-healthcare-pre-lop-mckinsey-december-2016.zip</t>
  </si>
  <si>
    <t>Intermountain Healthcare</t>
  </si>
  <si>
    <t>J. Crew</t>
  </si>
  <si>
    <t>http://northpage.com/dlx_files/mck067/northpage-digital-insight-jcrew-pre-lop-mckinsey-december-2016.zip</t>
  </si>
  <si>
    <t>http://northpage.com/dlx_files/mck067/northpage-digital-insight-johnson-insurance-pre-lop-mckinsey-september-2016.zip</t>
  </si>
  <si>
    <t>Johnson Insurance</t>
  </si>
  <si>
    <t>http://northpage.com/dlx_files/mck067/northpage-digital-insight-al-futtaim-pre-lop-mckinsey-september-2016.zip</t>
  </si>
  <si>
    <t>Toyota</t>
  </si>
  <si>
    <t>Verizon Wireless</t>
  </si>
  <si>
    <t>http://northpage.com/dlx_files/mck067/northpage-digital-insight-verizon-wireless-mckinsey-pre-lop-july-2016.zip</t>
  </si>
  <si>
    <t>http://northpage.com/dlx_files/mck067/northpage-digital-insight-nuveen-pre-lop-mckinsey-april-2016.zip</t>
  </si>
  <si>
    <t>Nuveen Investments</t>
  </si>
  <si>
    <t>http://northpage.com/dlx_files/mck067/northpage-digital-insight-origin-energy-pre-lop-mckinsey-feb-2016.zip</t>
  </si>
  <si>
    <t>Origin Energy</t>
  </si>
  <si>
    <t>http://northpage.com/dlx_files/mck067/northpage-digital-insight-dell-pre-lop-mckinsey-feb-2016.zip</t>
  </si>
  <si>
    <t>Dell</t>
  </si>
  <si>
    <t>http://northpage.com/dlx_files/mck067/northpage-digital-insight-government-services-aus-nsw-rms-pre-lop-nov-2014.zip</t>
  </si>
  <si>
    <t>NSW Roads &amp; Maritime</t>
  </si>
  <si>
    <t>http://northpage.com/dlx_files/mck067/northpage-digital-insight-fifa-pre-lop-mckinsey-january-2016.zip</t>
  </si>
  <si>
    <t>FIFA</t>
  </si>
  <si>
    <t>Hyatt</t>
  </si>
  <si>
    <t>http://northpage.com/dlx_files/hyatt-n50kc/northpage-digital-insight-hyatt-jan-2017.zip</t>
  </si>
  <si>
    <t>http://northpage.com/dlx_files/adobe-koxc/northpage-digital-insight-brightview-preview-analysis-adobe-september%202016.pptx</t>
  </si>
  <si>
    <t>Brightview</t>
  </si>
  <si>
    <t>http://northpage.com/dlx_files/mck067/northpage-digital-insight-usttl-custom-study-mckinsey-jan-2016-b.zip</t>
  </si>
  <si>
    <t>Carnival Cruise Lines</t>
  </si>
  <si>
    <t>Coop DK (Grocer)</t>
  </si>
  <si>
    <t>http://northpage.com/dlx_files/mck067/northpage-digital-insight-pre-lop-coop-dk-mckinsey-april-2016.zip</t>
  </si>
  <si>
    <t>Active Evaluation is the most important area along the Customer Digital Journey for the analyzed Automobile Companies</t>
  </si>
  <si>
    <t>A successful digital marketing program set requires foundational capability and performance in mobile, website, product merchandising, and mobile compatibility</t>
  </si>
  <si>
    <t>Influencing visitors to engage with product information is the primary driver for the analyzed Automobile Companies</t>
  </si>
  <si>
    <t>Product discovery is an area of distinction for the analyzed Automobile Companies, as companies are heavily investing in new and interesting ways to enable visitors to find and configure products on the website</t>
  </si>
  <si>
    <t>Active Evaluation and Conversion are the most important areas along the Customer Digital Journey for the analyzed mortgage providers</t>
  </si>
  <si>
    <t>A successful digital marketing program set requires foundational capability and performance in mobile, website, product merchandising, and user registration</t>
  </si>
  <si>
    <t>Influencing visitors to discover products and convert online are primary drivers for the analyzed mortgage providers</t>
  </si>
  <si>
    <t>Product discovery is an area of distinction for the analyzed mortgage providers, as companies are heavily investing in new and interesting ways to enable visitors to find products on the website</t>
  </si>
  <si>
    <t>Online retailers must emphasize active evaluation and conversion capabilities</t>
  </si>
  <si>
    <t>A successful digital marketing program set requires foundational capability and performance in product discovery &amp; merchandising, mobile, E-commerce and website</t>
  </si>
  <si>
    <t>Search engine marketing and content marketing are also important to drive digital performance</t>
  </si>
  <si>
    <t>Getting visitors to discover funds and general product information is the primary driver of investment management websites</t>
  </si>
  <si>
    <t>A successful digital marketing program set requires foundational capability and performance in mobile, website, product merchandising, and content marketing</t>
  </si>
  <si>
    <t>Active Evaluation is the most important area for investment management companies</t>
  </si>
  <si>
    <t>Product discovery is a potential area of distinction for the investment management digital programs</t>
  </si>
  <si>
    <t>Active Evaluation is the most important area along the Customer Digital Journey for the analyzed healthcare providers</t>
  </si>
  <si>
    <t xml:space="preserve">A successful digital marketing program set requires foundational capability and performance in mobile, website, and product merchandising </t>
  </si>
  <si>
    <t xml:space="preserve">Getting visitors to find primary healthcare providers online is the primary driver/function of these websites </t>
  </si>
  <si>
    <t>Mobile is an area of distinction for the analyzed websites, as companies are heavily investing to push the state of the art in mobile user experience</t>
  </si>
  <si>
    <t>A successful digital marketing program set requires foundational capability and performance in SEO, mobile, website, product merchandising, hotel discovery, and E-commerce functionality</t>
  </si>
  <si>
    <t>Opportunity Conversion is the most important Customer Digital Journey element for hospitality</t>
  </si>
  <si>
    <t>Deploying a balanced program set is critical to digital marketing program success</t>
  </si>
  <si>
    <t>Active Evaluation and Conversion are the most important areas along the Customer Digital Journey for the analyzed Industrial Automation and Manufacturing companies</t>
  </si>
  <si>
    <t>A successful digital marketing program set requires foundational capability and performance in mobile, website, product merchandising and user registration</t>
  </si>
  <si>
    <t>Influencing visitors to discover products and convert online are primary drivers for the analyzed Industrial Automation and Manufacturing companies</t>
  </si>
  <si>
    <t>Product discovery is an area of distinction for the analyzed Industrial Automation and Manufacturing companies, as companies are heavily investing in new and interesting ways to enable visitors to find products on the website</t>
  </si>
  <si>
    <t>Entertainment companies must emphasize active evaluation capabilities</t>
  </si>
  <si>
    <t>A successful digital marketing program set requires foundational capability and performance in product discovery &amp; merchandising, mobile, content marketing and website technical/functional</t>
  </si>
  <si>
    <t>Content integration and website usability is a critical driver of time spent on site</t>
  </si>
  <si>
    <t>Demand Generation is the most important areas along the Customer Digital Journey for Commercial Landscaping</t>
  </si>
  <si>
    <t>A successful digital marketing program set requires foundational capability and performance in mobile, website, product merchandising, and online conversion functionality</t>
  </si>
  <si>
    <t>Getting visitors to discover products and convert online are primary drivers for Commercial Landscaping</t>
  </si>
  <si>
    <t>Active Evaluation and Conversion are the most important areas along the Customer Digital Journey for the analyzed Fashion Retailers</t>
  </si>
  <si>
    <t>A successful digital marketing program set requires foundational capability and performance in mobile, website, product merchandising, and E-Commerce Functionality</t>
  </si>
  <si>
    <t>Influencing visitors to discover products and convert online are primary drivers for the analyzed Fashion Retailers</t>
  </si>
  <si>
    <t>Product discovery is an area of distinction for the analyzed Fashion Retailers, as companies are heavily investing in new and interesting ways to enable visitors to find products on the website</t>
  </si>
  <si>
    <t>Active Evaluation and Conversion are the most important areas along the Customer Digital Journey for the analyzed Telecom Providers</t>
  </si>
  <si>
    <t>A successful digital marketing program set requires foundational capability and performance in mobile, website, product merchandising, and e-commerce functionality</t>
  </si>
  <si>
    <t>Influencing visitors to discover products and convert online are primary drivers for the analyzed Telecom Providers</t>
  </si>
  <si>
    <t>Product discovery is an area of distinction for the analyzed Telecom Provider, as companies are heavily investing in new and interesting ways to enable visitors to find products on the website</t>
  </si>
  <si>
    <t>Opportunity Conversion is the most important Customer Digital Journey element for travel companies</t>
  </si>
  <si>
    <t>A successful digital marketing program set requires foundational capability and performance in SEO, mobile, website, product merchandising, product discovery, and E-commerce functionality</t>
  </si>
  <si>
    <t>Active Evaluation is the most important area for online grocers</t>
  </si>
  <si>
    <t>A successful digital marketing program set requires foundational capability and performance in mobile, website, product merchandising, and e-commerce</t>
  </si>
  <si>
    <t>Getting visitors to discover products and convert online are primary drivers of online grocer websites</t>
  </si>
  <si>
    <t>Product &amp; category discovery is a potential area of distinction for the online grocer digital programs</t>
  </si>
  <si>
    <t xml:space="preserve">   *Google Page Speed - UX (Pass = 100 / Fail = -400) (Parent)</t>
  </si>
  <si>
    <t xml:space="preserve">   *Google Page Speed - UX (Pass = 100 / Fail = -400) (Child)</t>
  </si>
  <si>
    <t>Website Taxonomy (100 = good, 50 = medium; 0 = bad)</t>
  </si>
  <si>
    <t>Non N/A Weight Sum:</t>
  </si>
  <si>
    <t>Avg*(1)%</t>
  </si>
  <si>
    <t>H1 Tag Quality</t>
  </si>
  <si>
    <t>Title Tag Quality</t>
  </si>
  <si>
    <t>Description Tag Quality</t>
  </si>
  <si>
    <t>URL Quality</t>
  </si>
  <si>
    <t xml:space="preserve">   Category Pages</t>
  </si>
  <si>
    <t>Sub-Category Pages (E-Comm only)</t>
  </si>
  <si>
    <t>Product Journeys / Clicks to Value</t>
  </si>
  <si>
    <t>Save/Wishlist (100/0)</t>
  </si>
  <si>
    <t>Checkout Shipping Usability</t>
  </si>
  <si>
    <t>Blog Deployment (100 = weak blog / low content quantity; 200 = good blog / medium content quantity; 300 = great blog / high content quantity)</t>
  </si>
  <si>
    <t>Community/Forum Deployment (Parent) (0 = none; 100 = weak; 200 = great)</t>
  </si>
  <si>
    <t xml:space="preserve">Domain Authority </t>
  </si>
  <si>
    <t>Mobile Desktop Mirror (Same = 100; A lot less = up to -1000)</t>
  </si>
  <si>
    <t>*Website Footprint* (100 if no issues; 0 if some issues; -200 if large issues) (Child)</t>
  </si>
  <si>
    <t>*Website Footprint* (100 if no issues; 0 if some issues; -200 if large issues) (Parent)</t>
  </si>
  <si>
    <t>Website Template (Parent)</t>
  </si>
  <si>
    <t>Home Page Discovery Paths (Child)</t>
  </si>
  <si>
    <t>Home Page Discovery Paths (Parent)</t>
  </si>
  <si>
    <t>*Content Asset Summary* (Child)</t>
  </si>
  <si>
    <t>Checkout Support Path Availability / Deployment (Call, Chat, FAQs) (Parent)</t>
  </si>
  <si>
    <t>Checkout Support Path Availability / Deployment (Call, Chat, FAQs) (Child)</t>
  </si>
  <si>
    <t>Kohl's</t>
  </si>
  <si>
    <t>JCPenney</t>
  </si>
  <si>
    <t>Macy's</t>
  </si>
  <si>
    <t>Sears</t>
  </si>
  <si>
    <t>Dillards</t>
  </si>
  <si>
    <t>PDP - Support Integration (Child)</t>
  </si>
  <si>
    <t>Brand</t>
  </si>
  <si>
    <t>PDF Content Deployed (Bad) (No PDF Content = 100; Some PDF Content = 0; A lot of PDF Content = -300</t>
  </si>
  <si>
    <t>B&amp;H</t>
  </si>
  <si>
    <t>Comp 1</t>
  </si>
  <si>
    <t>Comp 2</t>
  </si>
  <si>
    <t>Comp 3</t>
  </si>
  <si>
    <t>Comp 4</t>
  </si>
  <si>
    <t>Initial Consideration</t>
  </si>
  <si>
    <t>Active Evaluation</t>
  </si>
  <si>
    <t>Experience &amp; Loyalty</t>
  </si>
  <si>
    <t>Mobile Compatibility</t>
  </si>
  <si>
    <t>E-Referral Functionality</t>
  </si>
  <si>
    <t>HighWater Marks for Korte</t>
  </si>
  <si>
    <t>Ulta</t>
  </si>
  <si>
    <t>Walgreens</t>
  </si>
  <si>
    <t>Salesforce.com</t>
  </si>
  <si>
    <t>Useful Info</t>
  </si>
  <si>
    <t>Nike</t>
  </si>
  <si>
    <t>Website Security (HTTPS on all pages) (100 if yes, -250 if no)</t>
  </si>
  <si>
    <t>Mobile Experience</t>
  </si>
  <si>
    <t>Ordering Weights</t>
  </si>
  <si>
    <t>Attract</t>
  </si>
  <si>
    <t>Engage</t>
  </si>
  <si>
    <t>Convert</t>
  </si>
  <si>
    <t>CDJ INDEX RANK</t>
  </si>
  <si>
    <t>Enter "1" under "Target"</t>
  </si>
  <si>
    <t>TARGET SUMMARY</t>
  </si>
  <si>
    <t>PAST SCORES</t>
  </si>
  <si>
    <t>SCORING INPUTS</t>
  </si>
  <si>
    <t>SCORING</t>
  </si>
  <si>
    <t>OVERALL RANK</t>
  </si>
  <si>
    <t>URL</t>
  </si>
  <si>
    <t>GTM</t>
  </si>
  <si>
    <t>Ping</t>
  </si>
  <si>
    <t>Wtech</t>
  </si>
  <si>
    <t>Footprint</t>
  </si>
  <si>
    <t>Mopt</t>
  </si>
  <si>
    <t>Mfcp</t>
  </si>
  <si>
    <t>Mdcl</t>
  </si>
  <si>
    <t>Mtech</t>
  </si>
  <si>
    <t>M UX</t>
  </si>
  <si>
    <t>Sconstct</t>
  </si>
  <si>
    <t>P. Mer</t>
  </si>
  <si>
    <t>E-Com</t>
  </si>
  <si>
    <t>INDEX</t>
  </si>
  <si>
    <t>Apollo</t>
  </si>
  <si>
    <t>Western Governors University</t>
  </si>
  <si>
    <t>Southern New Hampshire University</t>
  </si>
  <si>
    <t>PAST SCORE ID</t>
  </si>
  <si>
    <t>SCORE DATE</t>
  </si>
  <si>
    <t>NA</t>
  </si>
  <si>
    <t>SEGMENT</t>
  </si>
  <si>
    <t>Company (in deliverable)</t>
  </si>
  <si>
    <t>Project Type - Function</t>
  </si>
  <si>
    <t>Date Scored</t>
  </si>
  <si>
    <t>Geography</t>
  </si>
  <si>
    <t>Partner</t>
  </si>
  <si>
    <t>Conversion Type</t>
  </si>
  <si>
    <t>Industry</t>
  </si>
  <si>
    <t>Focus/Sub Industry</t>
  </si>
  <si>
    <t>Target Brand</t>
  </si>
  <si>
    <t>Website Techinical &amp; Functional</t>
  </si>
  <si>
    <t>Content Marketing</t>
  </si>
  <si>
    <t>Product Merchandising</t>
  </si>
  <si>
    <t>E-Commerce Funtionality</t>
  </si>
  <si>
    <t>Online Support</t>
  </si>
  <si>
    <t>Omni Channel Functionality</t>
  </si>
  <si>
    <t>User Experience</t>
  </si>
  <si>
    <t>Offline Conversion</t>
  </si>
  <si>
    <t>Online Application</t>
  </si>
  <si>
    <t>Quote/Application Path</t>
  </si>
  <si>
    <t>C-Level Report</t>
  </si>
  <si>
    <t>USA</t>
  </si>
  <si>
    <t>IBM</t>
  </si>
  <si>
    <t>Athletic Apparel Retail</t>
  </si>
  <si>
    <t>Under Armour</t>
  </si>
  <si>
    <t>Adidas</t>
  </si>
  <si>
    <t>New Balance</t>
  </si>
  <si>
    <t>Russell Athletic</t>
  </si>
  <si>
    <t>Puma</t>
  </si>
  <si>
    <t>Patagonia</t>
  </si>
  <si>
    <t>Lululemon Athletica</t>
  </si>
  <si>
    <t>Columbia Sportswear</t>
  </si>
  <si>
    <t>Pilot Analysis</t>
  </si>
  <si>
    <t>Mountain Hardwear</t>
  </si>
  <si>
    <t>Sorel</t>
  </si>
  <si>
    <t>REI</t>
  </si>
  <si>
    <t>Raley's Supermarkets</t>
  </si>
  <si>
    <t>Pre-LOP</t>
  </si>
  <si>
    <t>Online Grocers</t>
  </si>
  <si>
    <t>Safeway</t>
  </si>
  <si>
    <t>Whole Foods Market</t>
  </si>
  <si>
    <t>Save Mart</t>
  </si>
  <si>
    <t>Kroger</t>
  </si>
  <si>
    <t>Vodafone IN</t>
  </si>
  <si>
    <t>Scoring Only</t>
  </si>
  <si>
    <t>India</t>
  </si>
  <si>
    <t>Telecommunications</t>
  </si>
  <si>
    <t>Airtel</t>
  </si>
  <si>
    <t>Jio</t>
  </si>
  <si>
    <t>!dea</t>
  </si>
  <si>
    <t>Reliance Communications</t>
  </si>
  <si>
    <t>Wells Fargo Small Business</t>
  </si>
  <si>
    <t>NorthPage</t>
  </si>
  <si>
    <t>Small Business Banking</t>
  </si>
  <si>
    <t>Chase Business</t>
  </si>
  <si>
    <t>American Express Small Business</t>
  </si>
  <si>
    <t>Square Small Business</t>
  </si>
  <si>
    <t>Bank of America Small Business</t>
  </si>
  <si>
    <t>Capital One Small Business</t>
  </si>
  <si>
    <t>US Bank Small Business</t>
  </si>
  <si>
    <t>Citi Small Business</t>
  </si>
  <si>
    <t>Lulus</t>
  </si>
  <si>
    <t>Fashion Retail</t>
  </si>
  <si>
    <t>Revolve</t>
  </si>
  <si>
    <t>Asos</t>
  </si>
  <si>
    <t>MissGuided</t>
  </si>
  <si>
    <t>Fashion Nova</t>
  </si>
  <si>
    <t>H&amp;M</t>
  </si>
  <si>
    <t>Forever 21</t>
  </si>
  <si>
    <t>AutoNation</t>
  </si>
  <si>
    <t xml:space="preserve">Automotive Retail </t>
  </si>
  <si>
    <t>Carvana</t>
  </si>
  <si>
    <t>Tred</t>
  </si>
  <si>
    <t>Vroom</t>
  </si>
  <si>
    <t>Shift</t>
  </si>
  <si>
    <t>Carmax</t>
  </si>
  <si>
    <t>HWM</t>
  </si>
  <si>
    <t>AT&amp;T Enterprise</t>
  </si>
  <si>
    <t>GLOBAL</t>
  </si>
  <si>
    <t>Telecom Business Services</t>
  </si>
  <si>
    <t>British Telecom Enterprise Global Services</t>
  </si>
  <si>
    <t>Orange Business Services</t>
  </si>
  <si>
    <t>Deutsche Telecom Global Services</t>
  </si>
  <si>
    <t>Telefonica Business Solutions</t>
  </si>
  <si>
    <t>Telstra Enterprise</t>
  </si>
  <si>
    <t>Verizon Enterprise</t>
  </si>
  <si>
    <t>Sprint Business</t>
  </si>
  <si>
    <t>SiriusXM</t>
  </si>
  <si>
    <t>Insight Report</t>
  </si>
  <si>
    <t>Subscription</t>
  </si>
  <si>
    <t>Subscription-Based Media</t>
  </si>
  <si>
    <t>Pandora</t>
  </si>
  <si>
    <t>Spotify</t>
  </si>
  <si>
    <t>Hulu</t>
  </si>
  <si>
    <t>McAfee</t>
  </si>
  <si>
    <t>The Washington Post</t>
  </si>
  <si>
    <t>Camaieu FR</t>
  </si>
  <si>
    <t>France</t>
  </si>
  <si>
    <t>Kiabi FR</t>
  </si>
  <si>
    <t>Promod FR</t>
  </si>
  <si>
    <t>Cache Cache FR</t>
  </si>
  <si>
    <t>Mango FR</t>
  </si>
  <si>
    <t>Etam FR</t>
  </si>
  <si>
    <t>Hewlett Packard Enterprise</t>
  </si>
  <si>
    <t>B2B Tech</t>
  </si>
  <si>
    <t>B2B Tech Providers</t>
  </si>
  <si>
    <t>Dell EMC</t>
  </si>
  <si>
    <t>Cisco</t>
  </si>
  <si>
    <t>Zendesk</t>
  </si>
  <si>
    <t xml:space="preserve">ServiceNow </t>
  </si>
  <si>
    <t>Box</t>
  </si>
  <si>
    <t>Qualcomm</t>
  </si>
  <si>
    <t>Optus AU (B2B)</t>
  </si>
  <si>
    <t>Ancestry</t>
  </si>
  <si>
    <t>Online Subscription Services</t>
  </si>
  <si>
    <t>23 and Me</t>
  </si>
  <si>
    <t>My Heritage</t>
  </si>
  <si>
    <t>Netflix</t>
  </si>
  <si>
    <t>The Home Depot</t>
  </si>
  <si>
    <t>National Bank of Canada</t>
  </si>
  <si>
    <t>FUP</t>
  </si>
  <si>
    <t>Canada</t>
  </si>
  <si>
    <t xml:space="preserve">Banking and Financial Services </t>
  </si>
  <si>
    <t>Desjardins</t>
  </si>
  <si>
    <t>De Beers</t>
  </si>
  <si>
    <t>Luxury Retail</t>
  </si>
  <si>
    <t>Forevermark</t>
  </si>
  <si>
    <t>Brilliant Earth</t>
  </si>
  <si>
    <t>Nordstrom</t>
  </si>
  <si>
    <t>Saks Fifth Avenue</t>
  </si>
  <si>
    <t>RBC CA</t>
  </si>
  <si>
    <t>TD Bank CA</t>
  </si>
  <si>
    <t>CIBC CA</t>
  </si>
  <si>
    <t>BMO CA</t>
  </si>
  <si>
    <t>Scotiabank CA</t>
  </si>
  <si>
    <t xml:space="preserve">Iittala </t>
  </si>
  <si>
    <t>UK and Finland</t>
  </si>
  <si>
    <t>Glassware Retail</t>
  </si>
  <si>
    <t>Iittala UK</t>
  </si>
  <si>
    <t>Iittala FI</t>
  </si>
  <si>
    <t>Villeroy &amp; Boch UK</t>
  </si>
  <si>
    <t>Joseph &amp; Joseph UK</t>
  </si>
  <si>
    <t>Alessi FI</t>
  </si>
  <si>
    <t>Incapsula</t>
  </si>
  <si>
    <t xml:space="preserve">B2B Tech Providers </t>
  </si>
  <si>
    <t xml:space="preserve">Data and Security Services </t>
  </si>
  <si>
    <t>Imperva</t>
  </si>
  <si>
    <t>Akamai</t>
  </si>
  <si>
    <t>F5 Networks</t>
  </si>
  <si>
    <t>Cloudflare</t>
  </si>
  <si>
    <t>IBM Security</t>
  </si>
  <si>
    <t>BR DK</t>
  </si>
  <si>
    <t>Denmark &amp; Sweden</t>
  </si>
  <si>
    <t>Toy Retail</t>
  </si>
  <si>
    <t>Jollyroom SE</t>
  </si>
  <si>
    <t>Lekmer SE</t>
  </si>
  <si>
    <t>Lego DK</t>
  </si>
  <si>
    <t>EuroToys DK</t>
  </si>
  <si>
    <t>The Warehouse Group NZ</t>
  </si>
  <si>
    <t>New Zealand</t>
  </si>
  <si>
    <t>Farmers NZ</t>
  </si>
  <si>
    <t>Mighty Ape NZ</t>
  </si>
  <si>
    <t>Kmart NZ</t>
  </si>
  <si>
    <t>Amazon AU</t>
  </si>
  <si>
    <t>SSE Business Energy</t>
  </si>
  <si>
    <t>Rapid Insight</t>
  </si>
  <si>
    <t>Energy Providers</t>
  </si>
  <si>
    <t>nPower (RWE)</t>
  </si>
  <si>
    <t>e.on</t>
  </si>
  <si>
    <t>British Gas</t>
  </si>
  <si>
    <t>SCOTTISHPOWER</t>
  </si>
  <si>
    <t>EDF Energy</t>
  </si>
  <si>
    <t>Boeing Commercial</t>
  </si>
  <si>
    <t>Commercial Manufacturing</t>
  </si>
  <si>
    <t xml:space="preserve">Commercial Aerospace </t>
  </si>
  <si>
    <t>Airbus Aircraft</t>
  </si>
  <si>
    <t>GE Aviation</t>
  </si>
  <si>
    <t>Siemens Industrial Manufacturing</t>
  </si>
  <si>
    <t>Caterpillar Equipment</t>
  </si>
  <si>
    <t>Blue Nile</t>
  </si>
  <si>
    <t>Tiffany &amp; Co.</t>
  </si>
  <si>
    <t>James Allen</t>
  </si>
  <si>
    <t>Cartier</t>
  </si>
  <si>
    <t>Telenor SE</t>
  </si>
  <si>
    <t>Sweden</t>
  </si>
  <si>
    <t>Wireless Telecom Providers</t>
  </si>
  <si>
    <t>Telia SE</t>
  </si>
  <si>
    <t>Tele2 SE</t>
  </si>
  <si>
    <t>Hutchinson 3G SE</t>
  </si>
  <si>
    <t>Lycamobile SE</t>
  </si>
  <si>
    <t>Vimla SE</t>
  </si>
  <si>
    <t>Workday</t>
  </si>
  <si>
    <t>Optus AU</t>
  </si>
  <si>
    <t>Australia</t>
  </si>
  <si>
    <t>Telstra AU</t>
  </si>
  <si>
    <t>Vodafone AU</t>
  </si>
  <si>
    <t>TPG Telecom AU</t>
  </si>
  <si>
    <t>Qantas AU</t>
  </si>
  <si>
    <t>Commonwealth Bank AU</t>
  </si>
  <si>
    <t>AT&amp;T US</t>
  </si>
  <si>
    <t>Boeing Commercial Services</t>
  </si>
  <si>
    <t>Aerospace</t>
  </si>
  <si>
    <t>KLM Air France Engineering &amp; Maintenance</t>
  </si>
  <si>
    <t>UTC Aerospace Systems</t>
  </si>
  <si>
    <t>Honeywell Aerospace</t>
  </si>
  <si>
    <t>ForeFlight</t>
  </si>
  <si>
    <t>Airbus Services</t>
  </si>
  <si>
    <t>Lufthansa Technik</t>
  </si>
  <si>
    <t>Aviall</t>
  </si>
  <si>
    <t>Satair</t>
  </si>
  <si>
    <t>Jeppesen</t>
  </si>
  <si>
    <t>Lufthansa Systems</t>
  </si>
  <si>
    <t>H&amp;M UK</t>
  </si>
  <si>
    <t>UK</t>
  </si>
  <si>
    <t>Zara UK</t>
  </si>
  <si>
    <t>ASOS UK</t>
  </si>
  <si>
    <t>Zolando UK</t>
  </si>
  <si>
    <t>Topshop UK</t>
  </si>
  <si>
    <t>Bank of America - Mobile Only</t>
  </si>
  <si>
    <t>Banking and Financial Services</t>
  </si>
  <si>
    <t>Fifth Third Bank</t>
  </si>
  <si>
    <t>Bank of Montreal</t>
  </si>
  <si>
    <t> Commonwealth Bank of Australia</t>
  </si>
  <si>
    <t>Citibank</t>
  </si>
  <si>
    <t>TIAA</t>
  </si>
  <si>
    <t>Wealthfront</t>
  </si>
  <si>
    <t>Fidelity</t>
  </si>
  <si>
    <t>American Express</t>
  </si>
  <si>
    <t>Capital One</t>
  </si>
  <si>
    <t>USAA</t>
  </si>
  <si>
    <t>Vodafone Enterprise</t>
  </si>
  <si>
    <t>BT Enterprise Global Services</t>
  </si>
  <si>
    <t>AT&amp;T Business</t>
  </si>
  <si>
    <t>Philip Morris IQOS</t>
  </si>
  <si>
    <t>Smokeless Tobacco Brands</t>
  </si>
  <si>
    <t>PAX</t>
  </si>
  <si>
    <t>BAT Vype UK</t>
  </si>
  <si>
    <t>JUUL</t>
  </si>
  <si>
    <t>Blu</t>
  </si>
  <si>
    <t>Philips</t>
  </si>
  <si>
    <t>Oral Health Brands</t>
  </si>
  <si>
    <t>Oral B</t>
  </si>
  <si>
    <t>Braun</t>
  </si>
  <si>
    <t>Alibaba</t>
  </si>
  <si>
    <t>Charles Schwab</t>
  </si>
  <si>
    <t>TD Ameritrade</t>
  </si>
  <si>
    <t>Vanguard</t>
  </si>
  <si>
    <t>Infineon</t>
  </si>
  <si>
    <t>Semiconductor</t>
  </si>
  <si>
    <t xml:space="preserve">Semiconductor Manufacturers </t>
  </si>
  <si>
    <t>Texas Instruments</t>
  </si>
  <si>
    <t>Microchip</t>
  </si>
  <si>
    <t>ST Microelectronics</t>
  </si>
  <si>
    <t>NXP Semiconductors</t>
  </si>
  <si>
    <t>Renesas Electronics Corp</t>
  </si>
  <si>
    <t>Atmel</t>
  </si>
  <si>
    <t>Broadcom</t>
  </si>
  <si>
    <t>Digital Insight Report</t>
  </si>
  <si>
    <t>Bank of America (Mobile Scoring)</t>
  </si>
  <si>
    <t>Banking and Finacial Services</t>
  </si>
  <si>
    <t>Bank of Montreal (Mobile Scoring)</t>
  </si>
  <si>
    <t>Fifth Third Bank (Mobile Scoring)</t>
  </si>
  <si>
    <t> Commonwealth Bank of Australia (Mobile Scoring)</t>
  </si>
  <si>
    <t>Citibank (Mobile Scoring)</t>
  </si>
  <si>
    <t>Sony Bank (MoneyKit)</t>
  </si>
  <si>
    <t>National Australia Bank</t>
  </si>
  <si>
    <t>Japan</t>
  </si>
  <si>
    <t>Sumitomo Mitsui Banking Corporation</t>
  </si>
  <si>
    <t>AEON Bank</t>
  </si>
  <si>
    <t>SBI Sumishin Net Bank</t>
  </si>
  <si>
    <t>HealthPartners</t>
  </si>
  <si>
    <t>Healthcare Providers</t>
  </si>
  <si>
    <t>Mayo Clinic</t>
  </si>
  <si>
    <t>Allina Health</t>
  </si>
  <si>
    <t>Fairview</t>
  </si>
  <si>
    <t>University of Minnesota Health</t>
  </si>
  <si>
    <t>HLS</t>
  </si>
  <si>
    <t>Performance Subscription</t>
  </si>
  <si>
    <t>Healthcare Payer</t>
  </si>
  <si>
    <t>Anthem</t>
  </si>
  <si>
    <t xml:space="preserve">Aetna </t>
  </si>
  <si>
    <t>BSCA</t>
  </si>
  <si>
    <t>UHG</t>
  </si>
  <si>
    <t>Kaiser</t>
  </si>
  <si>
    <t>BCBS MA</t>
  </si>
  <si>
    <t>Horizon BCBS</t>
  </si>
  <si>
    <t>NASCO</t>
  </si>
  <si>
    <t>HCSC</t>
  </si>
  <si>
    <t>Highmark</t>
  </si>
  <si>
    <t>Sentara Healthcare</t>
  </si>
  <si>
    <t>Oschner Health System</t>
  </si>
  <si>
    <t>Northwell Health</t>
  </si>
  <si>
    <t>Baylor Scott and White</t>
  </si>
  <si>
    <t>Dignity Healthcare</t>
  </si>
  <si>
    <t>Cleveland Clinic</t>
  </si>
  <si>
    <t>Texas Health Resources</t>
  </si>
  <si>
    <t>Pharmaceuticals</t>
  </si>
  <si>
    <t>Abbott</t>
  </si>
  <si>
    <t>Johnson &amp; Johnson</t>
  </si>
  <si>
    <t>ConvaTec</t>
  </si>
  <si>
    <t>AbbVie</t>
  </si>
  <si>
    <t>Illumina</t>
  </si>
  <si>
    <t>Pfizer</t>
  </si>
  <si>
    <t>Amgen</t>
  </si>
  <si>
    <t>Novartis</t>
  </si>
  <si>
    <t>Lilly</t>
  </si>
  <si>
    <t>Merck &amp; Co</t>
  </si>
  <si>
    <t>Bio-Rad</t>
  </si>
  <si>
    <t>Genentech</t>
  </si>
  <si>
    <t>Teva Pharmaceutical Industries</t>
  </si>
  <si>
    <t>Enphase</t>
  </si>
  <si>
    <t>Energy</t>
  </si>
  <si>
    <t>Energy Technology</t>
  </si>
  <si>
    <t>Solar Edge</t>
  </si>
  <si>
    <t>SMA America</t>
  </si>
  <si>
    <t>Sunpower</t>
  </si>
  <si>
    <t>Solar World</t>
  </si>
  <si>
    <t>Kisqali</t>
  </si>
  <si>
    <t>Verzenio</t>
  </si>
  <si>
    <t>Ibrance</t>
  </si>
  <si>
    <t>Perjeta</t>
  </si>
  <si>
    <t>Kadcyla</t>
  </si>
  <si>
    <t>HSBC</t>
  </si>
  <si>
    <t>Barclays UK</t>
  </si>
  <si>
    <t>HSBC HK</t>
  </si>
  <si>
    <t>DBS HK</t>
  </si>
  <si>
    <t>HSBC US</t>
  </si>
  <si>
    <t>HSBC UK</t>
  </si>
  <si>
    <t>Logitech</t>
  </si>
  <si>
    <t>Electronics Brands</t>
  </si>
  <si>
    <t>Acer</t>
  </si>
  <si>
    <t>Bose</t>
  </si>
  <si>
    <t>HP</t>
  </si>
  <si>
    <t>Lenovo</t>
  </si>
  <si>
    <t>Fitchburg State University</t>
  </si>
  <si>
    <t>Analysis</t>
  </si>
  <si>
    <t>Online Higher Education</t>
  </si>
  <si>
    <t>University of Massachusetts Lowell</t>
  </si>
  <si>
    <t>Liberty University</t>
  </si>
  <si>
    <t>TELUS Communications CA</t>
  </si>
  <si>
    <t>Telecom Buisiness Services</t>
  </si>
  <si>
    <t>Jose de Mello Saude</t>
  </si>
  <si>
    <t>Portugal and Spain</t>
  </si>
  <si>
    <t>Healthcare Services</t>
  </si>
  <si>
    <t>Luz Saude</t>
  </si>
  <si>
    <t>Lusiadas Saude</t>
  </si>
  <si>
    <t>Trofa Saude</t>
  </si>
  <si>
    <t>Quiron Salud</t>
  </si>
  <si>
    <t>Xfinity Mobile</t>
  </si>
  <si>
    <t>T-Mobile</t>
  </si>
  <si>
    <t>Sprint</t>
  </si>
  <si>
    <t>AT&amp;T Wireless</t>
  </si>
  <si>
    <t>B2B Industry</t>
  </si>
  <si>
    <t>Univar </t>
  </si>
  <si>
    <t>Abbott FreeStyle Libre</t>
  </si>
  <si>
    <t>Strategic Program Insight</t>
  </si>
  <si>
    <t>Medical Devices</t>
  </si>
  <si>
    <t>Freestyle Libre (USA)</t>
  </si>
  <si>
    <t>Freestyle Libre (UK)</t>
  </si>
  <si>
    <t>Freestyle Libre (CA)</t>
  </si>
  <si>
    <t>Accu-Chek (USA)</t>
  </si>
  <si>
    <t>Dexcom (USA)</t>
  </si>
  <si>
    <t>Fora (USA)</t>
  </si>
  <si>
    <t>One Touch (USA)</t>
  </si>
  <si>
    <t>Medtronic (USA)</t>
  </si>
  <si>
    <t>Accu-Chek (UK)</t>
  </si>
  <si>
    <t>AgaMatrix (UK)</t>
  </si>
  <si>
    <t>Contour (UK)</t>
  </si>
  <si>
    <t>Dexcom (UK)</t>
  </si>
  <si>
    <t>Medtronic (UK)</t>
  </si>
  <si>
    <t>Accu-Chek (CA)</t>
  </si>
  <si>
    <t>Dexcom(CA)</t>
  </si>
  <si>
    <t>Eversense(CA)</t>
  </si>
  <si>
    <t>Omron(CA)</t>
  </si>
  <si>
    <t>Medtronic (CA)</t>
  </si>
  <si>
    <t>The Chemours Company</t>
  </si>
  <si>
    <t>The Sherwin-Williams Company</t>
  </si>
  <si>
    <t>Nationwide Financial</t>
  </si>
  <si>
    <t xml:space="preserve">Financial Advisor Services </t>
  </si>
  <si>
    <t>John Hancock Financial</t>
  </si>
  <si>
    <t>BlackRock</t>
  </si>
  <si>
    <t>Lincoln Financial Group</t>
  </si>
  <si>
    <t>Jackson National Life Insurance</t>
  </si>
  <si>
    <t>Schlumberger </t>
  </si>
  <si>
    <t>Nationwide Retirement</t>
  </si>
  <si>
    <t>Financial Services</t>
  </si>
  <si>
    <t>Empower Retirement</t>
  </si>
  <si>
    <t>Voya Financial</t>
  </si>
  <si>
    <t>Charles Schwab Corporation</t>
  </si>
  <si>
    <t>PPG</t>
  </si>
  <si>
    <t>Nucor Corporation</t>
  </si>
  <si>
    <t>Nabors Industries</t>
  </si>
  <si>
    <t>Grainger</t>
  </si>
  <si>
    <t xml:space="preserve">Industrial Supply Retail </t>
  </si>
  <si>
    <t>Zoro</t>
  </si>
  <si>
    <t>Fastenal</t>
  </si>
  <si>
    <t>MSC Industrial Direct</t>
  </si>
  <si>
    <t>McMaster Carr</t>
  </si>
  <si>
    <t>Uline</t>
  </si>
  <si>
    <t>Applied Industrial Technologies</t>
  </si>
  <si>
    <t>Gamut</t>
  </si>
  <si>
    <t>WESCO Distribution</t>
  </si>
  <si>
    <t>Monsanto</t>
  </si>
  <si>
    <t>LafargeHolcim</t>
  </si>
  <si>
    <t>Halliburton</t>
  </si>
  <si>
    <t>Greif</t>
  </si>
  <si>
    <t>TD Bank</t>
  </si>
  <si>
    <t>SunTrust</t>
  </si>
  <si>
    <t>PNC Bank</t>
  </si>
  <si>
    <t>Georgia-Pacific</t>
  </si>
  <si>
    <t>General Electric Oil &amp; Gas</t>
  </si>
  <si>
    <t>Flowserve Corporation</t>
  </si>
  <si>
    <t>TD Bank (USA)</t>
  </si>
  <si>
    <t>Eastman Chemical Company</t>
  </si>
  <si>
    <t>The Dow Chemical Company</t>
  </si>
  <si>
    <t>MilliporeSigma</t>
  </si>
  <si>
    <t>Chemical Suppliers</t>
  </si>
  <si>
    <t>VWR</t>
  </si>
  <si>
    <t>Thermo Fisher Scientific</t>
  </si>
  <si>
    <t>EMD Millipore</t>
  </si>
  <si>
    <t>CEMEX</t>
  </si>
  <si>
    <t>C-Level + DMO</t>
  </si>
  <si>
    <t xml:space="preserve">Building Material Providers </t>
  </si>
  <si>
    <t>CEMEX (USA)</t>
  </si>
  <si>
    <t>Martin Marietta (USA)</t>
  </si>
  <si>
    <t>Philippines</t>
  </si>
  <si>
    <t>CEMEX (Philippines)</t>
  </si>
  <si>
    <t>CRH-Aboitiz (Republic Cement Philippines)</t>
  </si>
  <si>
    <t>Mexico</t>
  </si>
  <si>
    <t>CEMEX (Mexico)</t>
  </si>
  <si>
    <t>GCC (Mexico)</t>
  </si>
  <si>
    <t>Germany</t>
  </si>
  <si>
    <t>CEMEX (Germany)</t>
  </si>
  <si>
    <t>Heidelberg (Germany)</t>
  </si>
  <si>
    <t>Cargill Incorporated</t>
  </si>
  <si>
    <t>CEMEX (CORP)</t>
  </si>
  <si>
    <t>CEMEX (UK)</t>
  </si>
  <si>
    <t>Breedon (UK)</t>
  </si>
  <si>
    <t>Heidelberg (Hanson UK)</t>
  </si>
  <si>
    <t>Patrimonio Hoy (Cemex Mexico)</t>
  </si>
  <si>
    <t>Ash Grove (USA)</t>
  </si>
  <si>
    <t>St. Marys Cement (USA) - "Votorantim Cimentos"</t>
  </si>
  <si>
    <t>Moctezuma (Mexico)</t>
  </si>
  <si>
    <t>Colombia</t>
  </si>
  <si>
    <t>CEMEX (Columbia)</t>
  </si>
  <si>
    <t>Lafrage (Mexico)</t>
  </si>
  <si>
    <t>Argos (Columbia)</t>
  </si>
  <si>
    <t>Vulcan (USA)</t>
  </si>
  <si>
    <t>Lafarge (Philippines)</t>
  </si>
  <si>
    <t>Lafarge (Germany)</t>
  </si>
  <si>
    <t>Lafarge (Colombia)</t>
  </si>
  <si>
    <t>Argos (USA)</t>
  </si>
  <si>
    <t>Ball Corporation</t>
  </si>
  <si>
    <t>Chubb</t>
  </si>
  <si>
    <t>AIG</t>
  </si>
  <si>
    <t>GEICO</t>
  </si>
  <si>
    <t>Progressive</t>
  </si>
  <si>
    <t>State Farm</t>
  </si>
  <si>
    <t>Travelers</t>
  </si>
  <si>
    <t>Prudential</t>
  </si>
  <si>
    <t>New York Life</t>
  </si>
  <si>
    <t>Arconic</t>
  </si>
  <si>
    <t>Banco Del Pacifico</t>
  </si>
  <si>
    <t>Ecuador</t>
  </si>
  <si>
    <t>Banco Pichincha</t>
  </si>
  <si>
    <t>Bancolombia</t>
  </si>
  <si>
    <t>Toys "R" US</t>
  </si>
  <si>
    <t>Toys "R" US Rescore sept 17</t>
  </si>
  <si>
    <t>Matas</t>
  </si>
  <si>
    <t>Denmark</t>
  </si>
  <si>
    <t>Beauty Retail</t>
  </si>
  <si>
    <t>Sephora (Denmark)</t>
  </si>
  <si>
    <t>Douglas</t>
  </si>
  <si>
    <t xml:space="preserve">MAC Cosmetics </t>
  </si>
  <si>
    <t>Luxplus</t>
  </si>
  <si>
    <t>B2B Industry Study</t>
  </si>
  <si>
    <t>MULTIPLE</t>
  </si>
  <si>
    <t>WestRock </t>
  </si>
  <si>
    <t>American Family Insurance</t>
  </si>
  <si>
    <t>Property &amp; Casualty Insurance</t>
  </si>
  <si>
    <t>Farmers Insurance</t>
  </si>
  <si>
    <t>Sonnet</t>
  </si>
  <si>
    <t>Property Insurance</t>
  </si>
  <si>
    <t>Belair</t>
  </si>
  <si>
    <t>TD Insurance</t>
  </si>
  <si>
    <t>The Co-operators</t>
  </si>
  <si>
    <t>LATAM Airlines</t>
  </si>
  <si>
    <t>Chile</t>
  </si>
  <si>
    <t>Airlines</t>
  </si>
  <si>
    <t>Delta Air Lines</t>
  </si>
  <si>
    <t>JetBlue Airways</t>
  </si>
  <si>
    <t>Qantas Airways</t>
  </si>
  <si>
    <t>UAE</t>
  </si>
  <si>
    <t>Emirates Group</t>
  </si>
  <si>
    <t>ADD</t>
  </si>
  <si>
    <t>Industrial Supply Retail</t>
  </si>
  <si>
    <t>Bell Canada</t>
  </si>
  <si>
    <t>Rogers Communications CA</t>
  </si>
  <si>
    <t>Shaw Communications CA</t>
  </si>
  <si>
    <t>Choice Hotel</t>
  </si>
  <si>
    <t>DMO</t>
  </si>
  <si>
    <t>Deloitte</t>
  </si>
  <si>
    <t>Comfort Inn CA</t>
  </si>
  <si>
    <t>Econ Lodge CA</t>
  </si>
  <si>
    <t>Comfort Inn DE</t>
  </si>
  <si>
    <t>Quality Hotels DE</t>
  </si>
  <si>
    <t>Comfort Inn US Microsites</t>
  </si>
  <si>
    <t>Ramada CA</t>
  </si>
  <si>
    <t>Executive Hotels &amp; Resorts CA</t>
  </si>
  <si>
    <t>Holiday Inn DE</t>
  </si>
  <si>
    <t>Spark NZ</t>
  </si>
  <si>
    <t>Custom Diagnostic</t>
  </si>
  <si>
    <t xml:space="preserve">New Zealand Telecommunications </t>
  </si>
  <si>
    <t>Bigpipe</t>
  </si>
  <si>
    <t>Skinny</t>
  </si>
  <si>
    <t>Vodafone.NZ</t>
  </si>
  <si>
    <t>Air New Zealand</t>
  </si>
  <si>
    <t>2Degrees.NZ</t>
  </si>
  <si>
    <t>Slingshot.NZ</t>
  </si>
  <si>
    <t>Flip.NZ</t>
  </si>
  <si>
    <t>Contact Energy</t>
  </si>
  <si>
    <t>ANZ</t>
  </si>
  <si>
    <t>Mercury Energy</t>
  </si>
  <si>
    <t>ASB</t>
  </si>
  <si>
    <t>Genesis Energy</t>
  </si>
  <si>
    <t xml:space="preserve">Geico </t>
  </si>
  <si>
    <t>SquareTrade</t>
  </si>
  <si>
    <t>WealthSimple</t>
  </si>
  <si>
    <t>Medical City Healthcare</t>
  </si>
  <si>
    <t>Competitive Pre-LOP</t>
  </si>
  <si>
    <t xml:space="preserve">Healthcare </t>
  </si>
  <si>
    <t>Medical City Hospital Dallas</t>
  </si>
  <si>
    <t>Baylor Scott &amp; White Health</t>
  </si>
  <si>
    <t>Methodist Health System</t>
  </si>
  <si>
    <t>Bell CA</t>
  </si>
  <si>
    <t>Vodafone UK</t>
  </si>
  <si>
    <t>Intel</t>
  </si>
  <si>
    <t>Banco de Bogota</t>
  </si>
  <si>
    <t>Equipment Trader</t>
  </si>
  <si>
    <t>Machinery &amp; Equipment Supply</t>
  </si>
  <si>
    <t>Cycle Trader</t>
  </si>
  <si>
    <t>Machino</t>
  </si>
  <si>
    <t>Machine Finder</t>
  </si>
  <si>
    <t>Machinery Trader</t>
  </si>
  <si>
    <t>Banco Occidente</t>
  </si>
  <si>
    <t>Banco Bogota</t>
  </si>
  <si>
    <t>Itau</t>
  </si>
  <si>
    <t>BBVA</t>
  </si>
  <si>
    <t>Davivienda</t>
  </si>
  <si>
    <t>Citibank (Colombia)</t>
  </si>
  <si>
    <t>Banco de Occidente</t>
  </si>
  <si>
    <t>Caterpillar</t>
  </si>
  <si>
    <t>Automotive &amp; Industrial Supply Retail</t>
  </si>
  <si>
    <t>Diesel Parts Direct</t>
  </si>
  <si>
    <t xml:space="preserve">Cummins </t>
  </si>
  <si>
    <t xml:space="preserve">AutoZone </t>
  </si>
  <si>
    <t xml:space="preserve">NAPA Auto Parts </t>
  </si>
  <si>
    <t>Tractor Zone</t>
  </si>
  <si>
    <t xml:space="preserve">John Deere </t>
  </si>
  <si>
    <t xml:space="preserve">Automotive &amp; Industrial Supply Retail </t>
  </si>
  <si>
    <t>AT&amp;T</t>
  </si>
  <si>
    <t>SDI Report</t>
  </si>
  <si>
    <t>Direct Energy</t>
  </si>
  <si>
    <t>BCG</t>
  </si>
  <si>
    <t>First Choice Power</t>
  </si>
  <si>
    <t>Reliant Energy</t>
  </si>
  <si>
    <t>TXU</t>
  </si>
  <si>
    <t>Gexa Energy</t>
  </si>
  <si>
    <t>Just Energy</t>
  </si>
  <si>
    <t>First Energy</t>
  </si>
  <si>
    <t>innogy</t>
  </si>
  <si>
    <t>MetLife P&amp;C</t>
  </si>
  <si>
    <t>IBM Knowledge Center</t>
  </si>
  <si>
    <t>Technology Support Centers</t>
  </si>
  <si>
    <t>Microsoft Docs</t>
  </si>
  <si>
    <t>AWS Documentation</t>
  </si>
  <si>
    <t>Google Cloud Platform Documentation</t>
  </si>
  <si>
    <t>Oracle Support</t>
  </si>
  <si>
    <t>Apple Support</t>
  </si>
  <si>
    <t>The Entertainer</t>
  </si>
  <si>
    <t>US Toy Company</t>
  </si>
  <si>
    <t xml:space="preserve">Sephora </t>
  </si>
  <si>
    <t>Disney Toys</t>
  </si>
  <si>
    <t>Comcast (Xfinity)</t>
  </si>
  <si>
    <t>Cable Providers</t>
  </si>
  <si>
    <t>Verizon (Fios)</t>
  </si>
  <si>
    <t>Sky UK</t>
  </si>
  <si>
    <t>Dish Network</t>
  </si>
  <si>
    <t>Charter (Spectrum)</t>
  </si>
  <si>
    <t>Ryder Systems</t>
  </si>
  <si>
    <t>Transportation</t>
  </si>
  <si>
    <t>Logistics Services</t>
  </si>
  <si>
    <t>Ryder (Fleet Leasing)</t>
  </si>
  <si>
    <t>Uhaul</t>
  </si>
  <si>
    <t>Penske</t>
  </si>
  <si>
    <t>Idealease</t>
  </si>
  <si>
    <t xml:space="preserve">XPO Logistics </t>
  </si>
  <si>
    <t>Huawei UK</t>
  </si>
  <si>
    <t>Wireless Telecom Device Manufacturers</t>
  </si>
  <si>
    <t>LG UK</t>
  </si>
  <si>
    <t>Samsung UK</t>
  </si>
  <si>
    <t>Sony UK</t>
  </si>
  <si>
    <t>Vivo</t>
  </si>
  <si>
    <t>Cox Communications</t>
  </si>
  <si>
    <t>Xfinity</t>
  </si>
  <si>
    <t>Cox</t>
  </si>
  <si>
    <t>Spectrum</t>
  </si>
  <si>
    <t>Coles</t>
  </si>
  <si>
    <t>Woolworths</t>
  </si>
  <si>
    <t>Aldi</t>
  </si>
  <si>
    <t>Tesco</t>
  </si>
  <si>
    <t>Ocado</t>
  </si>
  <si>
    <t>Vodafone DE</t>
  </si>
  <si>
    <t>EE UK</t>
  </si>
  <si>
    <t>Aetna</t>
  </si>
  <si>
    <t>Life &amp; Health Insurance</t>
  </si>
  <si>
    <t>Cigna</t>
  </si>
  <si>
    <t>MetLife</t>
  </si>
  <si>
    <t>Napa</t>
  </si>
  <si>
    <t xml:space="preserve">Auto Zone </t>
  </si>
  <si>
    <t>Spark</t>
  </si>
  <si>
    <t>American Family Mutual Insurance Company</t>
  </si>
  <si>
    <t>AFMIC</t>
  </si>
  <si>
    <t xml:space="preserve">GEICO </t>
  </si>
  <si>
    <t>Esurance</t>
  </si>
  <si>
    <t xml:space="preserve">Esurance </t>
  </si>
  <si>
    <t>Farmers</t>
  </si>
  <si>
    <t>Preview-Analysis</t>
  </si>
  <si>
    <t>Athletic Apparel</t>
  </si>
  <si>
    <t>LG HVAC</t>
  </si>
  <si>
    <t>HVAC Appliances</t>
  </si>
  <si>
    <t>Mitsubishi HVAC</t>
  </si>
  <si>
    <t>Daikin HVAC</t>
  </si>
  <si>
    <t>Fujitsu HVAC</t>
  </si>
  <si>
    <t>Electronics Retail</t>
  </si>
  <si>
    <t>HWM0</t>
  </si>
  <si>
    <t>Cloud Computing</t>
  </si>
  <si>
    <t>Online Supporty</t>
  </si>
  <si>
    <t>TD Bank (Canada)</t>
  </si>
  <si>
    <t>Commonwealth Bank </t>
  </si>
  <si>
    <t>CIBC</t>
  </si>
  <si>
    <t>RBC</t>
  </si>
  <si>
    <t>Scotiabank</t>
  </si>
  <si>
    <t>Vodafone</t>
  </si>
  <si>
    <t>2Degrees</t>
  </si>
  <si>
    <t>Slingshot</t>
  </si>
  <si>
    <t>Flip</t>
  </si>
  <si>
    <t>The North Face</t>
  </si>
  <si>
    <t>UGG</t>
  </si>
  <si>
    <t>Guitar Center</t>
  </si>
  <si>
    <t>Musical Instruments Retail</t>
  </si>
  <si>
    <t>Musician's Friend</t>
  </si>
  <si>
    <t>Sweetwater</t>
  </si>
  <si>
    <t>Sam Ash Music</t>
  </si>
  <si>
    <t>Reverb.com</t>
  </si>
  <si>
    <t>IBM Spectrum</t>
  </si>
  <si>
    <t>Data Storage</t>
  </si>
  <si>
    <t>HPE</t>
  </si>
  <si>
    <t>Rackspace</t>
  </si>
  <si>
    <t>EMC</t>
  </si>
  <si>
    <t>PNC</t>
  </si>
  <si>
    <t>U.S. Bank</t>
  </si>
  <si>
    <t>BB&amp;T</t>
  </si>
  <si>
    <t>Xeljanz</t>
  </si>
  <si>
    <t>Presence and Portfolio</t>
  </si>
  <si>
    <t>Cimzia</t>
  </si>
  <si>
    <t>Enbrel</t>
  </si>
  <si>
    <t>Harvoni</t>
  </si>
  <si>
    <t>Humira</t>
  </si>
  <si>
    <t>Otezla</t>
  </si>
  <si>
    <t>Neulasta</t>
  </si>
  <si>
    <t>Xarelto</t>
  </si>
  <si>
    <t>Albertsons</t>
  </si>
  <si>
    <t>Amazon Fresh</t>
  </si>
  <si>
    <t>Burlington</t>
  </si>
  <si>
    <t>Apparel Retail</t>
  </si>
  <si>
    <t>Century 21 Department Store</t>
  </si>
  <si>
    <t>Dollar General</t>
  </si>
  <si>
    <t>Stage Stores</t>
  </si>
  <si>
    <t>T.J. Maxx</t>
  </si>
  <si>
    <t>McClatchy</t>
  </si>
  <si>
    <t>Newspaper &amp; Media Publishing</t>
  </si>
  <si>
    <t>Local Newspaper Publisher</t>
  </si>
  <si>
    <t>Miami Herald</t>
  </si>
  <si>
    <t>Baltimore Sun</t>
  </si>
  <si>
    <t>The Arizona Republic</t>
  </si>
  <si>
    <t>Connecticut Post</t>
  </si>
  <si>
    <t>Atlanta Journal Constitution</t>
  </si>
  <si>
    <t>Miami Hearld (McClatchy)</t>
  </si>
  <si>
    <t>Publishing</t>
  </si>
  <si>
    <t xml:space="preserve">Newspaper &amp; Media Publishing </t>
  </si>
  <si>
    <t>Baltimore Sun (TRONC, f.k.a. Tribune Publishing)</t>
  </si>
  <si>
    <t>The Arizona Republic (Gannett/USAToday)</t>
  </si>
  <si>
    <t>Connecticut Post (Hearst Newspapers)</t>
  </si>
  <si>
    <t>Atlanta Journal Constitution (Cox Media Group)</t>
  </si>
  <si>
    <t>Segment Report</t>
  </si>
  <si>
    <t>NTUC Income</t>
  </si>
  <si>
    <t>Life and Health Insurance</t>
  </si>
  <si>
    <t>Singapore</t>
  </si>
  <si>
    <t>AXA.SG</t>
  </si>
  <si>
    <t>AIS.SG</t>
  </si>
  <si>
    <t>JAPANiCAN.com</t>
  </si>
  <si>
    <t>Online Travel Agency</t>
  </si>
  <si>
    <t>Expedia</t>
  </si>
  <si>
    <t>Orbitz</t>
  </si>
  <si>
    <t>Priceline</t>
  </si>
  <si>
    <t>JAPANiCAN</t>
  </si>
  <si>
    <t>Travelocity</t>
  </si>
  <si>
    <t>CVS</t>
  </si>
  <si>
    <t>Pharmacy Retail</t>
  </si>
  <si>
    <t>Alliance Bank</t>
  </si>
  <si>
    <t xml:space="preserve">Malaysia </t>
  </si>
  <si>
    <t>Public Bank</t>
  </si>
  <si>
    <t>CIMB Bank</t>
  </si>
  <si>
    <t>MayBank</t>
  </si>
  <si>
    <t>RHB Bank</t>
  </si>
  <si>
    <t>MapR</t>
  </si>
  <si>
    <t>Competitive Preview-Analysis</t>
  </si>
  <si>
    <t>Data Analytics</t>
  </si>
  <si>
    <t>Cloudera</t>
  </si>
  <si>
    <t>Hortonworks</t>
  </si>
  <si>
    <t>IBM Spectrum Scale</t>
  </si>
  <si>
    <t>Best Buy</t>
  </si>
  <si>
    <t xml:space="preserve">Consumer Electronics Retail </t>
  </si>
  <si>
    <t>Crutchfield</t>
  </si>
  <si>
    <t>TigerDirect</t>
  </si>
  <si>
    <t>newegg</t>
  </si>
  <si>
    <t>AT&amp;T NIBM</t>
  </si>
  <si>
    <t xml:space="preserve">Computer Hardware </t>
  </si>
  <si>
    <t>Epson</t>
  </si>
  <si>
    <t>Canon</t>
  </si>
  <si>
    <t>Westpac NZ</t>
  </si>
  <si>
    <t>Commonwealth Bank</t>
  </si>
  <si>
    <t>Lloyds Bank</t>
  </si>
  <si>
    <t>BNZ</t>
  </si>
  <si>
    <t>Kiwibank</t>
  </si>
  <si>
    <t>Co-operative Bank</t>
  </si>
  <si>
    <t>Morgan Stanley</t>
  </si>
  <si>
    <t>FUP-Pre-LOP-Template-Change</t>
  </si>
  <si>
    <t>Legg Mason</t>
  </si>
  <si>
    <t>T.Rowe Price</t>
  </si>
  <si>
    <t>Goldman Sacks</t>
  </si>
  <si>
    <t>JP Morgan Chase</t>
  </si>
  <si>
    <t>C Level Report</t>
  </si>
  <si>
    <t>Chase</t>
  </si>
  <si>
    <t>NAB</t>
  </si>
  <si>
    <t>RBS</t>
  </si>
  <si>
    <t>Topshop</t>
  </si>
  <si>
    <t>Topman</t>
  </si>
  <si>
    <t>Primark</t>
  </si>
  <si>
    <t>Zara</t>
  </si>
  <si>
    <t>ASOS</t>
  </si>
  <si>
    <t>Kronos</t>
  </si>
  <si>
    <t>Software and Services</t>
  </si>
  <si>
    <t>Workforce Management Software</t>
  </si>
  <si>
    <t>ADP</t>
  </si>
  <si>
    <t>BambooHR</t>
  </si>
  <si>
    <t>Paychex</t>
  </si>
  <si>
    <t>Paylocity</t>
  </si>
  <si>
    <t>UltimateSoftware</t>
  </si>
  <si>
    <t>ALD Automotive &amp; LeasePlan</t>
  </si>
  <si>
    <t xml:space="preserve">Automotive Leasing &amp; Fleet Management </t>
  </si>
  <si>
    <t>Leaseplan</t>
  </si>
  <si>
    <t>Arval</t>
  </si>
  <si>
    <t>Besseau Automobiles</t>
  </si>
  <si>
    <t>Alphabeth</t>
  </si>
  <si>
    <t>Philips AED</t>
  </si>
  <si>
    <t>Medical Device Providers</t>
  </si>
  <si>
    <t xml:space="preserve">ZOLL Medical </t>
  </si>
  <si>
    <t>Physio-Control</t>
  </si>
  <si>
    <t>Hayneedle</t>
  </si>
  <si>
    <t>Online Home Furnishing Retailers</t>
  </si>
  <si>
    <t>Wayfair</t>
  </si>
  <si>
    <t>Overstock</t>
  </si>
  <si>
    <t>West Elm</t>
  </si>
  <si>
    <t>Hidden Valley</t>
  </si>
  <si>
    <t>Food Processing Company</t>
  </si>
  <si>
    <t>Newman's Own</t>
  </si>
  <si>
    <t>Ken's Foods</t>
  </si>
  <si>
    <t>Wish-Bone</t>
  </si>
  <si>
    <t>Kraft Foods</t>
  </si>
  <si>
    <t xml:space="preserve">Capital One </t>
  </si>
  <si>
    <t>Banking Home Equity</t>
  </si>
  <si>
    <t xml:space="preserve">JPMorgan Chase &amp; Co </t>
  </si>
  <si>
    <t xml:space="preserve">Bank of America </t>
  </si>
  <si>
    <t xml:space="preserve">Wells Fargo </t>
  </si>
  <si>
    <t xml:space="preserve">U.S. Bank </t>
  </si>
  <si>
    <t xml:space="preserve">Citigroup </t>
  </si>
  <si>
    <t>Adobe (Marketing Cloud)</t>
  </si>
  <si>
    <t>Enterprise Digital Marketing Solutions</t>
  </si>
  <si>
    <t>Google Analytics</t>
  </si>
  <si>
    <t>Microsoft</t>
  </si>
  <si>
    <t>Marketo</t>
  </si>
  <si>
    <t>Oracle Marketing Cloud</t>
  </si>
  <si>
    <t>Deloitte Digital</t>
  </si>
  <si>
    <t>Northern Trust</t>
  </si>
  <si>
    <t>Rapid Preview Analysis</t>
  </si>
  <si>
    <t>BNY MELLON</t>
  </si>
  <si>
    <t>JP Morgan</t>
  </si>
  <si>
    <t>CNA Insurance</t>
  </si>
  <si>
    <t>Delta Dental</t>
  </si>
  <si>
    <t>Dental Insurance</t>
  </si>
  <si>
    <t>Metlife</t>
  </si>
  <si>
    <t>Guardian</t>
  </si>
  <si>
    <t>BlueCross BlueShields</t>
  </si>
  <si>
    <t>Oscar</t>
  </si>
  <si>
    <t>Zocdoc</t>
  </si>
  <si>
    <t>Delta Washington</t>
  </si>
  <si>
    <t>Delta California</t>
  </si>
  <si>
    <t>Enterprise Security Services</t>
  </si>
  <si>
    <t>Microsoft Security</t>
  </si>
  <si>
    <t>Enterprise Security</t>
  </si>
  <si>
    <t>AWS Cloud Security</t>
  </si>
  <si>
    <t>Intel Security</t>
  </si>
  <si>
    <t>The Warehouse Group</t>
  </si>
  <si>
    <t>Salesforce Commerce Cloud</t>
  </si>
  <si>
    <t>Web/Ecommerce Servers</t>
  </si>
  <si>
    <t>Oracle Cloud</t>
  </si>
  <si>
    <t>IBM eCommerce</t>
  </si>
  <si>
    <t>SAP Hybris</t>
  </si>
  <si>
    <t>Magneto</t>
  </si>
  <si>
    <t>Sheraton</t>
  </si>
  <si>
    <t>Marriot</t>
  </si>
  <si>
    <t>Hilton Hotels</t>
  </si>
  <si>
    <t>Four Seasons</t>
  </si>
  <si>
    <t>IBM Watson IoT Analysis</t>
  </si>
  <si>
    <t>Internet of Things</t>
  </si>
  <si>
    <t>Oracle Cloud Analysis</t>
  </si>
  <si>
    <t>GE Digital Predix Analysis</t>
  </si>
  <si>
    <t>AWS Analysis</t>
  </si>
  <si>
    <t>CISCO IoT Analysis</t>
  </si>
  <si>
    <t>Dickies</t>
  </si>
  <si>
    <t>Workwear Apparel</t>
  </si>
  <si>
    <t>Carhartt</t>
  </si>
  <si>
    <t>Bulwark FR</t>
  </si>
  <si>
    <t>Red Kap</t>
  </si>
  <si>
    <t>Wrangler Workwear</t>
  </si>
  <si>
    <t>Workrite Uniform Co.</t>
  </si>
  <si>
    <t>Asics</t>
  </si>
  <si>
    <t>Lululemon</t>
  </si>
  <si>
    <t>State Farm Bank</t>
  </si>
  <si>
    <t>Ally</t>
  </si>
  <si>
    <t>Discover</t>
  </si>
  <si>
    <t>WESCO</t>
  </si>
  <si>
    <t>Industrial Supply</t>
  </si>
  <si>
    <t>Anixter</t>
  </si>
  <si>
    <t>MSC</t>
  </si>
  <si>
    <t>J-Crew</t>
  </si>
  <si>
    <t>Banana Republic</t>
  </si>
  <si>
    <t>Bonobos</t>
  </si>
  <si>
    <t>IBM Cloud Analysis</t>
  </si>
  <si>
    <t>Cloud &amp; Hosting</t>
  </si>
  <si>
    <t>Microsoft Azure Analysis</t>
  </si>
  <si>
    <t>Digital Ocean Analysis</t>
  </si>
  <si>
    <t>Google Cloud Analysis</t>
  </si>
  <si>
    <t>BMO Harris</t>
  </si>
  <si>
    <t>Equipment Depot</t>
  </si>
  <si>
    <t>Equipment Rental</t>
  </si>
  <si>
    <t>JLG</t>
  </si>
  <si>
    <t>Medibank</t>
  </si>
  <si>
    <t>nib</t>
  </si>
  <si>
    <t>Herc Rentals</t>
  </si>
  <si>
    <t>HCF</t>
  </si>
  <si>
    <t>HBF</t>
  </si>
  <si>
    <t>Bupa</t>
  </si>
  <si>
    <t>United Rentals</t>
  </si>
  <si>
    <t>Sunbelt Rentals</t>
  </si>
  <si>
    <t>Northwestern Mutual</t>
  </si>
  <si>
    <t xml:space="preserve">New York Life </t>
  </si>
  <si>
    <t>Starwood Preferred Guest</t>
  </si>
  <si>
    <t>Marriott</t>
  </si>
  <si>
    <t>IHG</t>
  </si>
  <si>
    <t>Hilton</t>
  </si>
  <si>
    <t>SSF Shop</t>
  </si>
  <si>
    <t>E-commerce</t>
  </si>
  <si>
    <t>SHOPBOP</t>
  </si>
  <si>
    <t>GS Shop</t>
  </si>
  <si>
    <t>SSENSE</t>
  </si>
  <si>
    <t>Wizwid</t>
  </si>
  <si>
    <t>LF Mall</t>
  </si>
  <si>
    <t>Vojaya Bank</t>
  </si>
  <si>
    <t>Cloud Access</t>
  </si>
  <si>
    <t>Device Storage</t>
  </si>
  <si>
    <t>Alien Vault</t>
  </si>
  <si>
    <t>Alert Logic</t>
  </si>
  <si>
    <t>Fire Eye</t>
  </si>
  <si>
    <t>Log Rhythm</t>
  </si>
  <si>
    <t>Softbank</t>
  </si>
  <si>
    <t>Y!mobile</t>
  </si>
  <si>
    <t>docomo</t>
  </si>
  <si>
    <t>AU</t>
  </si>
  <si>
    <t>R Mobile</t>
  </si>
  <si>
    <t>OCN Mobile</t>
  </si>
  <si>
    <t>llJmio</t>
  </si>
  <si>
    <t>Western Digital</t>
  </si>
  <si>
    <t>SEAGATE</t>
  </si>
  <si>
    <t>Toshiba</t>
  </si>
  <si>
    <t>LACIE</t>
  </si>
  <si>
    <t>SanDisk</t>
  </si>
  <si>
    <t>Kingston</t>
  </si>
  <si>
    <t>Cheap Caribbean</t>
  </si>
  <si>
    <t>Online Travel Agencies</t>
  </si>
  <si>
    <t>Apple Vacations</t>
  </si>
  <si>
    <t>Travel impressions</t>
  </si>
  <si>
    <t>Funjet Vacations</t>
  </si>
  <si>
    <t>Piceline</t>
  </si>
  <si>
    <t>bookit.com</t>
  </si>
  <si>
    <t>Classic Vacations</t>
  </si>
  <si>
    <t>Zoetry</t>
  </si>
  <si>
    <t>Secrets</t>
  </si>
  <si>
    <t>Sandals</t>
  </si>
  <si>
    <t>RIU Palace</t>
  </si>
  <si>
    <t>IBEROSTAR</t>
  </si>
  <si>
    <t>Melia</t>
  </si>
  <si>
    <t>ClubMed</t>
  </si>
  <si>
    <t>Saxo Bank</t>
  </si>
  <si>
    <t>Interactive Brokers</t>
  </si>
  <si>
    <t>IG</t>
  </si>
  <si>
    <t>Forex</t>
  </si>
  <si>
    <t>FXCM</t>
  </si>
  <si>
    <t>Binck Bank</t>
  </si>
  <si>
    <t>Fashion Clothing</t>
  </si>
  <si>
    <t>Dena Bank</t>
  </si>
  <si>
    <t>ICICI Bank</t>
  </si>
  <si>
    <t>Syndicate Bank</t>
  </si>
  <si>
    <t>State Bank of India</t>
  </si>
  <si>
    <t>Oriental Bank of Commerce</t>
  </si>
  <si>
    <t>Marathon Health</t>
  </si>
  <si>
    <t>Care Here</t>
  </si>
  <si>
    <t>Premise Health</t>
  </si>
  <si>
    <t>Health Stat</t>
  </si>
  <si>
    <t>Quad Med</t>
  </si>
  <si>
    <t>Aviva</t>
  </si>
  <si>
    <t>Intact Insurance</t>
  </si>
  <si>
    <t>TD Bank Insurance</t>
  </si>
  <si>
    <t>Viking Range</t>
  </si>
  <si>
    <t>Prescriptive-Diagnostic</t>
  </si>
  <si>
    <t>Appliance Manufacturing</t>
  </si>
  <si>
    <t>Thermador</t>
  </si>
  <si>
    <t>Subzero Wolf</t>
  </si>
  <si>
    <t>Monogram</t>
  </si>
  <si>
    <t>Miele</t>
  </si>
  <si>
    <t>Withings</t>
  </si>
  <si>
    <t>Fitbit</t>
  </si>
  <si>
    <t>Jawbone</t>
  </si>
  <si>
    <t>nest</t>
  </si>
  <si>
    <t>Sears Home Improvement Services</t>
  </si>
  <si>
    <t>Home Services</t>
  </si>
  <si>
    <t>Nest Buy Geek Squad</t>
  </si>
  <si>
    <t>Lowe's Installation Services</t>
  </si>
  <si>
    <t>Athleta</t>
  </si>
  <si>
    <t>Fabletics</t>
  </si>
  <si>
    <t>Touch Bank</t>
  </si>
  <si>
    <t>Tinkoff</t>
  </si>
  <si>
    <t>Covance</t>
  </si>
  <si>
    <t xml:space="preserve">Pharmaceutical </t>
  </si>
  <si>
    <t>PPD</t>
  </si>
  <si>
    <t>PAREXEL</t>
  </si>
  <si>
    <t>INC Research</t>
  </si>
  <si>
    <t>Quintiles</t>
  </si>
  <si>
    <t>PRA Health Sciences</t>
  </si>
  <si>
    <t>Alfabank</t>
  </si>
  <si>
    <t>VTB24</t>
  </si>
  <si>
    <t>Rocketbank</t>
  </si>
  <si>
    <t>QBE</t>
  </si>
  <si>
    <t>YOUi</t>
  </si>
  <si>
    <t>Allianz</t>
  </si>
  <si>
    <t>NRMA</t>
  </si>
  <si>
    <t>SUNCORP Insurance</t>
  </si>
  <si>
    <t>Cosmetics</t>
  </si>
  <si>
    <t>Avon</t>
  </si>
  <si>
    <t>Sephora</t>
  </si>
  <si>
    <t>Rodan+Fields</t>
  </si>
  <si>
    <t>Beach Body</t>
  </si>
  <si>
    <t>Amway</t>
  </si>
  <si>
    <t>Stella &amp; Dot</t>
  </si>
  <si>
    <t>Market America</t>
  </si>
  <si>
    <t>Scotibank</t>
  </si>
  <si>
    <t>Pe-LOP</t>
  </si>
  <si>
    <t>Banamex</t>
  </si>
  <si>
    <t>BBVA Bacomar Mexico</t>
  </si>
  <si>
    <t>Banorte</t>
  </si>
  <si>
    <t>Scottiabank</t>
  </si>
  <si>
    <t>BCI</t>
  </si>
  <si>
    <t>Scotibank Mexico</t>
  </si>
  <si>
    <t>Banco de Chile</t>
  </si>
  <si>
    <t>Scotiabank Chile</t>
  </si>
  <si>
    <t>Santander Chile</t>
  </si>
  <si>
    <t>HSBC Mexico</t>
  </si>
  <si>
    <t>Santander</t>
  </si>
  <si>
    <t>Banco Azteca</t>
  </si>
  <si>
    <t>Banco Ripley</t>
  </si>
  <si>
    <t>Toyota UAE</t>
  </si>
  <si>
    <t>Automobile Companies</t>
  </si>
  <si>
    <t>Toyota US</t>
  </si>
  <si>
    <t>Toyota SA</t>
  </si>
  <si>
    <t>Nissan UAE</t>
  </si>
  <si>
    <t>Toyota EG</t>
  </si>
  <si>
    <t>Stein Mart</t>
  </si>
  <si>
    <t>Bealls Florida</t>
  </si>
  <si>
    <t>Belk</t>
  </si>
  <si>
    <t>Kohls</t>
  </si>
  <si>
    <t>Marshalls online</t>
  </si>
  <si>
    <t>TJ Maxx</t>
  </si>
  <si>
    <t>Rituxan</t>
  </si>
  <si>
    <t>Orencia</t>
  </si>
  <si>
    <t>Remicade</t>
  </si>
  <si>
    <t>Big Lots</t>
  </si>
  <si>
    <t>Dollar Tree</t>
  </si>
  <si>
    <t>AIS</t>
  </si>
  <si>
    <t>DTAC</t>
  </si>
  <si>
    <t>Nationwide UK</t>
  </si>
  <si>
    <t>Santander UK</t>
  </si>
  <si>
    <t>Southern Tide</t>
  </si>
  <si>
    <t>Souther Propper</t>
  </si>
  <si>
    <t>Brooks Brothers</t>
  </si>
  <si>
    <t>Costa</t>
  </si>
  <si>
    <t>Tommy Bahama</t>
  </si>
  <si>
    <t>Nautica</t>
  </si>
  <si>
    <t xml:space="preserve">Vineyard Vines </t>
  </si>
  <si>
    <t>US Bank</t>
  </si>
  <si>
    <t>JMP Chase</t>
  </si>
  <si>
    <t>FTB</t>
  </si>
  <si>
    <t>Allegro</t>
  </si>
  <si>
    <t>OLX</t>
  </si>
  <si>
    <t>Ebay PL</t>
  </si>
  <si>
    <t>Amazon DE</t>
  </si>
  <si>
    <t>Hawthorne Cat</t>
  </si>
  <si>
    <t>Industril Supply</t>
  </si>
  <si>
    <t>Cummins Pacific</t>
  </si>
  <si>
    <t>Empire Cat</t>
  </si>
  <si>
    <t>Cummins</t>
  </si>
  <si>
    <t>Garbarino</t>
  </si>
  <si>
    <t>Musimundo</t>
  </si>
  <si>
    <t>Fravega</t>
  </si>
  <si>
    <t>Starbucks</t>
  </si>
  <si>
    <t>Nespresso</t>
  </si>
  <si>
    <t xml:space="preserve">CHI Kentucky </t>
  </si>
  <si>
    <t>Norton Healthcare</t>
  </si>
  <si>
    <t>UK Healthcare</t>
  </si>
  <si>
    <t>Scripps Health</t>
  </si>
  <si>
    <t xml:space="preserve">Baptist Health Kentucky </t>
  </si>
  <si>
    <t>Massachusetts General</t>
  </si>
  <si>
    <t>Brookwood Baptist Health</t>
  </si>
  <si>
    <t xml:space="preserve">Birmingham Heart Clinic </t>
  </si>
  <si>
    <t xml:space="preserve">Singtel </t>
  </si>
  <si>
    <t xml:space="preserve">Starhub </t>
  </si>
  <si>
    <t xml:space="preserve">NTT Docomo </t>
  </si>
  <si>
    <t xml:space="preserve">M1 </t>
  </si>
  <si>
    <t xml:space="preserve">Three </t>
  </si>
  <si>
    <t>UAB Medicine</t>
  </si>
  <si>
    <t xml:space="preserve">Cardiology, P.C. </t>
  </si>
  <si>
    <t>Bankinter</t>
  </si>
  <si>
    <t>BBVA Compass</t>
  </si>
  <si>
    <t>EVO Banco</t>
  </si>
  <si>
    <t xml:space="preserve">Cardiovascular Associates </t>
  </si>
  <si>
    <t>ING Spanish</t>
  </si>
  <si>
    <t>Bankinter Preview</t>
  </si>
  <si>
    <t xml:space="preserve">Heart South </t>
  </si>
  <si>
    <t>Sabadell</t>
  </si>
  <si>
    <t>Bankinter Live</t>
  </si>
  <si>
    <t>Alabama Cardiovascular Group</t>
  </si>
  <si>
    <t>Caixa</t>
  </si>
  <si>
    <t>BMO</t>
  </si>
  <si>
    <t xml:space="preserve">Chase </t>
  </si>
  <si>
    <t>Polaris</t>
  </si>
  <si>
    <t>All-Terrain Vehicles</t>
  </si>
  <si>
    <t>Can-am</t>
  </si>
  <si>
    <t>Arctic Cat</t>
  </si>
  <si>
    <t>Yamaha</t>
  </si>
  <si>
    <t>Kawaski</t>
  </si>
  <si>
    <t>Scotia Bank</t>
  </si>
  <si>
    <t>Investment Management</t>
  </si>
  <si>
    <t xml:space="preserve">Wells Fargo Advisors </t>
  </si>
  <si>
    <t xml:space="preserve">Vanguard Personal Advisor </t>
  </si>
  <si>
    <t>CHI St. Luke's</t>
  </si>
  <si>
    <t>Chase Private Client</t>
  </si>
  <si>
    <t>Houston Methodist</t>
  </si>
  <si>
    <t>Memorial Hermann Health</t>
  </si>
  <si>
    <t xml:space="preserve">Merrill Edge </t>
  </si>
  <si>
    <t>Vineyard Vines</t>
  </si>
  <si>
    <t>Clothing Retailers</t>
  </si>
  <si>
    <t>Ralph Lauren</t>
  </si>
  <si>
    <t>Tory Burch</t>
  </si>
  <si>
    <t>J.Crew</t>
  </si>
  <si>
    <t>Burberry</t>
  </si>
  <si>
    <t>Chanel</t>
  </si>
  <si>
    <t>Gucci</t>
  </si>
  <si>
    <t>Loui Vuitton</t>
  </si>
  <si>
    <t>Prada</t>
  </si>
  <si>
    <t>Armani</t>
  </si>
  <si>
    <t xml:space="preserve">Univar </t>
  </si>
  <si>
    <t>Industrial Supply Companies</t>
  </si>
  <si>
    <t>McMaster</t>
  </si>
  <si>
    <t>MSC Industrial Direct CO</t>
  </si>
  <si>
    <t>Amazon Business</t>
  </si>
  <si>
    <t xml:space="preserve">CHI Franciscan </t>
  </si>
  <si>
    <t>Scripps</t>
  </si>
  <si>
    <t>MultiCare</t>
  </si>
  <si>
    <t xml:space="preserve">Mass General </t>
  </si>
  <si>
    <t>Israel Discount Bank</t>
  </si>
  <si>
    <t>Israel Leumi</t>
  </si>
  <si>
    <t>Providence Health &amp; Services</t>
  </si>
  <si>
    <t>Israel Mizrahi Tefahot</t>
  </si>
  <si>
    <t>Axis Bank</t>
  </si>
  <si>
    <t>Israel HaPoalim</t>
  </si>
  <si>
    <t>Israel FIBI</t>
  </si>
  <si>
    <t xml:space="preserve">Bank of Baroda </t>
  </si>
  <si>
    <t>COOP Denmark</t>
  </si>
  <si>
    <t>Nemlig</t>
  </si>
  <si>
    <t>Osuma</t>
  </si>
  <si>
    <t>AmazonFresh</t>
  </si>
  <si>
    <t xml:space="preserve">Scotia Bank </t>
  </si>
  <si>
    <t xml:space="preserve">TD Canada Trust </t>
  </si>
  <si>
    <t>National Bank</t>
  </si>
  <si>
    <t>Nuveen</t>
  </si>
  <si>
    <t>American Funds</t>
  </si>
  <si>
    <t>Lord Abbett</t>
  </si>
  <si>
    <t>EVO</t>
  </si>
  <si>
    <t>ING</t>
  </si>
  <si>
    <t>M&amp;T Bank</t>
  </si>
  <si>
    <t>Regions</t>
  </si>
  <si>
    <t>Cell C</t>
  </si>
  <si>
    <t>Healthgrades</t>
  </si>
  <si>
    <t>Healthcare Information Systems</t>
  </si>
  <si>
    <t>Healthgrades New</t>
  </si>
  <si>
    <t>Webmd</t>
  </si>
  <si>
    <t>Healthgrades Old</t>
  </si>
  <si>
    <t>Vitals</t>
  </si>
  <si>
    <t>Everyday Health</t>
  </si>
  <si>
    <t>Myhealthdirect</t>
  </si>
  <si>
    <t>Inquicker</t>
  </si>
  <si>
    <t>Apparel &amp; Other Brand Retailers</t>
  </si>
  <si>
    <t>Dick's Sporting Goods</t>
  </si>
  <si>
    <t>Amazon.com</t>
  </si>
  <si>
    <t>Scotiabank Canada</t>
  </si>
  <si>
    <t>RBC Royal Bank</t>
  </si>
  <si>
    <t>Swarovski</t>
  </si>
  <si>
    <t>Jewelry Retailers and Manufacturers</t>
  </si>
  <si>
    <t xml:space="preserve">Macy's </t>
  </si>
  <si>
    <t>Michael Kors</t>
  </si>
  <si>
    <t>Galls</t>
  </si>
  <si>
    <t>Tactical Gear Retail</t>
  </si>
  <si>
    <t>TacticalGear.com</t>
  </si>
  <si>
    <t>5.11 Tactical</t>
  </si>
  <si>
    <t>CHIEF</t>
  </si>
  <si>
    <t>LA Police Gear</t>
  </si>
  <si>
    <t>Energy Generation and Retailing</t>
  </si>
  <si>
    <t>Momentum Energy</t>
  </si>
  <si>
    <t>Red Energy</t>
  </si>
  <si>
    <t>EnergyAustralia</t>
  </si>
  <si>
    <t>AGL</t>
  </si>
  <si>
    <t>Simply Energy</t>
  </si>
  <si>
    <t>Click Energy</t>
  </si>
  <si>
    <t>Powershop</t>
  </si>
  <si>
    <t>ERM Power</t>
  </si>
  <si>
    <t>Power Direct</t>
  </si>
  <si>
    <t>Hertz Equipment Rental</t>
  </si>
  <si>
    <t>Industrial Equipment Rentals</t>
  </si>
  <si>
    <t>Computer Manufactureres &amp; Retailers</t>
  </si>
  <si>
    <t>Asus</t>
  </si>
  <si>
    <t>CDW</t>
  </si>
  <si>
    <t>AquaMobile</t>
  </si>
  <si>
    <t>Swimming Instruction Schools</t>
  </si>
  <si>
    <t>Sunsational Swim School</t>
  </si>
  <si>
    <t>Happy Swimmers USA</t>
  </si>
  <si>
    <t>Energy Australia</t>
  </si>
  <si>
    <t>Dodo</t>
  </si>
  <si>
    <t>Origin</t>
  </si>
  <si>
    <t>David's Bridal</t>
  </si>
  <si>
    <t>Weddings</t>
  </si>
  <si>
    <t>BHLDN</t>
  </si>
  <si>
    <t>Ann Taylor</t>
  </si>
  <si>
    <t>Alfred Angelo</t>
  </si>
  <si>
    <t>Men's Warehouse</t>
  </si>
  <si>
    <t>The Knot</t>
  </si>
  <si>
    <t>Musical Instrument Retailers</t>
  </si>
  <si>
    <t>Sam Ash</t>
  </si>
  <si>
    <t>eBay/musical instruments</t>
  </si>
  <si>
    <t>Amazon.com/musical instruments</t>
  </si>
  <si>
    <t>ABB (US)</t>
  </si>
  <si>
    <t>Measurement &amp; Analytics</t>
  </si>
  <si>
    <t>Emerson</t>
  </si>
  <si>
    <t>Honeywell</t>
  </si>
  <si>
    <t>Siemens</t>
  </si>
  <si>
    <t>Endress + Hauser</t>
  </si>
  <si>
    <t>Schneider Electric</t>
  </si>
  <si>
    <t>ABB (Germany)</t>
  </si>
  <si>
    <t>Yokogawa</t>
  </si>
  <si>
    <t>Sanctioning Bodies</t>
  </si>
  <si>
    <t>FIBA</t>
  </si>
  <si>
    <t>UEFA</t>
  </si>
  <si>
    <t>NFL</t>
  </si>
  <si>
    <t>WWE</t>
  </si>
  <si>
    <t>CPO Commerce</t>
  </si>
  <si>
    <t>Online Tool Retailers</t>
  </si>
  <si>
    <t>Lowes</t>
  </si>
  <si>
    <t>ToolUp.com</t>
  </si>
  <si>
    <t>Northern Tool and Equipment</t>
  </si>
  <si>
    <t>Power Equipment Direct</t>
  </si>
  <si>
    <t>7-Eleven</t>
  </si>
  <si>
    <t>Convenience Stores</t>
  </si>
  <si>
    <t>Dunkin' Donuts</t>
  </si>
  <si>
    <t>Slurpee</t>
  </si>
  <si>
    <t>Speedway</t>
  </si>
  <si>
    <t>Ideal Shopping Direct</t>
  </si>
  <si>
    <t>Arts and Crafts Retailers</t>
  </si>
  <si>
    <t>Ideal Shopping Direct US</t>
  </si>
  <si>
    <t>Ideal Shopping Direct UK</t>
  </si>
  <si>
    <t>Michaels</t>
  </si>
  <si>
    <t>HSN</t>
  </si>
  <si>
    <t>Jo-Ann</t>
  </si>
  <si>
    <t>Craftsy</t>
  </si>
  <si>
    <t>European Telecom Providers</t>
  </si>
  <si>
    <t>Unitymedia</t>
  </si>
  <si>
    <t>Telekom</t>
  </si>
  <si>
    <t>1&amp;1</t>
  </si>
  <si>
    <t>Tele Columbus</t>
  </si>
  <si>
    <t>Primacom</t>
  </si>
  <si>
    <t>O2</t>
  </si>
  <si>
    <t>Kabel Deutschaland</t>
  </si>
  <si>
    <t>US Cruise Lines</t>
  </si>
  <si>
    <t>Cruise Lines</t>
  </si>
  <si>
    <t>Princess Cruises</t>
  </si>
  <si>
    <t>Viking Cruises</t>
  </si>
  <si>
    <t>Holland America</t>
  </si>
  <si>
    <t>Royal Caribbean</t>
  </si>
  <si>
    <t>Disney Cruise Line</t>
  </si>
  <si>
    <t>Carnival</t>
  </si>
  <si>
    <t>Norwegian Cruise Line</t>
  </si>
  <si>
    <t>Celebrity Cruises</t>
  </si>
  <si>
    <t>XL Axiata</t>
  </si>
  <si>
    <t>Telkomsel</t>
  </si>
  <si>
    <t>Indosat</t>
  </si>
  <si>
    <t>Tri</t>
  </si>
  <si>
    <t>Smartfren</t>
  </si>
  <si>
    <t>Dtac</t>
  </si>
  <si>
    <t>Bolt</t>
  </si>
  <si>
    <t>Globe</t>
  </si>
  <si>
    <t>Smart</t>
  </si>
  <si>
    <t>Tire Manufacturers</t>
  </si>
  <si>
    <t>CEAT</t>
  </si>
  <si>
    <t>Goodyear India</t>
  </si>
  <si>
    <t>Michelin India</t>
  </si>
  <si>
    <t>Bridgestone India</t>
  </si>
  <si>
    <t>MRF</t>
  </si>
  <si>
    <t>Staples UK</t>
  </si>
  <si>
    <t>Office Supplies</t>
  </si>
  <si>
    <t>Viking UK</t>
  </si>
  <si>
    <t>Euroffice</t>
  </si>
  <si>
    <t>Amazon.com UK</t>
  </si>
  <si>
    <t>Ryman UK</t>
  </si>
  <si>
    <t>Saraiva</t>
  </si>
  <si>
    <t>Online Retailers</t>
  </si>
  <si>
    <t>Magazine Luiza</t>
  </si>
  <si>
    <t>Submarino</t>
  </si>
  <si>
    <t>Amazon Brazil</t>
  </si>
  <si>
    <t>Casas Bahia</t>
  </si>
  <si>
    <t>Capital Group</t>
  </si>
  <si>
    <t>JPMorgan Chase</t>
  </si>
  <si>
    <t>PIMCO</t>
  </si>
  <si>
    <t>Franklin Templeton Investments</t>
  </si>
  <si>
    <t>Art Institute of Chicago</t>
  </si>
  <si>
    <t>Art Museums and More</t>
  </si>
  <si>
    <t>MoMA</t>
  </si>
  <si>
    <t>Art Institute of Chicago Store</t>
  </si>
  <si>
    <t>Walt Disney World</t>
  </si>
  <si>
    <t>MoMA Store</t>
  </si>
  <si>
    <t>Department Stores</t>
  </si>
  <si>
    <t>Beall's</t>
  </si>
  <si>
    <t>Marshall's</t>
  </si>
  <si>
    <t>MSC Direct</t>
  </si>
  <si>
    <t>Optus</t>
  </si>
  <si>
    <t>Online Shopping</t>
  </si>
  <si>
    <t>Comerica</t>
  </si>
  <si>
    <t>Huntington</t>
  </si>
  <si>
    <t>Tele2</t>
  </si>
  <si>
    <t>Microsoft Store</t>
  </si>
  <si>
    <t>Computers, Tablets &amp; Accessories</t>
  </si>
  <si>
    <t>Energy Companies</t>
  </si>
  <si>
    <t>E.ON</t>
  </si>
  <si>
    <t>Scottish Power</t>
  </si>
  <si>
    <t>Npower</t>
  </si>
  <si>
    <t>EDF</t>
  </si>
  <si>
    <t>Homeplus</t>
  </si>
  <si>
    <t>Online Grocer</t>
  </si>
  <si>
    <t>Emart</t>
  </si>
  <si>
    <t>LeShop.ch</t>
  </si>
  <si>
    <t>Lottemart</t>
  </si>
  <si>
    <t>Coupang</t>
  </si>
  <si>
    <t>State Farm Insurance</t>
  </si>
  <si>
    <t>Insurance - Auto</t>
  </si>
  <si>
    <t xml:space="preserve">Liberty Mutual Auto Insurance </t>
  </si>
  <si>
    <t>GEICO Auto Insurance</t>
  </si>
  <si>
    <t>HCA</t>
  </si>
  <si>
    <t>Healthcare Systems</t>
  </si>
  <si>
    <t>Trident Health</t>
  </si>
  <si>
    <t>Baptist Health System</t>
  </si>
  <si>
    <t>St. Vincent Healthcare</t>
  </si>
  <si>
    <t>CHRISTUS Santa Rosa Health System</t>
  </si>
  <si>
    <t>SA Health</t>
  </si>
  <si>
    <t>University Health System</t>
  </si>
  <si>
    <t>Competitive Preview Analysis</t>
  </si>
  <si>
    <t>xfinity</t>
  </si>
  <si>
    <t>AT&amp;T Uverse</t>
  </si>
  <si>
    <t>Time Warner Cable</t>
  </si>
  <si>
    <t>Scottrade</t>
  </si>
  <si>
    <t>Brokerage and Financial Srervices</t>
  </si>
  <si>
    <t>E-Trade</t>
  </si>
  <si>
    <t>Athletic Clothing Retailers</t>
  </si>
  <si>
    <t>UNIQLO</t>
  </si>
  <si>
    <t>HDFC Bank</t>
  </si>
  <si>
    <t>KB Bank</t>
  </si>
  <si>
    <t>Westpac</t>
  </si>
  <si>
    <t>Alfaonline.com</t>
  </si>
  <si>
    <t>Tokopedia</t>
  </si>
  <si>
    <t>Lazada</t>
  </si>
  <si>
    <t>Tmall</t>
  </si>
  <si>
    <t>MatahariMall</t>
  </si>
  <si>
    <t>Shinhan</t>
  </si>
  <si>
    <t>Canara Bank</t>
  </si>
  <si>
    <t>Punjab National Bank</t>
  </si>
  <si>
    <t>Office Depot Europe</t>
  </si>
  <si>
    <t>Office Products</t>
  </si>
  <si>
    <t>Viking Direct Austria</t>
  </si>
  <si>
    <t>Viking Direct Germany</t>
  </si>
  <si>
    <t>Staples - Germany</t>
  </si>
  <si>
    <t>AO.com</t>
  </si>
  <si>
    <t>United States Postal Service</t>
  </si>
  <si>
    <t>Shippers/Carriers</t>
  </si>
  <si>
    <t>UPS US</t>
  </si>
  <si>
    <t>FedEx US</t>
  </si>
  <si>
    <t>DHL US</t>
  </si>
  <si>
    <t>Stamps.com</t>
  </si>
  <si>
    <t>Liberty Mutual Auto Insurance</t>
  </si>
  <si>
    <t>Esurance Auto Insurance</t>
  </si>
  <si>
    <t>Commbank</t>
  </si>
  <si>
    <t>DELL</t>
  </si>
  <si>
    <t>Pre-LOP (mobile only)</t>
  </si>
  <si>
    <t>Computer Manufacturers</t>
  </si>
  <si>
    <t>Coach</t>
  </si>
  <si>
    <t>NET-A-PORTER</t>
  </si>
  <si>
    <t>Bank of Baroda</t>
  </si>
  <si>
    <t>Western &amp; Southern Life</t>
  </si>
  <si>
    <t>Insurance - Life</t>
  </si>
  <si>
    <t>Protective Life</t>
  </si>
  <si>
    <t>MassMutual</t>
  </si>
  <si>
    <t>AEON</t>
  </si>
  <si>
    <t>Online Supermarket</t>
  </si>
  <si>
    <t>IY</t>
  </si>
  <si>
    <t>Seiyu</t>
  </si>
  <si>
    <t>Yaoko</t>
  </si>
  <si>
    <t>GAP</t>
  </si>
  <si>
    <t>Clothing and Accessories Retailers</t>
  </si>
  <si>
    <t>GAP China</t>
  </si>
  <si>
    <t>Old Navy</t>
  </si>
  <si>
    <t>ZARA</t>
  </si>
  <si>
    <t>Network Solutions Providers</t>
  </si>
  <si>
    <t>Juniper</t>
  </si>
  <si>
    <t>Bridgestone UK</t>
  </si>
  <si>
    <t>Michelin UK</t>
  </si>
  <si>
    <t>Webex</t>
  </si>
  <si>
    <t>Blue Jeans</t>
  </si>
  <si>
    <t>Itaú</t>
  </si>
  <si>
    <t>Rakuten Ichiba</t>
  </si>
  <si>
    <t>Amazon Japan</t>
  </si>
  <si>
    <t>Yahoo Shopping Japan</t>
  </si>
  <si>
    <t>Kakaku</t>
  </si>
  <si>
    <t>Bradesco</t>
  </si>
  <si>
    <t>Copa Airlines</t>
  </si>
  <si>
    <t>Virgin America</t>
  </si>
  <si>
    <t>American Airlines</t>
  </si>
  <si>
    <t>Lands' End</t>
  </si>
  <si>
    <t>Next</t>
  </si>
  <si>
    <t>Boden</t>
  </si>
  <si>
    <t>Charles Tyrwitt</t>
  </si>
  <si>
    <t>Cotton Traders</t>
  </si>
  <si>
    <t>John Lewis UK</t>
  </si>
  <si>
    <t>Marks &amp; Spencer</t>
  </si>
  <si>
    <t>Zalando</t>
  </si>
  <si>
    <t>Avianca</t>
  </si>
  <si>
    <t>LAN</t>
  </si>
  <si>
    <t>Viva Colombia</t>
  </si>
  <si>
    <t>IBM WASO - Global Employment</t>
  </si>
  <si>
    <t>Corporate Employment/Careers</t>
  </si>
  <si>
    <t>IBM Global Employment</t>
  </si>
  <si>
    <t>Accenture Careers</t>
  </si>
  <si>
    <t>Oracle Careers</t>
  </si>
  <si>
    <t>Micrsoft Careers</t>
  </si>
  <si>
    <t>Police Equipment</t>
  </si>
  <si>
    <t>Babyoye</t>
  </si>
  <si>
    <t>Baby Products</t>
  </si>
  <si>
    <t>Mom &amp; Me</t>
  </si>
  <si>
    <t>Mothercare</t>
  </si>
  <si>
    <t>Amazon India</t>
  </si>
  <si>
    <t>HP Careers</t>
  </si>
  <si>
    <t>KeyBank</t>
  </si>
  <si>
    <t>Barclays</t>
  </si>
  <si>
    <t>BankofAmerica</t>
  </si>
  <si>
    <t>Ziggo</t>
  </si>
  <si>
    <t>KPN</t>
  </si>
  <si>
    <t>XS4ALL</t>
  </si>
  <si>
    <t>Telfort</t>
  </si>
  <si>
    <t>Scotiabank - Canada</t>
  </si>
  <si>
    <t>American Express - Canada</t>
  </si>
  <si>
    <t>Scotiabank - Peru</t>
  </si>
  <si>
    <t>BBVA Continental</t>
  </si>
  <si>
    <t>Scotiabank - Chile</t>
  </si>
  <si>
    <t>Banco De Chile</t>
  </si>
  <si>
    <t>Pharmacy/Retail</t>
  </si>
  <si>
    <t>Diapers.com</t>
  </si>
  <si>
    <t>Capital One - Canada</t>
  </si>
  <si>
    <t>Scotiabank - Mexico</t>
  </si>
  <si>
    <t>BCP</t>
  </si>
  <si>
    <t>TD</t>
  </si>
  <si>
    <t>Interbank</t>
  </si>
  <si>
    <t>Banco Falabella</t>
  </si>
  <si>
    <t>Bancomer</t>
  </si>
  <si>
    <t>MetLife China</t>
  </si>
  <si>
    <t xml:space="preserve">Insurance </t>
  </si>
  <si>
    <t>AXA</t>
  </si>
  <si>
    <t>Ping An</t>
  </si>
  <si>
    <t>True Telecom</t>
  </si>
  <si>
    <t>Weloveshopping</t>
  </si>
  <si>
    <t xml:space="preserve">TrueSelect </t>
  </si>
  <si>
    <t xml:space="preserve">Raktuken </t>
  </si>
  <si>
    <t>ICICI</t>
  </si>
  <si>
    <t>Hertz</t>
  </si>
  <si>
    <t>Rental Cars</t>
  </si>
  <si>
    <t>Alamo</t>
  </si>
  <si>
    <t>Thrifty</t>
  </si>
  <si>
    <t>Avis</t>
  </si>
  <si>
    <t>Dollar</t>
  </si>
  <si>
    <t>Budget</t>
  </si>
  <si>
    <t>Marketing Analytics</t>
  </si>
  <si>
    <t>Optimizely</t>
  </si>
  <si>
    <t>Google</t>
  </si>
  <si>
    <t>Webtrends</t>
  </si>
  <si>
    <t>Comscore</t>
  </si>
  <si>
    <t>IBM ExperienceOne</t>
  </si>
  <si>
    <t>Cloud Marketing Solutions</t>
  </si>
  <si>
    <t>SAP</t>
  </si>
  <si>
    <t>SAS</t>
  </si>
  <si>
    <t>Oracle</t>
  </si>
  <si>
    <t>Teradata</t>
  </si>
  <si>
    <t>Konzum</t>
  </si>
  <si>
    <t>Kolonial</t>
  </si>
  <si>
    <t>LeShop</t>
  </si>
  <si>
    <t>REWE</t>
  </si>
  <si>
    <t>Virgin Media</t>
  </si>
  <si>
    <t>Sky</t>
  </si>
  <si>
    <t>BT</t>
  </si>
  <si>
    <t>Fifth Third</t>
  </si>
  <si>
    <t>Vans</t>
  </si>
  <si>
    <t>Athletic Footwear Manufacturers</t>
  </si>
  <si>
    <t>Converse</t>
  </si>
  <si>
    <t>Keds</t>
  </si>
  <si>
    <t>UPS</t>
  </si>
  <si>
    <t>FedEx</t>
  </si>
  <si>
    <t>DHL</t>
  </si>
  <si>
    <t>LaserShip</t>
  </si>
  <si>
    <t>Samsung Fire</t>
  </si>
  <si>
    <t>Insurance - Home (Fire)</t>
  </si>
  <si>
    <t>Samsung Travel</t>
  </si>
  <si>
    <t>Insurance - Travel</t>
  </si>
  <si>
    <t>Amica</t>
  </si>
  <si>
    <t>Amex</t>
  </si>
  <si>
    <t>Travel Guard</t>
  </si>
  <si>
    <t>IBM CES - Humana</t>
  </si>
  <si>
    <t>Insurance - Health</t>
  </si>
  <si>
    <t>Humana</t>
  </si>
  <si>
    <t>UnitedHealthcare</t>
  </si>
  <si>
    <t>Scandic</t>
  </si>
  <si>
    <t>Elite Hotels</t>
  </si>
  <si>
    <t xml:space="preserve">Nordic Choice </t>
  </si>
  <si>
    <t>Radisson Blu</t>
  </si>
  <si>
    <t>Thons Hotels</t>
  </si>
  <si>
    <t>First Hotels</t>
  </si>
  <si>
    <t>Bonds</t>
  </si>
  <si>
    <t>Cotton:On</t>
  </si>
  <si>
    <t>Triumph</t>
  </si>
  <si>
    <t>Telekom Malaysia</t>
  </si>
  <si>
    <t>Digi</t>
  </si>
  <si>
    <t>Umobile</t>
  </si>
  <si>
    <t>Maxis</t>
  </si>
  <si>
    <t>Singtel</t>
  </si>
  <si>
    <t>Celcom</t>
  </si>
  <si>
    <t>Amplifon</t>
  </si>
  <si>
    <t>Hearing Aid Providers</t>
  </si>
  <si>
    <t>Miracle-Ear</t>
  </si>
  <si>
    <t>HearingPlanet</t>
  </si>
  <si>
    <t>Costco (Hearing Aid Center)</t>
  </si>
  <si>
    <t>Audibel</t>
  </si>
  <si>
    <t>Beltone</t>
  </si>
  <si>
    <t>Caltex Australia</t>
  </si>
  <si>
    <t>Gasoline Retailers - Australia</t>
  </si>
  <si>
    <t>BP Australia</t>
  </si>
  <si>
    <t>Seven Eleven</t>
  </si>
  <si>
    <t>Shell Australia</t>
  </si>
  <si>
    <t>Woolworths Petrol</t>
  </si>
  <si>
    <t>HP Computers</t>
  </si>
  <si>
    <t>Verifone</t>
  </si>
  <si>
    <t>Electronic Payment Processing Services</t>
  </si>
  <si>
    <t>Ingenico Group</t>
  </si>
  <si>
    <t>Equinox Payments</t>
  </si>
  <si>
    <t>Pax Technology</t>
  </si>
  <si>
    <t>UIC</t>
  </si>
  <si>
    <t>GO Voyages</t>
  </si>
  <si>
    <t>eDreams</t>
  </si>
  <si>
    <t>Expedia France</t>
  </si>
  <si>
    <t>Bravofly</t>
  </si>
  <si>
    <t>ebookers France</t>
  </si>
  <si>
    <t>Adidas Brazil</t>
  </si>
  <si>
    <t>Nike Brazil</t>
  </si>
  <si>
    <t>Centauro</t>
  </si>
  <si>
    <t>Dafiti</t>
  </si>
  <si>
    <t>Netshoes</t>
  </si>
  <si>
    <t>Mercedes-Benz Germany</t>
  </si>
  <si>
    <t>Luxury Car Retailers</t>
  </si>
  <si>
    <t>BMW Germany</t>
  </si>
  <si>
    <t>Audi Germany</t>
  </si>
  <si>
    <t>Tesla Motors Germany</t>
  </si>
  <si>
    <t>Lexus Germany</t>
  </si>
  <si>
    <t>Infiniti</t>
  </si>
  <si>
    <t>Acura</t>
  </si>
  <si>
    <t>Cadillac</t>
  </si>
  <si>
    <t>BMW</t>
  </si>
  <si>
    <t>Audi</t>
  </si>
  <si>
    <t xml:space="preserve">BB&amp;T </t>
  </si>
  <si>
    <t>Mortgage Providers</t>
  </si>
  <si>
    <t>U.S. Bank - Mortgage</t>
  </si>
  <si>
    <t>Wells Fargo - Mortgage</t>
  </si>
  <si>
    <t>Gas Natural Fenosa</t>
  </si>
  <si>
    <t>Electricity &amp; Gas Retail Services</t>
  </si>
  <si>
    <t>Iberdrola</t>
  </si>
  <si>
    <t>Endesa</t>
  </si>
  <si>
    <t>E.ON España</t>
  </si>
  <si>
    <t>Asics Tiger</t>
  </si>
  <si>
    <t>Pre-Sales</t>
  </si>
  <si>
    <t>Asics America</t>
  </si>
  <si>
    <t>Backcountry.com</t>
  </si>
  <si>
    <t>Online Specialty Retailer</t>
  </si>
  <si>
    <t>Competitive Cyclist</t>
  </si>
  <si>
    <t>Bergfreunde.de</t>
  </si>
  <si>
    <t>Aviva / Quotemehappy.com</t>
  </si>
  <si>
    <t>Insurance - UK</t>
  </si>
  <si>
    <t>Quote Me Happy.com</t>
  </si>
  <si>
    <t>Admiral</t>
  </si>
  <si>
    <t>Direct Line</t>
  </si>
  <si>
    <t>Hastings Direct</t>
  </si>
  <si>
    <t>EMC Cloud Computing</t>
  </si>
  <si>
    <t>Hitachi Data Systems</t>
  </si>
  <si>
    <t>Shiseido</t>
  </si>
  <si>
    <t>E-Channel Pre-LOP</t>
  </si>
  <si>
    <t>Cosmetic Manufacturers</t>
  </si>
  <si>
    <t>Za</t>
  </si>
  <si>
    <t>Estee Lauder</t>
  </si>
  <si>
    <t>Lancome</t>
  </si>
  <si>
    <t>L'oreal</t>
  </si>
  <si>
    <t>Maybelline</t>
  </si>
  <si>
    <t>Vantiv</t>
  </si>
  <si>
    <t>Global Payments</t>
  </si>
  <si>
    <t>First Data</t>
  </si>
  <si>
    <t>Elavon</t>
  </si>
  <si>
    <t>Heartland</t>
  </si>
  <si>
    <t>GameStop</t>
  </si>
  <si>
    <t>Video Game Retailers</t>
  </si>
  <si>
    <t>GameFly</t>
  </si>
  <si>
    <t>DELA</t>
  </si>
  <si>
    <t>Insurance - Funeral</t>
  </si>
  <si>
    <t>Ditzo</t>
  </si>
  <si>
    <t>InShared</t>
  </si>
  <si>
    <t>Yarden</t>
  </si>
  <si>
    <t>Tobin Brothers Funerals</t>
  </si>
  <si>
    <t>Cloud Computing – IBM</t>
  </si>
  <si>
    <t>IBM Smart Cloud</t>
  </si>
  <si>
    <t>Amazon Elastic Compute Cloud (EC2)</t>
  </si>
  <si>
    <t>Google Cloud Platform</t>
  </si>
  <si>
    <t>CA Cloud</t>
  </si>
  <si>
    <t>Cisco Cloud Computing</t>
  </si>
  <si>
    <t>NetApp Cloud</t>
  </si>
  <si>
    <t>Rackspace Public Cloud</t>
  </si>
  <si>
    <t>Red Hat Cloud Computing</t>
  </si>
  <si>
    <t>Intel Cloud</t>
  </si>
  <si>
    <t>Salesforce.com Cloud Computing</t>
  </si>
  <si>
    <t>Symantec Cloud Computing</t>
  </si>
  <si>
    <t>IBM SoftLayer</t>
  </si>
  <si>
    <t>VMware Cloud Computing</t>
  </si>
  <si>
    <t>Microsoft Azure</t>
  </si>
  <si>
    <t>SAP Cloud Computing</t>
  </si>
  <si>
    <t>CenturyLink Cloud</t>
  </si>
  <si>
    <t>Verizon Cloud Computing</t>
  </si>
  <si>
    <t>HP Converged Cloud</t>
  </si>
  <si>
    <t>AT&amp;T Cloud Computing</t>
  </si>
  <si>
    <t>Microsoft Cloud Computing</t>
  </si>
  <si>
    <t>Consumer Electronics Pre-Sales</t>
  </si>
  <si>
    <t>Consumer Electronics</t>
  </si>
  <si>
    <t>Panasonic</t>
  </si>
  <si>
    <t>Hitachi</t>
  </si>
  <si>
    <t>Sony</t>
  </si>
  <si>
    <t>Sanyo TV</t>
  </si>
  <si>
    <t>Banque Nationale du Canada</t>
  </si>
  <si>
    <t>TD Canada Trust</t>
  </si>
  <si>
    <t>Telia</t>
  </si>
  <si>
    <t>Com Hem</t>
  </si>
  <si>
    <t>Telenor</t>
  </si>
  <si>
    <t>Tre</t>
  </si>
  <si>
    <t>Krungthai Bank</t>
  </si>
  <si>
    <t>Krungsri - Bank of Ayudhya</t>
  </si>
  <si>
    <t>TMB Bank</t>
  </si>
  <si>
    <t>Kotak Mahindra Bank</t>
  </si>
  <si>
    <t>Siam Commercial Bank</t>
  </si>
  <si>
    <t>IndusInd Bank</t>
  </si>
  <si>
    <t>KASIKORNBANK</t>
  </si>
  <si>
    <t>Union Bank of India</t>
  </si>
  <si>
    <t>UPC Cablecom</t>
  </si>
  <si>
    <t>Home Appliance Pre-Sales</t>
  </si>
  <si>
    <t>Home Appliances</t>
  </si>
  <si>
    <t>Electrolux</t>
  </si>
  <si>
    <t>GE Appliances</t>
  </si>
  <si>
    <t>Haier America</t>
  </si>
  <si>
    <t>LG</t>
  </si>
  <si>
    <t>Viking</t>
  </si>
  <si>
    <t>Whirlpool</t>
  </si>
  <si>
    <t>Naxoo</t>
  </si>
  <si>
    <t>Orange</t>
  </si>
  <si>
    <t>Sunrise</t>
  </si>
  <si>
    <t>Swisscom</t>
  </si>
  <si>
    <t>Protective Life Insurance</t>
  </si>
  <si>
    <t>SelectQuote</t>
  </si>
  <si>
    <t>Haven Life</t>
  </si>
  <si>
    <t>Cosmos Direkt</t>
  </si>
  <si>
    <t>Colonial Penn</t>
  </si>
  <si>
    <t>Policy Genius</t>
  </si>
  <si>
    <t>Costco - Single Page</t>
  </si>
  <si>
    <t>Protective Life - Costco</t>
  </si>
  <si>
    <t>Ameriprise</t>
  </si>
  <si>
    <t>Securian - Minnesota Life</t>
  </si>
  <si>
    <t>Principal Financial Group</t>
  </si>
  <si>
    <t>Transamerica</t>
  </si>
  <si>
    <t>Custom Pre-LOP</t>
  </si>
  <si>
    <t>Bank of India</t>
  </si>
  <si>
    <t xml:space="preserve">Credit Suisse – Switzerland </t>
  </si>
  <si>
    <t>Credit Suisse</t>
  </si>
  <si>
    <t>Zurcher Kantonalbank</t>
  </si>
  <si>
    <t>ABN AMRO</t>
  </si>
  <si>
    <t>KNAB</t>
  </si>
  <si>
    <t>UBS</t>
  </si>
  <si>
    <t>ING Bank</t>
  </si>
  <si>
    <t>Raiffeisen - Switzerland</t>
  </si>
  <si>
    <t>Rabobank</t>
  </si>
  <si>
    <t>Post Finance</t>
  </si>
  <si>
    <t>VP Bank</t>
  </si>
  <si>
    <t xml:space="preserve">ACB </t>
  </si>
  <si>
    <t>Military Bank</t>
  </si>
  <si>
    <t>Sacom Bank</t>
  </si>
  <si>
    <t>Techcom Bank</t>
  </si>
  <si>
    <t>Arts &amp; Crafts Retailers</t>
  </si>
  <si>
    <t>AC Moore</t>
  </si>
  <si>
    <t>Hobby Lobby</t>
  </si>
  <si>
    <t>JoAnn Fabric</t>
  </si>
  <si>
    <t>Walmart Home</t>
  </si>
  <si>
    <t>Brother-USA</t>
  </si>
  <si>
    <t>Consumer Retail</t>
  </si>
  <si>
    <t>Brother USA</t>
  </si>
  <si>
    <t>HP Printers</t>
  </si>
  <si>
    <t>Mercedes-Benz China</t>
  </si>
  <si>
    <t>Luxury Car Retailers - China</t>
  </si>
  <si>
    <t>Daimler</t>
  </si>
  <si>
    <t>Audi China</t>
  </si>
  <si>
    <t>BMW China</t>
  </si>
  <si>
    <t>Lexus China</t>
  </si>
  <si>
    <t>VW China</t>
  </si>
  <si>
    <t>XL Group</t>
  </si>
  <si>
    <t>ACE Group</t>
  </si>
  <si>
    <t>Tata AIG Insurance</t>
  </si>
  <si>
    <t>Zurich Insurance Group</t>
  </si>
  <si>
    <t>Amazon Home</t>
  </si>
  <si>
    <t>Baylor Health Care System</t>
  </si>
  <si>
    <t>Scott &amp; White</t>
  </si>
  <si>
    <t>eHealth</t>
  </si>
  <si>
    <t>BlueCross BlueSheid of Texas</t>
  </si>
  <si>
    <t>Acuity</t>
  </si>
  <si>
    <t>Cincinnati Financial</t>
  </si>
  <si>
    <t>West Bend</t>
  </si>
  <si>
    <t>Edward Jones</t>
  </si>
  <si>
    <t>Merrill Lynch</t>
  </si>
  <si>
    <t>Raymond James</t>
  </si>
  <si>
    <t>Raiffeisenbank- Austria</t>
  </si>
  <si>
    <t>Raiffeisenbank - Austria</t>
  </si>
  <si>
    <t>Sparkasse</t>
  </si>
  <si>
    <t>ING-DiBa</t>
  </si>
  <si>
    <t>Bawag P.S.K.</t>
  </si>
  <si>
    <t>Bank Austria</t>
  </si>
  <si>
    <t>IBM SmartCloud</t>
  </si>
  <si>
    <t>IBM BlueMix</t>
  </si>
  <si>
    <t>Achmea</t>
  </si>
  <si>
    <t>Aegon (red = not in engine)</t>
  </si>
  <si>
    <t>NN</t>
  </si>
  <si>
    <t>OHRA</t>
  </si>
  <si>
    <t>Reaal</t>
  </si>
  <si>
    <t>Unive</t>
  </si>
  <si>
    <t>ASR</t>
  </si>
  <si>
    <t>Telecommunications - Mobile</t>
  </si>
  <si>
    <t>Metro PCS</t>
  </si>
  <si>
    <t>MicrosoftStore.com</t>
  </si>
  <si>
    <t>Best Buy Electronics</t>
  </si>
  <si>
    <t>Newegg</t>
  </si>
  <si>
    <t>Synergy</t>
  </si>
  <si>
    <t>Alinta</t>
  </si>
  <si>
    <t>Blackwoods</t>
  </si>
  <si>
    <t>Industrial, Engineering and Safety Services</t>
  </si>
  <si>
    <t>Monotaro</t>
  </si>
  <si>
    <t>Staples</t>
  </si>
  <si>
    <t>Proximus</t>
  </si>
  <si>
    <t>Telecommunications - Belgium</t>
  </si>
  <si>
    <t>BASE</t>
  </si>
  <si>
    <t>Mobistar</t>
  </si>
  <si>
    <t>Telenet</t>
  </si>
  <si>
    <t>VOO</t>
  </si>
  <si>
    <t>The Hartford</t>
  </si>
  <si>
    <t>The Hartford Auto Insurance</t>
  </si>
  <si>
    <t>Liberty Mutual Insurance</t>
  </si>
  <si>
    <t>ING Bank (Netherlands)</t>
  </si>
  <si>
    <t>Diversified Financials</t>
  </si>
  <si>
    <t>SNS</t>
  </si>
  <si>
    <t>QBE Insurance</t>
  </si>
  <si>
    <t>Allstate Insurance</t>
  </si>
  <si>
    <t>NRMA Insurance</t>
  </si>
  <si>
    <t>Suncorp</t>
  </si>
  <si>
    <t>Estée Lauder</t>
  </si>
  <si>
    <t>L'Oreal</t>
  </si>
  <si>
    <t>Revlon</t>
  </si>
  <si>
    <t>Crédit Agricole</t>
  </si>
  <si>
    <t>Credit Agricole</t>
  </si>
  <si>
    <t>Societe Generale</t>
  </si>
  <si>
    <t>La Banque Postale</t>
  </si>
  <si>
    <t>Caisse D'Epargne</t>
  </si>
  <si>
    <t>Credit Mutuel</t>
  </si>
  <si>
    <t>New South Wales – Roads &amp; Maritime</t>
  </si>
  <si>
    <t>Government Services</t>
  </si>
  <si>
    <t>NSW RMS</t>
  </si>
  <si>
    <t>Gov.UK</t>
  </si>
  <si>
    <t>NSW Health</t>
  </si>
  <si>
    <t>NSW Transport</t>
  </si>
  <si>
    <t>VicRoads</t>
  </si>
  <si>
    <t>TNT Express</t>
  </si>
  <si>
    <t>GPS-Lite</t>
  </si>
  <si>
    <t>Purolator US</t>
  </si>
  <si>
    <t>United States Postal Serice</t>
  </si>
  <si>
    <t>TNT Netherlands</t>
  </si>
  <si>
    <t>Lincoln Financial</t>
  </si>
  <si>
    <t>Financial Planning Services</t>
  </si>
  <si>
    <t>TNT US</t>
  </si>
  <si>
    <t>SUNY Online Education</t>
  </si>
  <si>
    <t>Online Educational Services</t>
  </si>
  <si>
    <t>SUNY</t>
  </si>
  <si>
    <t>University of Phoenix</t>
  </si>
  <si>
    <t>ASU Online</t>
  </si>
  <si>
    <t>UMUC</t>
  </si>
  <si>
    <t>SNHU</t>
  </si>
  <si>
    <t>Banks - Netherlands</t>
  </si>
  <si>
    <t>TIAA-CREF</t>
  </si>
  <si>
    <t>Financial Services Providers</t>
  </si>
  <si>
    <t>Wealth Management Services</t>
  </si>
  <si>
    <t>Entel</t>
  </si>
  <si>
    <t>Competitive-Diagnostic</t>
  </si>
  <si>
    <t>Claro Chile</t>
  </si>
  <si>
    <t xml:space="preserve">Entel </t>
  </si>
  <si>
    <t>Movistar Chile</t>
  </si>
  <si>
    <t>Movistar Spain</t>
  </si>
  <si>
    <t>Telecommunications - Plus Leading Digital Brands</t>
  </si>
  <si>
    <t>Australia Insurance Group</t>
  </si>
  <si>
    <t>Insurance - Australia</t>
  </si>
  <si>
    <t>AAMI</t>
  </si>
  <si>
    <t>CGU Insurance</t>
  </si>
  <si>
    <t>Americanas</t>
  </si>
  <si>
    <t>Extra</t>
  </si>
  <si>
    <t>Pontofrio</t>
  </si>
  <si>
    <t>UNUM</t>
  </si>
  <si>
    <t>hhgregg</t>
  </si>
  <si>
    <t>ABT</t>
  </si>
  <si>
    <t>Frys</t>
  </si>
  <si>
    <t>FC Barcelona</t>
  </si>
  <si>
    <t>Football Clubs</t>
  </si>
  <si>
    <t>Chelsea F.C.</t>
  </si>
  <si>
    <t>Real Madrid C.F.</t>
  </si>
  <si>
    <t>Manchester United F.C.</t>
  </si>
  <si>
    <t>FC Bayern München</t>
  </si>
  <si>
    <t>Geico Life Insurance</t>
  </si>
  <si>
    <t>Northwestern Mutual Life Insurance</t>
  </si>
  <si>
    <t>Credit Cards</t>
  </si>
  <si>
    <t>FirstMerit Bank</t>
  </si>
  <si>
    <t>Personal Banking</t>
  </si>
  <si>
    <t>Debenhams</t>
  </si>
  <si>
    <t>UK Retailers</t>
  </si>
  <si>
    <t>John Lewis</t>
  </si>
  <si>
    <t>M &amp; S</t>
  </si>
  <si>
    <t>Unite Students</t>
  </si>
  <si>
    <t>Student Housing</t>
  </si>
  <si>
    <t>Campus Crest</t>
  </si>
  <si>
    <t>American Campus</t>
  </si>
  <si>
    <t>Education Reality Trust</t>
  </si>
  <si>
    <t>Greystar</t>
  </si>
  <si>
    <t>Pharmaceutical Brands</t>
  </si>
  <si>
    <t>Norditropin</t>
  </si>
  <si>
    <t>Tysabri</t>
  </si>
  <si>
    <t>CITI</t>
  </si>
  <si>
    <t>MountainStar Healthcare</t>
  </si>
  <si>
    <t>University of Utah Heath Care</t>
  </si>
  <si>
    <t>Penn Medicine</t>
  </si>
  <si>
    <t>IASIS Healthcare</t>
  </si>
  <si>
    <t>CHECKER</t>
  </si>
  <si>
    <t xml:space="preserve"> </t>
  </si>
  <si>
    <t>Scontent</t>
  </si>
  <si>
    <t>FCP</t>
  </si>
  <si>
    <t>DCL</t>
  </si>
  <si>
    <t>PSpeed</t>
  </si>
  <si>
    <t>Yslow</t>
  </si>
  <si>
    <t>PGrade</t>
  </si>
  <si>
    <t>Faster</t>
  </si>
  <si>
    <t>CPhI</t>
  </si>
  <si>
    <t>https://www.cphi.com/</t>
  </si>
  <si>
    <t>Fi Global</t>
  </si>
  <si>
    <t>Sleep and Eat</t>
  </si>
  <si>
    <t>Decorex</t>
  </si>
  <si>
    <t>Slas Europe</t>
  </si>
  <si>
    <t>Africa's Big</t>
  </si>
  <si>
    <t>BLLA</t>
  </si>
  <si>
    <t>AIA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</si>
</sst>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
  </numFmts>
  <fonts count="56">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b/>
      <u/>
      <sz val="11"/>
      <color theme="1"/>
      <name val="Calibri"/>
      <family val="2"/>
      <scheme val="minor"/>
    </font>
    <font>
      <i/>
      <sz val="11"/>
      <color rgb="FF7F7F7F"/>
      <name val="Calibri"/>
      <family val="2"/>
      <scheme val="minor"/>
    </font>
    <font>
      <b/>
      <sz val="11"/>
      <color theme="1"/>
      <name val="Calibri"/>
      <family val="2"/>
      <scheme val="minor"/>
    </font>
    <font>
      <sz val="11"/>
      <color rgb="FF00B0F0"/>
      <name val="Calibri"/>
      <family val="2"/>
      <scheme val="minor"/>
    </font>
    <font>
      <b/>
      <sz val="11"/>
      <color rgb="FF00B0F0"/>
      <name val="Calibri"/>
      <family val="2"/>
      <scheme val="minor"/>
    </font>
    <font>
      <sz val="11"/>
      <color rgb="FF0070C0"/>
      <name val="Calibri"/>
      <family val="2"/>
      <scheme val="minor"/>
    </font>
    <font>
      <b/>
      <sz val="11"/>
      <color rgb="FF0070C0"/>
      <name val="Calibri"/>
      <family val="2"/>
      <scheme val="minor"/>
    </font>
    <font>
      <sz val="11"/>
      <color rgb="FFFFC000"/>
      <name val="Calibri"/>
      <family val="2"/>
      <scheme val="minor"/>
    </font>
    <font>
      <sz val="11"/>
      <name val="Calibri"/>
      <family val="2"/>
      <scheme val="minor"/>
    </font>
    <font>
      <b/>
      <sz val="9"/>
      <color indexed="81"/>
      <name val="Tahoma"/>
      <family val="2"/>
    </font>
    <font>
      <sz val="9"/>
      <color indexed="81"/>
      <name val="Tahoma"/>
      <family val="2"/>
    </font>
    <font>
      <b/>
      <sz val="12"/>
      <color theme="0"/>
      <name val="Calibri"/>
      <family val="2"/>
      <scheme val="minor"/>
    </font>
    <font>
      <b/>
      <sz val="9"/>
      <color rgb="FFFA7D00"/>
      <name val="Calibri"/>
      <family val="2"/>
    </font>
    <font>
      <sz val="11"/>
      <color theme="7"/>
      <name val="Calibri"/>
      <family val="2"/>
      <scheme val="minor"/>
    </font>
    <font>
      <sz val="11"/>
      <color rgb="FFFF0000"/>
      <name val="Calibri"/>
      <family val="2"/>
      <scheme val="minor"/>
    </font>
    <font>
      <b/>
      <sz val="11"/>
      <color theme="7"/>
      <name val="Calibri"/>
      <family val="2"/>
      <scheme val="minor"/>
    </font>
    <font>
      <sz val="9"/>
      <color theme="1"/>
      <name val="Calibri"/>
      <family val="2"/>
      <scheme val="minor"/>
    </font>
    <font>
      <sz val="9"/>
      <color theme="1"/>
      <name val="Calibri"/>
      <family val="2"/>
    </font>
    <font>
      <sz val="11"/>
      <color theme="1"/>
      <name val="Calibri"/>
      <family val="2"/>
      <scheme val="minor"/>
    </font>
    <font>
      <sz val="8"/>
      <color rgb="FFFF0000"/>
      <name val="Calibri"/>
      <family val="2"/>
      <scheme val="minor"/>
    </font>
    <font>
      <sz val="22"/>
      <color theme="1"/>
      <name val="Calibri"/>
      <family val="2"/>
      <scheme val="minor"/>
    </font>
    <font>
      <b/>
      <sz val="11"/>
      <color rgb="FF3F3F3F"/>
      <name val="Calibri"/>
      <family val="2"/>
      <scheme val="minor"/>
    </font>
    <font>
      <b/>
      <sz val="9"/>
      <color rgb="FF3F3F3F"/>
      <name val="Calibri"/>
      <family val="2"/>
      <scheme val="minor"/>
    </font>
    <font>
      <b/>
      <sz val="9"/>
      <color rgb="FFFA7D00"/>
      <name val="Calibri"/>
      <family val="2"/>
      <scheme val="minor"/>
    </font>
    <font>
      <b/>
      <sz val="9"/>
      <name val="Calibri"/>
      <family val="2"/>
      <scheme val="minor"/>
    </font>
    <font>
      <b/>
      <sz val="9"/>
      <name val="Calibri"/>
      <family val="2"/>
    </font>
    <font>
      <b/>
      <sz val="11"/>
      <color rgb="FF00B050"/>
      <name val="Calibri"/>
      <family val="2"/>
      <scheme val="minor"/>
    </font>
    <font>
      <b/>
      <sz val="11"/>
      <color rgb="FFFF0000"/>
      <name val="Calibri"/>
      <family val="2"/>
      <scheme val="minor"/>
    </font>
    <font>
      <sz val="10"/>
      <color theme="1"/>
      <name val="Calibri"/>
      <family val="2"/>
      <scheme val="minor"/>
    </font>
    <font>
      <b/>
      <sz val="11"/>
      <name val="Calibri"/>
      <family val="2"/>
      <scheme val="minor"/>
    </font>
    <font>
      <b/>
      <sz val="11"/>
      <color theme="9"/>
      <name val="Calibri"/>
      <family val="2"/>
      <scheme val="minor"/>
    </font>
    <font>
      <sz val="8"/>
      <color theme="1"/>
      <name val="Calibri"/>
      <family val="2"/>
      <scheme val="minor"/>
    </font>
    <font>
      <b/>
      <sz val="11"/>
      <color theme="3"/>
      <name val="Calibri"/>
      <family val="2"/>
      <scheme val="minor"/>
    </font>
    <font>
      <b/>
      <sz val="10"/>
      <color theme="0"/>
      <name val="Calibri"/>
      <family val="2"/>
      <scheme val="minor"/>
    </font>
    <font>
      <b/>
      <sz val="11"/>
      <color theme="0"/>
      <name val="Wingdings"/>
      <charset val="2"/>
    </font>
    <font>
      <b/>
      <sz val="11"/>
      <color theme="0"/>
      <name val="Calibri"/>
      <family val="2"/>
      <charset val="2"/>
      <scheme val="minor"/>
    </font>
    <font>
      <b/>
      <sz val="9"/>
      <color theme="1"/>
      <name val="Calibri"/>
      <family val="2"/>
    </font>
    <font>
      <b/>
      <i/>
      <sz val="11"/>
      <color rgb="FF7F7F7F"/>
      <name val="Calibri"/>
      <family val="2"/>
      <scheme val="minor"/>
    </font>
    <font>
      <i/>
      <sz val="9"/>
      <color theme="1"/>
      <name val="Calibri"/>
      <family val="2"/>
    </font>
    <font>
      <i/>
      <sz val="11"/>
      <color theme="1"/>
      <name val="Calibri"/>
      <family val="2"/>
      <scheme val="minor"/>
    </font>
    <font>
      <b/>
      <i/>
      <sz val="11"/>
      <color theme="1"/>
      <name val="Calibri"/>
      <family val="2"/>
      <scheme val="minor"/>
    </font>
    <font>
      <sz val="11"/>
      <color rgb="FF9C5700"/>
      <name val="Calibri"/>
      <family val="2"/>
      <scheme val="minor"/>
    </font>
    <font>
      <sz val="11"/>
      <color theme="2" tint="-0.249977111117893"/>
      <name val="Calibri"/>
      <family val="2"/>
      <scheme val="minor"/>
    </font>
    <font>
      <sz val="11"/>
      <color theme="1"/>
      <name val="Calibri"/>
      <family val="2"/>
    </font>
    <font>
      <sz val="10"/>
      <color rgb="FF0D0D0D"/>
      <name val="Arial"/>
      <family val="2"/>
    </font>
    <font>
      <sz val="11"/>
      <color theme="0" tint="-0.14999847407452621"/>
      <name val="Calibri"/>
      <family val="2"/>
      <scheme val="minor"/>
    </font>
    <font>
      <sz val="11"/>
      <color rgb="FF172B4D"/>
      <name val="Segoe U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8"/>
      </patternFill>
    </fill>
    <fill>
      <patternFill patternType="solid">
        <fgColor rgb="FF7030A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1"/>
        <bgColor indexed="64"/>
      </patternFill>
    </fill>
    <fill>
      <patternFill patternType="solid">
        <fgColor rgb="FFFFFF00"/>
        <bgColor indexed="64"/>
      </patternFill>
    </fill>
    <fill>
      <patternFill patternType="solid">
        <fgColor rgb="FF002060"/>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2" tint="-0.499984740745262"/>
        <bgColor indexed="64"/>
      </patternFill>
    </fill>
    <fill>
      <patternFill patternType="solid">
        <fgColor theme="3" tint="0.59999389629810485"/>
        <bgColor indexed="64"/>
      </patternFill>
    </fill>
    <fill>
      <patternFill patternType="solid">
        <fgColor theme="9"/>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rgb="FFFFE7E7"/>
        <bgColor indexed="64"/>
      </patternFill>
    </fill>
    <fill>
      <patternFill patternType="solid">
        <fgColor theme="7"/>
        <bgColor indexed="64"/>
      </patternFill>
    </fill>
    <fill>
      <patternFill patternType="solid">
        <fgColor theme="9" tint="0.79998168889431442"/>
        <bgColor indexed="64"/>
      </patternFill>
    </fill>
    <fill>
      <patternFill patternType="solid">
        <fgColor rgb="FFFFEFF0"/>
        <bgColor indexed="64"/>
      </patternFill>
    </fill>
    <fill>
      <patternFill patternType="solid">
        <fgColor theme="6" tint="0.79998168889431442"/>
        <bgColor indexed="64"/>
      </patternFill>
    </fill>
    <fill>
      <patternFill patternType="solid">
        <fgColor theme="0"/>
        <bgColor indexed="64"/>
      </patternFill>
    </fill>
    <fill>
      <patternFill patternType="solid">
        <fgColor theme="5" tint="-0.249977111117893"/>
        <bgColor indexed="64"/>
      </patternFill>
    </fill>
    <fill>
      <patternFill patternType="solid">
        <fgColor theme="3"/>
        <bgColor indexed="64"/>
      </patternFill>
    </fill>
    <fill>
      <patternFill patternType="solid">
        <fgColor theme="0" tint="-4.9989318521683403E-2"/>
        <bgColor indexed="64"/>
      </patternFill>
    </fill>
    <fill>
      <patternFill patternType="solid">
        <fgColor theme="9"/>
      </patternFill>
    </fill>
    <fill>
      <patternFill patternType="solid">
        <fgColor rgb="FFFFC000"/>
        <bgColor indexed="64"/>
      </patternFill>
    </fill>
    <fill>
      <patternFill patternType="solid">
        <fgColor rgb="FF92D050"/>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5" tint="0.79998168889431442"/>
        <bgColor theme="4" tint="0.79998168889431442"/>
      </patternFill>
    </fill>
    <fill>
      <patternFill patternType="solid">
        <fgColor theme="7"/>
      </patternFill>
    </fill>
  </fills>
  <borders count="40">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style="thin">
        <color indexed="64"/>
      </right>
      <top/>
      <bottom/>
      <diagonal/>
    </border>
    <border>
      <left/>
      <right/>
      <top style="thin">
        <color indexed="64"/>
      </top>
      <bottom/>
      <diagonal/>
    </border>
    <border>
      <left style="thin">
        <color rgb="FF7F7F7F"/>
      </left>
      <right style="thin">
        <color rgb="FF7F7F7F"/>
      </right>
      <top style="thin">
        <color rgb="FF7F7F7F"/>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theme="0"/>
      </left>
      <right/>
      <top/>
      <bottom/>
      <diagonal/>
    </border>
    <border>
      <left/>
      <right style="thin">
        <color theme="0"/>
      </right>
      <top/>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top style="medium">
        <color auto="1"/>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theme="4" tint="0.39997558519241921"/>
      </bottom>
      <diagonal/>
    </border>
    <border>
      <left style="thin">
        <color indexed="64"/>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7F7F7F"/>
      </right>
      <top/>
      <bottom/>
      <diagonal/>
    </border>
    <border>
      <left style="thin">
        <color indexed="64"/>
      </left>
      <right/>
      <top/>
      <bottom style="medium">
        <color theme="4" tint="0.39997558519241921"/>
      </bottom>
      <diagonal/>
    </border>
    <border>
      <left style="thin">
        <color indexed="64"/>
      </left>
      <right style="thin">
        <color rgb="FF7F7F7F"/>
      </right>
      <top style="thin">
        <color rgb="FF7F7F7F"/>
      </top>
      <bottom style="thin">
        <color rgb="FF7F7F7F"/>
      </bottom>
      <diagonal/>
    </border>
    <border>
      <left/>
      <right/>
      <top/>
      <bottom style="thin">
        <color theme="4" tint="0.39997558519241921"/>
      </bottom>
      <diagonal/>
    </border>
    <border>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s>
  <cellStyleXfs count="18">
    <xf numFmtId="0" fontId="0" fillId="0" borderId="0"/>
    <xf numFmtId="0" fontId="2" fillId="2" borderId="0" applyNumberFormat="0" applyBorder="0" applyAlignment="0" applyProtection="0"/>
    <xf numFmtId="0" fontId="3" fillId="3" borderId="0" applyNumberFormat="0" applyBorder="0" applyAlignment="0" applyProtection="0"/>
    <xf numFmtId="0" fontId="5" fillId="4" borderId="1" applyNumberFormat="0" applyAlignment="0" applyProtection="0"/>
    <xf numFmtId="0" fontId="6" fillId="5" borderId="1" applyNumberFormat="0" applyAlignment="0" applyProtection="0"/>
    <xf numFmtId="0" fontId="1" fillId="6" borderId="2" applyNumberFormat="0" applyFont="0" applyAlignment="0" applyProtection="0"/>
    <xf numFmtId="0" fontId="8" fillId="7" borderId="0" applyNumberFormat="0" applyBorder="0" applyAlignment="0" applyProtection="0"/>
    <xf numFmtId="0" fontId="10" fillId="0" borderId="0" applyNumberFormat="0" applyFill="0" applyBorder="0" applyAlignment="0" applyProtection="0"/>
    <xf numFmtId="43" fontId="1" fillId="0" borderId="0" applyFont="0" applyFill="0" applyBorder="0" applyAlignment="0" applyProtection="0"/>
    <xf numFmtId="0" fontId="21" fillId="5" borderId="1" applyNumberFormat="0" applyAlignment="0" applyProtection="0"/>
    <xf numFmtId="0" fontId="26" fillId="0" borderId="0"/>
    <xf numFmtId="0" fontId="23" fillId="0" borderId="0" applyNumberFormat="0" applyFill="0" applyBorder="0" applyAlignment="0" applyProtection="0"/>
    <xf numFmtId="0" fontId="30" fillId="5" borderId="6" applyNumberFormat="0" applyAlignment="0" applyProtection="0"/>
    <xf numFmtId="0" fontId="41" fillId="0" borderId="30" applyNumberFormat="0" applyFill="0" applyAlignment="0" applyProtection="0"/>
    <xf numFmtId="0" fontId="8" fillId="31" borderId="0" applyNumberFormat="0" applyBorder="0" applyAlignment="0" applyProtection="0"/>
    <xf numFmtId="0" fontId="50" fillId="39" borderId="0" applyNumberFormat="0" applyBorder="0" applyAlignment="0" applyProtection="0"/>
    <xf numFmtId="9" fontId="1" fillId="0" borderId="0" applyFont="0" applyFill="0" applyBorder="0" applyAlignment="0" applyProtection="0"/>
    <xf numFmtId="0" fontId="8" fillId="42" borderId="0" applyNumberFormat="0" applyBorder="0" applyAlignment="0" applyProtection="0"/>
  </cellStyleXfs>
  <cellXfs count="380">
    <xf numFmtId="0" fontId="0" fillId="0" borderId="0" xfId="0"/>
    <xf numFmtId="0" fontId="5" fillId="4" borderId="1" xfId="3" applyAlignment="1">
      <alignment horizontal="center"/>
    </xf>
    <xf numFmtId="0" fontId="0" fillId="9" borderId="0" xfId="0" applyFill="1" applyAlignment="1">
      <alignment horizontal="right"/>
    </xf>
    <xf numFmtId="0" fontId="0" fillId="9" borderId="4" xfId="0" applyFill="1" applyBorder="1" applyAlignment="1">
      <alignment horizontal="center"/>
    </xf>
    <xf numFmtId="0" fontId="0" fillId="9" borderId="4" xfId="0" applyFill="1" applyBorder="1" applyAlignment="1">
      <alignment horizontal="left"/>
    </xf>
    <xf numFmtId="0" fontId="0" fillId="10" borderId="0" xfId="0" applyFill="1"/>
    <xf numFmtId="0" fontId="5" fillId="4" borderId="1" xfId="3"/>
    <xf numFmtId="0" fontId="7" fillId="8" borderId="0" xfId="0" applyFont="1" applyFill="1"/>
    <xf numFmtId="0" fontId="9" fillId="0" borderId="0" xfId="0" applyFont="1"/>
    <xf numFmtId="0" fontId="0" fillId="11" borderId="0" xfId="0" applyFill="1"/>
    <xf numFmtId="9" fontId="0" fillId="0" borderId="0" xfId="0" applyNumberFormat="1"/>
    <xf numFmtId="0" fontId="9" fillId="0" borderId="0" xfId="0" applyFont="1" applyAlignment="1">
      <alignment horizontal="right"/>
    </xf>
    <xf numFmtId="0" fontId="9" fillId="0" borderId="0" xfId="0" applyFont="1" applyAlignment="1">
      <alignment horizontal="center"/>
    </xf>
    <xf numFmtId="0" fontId="0" fillId="0" borderId="0" xfId="0" applyAlignment="1"/>
    <xf numFmtId="0" fontId="3" fillId="3" borderId="0" xfId="2"/>
    <xf numFmtId="0" fontId="8" fillId="7" borderId="2" xfId="6" applyBorder="1"/>
    <xf numFmtId="0" fontId="2" fillId="2" borderId="0" xfId="1"/>
    <xf numFmtId="0" fontId="6" fillId="5" borderId="1" xfId="4" applyAlignment="1"/>
    <xf numFmtId="9" fontId="3" fillId="3" borderId="0" xfId="2" applyNumberFormat="1"/>
    <xf numFmtId="9" fontId="8" fillId="7" borderId="0" xfId="6" applyNumberFormat="1"/>
    <xf numFmtId="9" fontId="2" fillId="2" borderId="0" xfId="1" applyNumberFormat="1"/>
    <xf numFmtId="1" fontId="0" fillId="0" borderId="0" xfId="0" applyNumberFormat="1"/>
    <xf numFmtId="0" fontId="4" fillId="6" borderId="2" xfId="5" applyFont="1"/>
    <xf numFmtId="0" fontId="10" fillId="0" borderId="0" xfId="7"/>
    <xf numFmtId="0" fontId="11" fillId="0" borderId="0" xfId="0" applyFont="1"/>
    <xf numFmtId="0" fontId="8" fillId="7" borderId="0" xfId="6"/>
    <xf numFmtId="0" fontId="0" fillId="0" borderId="0" xfId="0" applyAlignment="1">
      <alignment wrapText="1"/>
    </xf>
    <xf numFmtId="0" fontId="0" fillId="10" borderId="0" xfId="0" applyFill="1" applyAlignment="1">
      <alignment horizontal="left"/>
    </xf>
    <xf numFmtId="0" fontId="12" fillId="11" borderId="0" xfId="0" applyFont="1" applyFill="1"/>
    <xf numFmtId="0" fontId="13" fillId="11" borderId="0" xfId="0" applyFont="1" applyFill="1"/>
    <xf numFmtId="0" fontId="0" fillId="12" borderId="0" xfId="0" applyFill="1"/>
    <xf numFmtId="0" fontId="0" fillId="0" borderId="0" xfId="0" applyFill="1"/>
    <xf numFmtId="0" fontId="7" fillId="11" borderId="0" xfId="0" applyFont="1" applyFill="1"/>
    <xf numFmtId="0" fontId="0" fillId="0" borderId="0" xfId="0" applyAlignment="1">
      <alignment horizontal="center"/>
    </xf>
    <xf numFmtId="9" fontId="0" fillId="0" borderId="0" xfId="8" applyNumberFormat="1" applyFont="1"/>
    <xf numFmtId="0" fontId="7" fillId="13" borderId="0" xfId="0" applyFont="1" applyFill="1"/>
    <xf numFmtId="0" fontId="6" fillId="5" borderId="1" xfId="4"/>
    <xf numFmtId="9" fontId="22" fillId="11" borderId="0" xfId="0" applyNumberFormat="1" applyFont="1" applyFill="1"/>
    <xf numFmtId="0" fontId="22" fillId="11" borderId="0" xfId="0" applyFont="1" applyFill="1"/>
    <xf numFmtId="1" fontId="22" fillId="11" borderId="0" xfId="0" applyNumberFormat="1" applyFont="1" applyFill="1"/>
    <xf numFmtId="1" fontId="24" fillId="11" borderId="0" xfId="0" applyNumberFormat="1" applyFont="1" applyFill="1" applyAlignment="1">
      <alignment horizontal="center"/>
    </xf>
    <xf numFmtId="1" fontId="24" fillId="11" borderId="0" xfId="0" applyNumberFormat="1" applyFont="1" applyFill="1" applyAlignment="1">
      <alignment horizontal="left"/>
    </xf>
    <xf numFmtId="0" fontId="24" fillId="11" borderId="0" xfId="0" applyFont="1" applyFill="1" applyAlignment="1">
      <alignment horizontal="left"/>
    </xf>
    <xf numFmtId="0" fontId="24" fillId="11" borderId="0" xfId="0" applyFont="1" applyFill="1" applyAlignment="1">
      <alignment horizontal="center"/>
    </xf>
    <xf numFmtId="0" fontId="0" fillId="0" borderId="0" xfId="0" applyFill="1" applyAlignment="1"/>
    <xf numFmtId="9" fontId="0" fillId="0" borderId="0" xfId="0" applyNumberFormat="1" applyAlignment="1"/>
    <xf numFmtId="9" fontId="0" fillId="0" borderId="0" xfId="0" applyNumberFormat="1" applyAlignment="1">
      <alignment wrapText="1"/>
    </xf>
    <xf numFmtId="9" fontId="0" fillId="0" borderId="0" xfId="0" applyNumberFormat="1" applyFill="1" applyAlignment="1"/>
    <xf numFmtId="0" fontId="5" fillId="4" borderId="5" xfId="3" applyBorder="1" applyAlignment="1">
      <alignment horizontal="center"/>
    </xf>
    <xf numFmtId="0" fontId="25" fillId="0" borderId="0" xfId="0" applyFont="1"/>
    <xf numFmtId="0" fontId="26" fillId="18" borderId="0" xfId="10" applyFill="1"/>
    <xf numFmtId="0" fontId="26" fillId="0" borderId="0" xfId="10"/>
    <xf numFmtId="0" fontId="0" fillId="0" borderId="0" xfId="0" applyAlignment="1">
      <alignment horizontal="left"/>
    </xf>
    <xf numFmtId="0" fontId="0" fillId="0" borderId="0" xfId="0" pivotButton="1"/>
    <xf numFmtId="0" fontId="0" fillId="0" borderId="0" xfId="0" applyNumberFormat="1"/>
    <xf numFmtId="0" fontId="6" fillId="5" borderId="1" xfId="4" applyAlignment="1">
      <alignment horizontal="left"/>
    </xf>
    <xf numFmtId="14" fontId="0" fillId="0" borderId="0" xfId="0" applyNumberFormat="1"/>
    <xf numFmtId="22" fontId="0" fillId="0" borderId="0" xfId="0" applyNumberFormat="1"/>
    <xf numFmtId="0" fontId="11" fillId="0" borderId="0" xfId="0" applyFont="1" applyAlignment="1">
      <alignment horizontal="center"/>
    </xf>
    <xf numFmtId="0" fontId="7" fillId="11" borderId="0" xfId="0" applyFont="1" applyFill="1" applyAlignment="1"/>
    <xf numFmtId="0" fontId="8" fillId="0" borderId="0" xfId="0" applyFont="1"/>
    <xf numFmtId="0" fontId="27" fillId="12" borderId="0" xfId="0" applyNumberFormat="1" applyFont="1" applyFill="1" applyBorder="1" applyAlignment="1" applyProtection="1"/>
    <xf numFmtId="1" fontId="10" fillId="0" borderId="0" xfId="7" applyNumberFormat="1"/>
    <xf numFmtId="0" fontId="0" fillId="0" borderId="0" xfId="0" applyFont="1"/>
    <xf numFmtId="0" fontId="28" fillId="0" borderId="0" xfId="11" applyFont="1"/>
    <xf numFmtId="0" fontId="28" fillId="0" borderId="0" xfId="11" applyFont="1" applyAlignment="1">
      <alignment horizontal="right"/>
    </xf>
    <xf numFmtId="0" fontId="29" fillId="0" borderId="0" xfId="0" applyFont="1"/>
    <xf numFmtId="1" fontId="17" fillId="11" borderId="0" xfId="0" applyNumberFormat="1" applyFont="1" applyFill="1"/>
    <xf numFmtId="3" fontId="17" fillId="11" borderId="0" xfId="0" applyNumberFormat="1" applyFont="1" applyFill="1"/>
    <xf numFmtId="0" fontId="0" fillId="0" borderId="0" xfId="0"/>
    <xf numFmtId="0" fontId="31" fillId="5" borderId="6" xfId="12" applyFont="1" applyAlignment="1">
      <alignment horizontal="left" indent="1"/>
    </xf>
    <xf numFmtId="0" fontId="32" fillId="5" borderId="1" xfId="4" applyFont="1" applyAlignment="1">
      <alignment horizontal="left" indent="1"/>
    </xf>
    <xf numFmtId="9" fontId="16" fillId="11" borderId="0" xfId="0" applyNumberFormat="1" applyFont="1" applyFill="1"/>
    <xf numFmtId="0" fontId="32" fillId="5" borderId="1" xfId="4" applyFont="1" applyAlignment="1">
      <alignment horizontal="left"/>
    </xf>
    <xf numFmtId="0" fontId="31" fillId="5" borderId="6" xfId="12" applyFont="1"/>
    <xf numFmtId="9" fontId="32" fillId="5" borderId="1" xfId="4" applyNumberFormat="1" applyFont="1" applyAlignment="1">
      <alignment horizontal="center"/>
    </xf>
    <xf numFmtId="0" fontId="32" fillId="5" borderId="1" xfId="4" applyFont="1"/>
    <xf numFmtId="9" fontId="33" fillId="6" borderId="2" xfId="5" applyNumberFormat="1" applyFont="1" applyAlignment="1">
      <alignment horizontal="center"/>
    </xf>
    <xf numFmtId="9" fontId="34" fillId="6" borderId="2" xfId="5" applyNumberFormat="1" applyFont="1" applyAlignment="1">
      <alignment horizontal="center"/>
    </xf>
    <xf numFmtId="0" fontId="31" fillId="5" borderId="6" xfId="12" applyFont="1" applyAlignment="1">
      <alignment horizontal="left"/>
    </xf>
    <xf numFmtId="9" fontId="7" fillId="13" borderId="1" xfId="4" applyNumberFormat="1" applyFont="1" applyFill="1" applyAlignment="1">
      <alignment horizontal="center"/>
    </xf>
    <xf numFmtId="9" fontId="10" fillId="0" borderId="0" xfId="7" applyNumberFormat="1" applyAlignment="1">
      <alignment horizontal="center"/>
    </xf>
    <xf numFmtId="1" fontId="16" fillId="11" borderId="0" xfId="0" applyNumberFormat="1" applyFont="1" applyFill="1"/>
    <xf numFmtId="0" fontId="0" fillId="0" borderId="0" xfId="0" applyFill="1" applyBorder="1"/>
    <xf numFmtId="9" fontId="0" fillId="0" borderId="0" xfId="0" applyNumberFormat="1" applyAlignment="1">
      <alignment horizontal="center"/>
    </xf>
    <xf numFmtId="164" fontId="0" fillId="0" borderId="0" xfId="0" applyNumberFormat="1" applyAlignment="1">
      <alignment horizontal="center"/>
    </xf>
    <xf numFmtId="164" fontId="0" fillId="0" borderId="0" xfId="0" applyNumberFormat="1"/>
    <xf numFmtId="0" fontId="15" fillId="0" borderId="0" xfId="0" applyFont="1" applyAlignment="1">
      <alignment horizontal="center"/>
    </xf>
    <xf numFmtId="0" fontId="35" fillId="0" borderId="0" xfId="0" applyFont="1"/>
    <xf numFmtId="0" fontId="23" fillId="0" borderId="0" xfId="0" applyFont="1"/>
    <xf numFmtId="0" fontId="36" fillId="0" borderId="0" xfId="0" applyFont="1"/>
    <xf numFmtId="9" fontId="14" fillId="0" borderId="0" xfId="0" applyNumberFormat="1" applyFont="1" applyAlignment="1">
      <alignment horizontal="center"/>
    </xf>
    <xf numFmtId="9" fontId="23" fillId="0" borderId="0" xfId="0" applyNumberFormat="1" applyFont="1" applyAlignment="1">
      <alignment horizontal="center"/>
    </xf>
    <xf numFmtId="0" fontId="5" fillId="4" borderId="5" xfId="3" applyBorder="1"/>
    <xf numFmtId="0" fontId="15" fillId="9" borderId="7" xfId="0" applyFont="1" applyFill="1" applyBorder="1" applyAlignment="1">
      <alignment horizontal="center"/>
    </xf>
    <xf numFmtId="0" fontId="36" fillId="22" borderId="7" xfId="0" applyFont="1" applyFill="1" applyBorder="1" applyAlignment="1">
      <alignment horizontal="center"/>
    </xf>
    <xf numFmtId="0" fontId="30" fillId="5" borderId="6" xfId="12" quotePrefix="1"/>
    <xf numFmtId="9" fontId="33" fillId="6" borderId="2" xfId="5" quotePrefix="1" applyNumberFormat="1" applyFont="1" applyAlignment="1">
      <alignment horizontal="center"/>
    </xf>
    <xf numFmtId="0" fontId="7" fillId="11" borderId="0" xfId="0" applyFont="1" applyFill="1" applyAlignment="1">
      <alignment horizontal="center"/>
    </xf>
    <xf numFmtId="9" fontId="0" fillId="0" borderId="7" xfId="0" applyNumberFormat="1" applyBorder="1" applyAlignment="1">
      <alignment horizontal="center"/>
    </xf>
    <xf numFmtId="9" fontId="7" fillId="11" borderId="0" xfId="0" applyNumberFormat="1" applyFont="1" applyFill="1"/>
    <xf numFmtId="9" fontId="0" fillId="0" borderId="0" xfId="0" applyNumberFormat="1" applyBorder="1" applyAlignment="1">
      <alignment horizontal="center"/>
    </xf>
    <xf numFmtId="164" fontId="0" fillId="0" borderId="0" xfId="0" applyNumberFormat="1" applyBorder="1" applyAlignment="1">
      <alignment horizontal="center"/>
    </xf>
    <xf numFmtId="0" fontId="20" fillId="11" borderId="0" xfId="0" applyFont="1" applyFill="1" applyAlignment="1">
      <alignment horizontal="center"/>
    </xf>
    <xf numFmtId="0" fontId="20" fillId="0" borderId="0" xfId="0" applyFont="1" applyFill="1" applyAlignment="1">
      <alignment horizontal="center"/>
    </xf>
    <xf numFmtId="9" fontId="7" fillId="11" borderId="0" xfId="0" applyNumberFormat="1" applyFont="1" applyFill="1" applyBorder="1"/>
    <xf numFmtId="0" fontId="11" fillId="9" borderId="0" xfId="0" applyFont="1" applyFill="1" applyAlignment="1">
      <alignment horizontal="center"/>
    </xf>
    <xf numFmtId="0" fontId="0" fillId="0" borderId="7" xfId="0" applyBorder="1" applyAlignment="1">
      <alignment horizontal="center"/>
    </xf>
    <xf numFmtId="0" fontId="0" fillId="0" borderId="7" xfId="0" applyFill="1" applyBorder="1" applyAlignment="1">
      <alignment horizontal="center"/>
    </xf>
    <xf numFmtId="0" fontId="3" fillId="3" borderId="9" xfId="2" applyBorder="1" applyAlignment="1">
      <alignment horizontal="right"/>
    </xf>
    <xf numFmtId="9" fontId="0" fillId="0" borderId="10" xfId="0" applyNumberFormat="1" applyBorder="1"/>
    <xf numFmtId="0" fontId="2" fillId="2" borderId="11" xfId="1" applyBorder="1" applyAlignment="1">
      <alignment horizontal="right"/>
    </xf>
    <xf numFmtId="9" fontId="0" fillId="0" borderId="12" xfId="0" applyNumberFormat="1" applyBorder="1"/>
    <xf numFmtId="0" fontId="0" fillId="0" borderId="0" xfId="0" applyAlignment="1">
      <alignment horizontal="right"/>
    </xf>
    <xf numFmtId="0" fontId="0" fillId="24" borderId="0" xfId="0" applyFill="1"/>
    <xf numFmtId="0" fontId="0" fillId="25" borderId="0" xfId="0" applyFill="1"/>
    <xf numFmtId="0" fontId="11" fillId="26" borderId="20" xfId="0" applyFont="1" applyFill="1" applyBorder="1" applyAlignment="1">
      <alignment horizontal="center"/>
    </xf>
    <xf numFmtId="0" fontId="11" fillId="26" borderId="22" xfId="0" applyFont="1" applyFill="1" applyBorder="1" applyAlignment="1">
      <alignment horizontal="center"/>
    </xf>
    <xf numFmtId="9" fontId="11" fillId="0" borderId="0" xfId="0" applyNumberFormat="1" applyFont="1" applyBorder="1" applyAlignment="1">
      <alignment horizontal="center"/>
    </xf>
    <xf numFmtId="9" fontId="0" fillId="0" borderId="3" xfId="0" applyNumberFormat="1" applyBorder="1" applyAlignment="1">
      <alignment horizontal="center"/>
    </xf>
    <xf numFmtId="9" fontId="11" fillId="9" borderId="0" xfId="0" applyNumberFormat="1" applyFont="1" applyFill="1" applyBorder="1" applyAlignment="1">
      <alignment horizontal="center"/>
    </xf>
    <xf numFmtId="9" fontId="0" fillId="24" borderId="0" xfId="0" applyNumberFormat="1" applyFill="1" applyBorder="1" applyAlignment="1">
      <alignment horizontal="center"/>
    </xf>
    <xf numFmtId="9" fontId="0" fillId="24" borderId="3" xfId="0" applyNumberFormat="1" applyFill="1" applyBorder="1" applyAlignment="1">
      <alignment horizontal="center"/>
    </xf>
    <xf numFmtId="9" fontId="0" fillId="20" borderId="0" xfId="0" applyNumberFormat="1" applyFill="1" applyBorder="1" applyAlignment="1">
      <alignment horizontal="center"/>
    </xf>
    <xf numFmtId="0" fontId="0" fillId="20" borderId="15" xfId="0" applyFill="1" applyBorder="1"/>
    <xf numFmtId="0" fontId="0" fillId="20" borderId="0" xfId="0" applyFill="1" applyBorder="1"/>
    <xf numFmtId="9" fontId="0" fillId="20" borderId="3" xfId="0" applyNumberFormat="1" applyFill="1" applyBorder="1" applyAlignment="1">
      <alignment horizontal="center"/>
    </xf>
    <xf numFmtId="9" fontId="23" fillId="0" borderId="3" xfId="0" applyNumberFormat="1" applyFont="1" applyBorder="1" applyAlignment="1">
      <alignment horizontal="center"/>
    </xf>
    <xf numFmtId="9" fontId="23" fillId="0" borderId="0" xfId="0" applyNumberFormat="1" applyFont="1" applyBorder="1" applyAlignment="1">
      <alignment horizontal="center"/>
    </xf>
    <xf numFmtId="9" fontId="11" fillId="0" borderId="8" xfId="0" applyNumberFormat="1" applyFont="1" applyBorder="1" applyAlignment="1">
      <alignment horizontal="center"/>
    </xf>
    <xf numFmtId="9" fontId="0" fillId="0" borderId="8" xfId="0" applyNumberFormat="1" applyBorder="1" applyAlignment="1">
      <alignment horizontal="center"/>
    </xf>
    <xf numFmtId="9" fontId="0" fillId="0" borderId="12" xfId="0" applyNumberFormat="1" applyBorder="1" applyAlignment="1">
      <alignment horizontal="center"/>
    </xf>
    <xf numFmtId="0" fontId="11" fillId="16" borderId="9" xfId="0" applyFont="1" applyFill="1" applyBorder="1" applyAlignment="1">
      <alignment horizontal="center"/>
    </xf>
    <xf numFmtId="0" fontId="11" fillId="16" borderId="10" xfId="0" applyFont="1" applyFill="1" applyBorder="1" applyAlignment="1">
      <alignment horizontal="center"/>
    </xf>
    <xf numFmtId="0" fontId="0" fillId="0" borderId="15" xfId="0" applyBorder="1"/>
    <xf numFmtId="0" fontId="0" fillId="0" borderId="11" xfId="0" applyBorder="1"/>
    <xf numFmtId="0" fontId="0" fillId="27" borderId="15" xfId="0" applyFont="1" applyFill="1" applyBorder="1"/>
    <xf numFmtId="0" fontId="0" fillId="27" borderId="0" xfId="0" applyFont="1" applyFill="1" applyBorder="1"/>
    <xf numFmtId="0" fontId="0" fillId="27" borderId="3" xfId="0" applyFont="1" applyFill="1" applyBorder="1"/>
    <xf numFmtId="0" fontId="0" fillId="27" borderId="11" xfId="0" applyFont="1" applyFill="1" applyBorder="1"/>
    <xf numFmtId="0" fontId="0" fillId="27" borderId="8" xfId="0" applyFont="1" applyFill="1" applyBorder="1"/>
    <xf numFmtId="0" fontId="0" fillId="27" borderId="12" xfId="0" applyFont="1" applyFill="1" applyBorder="1"/>
    <xf numFmtId="0" fontId="0" fillId="0" borderId="7" xfId="0" applyBorder="1"/>
    <xf numFmtId="0" fontId="38" fillId="11" borderId="0" xfId="0" applyFont="1" applyFill="1"/>
    <xf numFmtId="0" fontId="11" fillId="12" borderId="0" xfId="0" applyFont="1" applyFill="1"/>
    <xf numFmtId="0" fontId="7" fillId="0" borderId="0" xfId="0" applyFont="1"/>
    <xf numFmtId="0" fontId="23" fillId="0" borderId="0" xfId="0" applyFont="1" applyAlignment="1">
      <alignment horizontal="center"/>
    </xf>
    <xf numFmtId="0" fontId="39" fillId="0" borderId="0" xfId="0" applyFont="1" applyAlignment="1">
      <alignment horizontal="center"/>
    </xf>
    <xf numFmtId="9" fontId="23" fillId="0" borderId="7" xfId="0" applyNumberFormat="1" applyFont="1" applyBorder="1" applyAlignment="1">
      <alignment horizontal="center"/>
    </xf>
    <xf numFmtId="9" fontId="39" fillId="0" borderId="7" xfId="0" applyNumberFormat="1" applyFont="1" applyBorder="1" applyAlignment="1">
      <alignment horizontal="center"/>
    </xf>
    <xf numFmtId="9" fontId="39" fillId="0" borderId="0" xfId="0" applyNumberFormat="1" applyFont="1" applyBorder="1" applyAlignment="1">
      <alignment horizontal="center"/>
    </xf>
    <xf numFmtId="0" fontId="0" fillId="0" borderId="0" xfId="0" applyBorder="1"/>
    <xf numFmtId="0" fontId="0" fillId="0" borderId="0" xfId="0" applyFill="1" applyBorder="1" applyAlignment="1">
      <alignment horizontal="center"/>
    </xf>
    <xf numFmtId="0" fontId="0" fillId="27" borderId="23" xfId="0" applyFill="1" applyBorder="1"/>
    <xf numFmtId="0" fontId="0" fillId="27" borderId="24" xfId="0" applyFill="1" applyBorder="1"/>
    <xf numFmtId="0" fontId="7" fillId="27" borderId="24" xfId="0" applyFont="1" applyFill="1" applyBorder="1"/>
    <xf numFmtId="0" fontId="0" fillId="27" borderId="25" xfId="0" applyFill="1" applyBorder="1"/>
    <xf numFmtId="0" fontId="0" fillId="27" borderId="26" xfId="0" applyFill="1" applyBorder="1"/>
    <xf numFmtId="0" fontId="0" fillId="27" borderId="0" xfId="0" applyFill="1" applyBorder="1"/>
    <xf numFmtId="0" fontId="7" fillId="27" borderId="0" xfId="0" applyFont="1" applyFill="1" applyBorder="1"/>
    <xf numFmtId="0" fontId="0" fillId="27" borderId="27" xfId="0" applyFill="1" applyBorder="1"/>
    <xf numFmtId="0" fontId="0" fillId="27" borderId="28" xfId="0" applyFill="1" applyBorder="1"/>
    <xf numFmtId="0" fontId="0" fillId="27" borderId="20" xfId="0" applyFill="1" applyBorder="1"/>
    <xf numFmtId="0" fontId="7" fillId="27" borderId="20" xfId="0" applyFont="1" applyFill="1" applyBorder="1"/>
    <xf numFmtId="0" fontId="0" fillId="27" borderId="29" xfId="0" applyFill="1" applyBorder="1"/>
    <xf numFmtId="0" fontId="37" fillId="0" borderId="0" xfId="0" applyFont="1"/>
    <xf numFmtId="0" fontId="0" fillId="20" borderId="15" xfId="0" applyFill="1" applyBorder="1" applyAlignment="1">
      <alignment horizontal="center"/>
    </xf>
    <xf numFmtId="0" fontId="0" fillId="20" borderId="0" xfId="0" applyFill="1" applyBorder="1" applyAlignment="1">
      <alignment horizontal="center"/>
    </xf>
    <xf numFmtId="0" fontId="41" fillId="0" borderId="30" xfId="13" applyAlignment="1">
      <alignment horizontal="center"/>
    </xf>
    <xf numFmtId="0" fontId="41" fillId="0" borderId="30" xfId="13"/>
    <xf numFmtId="0" fontId="41" fillId="0" borderId="30" xfId="13" applyFill="1"/>
    <xf numFmtId="0" fontId="42" fillId="28" borderId="0" xfId="0" applyFont="1" applyFill="1" applyAlignment="1">
      <alignment horizontal="center"/>
    </xf>
    <xf numFmtId="0" fontId="42" fillId="29" borderId="0" xfId="0" applyFont="1" applyFill="1" applyAlignment="1">
      <alignment horizontal="center"/>
    </xf>
    <xf numFmtId="0" fontId="42" fillId="19" borderId="0" xfId="0" applyFont="1" applyFill="1" applyAlignment="1">
      <alignment horizontal="center"/>
    </xf>
    <xf numFmtId="0" fontId="0" fillId="27" borderId="0" xfId="0" applyFill="1"/>
    <xf numFmtId="0" fontId="40" fillId="0" borderId="15" xfId="0" applyFont="1" applyBorder="1" applyAlignment="1">
      <alignment horizontal="left"/>
    </xf>
    <xf numFmtId="0" fontId="40" fillId="9" borderId="15" xfId="0" applyFont="1" applyFill="1" applyBorder="1" applyAlignment="1">
      <alignment horizontal="left"/>
    </xf>
    <xf numFmtId="0" fontId="40" fillId="20" borderId="15" xfId="0" applyFont="1" applyFill="1" applyBorder="1" applyAlignment="1">
      <alignment horizontal="left"/>
    </xf>
    <xf numFmtId="0" fontId="40" fillId="0" borderId="11" xfId="0" applyFont="1" applyBorder="1" applyAlignment="1">
      <alignment horizontal="left"/>
    </xf>
    <xf numFmtId="0" fontId="0" fillId="17" borderId="0" xfId="0" applyFill="1"/>
    <xf numFmtId="0" fontId="44" fillId="11" borderId="0" xfId="0" applyFont="1" applyFill="1" applyAlignment="1">
      <alignment horizontal="center"/>
    </xf>
    <xf numFmtId="9" fontId="13" fillId="11" borderId="0" xfId="0" applyNumberFormat="1" applyFont="1" applyFill="1" applyAlignment="1">
      <alignment horizontal="center"/>
    </xf>
    <xf numFmtId="0" fontId="45" fillId="9" borderId="7" xfId="10" applyFont="1" applyFill="1" applyBorder="1"/>
    <xf numFmtId="1" fontId="7" fillId="11" borderId="0" xfId="0" applyNumberFormat="1" applyFont="1" applyFill="1"/>
    <xf numFmtId="0" fontId="0" fillId="0" borderId="33" xfId="0" applyBorder="1"/>
    <xf numFmtId="0" fontId="0" fillId="0" borderId="16" xfId="0" applyBorder="1"/>
    <xf numFmtId="0" fontId="17" fillId="0" borderId="16" xfId="0" applyFont="1" applyBorder="1"/>
    <xf numFmtId="0" fontId="11" fillId="11" borderId="0" xfId="0" applyFont="1" applyFill="1" applyBorder="1" applyAlignment="1"/>
    <xf numFmtId="9" fontId="0" fillId="11" borderId="0" xfId="0" applyNumberFormat="1" applyFill="1" applyAlignment="1">
      <alignment horizontal="center"/>
    </xf>
    <xf numFmtId="0" fontId="7" fillId="11" borderId="0" xfId="0" applyFont="1" applyFill="1" applyBorder="1" applyAlignment="1">
      <alignment horizontal="center"/>
    </xf>
    <xf numFmtId="0" fontId="5" fillId="11" borderId="1" xfId="3" applyFill="1" applyAlignment="1">
      <alignment horizontal="center"/>
    </xf>
    <xf numFmtId="0" fontId="5" fillId="11" borderId="0" xfId="3" applyFill="1" applyBorder="1" applyAlignment="1">
      <alignment horizontal="center"/>
    </xf>
    <xf numFmtId="0" fontId="0" fillId="12" borderId="32" xfId="0" applyFill="1" applyBorder="1"/>
    <xf numFmtId="0" fontId="0" fillId="0" borderId="0" xfId="0" applyFont="1" applyAlignment="1">
      <alignment horizontal="center"/>
    </xf>
    <xf numFmtId="0" fontId="37" fillId="0" borderId="0" xfId="0" applyFont="1" applyBorder="1" applyAlignment="1">
      <alignment vertical="center" wrapText="1"/>
    </xf>
    <xf numFmtId="0" fontId="0" fillId="0" borderId="0" xfId="0" applyBorder="1" applyAlignment="1"/>
    <xf numFmtId="0" fontId="0" fillId="0" borderId="3" xfId="0" applyBorder="1" applyAlignment="1">
      <alignment horizontal="center"/>
    </xf>
    <xf numFmtId="0" fontId="0" fillId="0" borderId="12" xfId="0" applyBorder="1" applyAlignment="1">
      <alignment horizontal="center"/>
    </xf>
    <xf numFmtId="0" fontId="11" fillId="30" borderId="7" xfId="0" applyFont="1" applyFill="1" applyBorder="1" applyAlignment="1"/>
    <xf numFmtId="0" fontId="46" fillId="30" borderId="7" xfId="7" applyFont="1" applyFill="1" applyBorder="1" applyAlignment="1"/>
    <xf numFmtId="0" fontId="24" fillId="17" borderId="0" xfId="0" applyFont="1" applyFill="1" applyAlignment="1">
      <alignment horizontal="left"/>
    </xf>
    <xf numFmtId="1" fontId="24" fillId="17" borderId="0" xfId="0" applyNumberFormat="1" applyFont="1" applyFill="1" applyAlignment="1">
      <alignment horizontal="center"/>
    </xf>
    <xf numFmtId="0" fontId="47" fillId="0" borderId="0" xfId="10" applyFont="1" applyAlignment="1">
      <alignment horizontal="right"/>
    </xf>
    <xf numFmtId="10" fontId="0" fillId="0" borderId="0" xfId="0" applyNumberFormat="1" applyAlignment="1">
      <alignment wrapText="1"/>
    </xf>
    <xf numFmtId="10" fontId="23" fillId="0" borderId="7" xfId="0" applyNumberFormat="1" applyFont="1" applyBorder="1" applyAlignment="1">
      <alignment horizontal="center"/>
    </xf>
    <xf numFmtId="10" fontId="0" fillId="0" borderId="7" xfId="0" applyNumberFormat="1" applyBorder="1" applyAlignment="1">
      <alignment horizontal="center"/>
    </xf>
    <xf numFmtId="10" fontId="39" fillId="0" borderId="7" xfId="0" applyNumberFormat="1" applyFont="1" applyBorder="1" applyAlignment="1">
      <alignment horizontal="center"/>
    </xf>
    <xf numFmtId="10" fontId="17" fillId="0" borderId="7" xfId="0" applyNumberFormat="1" applyFont="1" applyBorder="1" applyAlignment="1">
      <alignment horizontal="center"/>
    </xf>
    <xf numFmtId="10" fontId="0" fillId="0" borderId="0" xfId="0" applyNumberFormat="1"/>
    <xf numFmtId="10" fontId="11" fillId="33" borderId="0" xfId="0" applyNumberFormat="1" applyFont="1" applyFill="1"/>
    <xf numFmtId="10" fontId="38" fillId="31" borderId="0" xfId="14" applyNumberFormat="1" applyFont="1"/>
    <xf numFmtId="10" fontId="17" fillId="32" borderId="0" xfId="0" applyNumberFormat="1" applyFont="1" applyFill="1"/>
    <xf numFmtId="0" fontId="48" fillId="0" borderId="0" xfId="0" applyFont="1"/>
    <xf numFmtId="0" fontId="49" fillId="0" borderId="0" xfId="0" applyFont="1" applyAlignment="1">
      <alignment horizontal="center"/>
    </xf>
    <xf numFmtId="0" fontId="11" fillId="0" borderId="0" xfId="0" applyFont="1" applyAlignment="1">
      <alignment horizontal="right"/>
    </xf>
    <xf numFmtId="1" fontId="0" fillId="0" borderId="0" xfId="0" applyNumberFormat="1" applyBorder="1" applyAlignment="1">
      <alignment horizontal="center"/>
    </xf>
    <xf numFmtId="0" fontId="0" fillId="0" borderId="0" xfId="0" applyFill="1" applyAlignment="1">
      <alignment horizontal="center"/>
    </xf>
    <xf numFmtId="0" fontId="25" fillId="34" borderId="0" xfId="0" applyFont="1" applyFill="1" applyAlignment="1">
      <alignment horizontal="right"/>
    </xf>
    <xf numFmtId="0" fontId="0" fillId="0" borderId="15" xfId="0" applyBorder="1" applyAlignment="1">
      <alignment horizontal="center"/>
    </xf>
    <xf numFmtId="0" fontId="0" fillId="0" borderId="0" xfId="0" applyBorder="1" applyAlignment="1">
      <alignment horizontal="center"/>
    </xf>
    <xf numFmtId="0" fontId="0" fillId="11" borderId="15" xfId="0" applyFill="1" applyBorder="1"/>
    <xf numFmtId="0" fontId="0" fillId="11" borderId="15" xfId="0" applyFill="1" applyBorder="1" applyAlignment="1">
      <alignment horizontal="center"/>
    </xf>
    <xf numFmtId="0" fontId="41" fillId="0" borderId="35" xfId="13" applyBorder="1" applyAlignment="1">
      <alignment horizontal="center"/>
    </xf>
    <xf numFmtId="0" fontId="41" fillId="34" borderId="30" xfId="13" applyFill="1" applyBorder="1" applyAlignment="1">
      <alignment horizontal="center"/>
    </xf>
    <xf numFmtId="0" fontId="41" fillId="34" borderId="30" xfId="13" applyFill="1" applyAlignment="1">
      <alignment horizontal="center"/>
    </xf>
    <xf numFmtId="0" fontId="7" fillId="38" borderId="30" xfId="13" applyFont="1" applyFill="1" applyAlignment="1">
      <alignment horizontal="center"/>
    </xf>
    <xf numFmtId="0" fontId="41" fillId="0" borderId="30" xfId="13" applyFill="1" applyAlignment="1">
      <alignment horizontal="center"/>
    </xf>
    <xf numFmtId="0" fontId="41" fillId="0" borderId="0" xfId="13" applyFill="1" applyBorder="1" applyAlignment="1">
      <alignment horizontal="center"/>
    </xf>
    <xf numFmtId="0" fontId="2" fillId="11" borderId="15" xfId="1" applyFill="1" applyBorder="1"/>
    <xf numFmtId="0" fontId="2" fillId="11" borderId="15" xfId="1" applyFill="1" applyBorder="1" applyAlignment="1">
      <alignment horizontal="center"/>
    </xf>
    <xf numFmtId="0" fontId="17" fillId="0" borderId="0" xfId="0" applyFont="1" applyAlignment="1">
      <alignment horizontal="left"/>
    </xf>
    <xf numFmtId="0" fontId="17" fillId="0" borderId="0" xfId="0" applyFont="1" applyFill="1" applyAlignment="1">
      <alignment horizontal="center"/>
    </xf>
    <xf numFmtId="0" fontId="17" fillId="0" borderId="0" xfId="0" applyFont="1" applyFill="1"/>
    <xf numFmtId="0" fontId="17" fillId="0" borderId="15" xfId="0" applyFont="1" applyFill="1" applyBorder="1" applyAlignment="1">
      <alignment horizontal="center"/>
    </xf>
    <xf numFmtId="0" fontId="17" fillId="0" borderId="0" xfId="1" applyFont="1" applyFill="1" applyAlignment="1">
      <alignment horizontal="center"/>
    </xf>
    <xf numFmtId="0" fontId="17" fillId="0" borderId="0" xfId="1" applyFont="1" applyFill="1"/>
    <xf numFmtId="0" fontId="41" fillId="0" borderId="35" xfId="13" applyFill="1" applyBorder="1" applyAlignment="1">
      <alignment horizontal="center"/>
    </xf>
    <xf numFmtId="0" fontId="41" fillId="0" borderId="30" xfId="13" applyFill="1" applyBorder="1" applyAlignment="1">
      <alignment horizontal="center"/>
    </xf>
    <xf numFmtId="0" fontId="7" fillId="38" borderId="35" xfId="13" applyFont="1" applyFill="1" applyBorder="1" applyAlignment="1">
      <alignment horizontal="center"/>
    </xf>
    <xf numFmtId="164" fontId="6" fillId="5" borderId="1" xfId="4" applyNumberFormat="1" applyAlignment="1">
      <alignment horizontal="center"/>
    </xf>
    <xf numFmtId="164" fontId="6" fillId="5" borderId="36" xfId="4" applyNumberFormat="1" applyBorder="1" applyAlignment="1">
      <alignment horizontal="center"/>
    </xf>
    <xf numFmtId="164" fontId="17" fillId="0" borderId="0" xfId="0" applyNumberFormat="1" applyFont="1" applyFill="1" applyAlignment="1">
      <alignment horizontal="center"/>
    </xf>
    <xf numFmtId="164" fontId="17" fillId="0" borderId="0" xfId="1" applyNumberFormat="1" applyFont="1" applyFill="1" applyAlignment="1">
      <alignment horizontal="center"/>
    </xf>
    <xf numFmtId="0" fontId="0" fillId="0" borderId="0" xfId="0" applyBorder="1" applyAlignment="1">
      <alignment horizontal="center"/>
    </xf>
    <xf numFmtId="2" fontId="0" fillId="0" borderId="0" xfId="0" applyNumberFormat="1" applyFill="1" applyBorder="1" applyAlignment="1">
      <alignment horizontal="center"/>
    </xf>
    <xf numFmtId="0" fontId="51" fillId="0" borderId="0" xfId="0" applyFont="1" applyFill="1" applyAlignment="1">
      <alignment horizontal="center"/>
    </xf>
    <xf numFmtId="164" fontId="7" fillId="13" borderId="2" xfId="5" applyNumberFormat="1" applyFont="1" applyFill="1" applyAlignment="1">
      <alignment horizontal="center"/>
    </xf>
    <xf numFmtId="0" fontId="11" fillId="40" borderId="37" xfId="0" applyFont="1" applyFill="1" applyBorder="1" applyAlignment="1">
      <alignment wrapText="1"/>
    </xf>
    <xf numFmtId="14" fontId="11" fillId="40" borderId="37" xfId="0" applyNumberFormat="1" applyFont="1" applyFill="1" applyBorder="1" applyAlignment="1">
      <alignment wrapText="1"/>
    </xf>
    <xf numFmtId="0" fontId="11" fillId="40" borderId="37" xfId="0" applyFont="1" applyFill="1" applyBorder="1" applyAlignment="1">
      <alignment horizontal="left" wrapText="1"/>
    </xf>
    <xf numFmtId="0" fontId="11" fillId="41" borderId="37" xfId="0" applyFont="1" applyFill="1" applyBorder="1" applyAlignment="1">
      <alignment wrapText="1"/>
    </xf>
    <xf numFmtId="0" fontId="11" fillId="24" borderId="0" xfId="0" applyFont="1" applyFill="1" applyAlignment="1">
      <alignment wrapText="1"/>
    </xf>
    <xf numFmtId="0" fontId="0" fillId="39" borderId="0" xfId="15" applyFont="1" applyAlignment="1">
      <alignment wrapText="1"/>
    </xf>
    <xf numFmtId="2" fontId="0" fillId="0" borderId="0" xfId="0" applyNumberFormat="1" applyAlignment="1">
      <alignment horizontal="right"/>
    </xf>
    <xf numFmtId="0" fontId="0" fillId="0" borderId="37" xfId="0" applyBorder="1"/>
    <xf numFmtId="2" fontId="0" fillId="33" borderId="0" xfId="0" applyNumberFormat="1" applyFill="1" applyAlignment="1">
      <alignment horizontal="right"/>
    </xf>
    <xf numFmtId="2" fontId="50" fillId="39" borderId="0" xfId="15" applyNumberFormat="1" applyAlignment="1">
      <alignment horizontal="right"/>
    </xf>
    <xf numFmtId="2" fontId="50" fillId="33" borderId="0" xfId="15" applyNumberFormat="1" applyFill="1" applyAlignment="1">
      <alignment horizontal="right"/>
    </xf>
    <xf numFmtId="14" fontId="0" fillId="32" borderId="0" xfId="0" applyNumberFormat="1" applyFill="1"/>
    <xf numFmtId="0" fontId="0" fillId="32" borderId="0" xfId="0" applyFill="1"/>
    <xf numFmtId="0" fontId="50" fillId="39" borderId="0" xfId="15"/>
    <xf numFmtId="14" fontId="50" fillId="39" borderId="0" xfId="15" applyNumberFormat="1"/>
    <xf numFmtId="0" fontId="50" fillId="39" borderId="0" xfId="15" applyAlignment="1">
      <alignment horizontal="center"/>
    </xf>
    <xf numFmtId="0" fontId="0" fillId="32" borderId="0" xfId="0" applyFill="1" applyBorder="1"/>
    <xf numFmtId="2" fontId="0" fillId="0" borderId="0" xfId="0" applyNumberFormat="1" applyBorder="1" applyAlignment="1">
      <alignment horizontal="right"/>
    </xf>
    <xf numFmtId="0" fontId="0" fillId="0" borderId="0" xfId="0" applyNumberFormat="1" applyFill="1"/>
    <xf numFmtId="14" fontId="0" fillId="0" borderId="0" xfId="0" applyNumberFormat="1" applyAlignment="1">
      <alignment horizontal="center"/>
    </xf>
    <xf numFmtId="0" fontId="52" fillId="0" borderId="0" xfId="10" applyFont="1"/>
    <xf numFmtId="14" fontId="0" fillId="0" borderId="0" xfId="0" applyNumberFormat="1" applyBorder="1"/>
    <xf numFmtId="14" fontId="0" fillId="0" borderId="0" xfId="0" applyNumberFormat="1" applyBorder="1" applyAlignment="1">
      <alignment horizontal="center"/>
    </xf>
    <xf numFmtId="0" fontId="0" fillId="0" borderId="0" xfId="0" applyFont="1" applyFill="1" applyBorder="1"/>
    <xf numFmtId="0" fontId="52" fillId="0" borderId="0" xfId="10" applyFont="1" applyFill="1" applyBorder="1"/>
    <xf numFmtId="0" fontId="23" fillId="0" borderId="0" xfId="0" applyFont="1" applyFill="1"/>
    <xf numFmtId="0" fontId="0" fillId="0" borderId="0" xfId="0" applyNumberFormat="1" applyFont="1" applyFill="1" applyBorder="1"/>
    <xf numFmtId="0" fontId="0" fillId="0" borderId="0" xfId="0" applyFont="1" applyFill="1"/>
    <xf numFmtId="0" fontId="0" fillId="0" borderId="0" xfId="0" applyFont="1" applyBorder="1"/>
    <xf numFmtId="0" fontId="0" fillId="0" borderId="0" xfId="0" quotePrefix="1"/>
    <xf numFmtId="0" fontId="23" fillId="0" borderId="0" xfId="0" applyFont="1" applyBorder="1"/>
    <xf numFmtId="0" fontId="23" fillId="0" borderId="0" xfId="0" applyFont="1" applyAlignment="1"/>
    <xf numFmtId="0" fontId="0" fillId="0" borderId="0" xfId="0" applyFont="1" applyFill="1" applyBorder="1" applyAlignment="1"/>
    <xf numFmtId="0" fontId="0" fillId="0" borderId="0" xfId="0" applyFont="1" applyAlignment="1"/>
    <xf numFmtId="0" fontId="0" fillId="0" borderId="0" xfId="0" applyNumberFormat="1" applyAlignment="1"/>
    <xf numFmtId="0" fontId="53" fillId="0" borderId="0" xfId="0" applyFont="1" applyAlignment="1"/>
    <xf numFmtId="0" fontId="0" fillId="0" borderId="0" xfId="0" applyFont="1" applyAlignment="1">
      <alignment horizontal="left"/>
    </xf>
    <xf numFmtId="0" fontId="0" fillId="33" borderId="0" xfId="0" applyFill="1"/>
    <xf numFmtId="0" fontId="0" fillId="0" borderId="37" xfId="0" applyNumberFormat="1" applyBorder="1" applyAlignment="1"/>
    <xf numFmtId="0" fontId="11" fillId="40" borderId="37" xfId="0" applyFont="1" applyFill="1" applyBorder="1" applyAlignment="1">
      <alignment horizontal="center" wrapText="1"/>
    </xf>
    <xf numFmtId="0" fontId="0" fillId="0" borderId="15" xfId="0" applyFill="1" applyBorder="1"/>
    <xf numFmtId="0" fontId="23" fillId="11" borderId="0" xfId="0" applyFont="1" applyFill="1" applyAlignment="1">
      <alignment horizontal="center"/>
    </xf>
    <xf numFmtId="164" fontId="54" fillId="11" borderId="0" xfId="0" applyNumberFormat="1" applyFont="1" applyFill="1" applyAlignment="1">
      <alignment horizontal="center"/>
    </xf>
    <xf numFmtId="0" fontId="0" fillId="0" borderId="0" xfId="0"/>
    <xf numFmtId="0" fontId="0" fillId="0" borderId="0" xfId="0" applyAlignment="1">
      <alignment horizontal="left"/>
    </xf>
    <xf numFmtId="0" fontId="0" fillId="0" borderId="15" xfId="0" applyBorder="1" applyAlignment="1">
      <alignment horizontal="center"/>
    </xf>
    <xf numFmtId="164" fontId="0" fillId="0" borderId="0" xfId="16" applyNumberFormat="1" applyFont="1" applyAlignment="1">
      <alignment horizontal="center"/>
    </xf>
    <xf numFmtId="164" fontId="54" fillId="11" borderId="15" xfId="0" applyNumberFormat="1" applyFont="1" applyFill="1" applyBorder="1" applyAlignment="1">
      <alignment horizontal="center"/>
    </xf>
    <xf numFmtId="9" fontId="0" fillId="0" borderId="15" xfId="0" applyNumberFormat="1" applyBorder="1" applyAlignment="1">
      <alignment horizontal="center"/>
    </xf>
    <xf numFmtId="0" fontId="8" fillId="31" borderId="14" xfId="14" applyBorder="1" applyAlignment="1">
      <alignment horizontal="center"/>
    </xf>
    <xf numFmtId="0" fontId="17" fillId="42" borderId="14" xfId="17" applyFont="1" applyBorder="1" applyAlignment="1">
      <alignment horizontal="center"/>
    </xf>
    <xf numFmtId="0" fontId="17" fillId="42" borderId="38" xfId="17" applyFont="1" applyBorder="1" applyAlignment="1">
      <alignment horizontal="center"/>
    </xf>
    <xf numFmtId="164" fontId="0" fillId="0" borderId="0" xfId="16" applyNumberFormat="1" applyFont="1" applyFill="1" applyAlignment="1">
      <alignment horizontal="center"/>
    </xf>
    <xf numFmtId="0" fontId="55" fillId="0" borderId="0" xfId="0" applyFont="1"/>
    <xf numFmtId="0" fontId="0" fillId="0" borderId="11" xfId="0" applyBorder="1" applyAlignment="1">
      <alignment horizontal="center"/>
    </xf>
    <xf numFmtId="0" fontId="0" fillId="0" borderId="8" xfId="0" applyBorder="1" applyAlignment="1">
      <alignment horizontal="center"/>
    </xf>
    <xf numFmtId="0" fontId="0" fillId="0" borderId="39" xfId="0" applyBorder="1" applyAlignment="1">
      <alignment horizontal="center"/>
    </xf>
    <xf numFmtId="9" fontId="0" fillId="0" borderId="0" xfId="16" applyFont="1" applyAlignment="1">
      <alignment horizontal="center"/>
    </xf>
    <xf numFmtId="9" fontId="0" fillId="0" borderId="15" xfId="16" applyFont="1" applyBorder="1" applyAlignment="1">
      <alignment horizontal="center"/>
    </xf>
    <xf numFmtId="9" fontId="0" fillId="0" borderId="0" xfId="16" applyFont="1" applyBorder="1" applyAlignment="1">
      <alignment horizontal="center"/>
    </xf>
    <xf numFmtId="0" fontId="41" fillId="0" borderId="3" xfId="13" applyFill="1" applyBorder="1" applyAlignment="1">
      <alignment horizontal="center" wrapText="1"/>
    </xf>
    <xf numFmtId="0" fontId="7" fillId="13" borderId="0" xfId="0" applyFont="1" applyFill="1" applyAlignment="1">
      <alignment horizontal="center"/>
    </xf>
    <xf numFmtId="0" fontId="7" fillId="36" borderId="0" xfId="0" applyFont="1" applyFill="1" applyAlignment="1">
      <alignment horizontal="center"/>
    </xf>
    <xf numFmtId="0" fontId="38" fillId="37" borderId="0" xfId="0" applyFont="1" applyFill="1" applyAlignment="1">
      <alignment horizontal="center"/>
    </xf>
    <xf numFmtId="0" fontId="7" fillId="35" borderId="0" xfId="0" applyFont="1" applyFill="1" applyAlignment="1">
      <alignment horizontal="center"/>
    </xf>
    <xf numFmtId="0" fontId="7" fillId="35" borderId="3" xfId="0" applyFont="1" applyFill="1" applyBorder="1" applyAlignment="1">
      <alignment horizontal="center"/>
    </xf>
    <xf numFmtId="0" fontId="7" fillId="11" borderId="0" xfId="0" applyFont="1" applyFill="1" applyAlignment="1">
      <alignment horizontal="center"/>
    </xf>
    <xf numFmtId="0" fontId="11" fillId="15" borderId="32" xfId="0" applyFont="1" applyFill="1" applyBorder="1" applyAlignment="1">
      <alignment horizontal="center" vertical="center"/>
    </xf>
    <xf numFmtId="0" fontId="11" fillId="15" borderId="21" xfId="0" applyFont="1" applyFill="1" applyBorder="1" applyAlignment="1">
      <alignment horizontal="center" vertical="center"/>
    </xf>
    <xf numFmtId="0" fontId="11" fillId="9" borderId="9" xfId="0" applyFont="1" applyFill="1" applyBorder="1" applyAlignment="1">
      <alignment horizontal="center" vertical="center"/>
    </xf>
    <xf numFmtId="0" fontId="11" fillId="9" borderId="10" xfId="0" applyFont="1" applyFill="1" applyBorder="1" applyAlignment="1">
      <alignment horizontal="center" vertical="center"/>
    </xf>
    <xf numFmtId="0" fontId="11" fillId="9" borderId="19" xfId="0" applyFont="1" applyFill="1" applyBorder="1" applyAlignment="1">
      <alignment horizontal="center" vertical="center"/>
    </xf>
    <xf numFmtId="0" fontId="11" fillId="9" borderId="22" xfId="0" applyFont="1" applyFill="1" applyBorder="1" applyAlignment="1">
      <alignment horizontal="center" vertical="center"/>
    </xf>
    <xf numFmtId="0" fontId="7" fillId="14" borderId="15" xfId="0" applyFont="1" applyFill="1" applyBorder="1" applyAlignment="1">
      <alignment horizontal="center"/>
    </xf>
    <xf numFmtId="0" fontId="7" fillId="14" borderId="0" xfId="0" applyFont="1" applyFill="1" applyBorder="1" applyAlignment="1">
      <alignment horizontal="center"/>
    </xf>
    <xf numFmtId="0" fontId="7" fillId="14" borderId="18" xfId="0" applyFont="1" applyFill="1" applyBorder="1" applyAlignment="1">
      <alignment horizontal="center"/>
    </xf>
    <xf numFmtId="0" fontId="7" fillId="14" borderId="17" xfId="0" applyFont="1" applyFill="1" applyBorder="1" applyAlignment="1">
      <alignment horizontal="center"/>
    </xf>
    <xf numFmtId="0" fontId="11" fillId="23" borderId="8" xfId="0" applyFont="1" applyFill="1" applyBorder="1" applyAlignment="1">
      <alignment horizontal="center"/>
    </xf>
    <xf numFmtId="0" fontId="20" fillId="11" borderId="0" xfId="0" applyFont="1" applyFill="1" applyAlignment="1">
      <alignment horizontal="center"/>
    </xf>
    <xf numFmtId="0" fontId="11" fillId="9" borderId="7" xfId="0" applyFont="1" applyFill="1" applyBorder="1" applyAlignment="1">
      <alignment horizontal="center"/>
    </xf>
    <xf numFmtId="0" fontId="11" fillId="9" borderId="0" xfId="0" applyFont="1" applyFill="1" applyAlignment="1">
      <alignment horizontal="center"/>
    </xf>
    <xf numFmtId="0" fontId="11" fillId="9" borderId="13" xfId="0" applyFont="1" applyFill="1" applyBorder="1" applyAlignment="1">
      <alignment horizontal="center"/>
    </xf>
    <xf numFmtId="0" fontId="11" fillId="9" borderId="14" xfId="0" applyFont="1" applyFill="1" applyBorder="1" applyAlignment="1">
      <alignment horizontal="center"/>
    </xf>
    <xf numFmtId="0" fontId="7" fillId="13" borderId="4" xfId="0" applyFont="1" applyFill="1" applyBorder="1" applyAlignment="1">
      <alignment horizontal="center"/>
    </xf>
    <xf numFmtId="0" fontId="7" fillId="13" borderId="10" xfId="0" applyFont="1" applyFill="1" applyBorder="1" applyAlignment="1">
      <alignment horizontal="center"/>
    </xf>
    <xf numFmtId="0" fontId="7" fillId="14" borderId="3" xfId="0" applyFont="1" applyFill="1" applyBorder="1" applyAlignment="1">
      <alignment horizontal="center"/>
    </xf>
    <xf numFmtId="0" fontId="11" fillId="24" borderId="19" xfId="0" applyFont="1" applyFill="1" applyBorder="1" applyAlignment="1">
      <alignment horizontal="center"/>
    </xf>
    <xf numFmtId="0" fontId="11" fillId="24" borderId="20" xfId="0" applyFont="1" applyFill="1" applyBorder="1" applyAlignment="1">
      <alignment horizontal="center"/>
    </xf>
    <xf numFmtId="0" fontId="11" fillId="0" borderId="31" xfId="0" applyFont="1" applyBorder="1" applyAlignment="1">
      <alignment horizontal="center"/>
    </xf>
    <xf numFmtId="0" fontId="11" fillId="0" borderId="24" xfId="0" applyFont="1" applyBorder="1" applyAlignment="1">
      <alignment horizontal="center"/>
    </xf>
    <xf numFmtId="0" fontId="0" fillId="0" borderId="31" xfId="0" applyBorder="1" applyAlignment="1">
      <alignment horizontal="center"/>
    </xf>
    <xf numFmtId="0" fontId="0" fillId="0" borderId="24" xfId="0" applyBorder="1" applyAlignment="1">
      <alignment horizontal="center"/>
    </xf>
    <xf numFmtId="0" fontId="11" fillId="9" borderId="15" xfId="0" applyFont="1" applyFill="1" applyBorder="1" applyAlignment="1">
      <alignment horizontal="center"/>
    </xf>
    <xf numFmtId="0" fontId="11" fillId="9" borderId="0" xfId="0" applyFont="1" applyFill="1" applyBorder="1" applyAlignment="1">
      <alignment horizontal="center"/>
    </xf>
    <xf numFmtId="0" fontId="0" fillId="24" borderId="15" xfId="0" applyFill="1" applyBorder="1" applyAlignment="1">
      <alignment horizontal="center"/>
    </xf>
    <xf numFmtId="0" fontId="0" fillId="24" borderId="0" xfId="0" applyFill="1" applyBorder="1" applyAlignment="1">
      <alignment horizontal="center"/>
    </xf>
    <xf numFmtId="0" fontId="11" fillId="0" borderId="15" xfId="0" applyFont="1" applyBorder="1" applyAlignment="1">
      <alignment horizontal="center"/>
    </xf>
    <xf numFmtId="0" fontId="11" fillId="0" borderId="0" xfId="0" applyFont="1" applyBorder="1" applyAlignment="1">
      <alignment horizontal="center"/>
    </xf>
    <xf numFmtId="0" fontId="0" fillId="0" borderId="15" xfId="0" applyBorder="1" applyAlignment="1">
      <alignment horizontal="center"/>
    </xf>
    <xf numFmtId="0" fontId="0" fillId="0" borderId="0" xfId="0" applyBorder="1" applyAlignment="1">
      <alignment horizontal="center"/>
    </xf>
    <xf numFmtId="0" fontId="0" fillId="20" borderId="15" xfId="0" applyFill="1" applyBorder="1" applyAlignment="1">
      <alignment horizontal="center"/>
    </xf>
    <xf numFmtId="0" fontId="0" fillId="20" borderId="0" xfId="0" applyFill="1" applyBorder="1" applyAlignment="1">
      <alignment horizontal="center"/>
    </xf>
    <xf numFmtId="0" fontId="23" fillId="0" borderId="15" xfId="0" applyFont="1" applyBorder="1" applyAlignment="1">
      <alignment horizontal="center"/>
    </xf>
    <xf numFmtId="0" fontId="23" fillId="0" borderId="0" xfId="0" applyFont="1" applyBorder="1" applyAlignment="1">
      <alignment horizontal="center"/>
    </xf>
    <xf numFmtId="0" fontId="6" fillId="5" borderId="1" xfId="4" applyAlignment="1">
      <alignment horizontal="center"/>
    </xf>
    <xf numFmtId="0" fontId="11" fillId="0" borderId="11" xfId="0" applyFont="1" applyBorder="1" applyAlignment="1">
      <alignment horizontal="center"/>
    </xf>
    <xf numFmtId="0" fontId="11" fillId="0" borderId="8" xfId="0" applyFont="1" applyBorder="1" applyAlignment="1">
      <alignment horizontal="center"/>
    </xf>
    <xf numFmtId="0" fontId="0" fillId="0" borderId="11" xfId="0" applyBorder="1" applyAlignment="1">
      <alignment horizontal="center"/>
    </xf>
    <xf numFmtId="0" fontId="0" fillId="0" borderId="8" xfId="0" applyBorder="1" applyAlignment="1">
      <alignment horizontal="center"/>
    </xf>
    <xf numFmtId="0" fontId="11" fillId="27" borderId="9" xfId="0" applyFont="1" applyFill="1" applyBorder="1" applyAlignment="1">
      <alignment horizontal="center"/>
    </xf>
    <xf numFmtId="0" fontId="11" fillId="27" borderId="4" xfId="0" applyFont="1" applyFill="1" applyBorder="1" applyAlignment="1">
      <alignment horizontal="center"/>
    </xf>
    <xf numFmtId="0" fontId="11" fillId="27" borderId="10" xfId="0" applyFont="1" applyFill="1" applyBorder="1" applyAlignment="1">
      <alignment horizontal="center"/>
    </xf>
    <xf numFmtId="0" fontId="0" fillId="27" borderId="15" xfId="0" applyFont="1" applyFill="1" applyBorder="1" applyAlignment="1">
      <alignment horizontal="left" vertical="top" wrapText="1"/>
    </xf>
    <xf numFmtId="0" fontId="0" fillId="27" borderId="0" xfId="0" applyFont="1" applyFill="1" applyBorder="1" applyAlignment="1">
      <alignment horizontal="left" vertical="top" wrapText="1"/>
    </xf>
    <xf numFmtId="0" fontId="0" fillId="27" borderId="3" xfId="0" applyFont="1" applyFill="1" applyBorder="1" applyAlignment="1">
      <alignment horizontal="left" vertical="top" wrapText="1"/>
    </xf>
    <xf numFmtId="0" fontId="40" fillId="0" borderId="9"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0" xfId="0" applyFont="1" applyBorder="1" applyAlignment="1">
      <alignment horizontal="center" vertical="center" wrapText="1"/>
    </xf>
    <xf numFmtId="0" fontId="40" fillId="0" borderId="15" xfId="0" applyFont="1" applyBorder="1" applyAlignment="1">
      <alignment horizontal="center" vertical="center" wrapText="1"/>
    </xf>
    <xf numFmtId="0" fontId="40" fillId="0" borderId="0" xfId="0" applyFont="1" applyBorder="1" applyAlignment="1">
      <alignment horizontal="center" vertical="center" wrapText="1"/>
    </xf>
    <xf numFmtId="0" fontId="40" fillId="0" borderId="3" xfId="0" applyFont="1" applyBorder="1" applyAlignment="1">
      <alignment horizontal="center" vertical="center" wrapText="1"/>
    </xf>
    <xf numFmtId="0" fontId="40" fillId="0" borderId="11" xfId="0" applyFont="1" applyBorder="1" applyAlignment="1">
      <alignment horizontal="center" vertical="center" wrapText="1"/>
    </xf>
    <xf numFmtId="0" fontId="40" fillId="0" borderId="8" xfId="0" applyFont="1" applyBorder="1" applyAlignment="1">
      <alignment horizontal="center" vertical="center" wrapText="1"/>
    </xf>
    <xf numFmtId="0" fontId="40" fillId="0" borderId="12" xfId="0" applyFont="1" applyBorder="1" applyAlignment="1">
      <alignment horizontal="center" vertical="center" wrapText="1"/>
    </xf>
    <xf numFmtId="0" fontId="11" fillId="0" borderId="0" xfId="0" applyFont="1" applyBorder="1" applyAlignment="1">
      <alignment horizontal="right"/>
    </xf>
    <xf numFmtId="0" fontId="11" fillId="12" borderId="0" xfId="0" applyFont="1" applyFill="1" applyAlignment="1">
      <alignment horizontal="center"/>
    </xf>
    <xf numFmtId="0" fontId="11" fillId="32" borderId="0" xfId="0" applyFont="1" applyFill="1" applyAlignment="1">
      <alignment horizontal="center"/>
    </xf>
    <xf numFmtId="0" fontId="7" fillId="17" borderId="0" xfId="0" applyFont="1" applyFill="1" applyAlignment="1">
      <alignment horizontal="center"/>
    </xf>
    <xf numFmtId="0" fontId="7" fillId="8" borderId="0" xfId="0" applyFont="1" applyFill="1" applyBorder="1" applyAlignment="1">
      <alignment horizontal="center"/>
    </xf>
    <xf numFmtId="0" fontId="7" fillId="8" borderId="3" xfId="0" applyFont="1" applyFill="1" applyBorder="1" applyAlignment="1">
      <alignment horizontal="center"/>
    </xf>
    <xf numFmtId="0" fontId="7" fillId="8" borderId="0" xfId="0" applyFont="1" applyFill="1" applyAlignment="1">
      <alignment horizontal="center"/>
    </xf>
    <xf numFmtId="0" fontId="7" fillId="8" borderId="34" xfId="0" applyFont="1" applyFill="1" applyBorder="1" applyAlignment="1">
      <alignment horizontal="center"/>
    </xf>
    <xf numFmtId="0" fontId="11" fillId="21" borderId="0" xfId="0" applyFont="1" applyFill="1" applyAlignment="1">
      <alignment horizontal="center"/>
    </xf>
  </cellXfs>
  <cellStyles count="18">
    <cellStyle name="Accent4" xfId="17" builtinId="41"/>
    <cellStyle name="Accent5" xfId="6" builtinId="45"/>
    <cellStyle name="Accent6" xfId="14" builtinId="49"/>
    <cellStyle name="Bad" xfId="2" builtinId="27"/>
    <cellStyle name="Calculation" xfId="4" builtinId="22"/>
    <cellStyle name="Calculation 2" xfId="9"/>
    <cellStyle name="Comma" xfId="8" builtinId="3"/>
    <cellStyle name="Explanatory Text" xfId="7" builtinId="53"/>
    <cellStyle name="Good" xfId="1" builtinId="26"/>
    <cellStyle name="Heading 3" xfId="13" builtinId="18"/>
    <cellStyle name="Input" xfId="3" builtinId="20"/>
    <cellStyle name="Neutral" xfId="15" builtinId="28"/>
    <cellStyle name="Normal" xfId="0" builtinId="0"/>
    <cellStyle name="Normal 2" xfId="10"/>
    <cellStyle name="Note" xfId="5" builtinId="10"/>
    <cellStyle name="Output" xfId="12" builtinId="21"/>
    <cellStyle name="Percent" xfId="16" builtinId="5"/>
    <cellStyle name="Warning Text" xfId="11" builtinId="11"/>
  </cellStyles>
  <dxfs count="96">
    <dxf>
      <font>
        <b/>
        <i val="0"/>
        <color theme="0"/>
      </font>
      <fill>
        <patternFill>
          <bgColor rgb="FFFF0000"/>
        </patternFill>
      </fill>
    </dxf>
    <dxf>
      <fill>
        <patternFill>
          <bgColor theme="7" tint="0.59996337778862885"/>
        </patternFill>
      </fill>
    </dxf>
    <dxf>
      <font>
        <b val="0"/>
        <i/>
        <color theme="0" tint="-0.14996795556505021"/>
      </font>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val="0"/>
        <i/>
        <color theme="0" tint="-0.14996795556505021"/>
      </font>
    </dxf>
    <dxf>
      <font>
        <b val="0"/>
        <i/>
        <color theme="0" tint="-0.14996795556505021"/>
      </font>
    </dxf>
    <dxf>
      <font>
        <b val="0"/>
        <i/>
        <color theme="0" tint="-0.14996795556505021"/>
      </font>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b val="0"/>
        <i/>
        <color theme="0" tint="-0.14996795556505021"/>
      </font>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color auto="1"/>
      </font>
    </dxf>
    <dxf>
      <fill>
        <patternFill patternType="solid">
          <bgColor rgb="FFFFFF00"/>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color theme="0"/>
      </font>
      <fill>
        <patternFill>
          <bgColor rgb="FFFF0000"/>
        </patternFill>
      </fill>
    </dxf>
    <dxf>
      <font>
        <b val="0"/>
        <i val="0"/>
        <color auto="1"/>
      </font>
      <fill>
        <patternFill>
          <bgColor rgb="FFFFB7B7"/>
        </patternFill>
      </fill>
    </dxf>
    <dxf>
      <font>
        <b/>
        <i val="0"/>
        <color auto="1"/>
      </font>
      <fill>
        <patternFill>
          <bgColor theme="9" tint="0.59996337778862885"/>
        </patternFill>
      </fill>
    </dxf>
    <dxf>
      <font>
        <b/>
        <i/>
        <color theme="0"/>
      </font>
      <fill>
        <patternFill>
          <bgColor rgb="FFFF0000"/>
        </patternFill>
      </fill>
    </dxf>
    <dxf>
      <font>
        <b/>
        <i/>
        <color theme="0"/>
      </font>
      <fill>
        <patternFill>
          <bgColor rgb="FFFF0000"/>
        </patternFill>
      </fill>
    </dxf>
    <dxf>
      <font>
        <b/>
        <i/>
        <strike val="0"/>
        <color theme="0"/>
      </font>
      <fill>
        <patternFill>
          <bgColor rgb="FFFF0000"/>
        </patternFill>
      </fill>
    </dxf>
    <dxf>
      <font>
        <b/>
        <i val="0"/>
        <color theme="0"/>
      </font>
      <fill>
        <patternFill>
          <bgColor rgb="FFFF0000"/>
        </patternFill>
      </fill>
    </dxf>
    <dxf>
      <font>
        <b val="0"/>
        <i/>
        <color theme="0" tint="-0.14996795556505021"/>
      </font>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val="0"/>
        <i/>
        <color theme="0" tint="-0.14996795556505021"/>
      </font>
    </dxf>
    <dxf>
      <font>
        <b val="0"/>
        <i/>
        <color theme="0" tint="-0.14996795556505021"/>
      </font>
    </dxf>
    <dxf>
      <font>
        <b/>
        <i val="0"/>
        <color auto="1"/>
      </font>
      <border>
        <left style="thin">
          <color rgb="FF00B050"/>
        </left>
        <right style="thin">
          <color rgb="FF00B050"/>
        </right>
        <top style="thin">
          <color rgb="FF00B050"/>
        </top>
        <bottom style="thin">
          <color rgb="FF00B050"/>
        </bottom>
      </border>
    </dxf>
    <dxf>
      <font>
        <b/>
        <i val="0"/>
      </font>
      <fill>
        <patternFill>
          <bgColor theme="9" tint="0.59996337778862885"/>
        </patternFill>
      </fill>
    </dxf>
    <dxf>
      <fill>
        <patternFill>
          <bgColor rgb="FFFFB7B7"/>
        </patternFill>
      </fill>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b val="0"/>
        <i/>
        <color theme="0" tint="-0.14996795556505021"/>
      </font>
    </dxf>
    <dxf>
      <font>
        <b val="0"/>
        <i/>
        <color theme="0" tint="-0.14996795556505021"/>
      </font>
    </dxf>
    <dxf>
      <font>
        <b val="0"/>
        <i/>
        <color theme="6" tint="0.39994506668294322"/>
      </font>
    </dxf>
    <dxf>
      <font>
        <b val="0"/>
        <i/>
        <color theme="6" tint="0.39994506668294322"/>
      </font>
    </dxf>
    <dxf>
      <font>
        <b val="0"/>
        <i/>
        <color theme="6" tint="0.39994506668294322"/>
      </font>
    </dxf>
    <dxf>
      <font>
        <b/>
        <i val="0"/>
        <color auto="1"/>
      </font>
      <fill>
        <patternFill>
          <bgColor rgb="FFFF9797"/>
        </patternFill>
      </fill>
    </dxf>
    <dxf>
      <font>
        <b/>
        <i val="0"/>
        <color theme="0"/>
      </font>
      <fill>
        <patternFill>
          <bgColor rgb="FF00B050"/>
        </patternFill>
      </fill>
    </dxf>
    <dxf>
      <font>
        <b val="0"/>
        <i/>
        <color theme="6" tint="0.39994506668294322"/>
      </font>
    </dxf>
    <dxf>
      <font>
        <b/>
        <i val="0"/>
        <color auto="1"/>
      </font>
      <fill>
        <patternFill>
          <bgColor rgb="FFFF9797"/>
        </patternFill>
      </fill>
    </dxf>
    <dxf>
      <font>
        <b/>
        <i val="0"/>
        <color theme="0"/>
      </font>
      <fill>
        <patternFill>
          <bgColor rgb="FF00B050"/>
        </patternFill>
      </fill>
    </dxf>
    <dxf>
      <font>
        <b val="0"/>
        <i/>
        <color theme="6" tint="0.39994506668294322"/>
      </font>
    </dxf>
    <dxf>
      <font>
        <b val="0"/>
        <i/>
        <color theme="6" tint="0.39994506668294322"/>
      </font>
    </dxf>
    <dxf>
      <font>
        <b val="0"/>
        <i/>
        <color theme="6" tint="0.39994506668294322"/>
      </font>
    </dxf>
    <dxf>
      <font>
        <b/>
        <i val="0"/>
        <color auto="1"/>
      </font>
      <fill>
        <patternFill>
          <bgColor rgb="FFFF9797"/>
        </patternFill>
      </fill>
    </dxf>
    <dxf>
      <font>
        <b/>
        <i val="0"/>
        <color auto="1"/>
      </font>
      <fill>
        <patternFill>
          <bgColor rgb="FFFFA3A3"/>
        </patternFill>
      </fill>
    </dxf>
    <dxf>
      <font>
        <b/>
        <i val="0"/>
        <color theme="0"/>
      </font>
      <fill>
        <patternFill>
          <bgColor rgb="FF00B050"/>
        </patternFill>
      </fill>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auto="1"/>
      </font>
      <fill>
        <patternFill>
          <bgColor theme="8" tint="0.79998168889431442"/>
        </patternFill>
      </fill>
    </dxf>
    <dxf>
      <font>
        <color theme="6" tint="0.39994506668294322"/>
      </font>
    </dxf>
    <dxf>
      <font>
        <color theme="6" tint="0.39994506668294322"/>
      </font>
    </dxf>
    <dxf>
      <font>
        <b/>
        <i val="0"/>
        <color theme="0"/>
      </font>
      <fill>
        <patternFill>
          <bgColor rgb="FF00B050"/>
        </patternFill>
      </fill>
    </dxf>
    <dxf>
      <font>
        <b val="0"/>
        <i/>
        <color theme="6" tint="0.39994506668294322"/>
      </font>
    </dxf>
  </dxfs>
  <tableStyles count="0" defaultTableStyle="TableStyleMedium2" defaultPivotStyle="PivotStyleLight16"/>
  <colors>
    <mruColors>
      <color rgb="FFFF9595"/>
      <color rgb="FFFF9797"/>
      <color rgb="FFFFA3A3"/>
      <color rgb="FF00FF00"/>
      <color rgb="FF95D153"/>
      <color rgb="FFFFB7B7"/>
      <color rgb="FFFFC9C9"/>
      <color rgb="FFFFB9B9"/>
      <color rgb="FFFFE7E7"/>
      <color rgb="FFFF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openxmlformats.org/officeDocument/2006/relationships/chartUserShapes" Target="../drawings/drawing3.xml"/><Relationship Id="rId1" Type="http://schemas.openxmlformats.org/officeDocument/2006/relationships/image" Target="../media/image1.jpg"/></Relationships>
</file>

<file path=xl/charts/_rels/chart5.xml.rels><?xml version="1.0" encoding="UTF-8" standalone="yes"?>
<Relationships xmlns="http://schemas.openxmlformats.org/package/2006/relationships"><Relationship Id="rId2" Type="http://schemas.openxmlformats.org/officeDocument/2006/relationships/chartUserShapes" Target="../drawings/drawing5.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Relative Importance Values  </a:t>
            </a:r>
          </a:p>
        </c:rich>
      </c:tx>
      <c:overlay val="0"/>
      <c:spPr>
        <a:noFill/>
        <a:ln>
          <a:noFill/>
        </a:ln>
        <a:effectLst/>
      </c:spPr>
    </c:title>
    <c:autoTitleDeleted val="0"/>
    <c:plotArea>
      <c:layout/>
      <c:barChart>
        <c:barDir val="bar"/>
        <c:grouping val="clustered"/>
        <c:varyColors val="0"/>
        <c:ser>
          <c:idx val="0"/>
          <c:order val="0"/>
          <c:tx>
            <c:strRef>
              <c:f>ANALYSIS!$C$78</c:f>
              <c:strCache>
                <c:ptCount val="1"/>
                <c:pt idx="0">
                  <c:v>Value</c:v>
                </c:pt>
              </c:strCache>
            </c:strRef>
          </c:tx>
          <c:spPr>
            <a:solidFill>
              <a:schemeClr val="accent1"/>
            </a:solidFill>
            <a:ln>
              <a:noFill/>
            </a:ln>
            <a:effectLst/>
          </c:spPr>
          <c:invertIfNegative val="0"/>
          <c:cat>
            <c:strRef>
              <c:f>ANALYSIS!$B$79:$B$94</c:f>
              <c:strCache>
                <c:ptCount val="16"/>
                <c:pt idx="0">
                  <c:v>AC</c:v>
                </c:pt>
                <c:pt idx="1">
                  <c:v>DG</c:v>
                </c:pt>
                <c:pt idx="2">
                  <c:v>OC</c:v>
                </c:pt>
                <c:pt idx="3">
                  <c:v>CE</c:v>
                </c:pt>
                <c:pt idx="5">
                  <c:v>SEM</c:v>
                </c:pt>
                <c:pt idx="6">
                  <c:v>Mobile</c:v>
                </c:pt>
                <c:pt idx="7">
                  <c:v>Website</c:v>
                </c:pt>
                <c:pt idx="8">
                  <c:v>Content</c:v>
                </c:pt>
                <c:pt idx="9">
                  <c:v>P. Disc</c:v>
                </c:pt>
                <c:pt idx="10">
                  <c:v>P. Merch</c:v>
                </c:pt>
                <c:pt idx="11">
                  <c:v>E-Comm</c:v>
                </c:pt>
                <c:pt idx="12">
                  <c:v>U. Reg</c:v>
                </c:pt>
                <c:pt idx="13">
                  <c:v>E-Ref</c:v>
                </c:pt>
                <c:pt idx="14">
                  <c:v>Support</c:v>
                </c:pt>
                <c:pt idx="15">
                  <c:v>Social</c:v>
                </c:pt>
              </c:strCache>
            </c:strRef>
          </c:cat>
          <c:val>
            <c:numRef>
              <c:f>ANALYSIS!$C$79:$C$94</c:f>
              <c:numCache>
                <c:formatCode>General</c:formatCode>
                <c:ptCount val="16"/>
                <c:pt idx="0">
                  <c:v>4</c:v>
                </c:pt>
                <c:pt idx="1">
                  <c:v>5</c:v>
                </c:pt>
                <c:pt idx="2">
                  <c:v>5</c:v>
                </c:pt>
                <c:pt idx="3">
                  <c:v>3</c:v>
                </c:pt>
                <c:pt idx="5">
                  <c:v>3</c:v>
                </c:pt>
                <c:pt idx="6">
                  <c:v>5</c:v>
                </c:pt>
                <c:pt idx="7">
                  <c:v>5</c:v>
                </c:pt>
                <c:pt idx="8">
                  <c:v>4</c:v>
                </c:pt>
                <c:pt idx="9">
                  <c:v>5</c:v>
                </c:pt>
                <c:pt idx="10">
                  <c:v>5</c:v>
                </c:pt>
                <c:pt idx="11">
                  <c:v>5</c:v>
                </c:pt>
                <c:pt idx="12">
                  <c:v>0</c:v>
                </c:pt>
                <c:pt idx="13">
                  <c:v>0</c:v>
                </c:pt>
                <c:pt idx="14">
                  <c:v>2</c:v>
                </c:pt>
                <c:pt idx="15">
                  <c:v>2</c:v>
                </c:pt>
              </c:numCache>
            </c:numRef>
          </c:val>
          <c:extLst xmlns:c16r2="http://schemas.microsoft.com/office/drawing/2015/06/chart">
            <c:ext xmlns:c16="http://schemas.microsoft.com/office/drawing/2014/chart" uri="{C3380CC4-5D6E-409C-BE32-E72D297353CC}">
              <c16:uniqueId val="{00000000-BC52-401F-A2E9-6A88A5124D2E}"/>
            </c:ext>
          </c:extLst>
        </c:ser>
        <c:dLbls>
          <c:showLegendKey val="0"/>
          <c:showVal val="0"/>
          <c:showCatName val="0"/>
          <c:showSerName val="0"/>
          <c:showPercent val="0"/>
          <c:showBubbleSize val="0"/>
        </c:dLbls>
        <c:gapWidth val="36"/>
        <c:axId val="138332416"/>
        <c:axId val="139337728"/>
      </c:barChart>
      <c:catAx>
        <c:axId val="1383324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39337728"/>
        <c:crosses val="autoZero"/>
        <c:auto val="1"/>
        <c:lblAlgn val="ctr"/>
        <c:lblOffset val="100"/>
        <c:noMultiLvlLbl val="0"/>
      </c:catAx>
      <c:valAx>
        <c:axId val="139337728"/>
        <c:scaling>
          <c:orientation val="minMax"/>
          <c:max val="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FF0000"/>
                </a:solidFill>
                <a:latin typeface="+mn-lt"/>
                <a:ea typeface="+mn-ea"/>
                <a:cs typeface="+mn-cs"/>
              </a:defRPr>
            </a:pPr>
            <a:endParaRPr lang="en-US"/>
          </a:p>
        </c:txPr>
        <c:crossAx val="138332416"/>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ANALYSIS!$C$1</c:f>
              <c:strCache>
                <c:ptCount val="1"/>
                <c:pt idx="0">
                  <c:v>CPhI</c:v>
                </c:pt>
              </c:strCache>
            </c:strRef>
          </c:tx>
          <c:spPr>
            <a:solidFill>
              <a:schemeClr val="accent1"/>
            </a:solidFill>
            <a:ln w="15875">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algn="ctr" cap="flat" cmpd="sng" w="9525">
                      <a:solidFill>
                        <a:schemeClr val="tx1">
                          <a:lumMod val="35000"/>
                          <a:lumOff val="65000"/>
                        </a:schemeClr>
                      </a:solidFill>
                      <a:round/>
                    </a:ln>
                    <a:effectLst/>
                  </c:spPr>
                </c15:leaderLines>
              </c:ext>
            </c:extLst>
          </c:dLbls>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(ANALYSIS!$C$2:$C$5,ANALYSIS!$C$14:$C$24)</c:f>
              <c:numCache>
                <c:formatCode>0%</c:formatCode>
                <c:ptCount val="15"/>
                <c:pt idx="0">
                  <c:v>0</c:v>
                </c:pt>
                <c:pt idx="1">
                  <c:v>4.3520000000000003E-2</c:v>
                </c:pt>
                <c:pt idx="2">
                  <c:v>0</c:v>
                </c:pt>
                <c:pt idx="3">
                  <c:v>1.536E-2</c:v>
                </c:pt>
                <c:pt idx="4">
                  <c:v>0</c:v>
                </c:pt>
                <c:pt idx="5">
                  <c:v>0.25600000000000001</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0-88F1-4828-B51A-0FC60E08B0A1}"/>
            </c:ext>
          </c:extLst>
        </c:ser>
        <c:ser>
          <c:idx val="1"/>
          <c:order val="1"/>
          <c:tx>
            <c:v>Laggard</c:v>
          </c:tx>
          <c:spPr>
            <a:solidFill>
              <a:srgbClr val="FF5B5B"/>
            </a:solidFill>
            <a:ln>
              <a:noFill/>
            </a:ln>
            <a:effectLst/>
          </c:spPr>
          <c:invertIfNegative val="0"/>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(ANALYSIS!$Y$2:$Y$5,ANALYSIS!$Y$14:$Y$24)</c:f>
              <c:numCache>
                <c:formatCode>0%</c:formatCode>
                <c:ptCount val="15"/>
                <c:pt idx="0">
                  <c:v>0</c:v>
                </c:pt>
                <c:pt idx="1">
                  <c:v>4.3520000000000003E-2</c:v>
                </c:pt>
                <c:pt idx="2">
                  <c:v>0</c:v>
                </c:pt>
                <c:pt idx="3">
                  <c:v>1.536E-2</c:v>
                </c:pt>
                <c:pt idx="4">
                  <c:v>0</c:v>
                </c:pt>
                <c:pt idx="5">
                  <c:v>0.25600000000000001</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1-88F1-4828-B51A-0FC60E08B0A1}"/>
            </c:ext>
          </c:extLst>
        </c:ser>
        <c:ser>
          <c:idx val="2"/>
          <c:order val="2"/>
          <c:tx>
            <c:v>Leader</c:v>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algn="ctr" cap="flat" cmpd="sng" w="9525">
                      <a:solidFill>
                        <a:schemeClr val="tx1">
                          <a:lumMod val="35000"/>
                          <a:lumOff val="65000"/>
                        </a:schemeClr>
                      </a:solidFill>
                      <a:round/>
                    </a:ln>
                    <a:effectLst/>
                  </c:spPr>
                </c15:leaderLines>
              </c:ext>
            </c:extLst>
          </c:dLbls>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(ANALYSIS!$Z$2:$Z$5,ANALYSIS!$Z$14:$Z$24)</c:f>
              <c:numCache>
                <c:formatCode>0%</c:formatCode>
                <c:ptCount val="15"/>
                <c:pt idx="0">
                  <c:v>0</c:v>
                </c:pt>
                <c:pt idx="1">
                  <c:v>4.3520000000000003E-2</c:v>
                </c:pt>
                <c:pt idx="2">
                  <c:v>0</c:v>
                </c:pt>
                <c:pt idx="3">
                  <c:v>1.536E-2</c:v>
                </c:pt>
                <c:pt idx="4">
                  <c:v>0</c:v>
                </c:pt>
                <c:pt idx="5">
                  <c:v>0.25600000000000001</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2-88F1-4828-B51A-0FC60E08B0A1}"/>
            </c:ext>
          </c:extLst>
        </c:ser>
        <c:dLbls>
          <c:showLegendKey val="0"/>
          <c:showVal val="0"/>
          <c:showCatName val="0"/>
          <c:showSerName val="0"/>
          <c:showPercent val="0"/>
          <c:showBubbleSize val="0"/>
        </c:dLbls>
        <c:gapWidth val="150"/>
        <c:axId val="139375744"/>
        <c:axId val="139377664"/>
      </c:barChart>
      <c:lineChart>
        <c:grouping val="standard"/>
        <c:varyColors val="0"/>
        <c:ser>
          <c:idx val="3"/>
          <c:order val="3"/>
          <c:tx>
            <c:v>Relative Importance</c:v>
          </c:tx>
          <c:spPr>
            <a:ln w="28575" cap="rnd">
              <a:solidFill>
                <a:schemeClr val="accent4"/>
              </a:solidFill>
              <a:prstDash val="sysDot"/>
              <a:round/>
            </a:ln>
            <a:effectLst/>
          </c:spPr>
          <c:marker>
            <c:symbol val="circle"/>
            <c:size val="5"/>
            <c:spPr>
              <a:solidFill>
                <a:schemeClr val="accent4"/>
              </a:solidFill>
              <a:ln w="9525">
                <a:solidFill>
                  <a:schemeClr val="accent4"/>
                </a:solidFill>
              </a:ln>
              <a:effectLst/>
            </c:spPr>
          </c:marker>
          <c:val>
            <c:numRef>
              <c:f>(ANALYSIS!$C$79:$C$82,ANALYSIS!$C$84:$C$94)</c:f>
              <c:numCache>
                <c:formatCode>General</c:formatCode>
                <c:ptCount val="15"/>
                <c:pt idx="0">
                  <c:v>4</c:v>
                </c:pt>
                <c:pt idx="1">
                  <c:v>5</c:v>
                </c:pt>
                <c:pt idx="2">
                  <c:v>5</c:v>
                </c:pt>
                <c:pt idx="3">
                  <c:v>3</c:v>
                </c:pt>
                <c:pt idx="4">
                  <c:v>3</c:v>
                </c:pt>
                <c:pt idx="5">
                  <c:v>5</c:v>
                </c:pt>
                <c:pt idx="6">
                  <c:v>5</c:v>
                </c:pt>
                <c:pt idx="7">
                  <c:v>4</c:v>
                </c:pt>
                <c:pt idx="8">
                  <c:v>5</c:v>
                </c:pt>
                <c:pt idx="9">
                  <c:v>5</c:v>
                </c:pt>
                <c:pt idx="10">
                  <c:v>5</c:v>
                </c:pt>
                <c:pt idx="11">
                  <c:v>0</c:v>
                </c:pt>
                <c:pt idx="12">
                  <c:v>0</c:v>
                </c:pt>
                <c:pt idx="13">
                  <c:v>2</c:v>
                </c:pt>
                <c:pt idx="14">
                  <c:v>2</c:v>
                </c:pt>
              </c:numCache>
            </c:numRef>
          </c:val>
          <c:smooth val="0"/>
          <c:extLst xmlns:c16r2="http://schemas.microsoft.com/office/drawing/2015/06/chart">
            <c:ext xmlns:c16="http://schemas.microsoft.com/office/drawing/2014/chart" uri="{C3380CC4-5D6E-409C-BE32-E72D297353CC}">
              <c16:uniqueId val="{00000003-88F1-4828-B51A-0FC60E08B0A1}"/>
            </c:ext>
          </c:extLst>
        </c:ser>
        <c:dLbls>
          <c:showLegendKey val="0"/>
          <c:showVal val="0"/>
          <c:showCatName val="0"/>
          <c:showSerName val="0"/>
          <c:showPercent val="0"/>
          <c:showBubbleSize val="0"/>
        </c:dLbls>
        <c:marker val="1"/>
        <c:smooth val="0"/>
        <c:axId val="139393280"/>
        <c:axId val="139391744"/>
      </c:lineChart>
      <c:catAx>
        <c:axId val="13937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77664"/>
        <c:crosses val="autoZero"/>
        <c:auto val="1"/>
        <c:lblAlgn val="ctr"/>
        <c:lblOffset val="100"/>
        <c:noMultiLvlLbl val="0"/>
      </c:catAx>
      <c:valAx>
        <c:axId val="139377664"/>
        <c:scaling>
          <c:orientation val="minMax"/>
          <c:min val="0.4"/>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75744"/>
        <c:crosses val="autoZero"/>
        <c:crossBetween val="between"/>
      </c:valAx>
      <c:valAx>
        <c:axId val="139391744"/>
        <c:scaling>
          <c:orientation val="minMax"/>
          <c:max val="6"/>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93280"/>
        <c:crosses val="max"/>
        <c:crossBetween val="between"/>
      </c:valAx>
      <c:catAx>
        <c:axId val="139393280"/>
        <c:scaling>
          <c:orientation val="minMax"/>
        </c:scaling>
        <c:delete val="1"/>
        <c:axPos val="b"/>
        <c:majorTickMark val="out"/>
        <c:minorTickMark val="none"/>
        <c:tickLblPos val="nextTo"/>
        <c:crossAx val="139391744"/>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1"/>
        <c:ser>
          <c:idx val="0"/>
          <c:order val="0"/>
          <c:spPr>
            <a:ln w="25400">
              <a:noFill/>
            </a:ln>
          </c:spPr>
          <c:marker>
            <c:symbol val="circle"/>
            <c:size val="10"/>
          </c:marker>
          <c:dPt>
            <c:idx val="0"/>
            <c:marker>
              <c:spPr>
                <a:solidFill>
                  <a:schemeClr val="accent1">
                    <a:lumMod val="60000"/>
                    <a:lumOff val="40000"/>
                  </a:schemeClr>
                </a:solidFill>
                <a:ln>
                  <a:noFill/>
                </a:ln>
                <a:effectLst>
                  <a:glow rad="63500">
                    <a:schemeClr val="accent1">
                      <a:satMod val="175000"/>
                      <a:alpha val="25000"/>
                    </a:schemeClr>
                  </a:glow>
                </a:effectLst>
              </c:spPr>
            </c:marker>
            <c:bubble3D val="0"/>
            <c:spPr>
              <a:ln w="25400" cap="rnd">
                <a:noFill/>
              </a:ln>
              <a:effectLst>
                <a:glow rad="139700">
                  <a:schemeClr val="accent1">
                    <a:satMod val="175000"/>
                    <a:alpha val="14000"/>
                  </a:schemeClr>
                </a:glow>
              </a:effectLst>
            </c:spPr>
            <c:extLst xmlns:c16r2="http://schemas.microsoft.com/office/drawing/2015/06/chart">
              <c:ext xmlns:c16="http://schemas.microsoft.com/office/drawing/2014/chart" uri="{C3380CC4-5D6E-409C-BE32-E72D297353CC}">
                <c16:uniqueId val="{00000001-CE8C-467E-A721-4DA26F3506D5}"/>
              </c:ext>
            </c:extLst>
          </c:dPt>
          <c:dPt>
            <c:idx val="1"/>
            <c:marker>
              <c:spPr>
                <a:solidFill>
                  <a:schemeClr val="accent2">
                    <a:lumMod val="60000"/>
                    <a:lumOff val="40000"/>
                  </a:schemeClr>
                </a:solidFill>
                <a:ln>
                  <a:noFill/>
                </a:ln>
                <a:effectLst>
                  <a:glow rad="63500">
                    <a:schemeClr val="accent2">
                      <a:satMod val="175000"/>
                      <a:alpha val="25000"/>
                    </a:schemeClr>
                  </a:glow>
                </a:effectLst>
              </c:spPr>
            </c:marker>
            <c:bubble3D val="0"/>
            <c:spPr>
              <a:ln w="25400" cap="rnd">
                <a:noFill/>
              </a:ln>
              <a:effectLst>
                <a:glow rad="139700">
                  <a:schemeClr val="accent2">
                    <a:satMod val="175000"/>
                    <a:alpha val="14000"/>
                  </a:schemeClr>
                </a:glow>
              </a:effectLst>
            </c:spPr>
            <c:extLst xmlns:c16r2="http://schemas.microsoft.com/office/drawing/2015/06/chart">
              <c:ext xmlns:c16="http://schemas.microsoft.com/office/drawing/2014/chart" uri="{C3380CC4-5D6E-409C-BE32-E72D297353CC}">
                <c16:uniqueId val="{00000003-CE8C-467E-A721-4DA26F3506D5}"/>
              </c:ext>
            </c:extLst>
          </c:dPt>
          <c:dPt>
            <c:idx val="2"/>
            <c:marker>
              <c:spPr>
                <a:solidFill>
                  <a:schemeClr val="accent3">
                    <a:lumMod val="60000"/>
                    <a:lumOff val="40000"/>
                  </a:schemeClr>
                </a:solidFill>
                <a:ln>
                  <a:noFill/>
                </a:ln>
                <a:effectLst>
                  <a:glow rad="63500">
                    <a:schemeClr val="accent3">
                      <a:satMod val="175000"/>
                      <a:alpha val="25000"/>
                    </a:schemeClr>
                  </a:glow>
                </a:effectLst>
              </c:spPr>
            </c:marker>
            <c:bubble3D val="0"/>
            <c:spPr>
              <a:ln w="25400" cap="rnd">
                <a:noFill/>
              </a:ln>
              <a:effectLst>
                <a:glow rad="139700">
                  <a:schemeClr val="accent3">
                    <a:satMod val="175000"/>
                    <a:alpha val="14000"/>
                  </a:schemeClr>
                </a:glow>
              </a:effectLst>
            </c:spPr>
            <c:extLst xmlns:c16r2="http://schemas.microsoft.com/office/drawing/2015/06/chart">
              <c:ext xmlns:c16="http://schemas.microsoft.com/office/drawing/2014/chart" uri="{C3380CC4-5D6E-409C-BE32-E72D297353CC}">
                <c16:uniqueId val="{00000005-CE8C-467E-A721-4DA26F3506D5}"/>
              </c:ext>
            </c:extLst>
          </c:dPt>
          <c:dPt>
            <c:idx val="3"/>
            <c:marker>
              <c:spPr>
                <a:solidFill>
                  <a:schemeClr val="accent4">
                    <a:lumMod val="60000"/>
                    <a:lumOff val="40000"/>
                  </a:schemeClr>
                </a:solidFill>
                <a:ln>
                  <a:noFill/>
                </a:ln>
                <a:effectLst>
                  <a:glow rad="63500">
                    <a:schemeClr val="accent4">
                      <a:satMod val="175000"/>
                      <a:alpha val="25000"/>
                    </a:schemeClr>
                  </a:glow>
                </a:effectLst>
              </c:spPr>
            </c:marker>
            <c:bubble3D val="0"/>
            <c:spPr>
              <a:ln w="25400" cap="rnd">
                <a:noFill/>
              </a:ln>
              <a:effectLst>
                <a:glow rad="139700">
                  <a:schemeClr val="accent4">
                    <a:satMod val="175000"/>
                    <a:alpha val="14000"/>
                  </a:schemeClr>
                </a:glow>
              </a:effectLst>
            </c:spPr>
            <c:extLst xmlns:c16r2="http://schemas.microsoft.com/office/drawing/2015/06/chart">
              <c:ext xmlns:c16="http://schemas.microsoft.com/office/drawing/2014/chart" uri="{C3380CC4-5D6E-409C-BE32-E72D297353CC}">
                <c16:uniqueId val="{00000007-CE8C-467E-A721-4DA26F3506D5}"/>
              </c:ext>
            </c:extLst>
          </c:dPt>
          <c:dPt>
            <c:idx val="4"/>
            <c:marker>
              <c:spPr>
                <a:solidFill>
                  <a:schemeClr val="accent5">
                    <a:lumMod val="60000"/>
                    <a:lumOff val="40000"/>
                  </a:schemeClr>
                </a:solidFill>
                <a:ln>
                  <a:noFill/>
                </a:ln>
                <a:effectLst>
                  <a:glow rad="63500">
                    <a:schemeClr val="accent5">
                      <a:satMod val="175000"/>
                      <a:alpha val="25000"/>
                    </a:schemeClr>
                  </a:glow>
                </a:effectLst>
              </c:spPr>
            </c:marker>
            <c:bubble3D val="0"/>
            <c:spPr>
              <a:ln w="25400" cap="rnd">
                <a:noFill/>
              </a:ln>
              <a:effectLst>
                <a:glow rad="139700">
                  <a:schemeClr val="accent5">
                    <a:satMod val="175000"/>
                    <a:alpha val="14000"/>
                  </a:schemeClr>
                </a:glow>
              </a:effectLst>
            </c:spPr>
            <c:extLst xmlns:c16r2="http://schemas.microsoft.com/office/drawing/2015/06/chart">
              <c:ext xmlns:c16="http://schemas.microsoft.com/office/drawing/2014/chart" uri="{C3380CC4-5D6E-409C-BE32-E72D297353CC}">
                <c16:uniqueId val="{00000009-CE8C-467E-A721-4DA26F3506D5}"/>
              </c:ext>
            </c:extLst>
          </c:dPt>
          <c:dPt>
            <c:idx val="5"/>
            <c:marker>
              <c:spPr>
                <a:solidFill>
                  <a:schemeClr val="accent6">
                    <a:lumMod val="60000"/>
                    <a:lumOff val="40000"/>
                  </a:schemeClr>
                </a:solidFill>
                <a:ln>
                  <a:noFill/>
                </a:ln>
                <a:effectLst>
                  <a:glow rad="63500">
                    <a:schemeClr val="accent6">
                      <a:satMod val="175000"/>
                      <a:alpha val="25000"/>
                    </a:schemeClr>
                  </a:glow>
                </a:effectLst>
              </c:spPr>
            </c:marker>
            <c:bubble3D val="0"/>
            <c:spPr>
              <a:ln w="25400" cap="rnd">
                <a:noFill/>
              </a:ln>
              <a:effectLst>
                <a:glow rad="139700">
                  <a:schemeClr val="accent6">
                    <a:satMod val="175000"/>
                    <a:alpha val="14000"/>
                  </a:schemeClr>
                </a:glow>
              </a:effectLst>
            </c:spPr>
            <c:extLst xmlns:c16r2="http://schemas.microsoft.com/office/drawing/2015/06/chart">
              <c:ext xmlns:c16="http://schemas.microsoft.com/office/drawing/2014/chart" uri="{C3380CC4-5D6E-409C-BE32-E72D297353CC}">
                <c16:uniqueId val="{0000000B-CE8C-467E-A721-4DA26F3506D5}"/>
              </c:ext>
            </c:extLst>
          </c:dPt>
          <c:dPt>
            <c:idx val="6"/>
            <c:marker>
              <c:spPr>
                <a:solidFill>
                  <a:schemeClr val="accent1">
                    <a:lumMod val="60000"/>
                    <a:lumMod val="60000"/>
                    <a:lumOff val="40000"/>
                  </a:schemeClr>
                </a:solidFill>
                <a:ln>
                  <a:noFill/>
                </a:ln>
                <a:effectLst>
                  <a:glow rad="63500">
                    <a:schemeClr val="accent1">
                      <a:lumMod val="60000"/>
                      <a:satMod val="175000"/>
                      <a:alpha val="25000"/>
                    </a:schemeClr>
                  </a:glow>
                </a:effectLst>
              </c:spPr>
            </c:marker>
            <c:bubble3D val="0"/>
            <c:spPr>
              <a:ln w="25400" cap="rnd">
                <a:noFill/>
              </a:ln>
              <a:effectLst>
                <a:glow rad="139700">
                  <a:schemeClr val="accent1">
                    <a:lumMod val="60000"/>
                    <a:satMod val="175000"/>
                    <a:alpha val="14000"/>
                  </a:schemeClr>
                </a:glow>
              </a:effectLst>
            </c:spPr>
            <c:extLst xmlns:c16r2="http://schemas.microsoft.com/office/drawing/2015/06/chart">
              <c:ext xmlns:c16="http://schemas.microsoft.com/office/drawing/2014/chart" uri="{C3380CC4-5D6E-409C-BE32-E72D297353CC}">
                <c16:uniqueId val="{0000000D-CE8C-467E-A721-4DA26F3506D5}"/>
              </c:ext>
            </c:extLst>
          </c:dPt>
          <c:dPt>
            <c:idx val="7"/>
            <c:marker>
              <c:spPr>
                <a:solidFill>
                  <a:schemeClr val="accent2">
                    <a:lumMod val="60000"/>
                    <a:lumMod val="60000"/>
                    <a:lumOff val="40000"/>
                  </a:schemeClr>
                </a:solidFill>
                <a:ln>
                  <a:noFill/>
                </a:ln>
                <a:effectLst>
                  <a:glow rad="63500">
                    <a:schemeClr val="accent2">
                      <a:lumMod val="60000"/>
                      <a:satMod val="175000"/>
                      <a:alpha val="25000"/>
                    </a:schemeClr>
                  </a:glow>
                </a:effectLst>
              </c:spPr>
            </c:marker>
            <c:bubble3D val="0"/>
            <c:spPr>
              <a:ln w="25400" cap="rnd">
                <a:noFill/>
              </a:ln>
              <a:effectLst>
                <a:glow rad="139700">
                  <a:schemeClr val="accent2">
                    <a:lumMod val="60000"/>
                    <a:satMod val="175000"/>
                    <a:alpha val="14000"/>
                  </a:schemeClr>
                </a:glow>
              </a:effectLst>
            </c:spPr>
            <c:extLst xmlns:c16r2="http://schemas.microsoft.com/office/drawing/2015/06/chart">
              <c:ext xmlns:c16="http://schemas.microsoft.com/office/drawing/2014/chart" uri="{C3380CC4-5D6E-409C-BE32-E72D297353CC}">
                <c16:uniqueId val="{0000000F-CE8C-467E-A721-4DA26F3506D5}"/>
              </c:ext>
            </c:extLst>
          </c:dPt>
          <c:dPt>
            <c:idx val="8"/>
            <c:marker>
              <c:spPr>
                <a:solidFill>
                  <a:schemeClr val="accent3">
                    <a:lumMod val="60000"/>
                    <a:lumMod val="60000"/>
                    <a:lumOff val="40000"/>
                  </a:schemeClr>
                </a:solidFill>
                <a:ln>
                  <a:noFill/>
                </a:ln>
                <a:effectLst>
                  <a:glow rad="63500">
                    <a:schemeClr val="accent3">
                      <a:lumMod val="60000"/>
                      <a:satMod val="175000"/>
                      <a:alpha val="25000"/>
                    </a:schemeClr>
                  </a:glow>
                </a:effectLst>
              </c:spPr>
            </c:marker>
            <c:bubble3D val="0"/>
            <c:spPr>
              <a:ln w="25400" cap="rnd">
                <a:noFill/>
              </a:ln>
              <a:effectLst>
                <a:glow rad="139700">
                  <a:schemeClr val="accent3">
                    <a:lumMod val="60000"/>
                    <a:satMod val="175000"/>
                    <a:alpha val="14000"/>
                  </a:schemeClr>
                </a:glow>
              </a:effectLst>
            </c:spPr>
            <c:extLst xmlns:c16r2="http://schemas.microsoft.com/office/drawing/2015/06/chart">
              <c:ext xmlns:c16="http://schemas.microsoft.com/office/drawing/2014/chart" uri="{C3380CC4-5D6E-409C-BE32-E72D297353CC}">
                <c16:uniqueId val="{00000011-CE8C-467E-A721-4DA26F3506D5}"/>
              </c:ext>
            </c:extLst>
          </c:dPt>
          <c:dPt>
            <c:idx val="9"/>
            <c:marker>
              <c:spPr>
                <a:solidFill>
                  <a:schemeClr val="accent4">
                    <a:lumMod val="60000"/>
                    <a:lumMod val="60000"/>
                    <a:lumOff val="40000"/>
                  </a:schemeClr>
                </a:solidFill>
                <a:ln>
                  <a:noFill/>
                </a:ln>
                <a:effectLst>
                  <a:glow rad="63500">
                    <a:schemeClr val="accent4">
                      <a:lumMod val="60000"/>
                      <a:satMod val="175000"/>
                      <a:alpha val="25000"/>
                    </a:schemeClr>
                  </a:glow>
                </a:effectLst>
              </c:spPr>
            </c:marker>
            <c:bubble3D val="0"/>
            <c:spPr>
              <a:ln w="25400" cap="rnd">
                <a:noFill/>
              </a:ln>
              <a:effectLst>
                <a:glow rad="139700">
                  <a:schemeClr val="accent4">
                    <a:lumMod val="60000"/>
                    <a:satMod val="175000"/>
                    <a:alpha val="14000"/>
                  </a:schemeClr>
                </a:glow>
              </a:effectLst>
            </c:spPr>
            <c:extLst xmlns:c16r2="http://schemas.microsoft.com/office/drawing/2015/06/chart">
              <c:ext xmlns:c16="http://schemas.microsoft.com/office/drawing/2014/chart" uri="{C3380CC4-5D6E-409C-BE32-E72D297353CC}">
                <c16:uniqueId val="{00000013-CE8C-467E-A721-4DA26F3506D5}"/>
              </c:ext>
            </c:extLst>
          </c:dPt>
          <c:dPt>
            <c:idx val="10"/>
            <c:marker>
              <c:spPr>
                <a:solidFill>
                  <a:schemeClr val="accent5">
                    <a:lumMod val="60000"/>
                    <a:lumMod val="60000"/>
                    <a:lumOff val="40000"/>
                  </a:schemeClr>
                </a:solidFill>
                <a:ln>
                  <a:noFill/>
                </a:ln>
                <a:effectLst>
                  <a:glow rad="63500">
                    <a:schemeClr val="accent5">
                      <a:lumMod val="60000"/>
                      <a:satMod val="175000"/>
                      <a:alpha val="25000"/>
                    </a:schemeClr>
                  </a:glow>
                </a:effectLst>
              </c:spPr>
            </c:marker>
            <c:bubble3D val="0"/>
            <c:spPr>
              <a:ln w="25400" cap="rnd">
                <a:noFill/>
              </a:ln>
              <a:effectLst>
                <a:glow rad="139700">
                  <a:schemeClr val="accent5">
                    <a:lumMod val="60000"/>
                    <a:satMod val="175000"/>
                    <a:alpha val="14000"/>
                  </a:schemeClr>
                </a:glow>
              </a:effectLst>
            </c:spPr>
            <c:extLst xmlns:c16r2="http://schemas.microsoft.com/office/drawing/2015/06/chart">
              <c:ext xmlns:c16="http://schemas.microsoft.com/office/drawing/2014/chart" uri="{C3380CC4-5D6E-409C-BE32-E72D297353CC}">
                <c16:uniqueId val="{00000015-CE8C-467E-A721-4DA26F3506D5}"/>
              </c:ext>
            </c:extLst>
          </c:dPt>
          <c:dPt>
            <c:idx val="11"/>
            <c:marker>
              <c:spPr>
                <a:solidFill>
                  <a:schemeClr val="accent6">
                    <a:lumMod val="60000"/>
                    <a:lumMod val="60000"/>
                    <a:lumOff val="40000"/>
                  </a:schemeClr>
                </a:solidFill>
                <a:ln>
                  <a:noFill/>
                </a:ln>
                <a:effectLst>
                  <a:glow rad="63500">
                    <a:schemeClr val="accent6">
                      <a:lumMod val="60000"/>
                      <a:satMod val="175000"/>
                      <a:alpha val="25000"/>
                    </a:schemeClr>
                  </a:glow>
                </a:effectLst>
              </c:spPr>
            </c:marker>
            <c:bubble3D val="0"/>
            <c:spPr>
              <a:ln w="25400" cap="rnd">
                <a:noFill/>
              </a:ln>
              <a:effectLst>
                <a:glow rad="139700">
                  <a:schemeClr val="accent6">
                    <a:lumMod val="60000"/>
                    <a:satMod val="175000"/>
                    <a:alpha val="14000"/>
                  </a:schemeClr>
                </a:glow>
              </a:effectLst>
            </c:spPr>
            <c:extLst xmlns:c16r2="http://schemas.microsoft.com/office/drawing/2015/06/chart">
              <c:ext xmlns:c16="http://schemas.microsoft.com/office/drawing/2014/chart" uri="{C3380CC4-5D6E-409C-BE32-E72D297353CC}">
                <c16:uniqueId val="{00000017-CE8C-467E-A721-4DA26F3506D5}"/>
              </c:ext>
            </c:extLst>
          </c:dPt>
          <c:dPt>
            <c:idx val="12"/>
            <c:marker>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bubble3D val="0"/>
            <c:spPr>
              <a:ln w="25400" cap="rnd">
                <a:noFill/>
              </a:ln>
              <a:effectLst>
                <a:glow rad="139700">
                  <a:schemeClr val="accent1">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9-CE8C-467E-A721-4DA26F3506D5}"/>
              </c:ext>
            </c:extLst>
          </c:dPt>
          <c:dPt>
            <c:idx val="13"/>
            <c:marker>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bubble3D val="0"/>
            <c:spPr>
              <a:ln w="25400" cap="rnd">
                <a:noFill/>
              </a:ln>
              <a:effectLst>
                <a:glow rad="139700">
                  <a:schemeClr val="accent2">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B-CE8C-467E-A721-4DA26F3506D5}"/>
              </c:ext>
            </c:extLst>
          </c:dPt>
          <c:dPt>
            <c:idx val="14"/>
            <c:marker>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bubble3D val="0"/>
            <c:spPr>
              <a:ln w="25400" cap="rnd">
                <a:noFill/>
              </a:ln>
              <a:effectLst>
                <a:glow rad="139700">
                  <a:schemeClr val="accent3">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D-CE8C-467E-A721-4DA26F3506D5}"/>
              </c:ext>
            </c:extLst>
          </c:dPt>
          <c:dPt>
            <c:idx val="15"/>
            <c:marker>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bubble3D val="0"/>
            <c:spPr>
              <a:ln w="25400" cap="rnd">
                <a:noFill/>
              </a:ln>
              <a:effectLst>
                <a:glow rad="139700">
                  <a:schemeClr val="accent4">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F-CE8C-467E-A721-4DA26F3506D5}"/>
              </c:ext>
            </c:extLst>
          </c:dPt>
          <c:dPt>
            <c:idx val="16"/>
            <c:marker>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bubble3D val="0"/>
            <c:spPr>
              <a:ln w="25400" cap="rnd">
                <a:noFill/>
              </a:ln>
              <a:effectLst>
                <a:glow rad="139700">
                  <a:schemeClr val="accent5">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21-CE8C-467E-A721-4DA26F3506D5}"/>
              </c:ext>
            </c:extLst>
          </c:dPt>
          <c:dPt>
            <c:idx val="17"/>
            <c:marker>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bubble3D val="0"/>
            <c:spPr>
              <a:ln w="25400" cap="rnd">
                <a:noFill/>
              </a:ln>
              <a:effectLst>
                <a:glow rad="139700">
                  <a:schemeClr val="accent6">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23-CE8C-467E-A721-4DA26F3506D5}"/>
              </c:ext>
            </c:extLst>
          </c:dPt>
          <c:dPt>
            <c:idx val="18"/>
            <c:marker>
              <c:spPr>
                <a:solidFill>
                  <a:schemeClr val="accent1">
                    <a:lumMod val="80000"/>
                    <a:lumMod val="60000"/>
                    <a:lumOff val="40000"/>
                  </a:schemeClr>
                </a:solidFill>
                <a:ln>
                  <a:noFill/>
                </a:ln>
                <a:effectLst>
                  <a:glow rad="63500">
                    <a:schemeClr val="accent1">
                      <a:lumMod val="80000"/>
                      <a:satMod val="175000"/>
                      <a:alpha val="25000"/>
                    </a:schemeClr>
                  </a:glow>
                </a:effectLst>
              </c:spPr>
            </c:marker>
            <c:bubble3D val="0"/>
            <c:spPr>
              <a:ln w="25400" cap="rnd">
                <a:noFill/>
              </a:ln>
              <a:effectLst>
                <a:glow rad="139700">
                  <a:schemeClr val="accent1">
                    <a:lumMod val="80000"/>
                    <a:satMod val="175000"/>
                    <a:alpha val="14000"/>
                  </a:schemeClr>
                </a:glow>
              </a:effectLst>
            </c:spPr>
            <c:extLst xmlns:c16r2="http://schemas.microsoft.com/office/drawing/2015/06/chart">
              <c:ext xmlns:c16="http://schemas.microsoft.com/office/drawing/2014/chart" uri="{C3380CC4-5D6E-409C-BE32-E72D297353CC}">
                <c16:uniqueId val="{00000025-CE8C-467E-A721-4DA26F3506D5}"/>
              </c:ext>
            </c:extLst>
          </c:dPt>
          <c:dPt>
            <c:idx val="19"/>
            <c:marker>
              <c:spPr>
                <a:solidFill>
                  <a:schemeClr val="accent2">
                    <a:lumMod val="80000"/>
                    <a:lumMod val="60000"/>
                    <a:lumOff val="40000"/>
                  </a:schemeClr>
                </a:solidFill>
                <a:ln>
                  <a:noFill/>
                </a:ln>
                <a:effectLst>
                  <a:glow rad="63500">
                    <a:schemeClr val="accent2">
                      <a:lumMod val="80000"/>
                      <a:satMod val="175000"/>
                      <a:alpha val="25000"/>
                    </a:schemeClr>
                  </a:glow>
                </a:effectLst>
              </c:spPr>
            </c:marker>
            <c:bubble3D val="0"/>
            <c:spPr>
              <a:ln w="25400" cap="rnd">
                <a:noFill/>
              </a:ln>
              <a:effectLst>
                <a:glow rad="139700">
                  <a:schemeClr val="accent2">
                    <a:lumMod val="80000"/>
                    <a:satMod val="175000"/>
                    <a:alpha val="14000"/>
                  </a:schemeClr>
                </a:glow>
              </a:effectLst>
            </c:spPr>
            <c:extLst xmlns:c16r2="http://schemas.microsoft.com/office/drawing/2015/06/chart">
              <c:ext xmlns:c16="http://schemas.microsoft.com/office/drawing/2014/chart" uri="{C3380CC4-5D6E-409C-BE32-E72D297353CC}">
                <c16:uniqueId val="{00000027-CE8C-467E-A721-4DA26F3506D5}"/>
              </c:ext>
            </c:extLst>
          </c:dPt>
          <c:dLbls>
            <c:dLbl>
              <c:idx val="0"/>
              <c:tx>
                <c:rich>
                  <a:bodyPr/>
                  <a:lstStyle/>
                  <a:p>
                    <a:r>
                      <a:rPr lang="en-US"/>
                      <a:t>LexisNexis</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CE8C-467E-A721-4DA26F3506D5}"/>
                </c:ext>
              </c:extLst>
            </c:dLbl>
            <c:dLbl>
              <c:idx val="1"/>
              <c:tx>
                <c:rich>
                  <a:bodyPr/>
                  <a:lstStyle/>
                  <a:p>
                    <a:r>
                      <a:rPr lang="en-US"/>
                      <a:t>Bloomberg Law</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CE8C-467E-A721-4DA26F3506D5}"/>
                </c:ext>
              </c:extLst>
            </c:dLbl>
            <c:dLbl>
              <c:idx val="2"/>
              <c:tx>
                <c:rich>
                  <a:bodyPr/>
                  <a:lstStyle/>
                  <a:p>
                    <a:r>
                      <a:rPr lang="en-US"/>
                      <a:t>Westlaw (Thomson Reuters)</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CE8C-467E-A721-4DA26F3506D5}"/>
                </c:ext>
              </c:extLst>
            </c:dLbl>
            <c:dLbl>
              <c:idx val="3"/>
              <c:tx>
                <c:rich>
                  <a:bodyPr/>
                  <a:lstStyle/>
                  <a:p>
                    <a:r>
                      <a:rPr lang="en-US"/>
                      <a:t>MorningStar</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CE8C-467E-A721-4DA26F3506D5}"/>
                </c:ext>
              </c:extLst>
            </c:dLbl>
            <c:dLbl>
              <c:idx val="4"/>
              <c:tx>
                <c:rich>
                  <a:bodyPr/>
                  <a:lstStyle/>
                  <a:p>
                    <a:r>
                      <a:rPr lang="en-US"/>
                      <a:t>Bersin</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CE8C-467E-A721-4DA26F3506D5}"/>
                </c:ext>
              </c:extLst>
            </c:dLbl>
            <c:dLbl>
              <c:idx val="5"/>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CE8C-467E-A721-4DA26F3506D5}"/>
                </c:ext>
              </c:extLst>
            </c:dLbl>
            <c:dLbl>
              <c:idx val="6"/>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CE8C-467E-A721-4DA26F3506D5}"/>
                </c:ext>
              </c:extLst>
            </c:dLbl>
            <c:dLbl>
              <c:idx val="7"/>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CE8C-467E-A721-4DA26F3506D5}"/>
                </c:ext>
              </c:extLst>
            </c:dLbl>
            <c:dLbl>
              <c:idx val="8"/>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1-CE8C-467E-A721-4DA26F3506D5}"/>
                </c:ext>
              </c:extLst>
            </c:dLbl>
            <c:dLbl>
              <c:idx val="9"/>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3-CE8C-467E-A721-4DA26F3506D5}"/>
                </c:ext>
              </c:extLst>
            </c:dLbl>
            <c:dLbl>
              <c:idx val="10"/>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CE8C-467E-A721-4DA26F3506D5}"/>
                </c:ext>
              </c:extLst>
            </c:dLbl>
            <c:dLbl>
              <c:idx val="11"/>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7-CE8C-467E-A721-4DA26F3506D5}"/>
                </c:ext>
              </c:extLst>
            </c:dLbl>
            <c:dLbl>
              <c:idx val="12"/>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9-CE8C-467E-A721-4DA26F3506D5}"/>
                </c:ext>
              </c:extLst>
            </c:dLbl>
            <c:dLbl>
              <c:idx val="13"/>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B-CE8C-467E-A721-4DA26F3506D5}"/>
                </c:ext>
              </c:extLst>
            </c:dLbl>
            <c:dLbl>
              <c:idx val="14"/>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D-CE8C-467E-A721-4DA26F3506D5}"/>
                </c:ext>
              </c:extLst>
            </c:dLbl>
            <c:dLbl>
              <c:idx val="15"/>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F-CE8C-467E-A721-4DA26F3506D5}"/>
                </c:ext>
              </c:extLst>
            </c:dLbl>
            <c:dLbl>
              <c:idx val="16"/>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1-CE8C-467E-A721-4DA26F3506D5}"/>
                </c:ext>
              </c:extLst>
            </c:dLbl>
            <c:dLbl>
              <c:idx val="17"/>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3-CE8C-467E-A721-4DA26F3506D5}"/>
                </c:ext>
              </c:extLst>
            </c:dLbl>
            <c:dLbl>
              <c:idx val="18"/>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5-CE8C-467E-A721-4DA26F3506D5}"/>
                </c:ext>
              </c:extLst>
            </c:dLbl>
            <c:dLbl>
              <c:idx val="19"/>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7-CE8C-467E-A721-4DA26F3506D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xVal>
            <c:numRef>
              <c:f>ANALYSIS!$AD$15:$AD$34</c:f>
              <c:numCache>
                <c:formatCode>General</c:formatCode>
                <c:ptCount val="20"/>
                <c:pt idx="0">
                  <c:v>2.4177777777777777E-2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xVal>
          <c:yVal>
            <c:numRef>
              <c:f>ANALYSIS!$AE$15:$AE$34</c:f>
              <c:numCache>
                <c:formatCode>General</c:formatCode>
                <c:ptCount val="20"/>
                <c:pt idx="0">
                  <c:v>3.5446153846153848E-3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xmlns:c16r2="http://schemas.microsoft.com/office/drawing/2015/06/chart">
            <c:ext xmlns:c16="http://schemas.microsoft.com/office/drawing/2014/chart" uri="{C3380CC4-5D6E-409C-BE32-E72D297353CC}">
              <c16:uniqueId val="{00000028-CE8C-467E-A721-4DA26F3506D5}"/>
            </c:ext>
          </c:extLst>
        </c:ser>
        <c:dLbls>
          <c:showLegendKey val="0"/>
          <c:showVal val="0"/>
          <c:showCatName val="0"/>
          <c:showSerName val="0"/>
          <c:showPercent val="0"/>
          <c:showBubbleSize val="0"/>
        </c:dLbls>
        <c:axId val="139398144"/>
        <c:axId val="139404032"/>
      </c:scatterChart>
      <c:valAx>
        <c:axId val="139398144"/>
        <c:scaling>
          <c:orientation val="minMax"/>
          <c:min val="0.5"/>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9404032"/>
        <c:crosses val="autoZero"/>
        <c:crossBetween val="midCat"/>
      </c:valAx>
      <c:valAx>
        <c:axId val="139404032"/>
        <c:scaling>
          <c:orientation val="minMax"/>
          <c:min val="0.5"/>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9398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4</c:v>
                </c:pt>
                <c:pt idx="2">
                  <c:v>0</c:v>
                </c:pt>
                <c:pt idx="3">
                  <c:v>2</c:v>
                </c:pt>
                <c:pt idx="4">
                  <c:v>0</c:v>
                </c:pt>
                <c:pt idx="5">
                  <c:v>26</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9937-4C2E-814D-8CB88DE24AF8}"/>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9937-4C2E-814D-8CB88DE24AF8}"/>
            </c:ext>
          </c:extLst>
        </c:ser>
        <c:dLbls>
          <c:showLegendKey val="0"/>
          <c:showVal val="0"/>
          <c:showCatName val="0"/>
          <c:showSerName val="0"/>
          <c:showPercent val="0"/>
          <c:showBubbleSize val="0"/>
        </c:dLbls>
        <c:gapWidth val="500"/>
        <c:overlap val="100"/>
        <c:axId val="138434048"/>
        <c:axId val="138432512"/>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4</c:v>
                </c:pt>
                <c:pt idx="2">
                  <c:v>0</c:v>
                </c:pt>
                <c:pt idx="3">
                  <c:v>2</c:v>
                </c:pt>
                <c:pt idx="4">
                  <c:v>0</c:v>
                </c:pt>
                <c:pt idx="5">
                  <c:v>26</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9937-4C2E-814D-8CB88DE24AF8}"/>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4</c:v>
                </c:pt>
                <c:pt idx="2">
                  <c:v>0</c:v>
                </c:pt>
                <c:pt idx="3">
                  <c:v>2</c:v>
                </c:pt>
                <c:pt idx="4">
                  <c:v>0</c:v>
                </c:pt>
                <c:pt idx="5">
                  <c:v>26</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9937-4C2E-814D-8CB88DE24AF8}"/>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4</c:v>
                </c:pt>
                <c:pt idx="2">
                  <c:v>0</c:v>
                </c:pt>
                <c:pt idx="3">
                  <c:v>2</c:v>
                </c:pt>
                <c:pt idx="4">
                  <c:v>0</c:v>
                </c:pt>
                <c:pt idx="5">
                  <c:v>26</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9937-4C2E-814D-8CB88DE24AF8}"/>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9937-4C2E-814D-8CB88DE24AF8}"/>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9937-4C2E-814D-8CB88DE24AF8}"/>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9937-4C2E-814D-8CB88DE24AF8}"/>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9937-4C2E-814D-8CB88DE24AF8}"/>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9937-4C2E-814D-8CB88DE24AF8}"/>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9937-4C2E-814D-8CB88DE24AF8}"/>
            </c:ext>
          </c:extLst>
        </c:ser>
        <c:dLbls>
          <c:showLegendKey val="0"/>
          <c:showVal val="0"/>
          <c:showCatName val="0"/>
          <c:showSerName val="0"/>
          <c:showPercent val="0"/>
          <c:showBubbleSize val="0"/>
        </c:dLbls>
        <c:axId val="138429184"/>
        <c:axId val="138430720"/>
      </c:scatterChart>
      <c:valAx>
        <c:axId val="138429184"/>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30720"/>
        <c:crosses val="autoZero"/>
        <c:crossBetween val="midCat"/>
        <c:minorUnit val="5"/>
      </c:valAx>
      <c:valAx>
        <c:axId val="138430720"/>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29184"/>
        <c:crosses val="autoZero"/>
        <c:crossBetween val="midCat"/>
        <c:majorUnit val="1"/>
        <c:minorUnit val="0.5"/>
      </c:valAx>
      <c:valAx>
        <c:axId val="138432512"/>
        <c:scaling>
          <c:orientation val="minMax"/>
          <c:max val="100"/>
          <c:min val="0"/>
        </c:scaling>
        <c:delete val="1"/>
        <c:axPos val="t"/>
        <c:numFmt formatCode="General" sourceLinked="1"/>
        <c:majorTickMark val="out"/>
        <c:minorTickMark val="none"/>
        <c:tickLblPos val="none"/>
        <c:crossAx val="138434048"/>
        <c:crosses val="autoZero"/>
        <c:crossBetween val="between"/>
      </c:valAx>
      <c:catAx>
        <c:axId val="138434048"/>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138432512"/>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4</c:v>
                </c:pt>
                <c:pt idx="2">
                  <c:v>0</c:v>
                </c:pt>
                <c:pt idx="3">
                  <c:v>2</c:v>
                </c:pt>
                <c:pt idx="4">
                  <c:v>0</c:v>
                </c:pt>
                <c:pt idx="5">
                  <c:v>26</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D458-4820-8BF4-FEC53385547F}"/>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D458-4820-8BF4-FEC53385547F}"/>
            </c:ext>
          </c:extLst>
        </c:ser>
        <c:dLbls>
          <c:showLegendKey val="0"/>
          <c:showVal val="0"/>
          <c:showCatName val="0"/>
          <c:showSerName val="0"/>
          <c:showPercent val="0"/>
          <c:showBubbleSize val="0"/>
        </c:dLbls>
        <c:gapWidth val="500"/>
        <c:overlap val="100"/>
        <c:axId val="141642368"/>
        <c:axId val="141640832"/>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4</c:v>
                </c:pt>
                <c:pt idx="2">
                  <c:v>0</c:v>
                </c:pt>
                <c:pt idx="3">
                  <c:v>2</c:v>
                </c:pt>
                <c:pt idx="4">
                  <c:v>0</c:v>
                </c:pt>
                <c:pt idx="5">
                  <c:v>26</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D458-4820-8BF4-FEC53385547F}"/>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4</c:v>
                </c:pt>
                <c:pt idx="2">
                  <c:v>0</c:v>
                </c:pt>
                <c:pt idx="3">
                  <c:v>2</c:v>
                </c:pt>
                <c:pt idx="4">
                  <c:v>0</c:v>
                </c:pt>
                <c:pt idx="5">
                  <c:v>26</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D458-4820-8BF4-FEC53385547F}"/>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4</c:v>
                </c:pt>
                <c:pt idx="2">
                  <c:v>0</c:v>
                </c:pt>
                <c:pt idx="3">
                  <c:v>2</c:v>
                </c:pt>
                <c:pt idx="4">
                  <c:v>0</c:v>
                </c:pt>
                <c:pt idx="5">
                  <c:v>26</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D458-4820-8BF4-FEC53385547F}"/>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D458-4820-8BF4-FEC53385547F}"/>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D458-4820-8BF4-FEC53385547F}"/>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D458-4820-8BF4-FEC53385547F}"/>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D458-4820-8BF4-FEC53385547F}"/>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D458-4820-8BF4-FEC53385547F}"/>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D458-4820-8BF4-FEC53385547F}"/>
            </c:ext>
          </c:extLst>
        </c:ser>
        <c:dLbls>
          <c:showLegendKey val="0"/>
          <c:showVal val="0"/>
          <c:showCatName val="0"/>
          <c:showSerName val="0"/>
          <c:showPercent val="0"/>
          <c:showBubbleSize val="0"/>
        </c:dLbls>
        <c:axId val="141629312"/>
        <c:axId val="141630848"/>
      </c:scatterChart>
      <c:valAx>
        <c:axId val="141629312"/>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30848"/>
        <c:crosses val="autoZero"/>
        <c:crossBetween val="midCat"/>
        <c:minorUnit val="5"/>
      </c:valAx>
      <c:valAx>
        <c:axId val="141630848"/>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29312"/>
        <c:crosses val="autoZero"/>
        <c:crossBetween val="midCat"/>
        <c:majorUnit val="1"/>
        <c:minorUnit val="0.5"/>
      </c:valAx>
      <c:valAx>
        <c:axId val="141640832"/>
        <c:scaling>
          <c:orientation val="minMax"/>
          <c:max val="100"/>
          <c:min val="0"/>
        </c:scaling>
        <c:delete val="1"/>
        <c:axPos val="t"/>
        <c:numFmt formatCode="General" sourceLinked="1"/>
        <c:majorTickMark val="out"/>
        <c:minorTickMark val="none"/>
        <c:tickLblPos val="none"/>
        <c:crossAx val="141642368"/>
        <c:crosses val="autoZero"/>
        <c:crossBetween val="between"/>
      </c:valAx>
      <c:catAx>
        <c:axId val="141642368"/>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141640832"/>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4</c:v>
                </c:pt>
                <c:pt idx="2">
                  <c:v>0</c:v>
                </c:pt>
                <c:pt idx="3">
                  <c:v>2</c:v>
                </c:pt>
                <c:pt idx="4">
                  <c:v>0</c:v>
                </c:pt>
                <c:pt idx="5">
                  <c:v>26</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AABB-4CA3-A478-8D7B148E1B97}"/>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AABB-4CA3-A478-8D7B148E1B97}"/>
            </c:ext>
          </c:extLst>
        </c:ser>
        <c:dLbls>
          <c:showLegendKey val="0"/>
          <c:showVal val="0"/>
          <c:showCatName val="0"/>
          <c:showSerName val="0"/>
          <c:showPercent val="0"/>
          <c:showBubbleSize val="0"/>
        </c:dLbls>
        <c:gapWidth val="500"/>
        <c:overlap val="100"/>
        <c:axId val="203116928"/>
        <c:axId val="203115136"/>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4</c:v>
                </c:pt>
                <c:pt idx="2">
                  <c:v>0</c:v>
                </c:pt>
                <c:pt idx="3">
                  <c:v>2</c:v>
                </c:pt>
                <c:pt idx="4">
                  <c:v>0</c:v>
                </c:pt>
                <c:pt idx="5">
                  <c:v>26</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AABB-4CA3-A478-8D7B148E1B97}"/>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4</c:v>
                </c:pt>
                <c:pt idx="2">
                  <c:v>0</c:v>
                </c:pt>
                <c:pt idx="3">
                  <c:v>2</c:v>
                </c:pt>
                <c:pt idx="4">
                  <c:v>0</c:v>
                </c:pt>
                <c:pt idx="5">
                  <c:v>26</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AABB-4CA3-A478-8D7B148E1B97}"/>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4</c:v>
                </c:pt>
                <c:pt idx="2">
                  <c:v>0</c:v>
                </c:pt>
                <c:pt idx="3">
                  <c:v>2</c:v>
                </c:pt>
                <c:pt idx="4">
                  <c:v>0</c:v>
                </c:pt>
                <c:pt idx="5">
                  <c:v>26</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AABB-4CA3-A478-8D7B148E1B97}"/>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AABB-4CA3-A478-8D7B148E1B97}"/>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AABB-4CA3-A478-8D7B148E1B97}"/>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AABB-4CA3-A478-8D7B148E1B97}"/>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AABB-4CA3-A478-8D7B148E1B97}"/>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AABB-4CA3-A478-8D7B148E1B97}"/>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AABB-4CA3-A478-8D7B148E1B97}"/>
            </c:ext>
          </c:extLst>
        </c:ser>
        <c:dLbls>
          <c:showLegendKey val="0"/>
          <c:showVal val="0"/>
          <c:showCatName val="0"/>
          <c:showSerName val="0"/>
          <c:showPercent val="0"/>
          <c:showBubbleSize val="0"/>
        </c:dLbls>
        <c:axId val="202988928"/>
        <c:axId val="203113600"/>
      </c:scatterChart>
      <c:valAx>
        <c:axId val="202988928"/>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113600"/>
        <c:crosses val="autoZero"/>
        <c:crossBetween val="midCat"/>
        <c:minorUnit val="5"/>
      </c:valAx>
      <c:valAx>
        <c:axId val="203113600"/>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88928"/>
        <c:crosses val="autoZero"/>
        <c:crossBetween val="midCat"/>
        <c:majorUnit val="1"/>
        <c:minorUnit val="0.5"/>
      </c:valAx>
      <c:valAx>
        <c:axId val="203115136"/>
        <c:scaling>
          <c:orientation val="minMax"/>
          <c:max val="100"/>
          <c:min val="0"/>
        </c:scaling>
        <c:delete val="1"/>
        <c:axPos val="t"/>
        <c:numFmt formatCode="General" sourceLinked="1"/>
        <c:majorTickMark val="out"/>
        <c:minorTickMark val="none"/>
        <c:tickLblPos val="none"/>
        <c:crossAx val="203116928"/>
        <c:crosses val="autoZero"/>
        <c:crossBetween val="between"/>
      </c:valAx>
      <c:catAx>
        <c:axId val="203116928"/>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203115136"/>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6B4A3698-DA7E-4D51-885A-858122641C0C}">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6.xml"/><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7</xdr:col>
      <xdr:colOff>288924</xdr:colOff>
      <xdr:row>73</xdr:row>
      <xdr:rowOff>19050</xdr:rowOff>
    </xdr:from>
    <xdr:to>
      <xdr:col>21</xdr:col>
      <xdr:colOff>596900</xdr:colOff>
      <xdr:row>94</xdr:row>
      <xdr:rowOff>165100</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440764</xdr:colOff>
      <xdr:row>96</xdr:row>
      <xdr:rowOff>67235</xdr:rowOff>
    </xdr:from>
    <xdr:to>
      <xdr:col>21</xdr:col>
      <xdr:colOff>545353</xdr:colOff>
      <xdr:row>122</xdr:row>
      <xdr:rowOff>149411</xdr:rowOff>
    </xdr:to>
    <xdr:graphicFrame macro="">
      <xdr:nvGraphicFramePr>
        <xdr:cNvPr id="3" name="Chart 2">
          <a:extLst>
            <a:ext uri="{FF2B5EF4-FFF2-40B4-BE49-F238E27FC236}">
              <a16:creationId xmlns:a16="http://schemas.microsoft.com/office/drawing/2014/main" xmlns=""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78440</xdr:colOff>
      <xdr:row>96</xdr:row>
      <xdr:rowOff>73959</xdr:rowOff>
    </xdr:from>
    <xdr:to>
      <xdr:col>8</xdr:col>
      <xdr:colOff>410881</xdr:colOff>
      <xdr:row>122</xdr:row>
      <xdr:rowOff>104588</xdr:rowOff>
    </xdr:to>
    <xdr:graphicFrame macro="">
      <xdr:nvGraphicFramePr>
        <xdr:cNvPr id="4" name="Chart 3">
          <a:extLst>
            <a:ext uri="{FF2B5EF4-FFF2-40B4-BE49-F238E27FC236}">
              <a16:creationId xmlns:a16="http://schemas.microsoft.com/office/drawing/2014/main" xmlns=""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77106</xdr:colOff>
      <xdr:row>144</xdr:row>
      <xdr:rowOff>54429</xdr:rowOff>
    </xdr:from>
    <xdr:to>
      <xdr:col>21</xdr:col>
      <xdr:colOff>480785</xdr:colOff>
      <xdr:row>154</xdr:row>
      <xdr:rowOff>172356</xdr:rowOff>
    </xdr:to>
    <mc:AlternateContent xmlns:mc="http://schemas.openxmlformats.org/markup-compatibility/2006">
      <mc:Choice xmlns:cx1="http://schemas.microsoft.com/office/drawing/2015/9/8/chartex" xmlns="" Requires="cx1">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5" name="Rectangle 4"/>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502805</xdr:colOff>
      <xdr:row>25</xdr:row>
      <xdr:rowOff>77354</xdr:rowOff>
    </xdr:from>
    <xdr:to>
      <xdr:col>24</xdr:col>
      <xdr:colOff>83176</xdr:colOff>
      <xdr:row>45</xdr:row>
      <xdr:rowOff>165100</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a16="http://schemas.microsoft.com/office/drawing/2014/main" xmlns="" id="{FADAEF78-E003-46E4-8ACB-554D7AC19231}"/>
            </a:ext>
          </a:extLst>
        </cdr:cNvPr>
        <cdr:cNvGrpSpPr/>
      </cdr:nvGrpSpPr>
      <cdr:grpSpPr>
        <a:xfrm xmlns:a="http://schemas.openxmlformats.org/drawingml/2006/main">
          <a:off x="0" y="0"/>
          <a:ext cx="7332892" cy="3710157"/>
          <a:chOff x="0" y="1"/>
          <a:chExt cx="9286876" cy="6363818"/>
        </a:xfrm>
      </cdr:grpSpPr>
      <cdr:grpSp>
        <cdr:nvGrpSpPr>
          <cdr:cNvPr id="9" name="Group 8">
            <a:extLst xmlns:a="http://schemas.openxmlformats.org/drawingml/2006/main">
              <a:ext uri="{FF2B5EF4-FFF2-40B4-BE49-F238E27FC236}">
                <a16:creationId xmlns:a16="http://schemas.microsoft.com/office/drawing/2014/main" xmlns="" id="{7A4A4FA1-B766-449A-BD62-A648B8320DCB}"/>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a16="http://schemas.microsoft.com/office/drawing/2014/main" xmlns="" id="{5F63BBEE-3145-48AD-A25A-B90F1690883C}"/>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a16="http://schemas.microsoft.com/office/drawing/2014/main" xmlns="" id="{637F605C-2DA6-4FEF-BB39-BCCE9B48363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a16="http://schemas.microsoft.com/office/drawing/2014/main" xmlns="" id="{E363155E-0E8F-49BE-845B-B0E583E7840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a16="http://schemas.microsoft.com/office/drawing/2014/main" xmlns="" id="{4CB27A41-411A-4180-AADA-82EAB9D6D854}"/>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a16="http://schemas.microsoft.com/office/drawing/2014/main" xmlns="" id="{F24D25C2-2E67-4ACD-AA2C-334CA17493B8}"/>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a16="http://schemas.microsoft.com/office/drawing/2014/main" xmlns="" id="{BAA82B63-1D09-4066-93DE-876B576B772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a16="http://schemas.microsoft.com/office/drawing/2014/main" xmlns="" id="{920CAD0E-2348-4F3E-A523-0B73D2F876F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a16="http://schemas.microsoft.com/office/drawing/2014/main" xmlns="" id="{F77BEE01-1EFF-4781-84D8-7CC596E75FC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a16="http://schemas.microsoft.com/office/drawing/2014/main" xmlns="" id="{2CF43463-A1DC-46DF-BF85-19A26EA4A479}"/>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a16="http://schemas.microsoft.com/office/drawing/2014/main" xmlns="" id="{C1AF5281-4B50-4AFD-9FF1-35375DE021E6}"/>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a16="http://schemas.microsoft.com/office/drawing/2014/main" xmlns="" id="{DAE74CAA-9D57-4726-A93C-85BC1DAE5F8E}"/>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a16="http://schemas.microsoft.com/office/drawing/2014/main" xmlns="" id="{E0E3A590-8773-400B-A629-617B5D8E6E30}"/>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a16="http://schemas.microsoft.com/office/drawing/2014/main" xmlns="" id="{1A77554D-AB56-4A4B-840B-B9B4CBCAFB8A}"/>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a16="http://schemas.microsoft.com/office/drawing/2014/main" xmlns="" id="{22995572-4AB8-48B4-AAAC-5633E73AF1BF}"/>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a16="http://schemas.microsoft.com/office/drawing/2014/main" xmlns="" id="{44F4594C-7D97-499C-860A-71DE9EFA519D}"/>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a16="http://schemas.microsoft.com/office/drawing/2014/main" xmlns="" id="{8E99AD8F-A1FF-4EE7-B6C7-601A3CE0592F}"/>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drawings/drawing4.xml><?xml version="1.0" encoding="utf-8"?>
<xdr:wsDr xmlns:xdr="http://schemas.openxmlformats.org/drawingml/2006/spreadsheetDrawing" xmlns:a="http://schemas.openxmlformats.org/drawingml/2006/main">
  <xdr:twoCellAnchor>
    <xdr:from>
      <xdr:col>28</xdr:col>
      <xdr:colOff>19050</xdr:colOff>
      <xdr:row>8</xdr:row>
      <xdr:rowOff>38100</xdr:rowOff>
    </xdr:from>
    <xdr:to>
      <xdr:col>39</xdr:col>
      <xdr:colOff>249890</xdr:colOff>
      <xdr:row>45</xdr:row>
      <xdr:rowOff>181328</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a16="http://schemas.microsoft.com/office/drawing/2014/main" xmlns="" id="{E53A2A18-DA12-4E5E-BC12-BF0923506EB9}"/>
            </a:ext>
          </a:extLst>
        </cdr:cNvPr>
        <cdr:cNvGrpSpPr/>
      </cdr:nvGrpSpPr>
      <cdr:grpSpPr>
        <a:xfrm xmlns:a="http://schemas.openxmlformats.org/drawingml/2006/main">
          <a:off x="0" y="0"/>
          <a:ext cx="7876240" cy="5895871"/>
          <a:chOff x="0" y="1"/>
          <a:chExt cx="9286876" cy="6363818"/>
        </a:xfrm>
      </cdr:grpSpPr>
      <cdr:grpSp>
        <cdr:nvGrpSpPr>
          <cdr:cNvPr id="9" name="Group 8">
            <a:extLst xmlns:a="http://schemas.openxmlformats.org/drawingml/2006/main">
              <a:ext uri="{FF2B5EF4-FFF2-40B4-BE49-F238E27FC236}">
                <a16:creationId xmlns:a16="http://schemas.microsoft.com/office/drawing/2014/main" xmlns="" id="{6A7FA1A6-1DBB-4779-BA48-AA25A779E307}"/>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a16="http://schemas.microsoft.com/office/drawing/2014/main" xmlns="" id="{840E0336-27A5-4481-B029-55D1C5654A34}"/>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a16="http://schemas.microsoft.com/office/drawing/2014/main" xmlns="" id="{783152F0-5694-4203-9835-46891512BC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a16="http://schemas.microsoft.com/office/drawing/2014/main" xmlns="" id="{20555E24-522E-4FB0-97DD-16B256B2CAE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a16="http://schemas.microsoft.com/office/drawing/2014/main" xmlns="" id="{37FDFEDF-0E1C-44C3-AEB5-176BDFC2B6E1}"/>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a16="http://schemas.microsoft.com/office/drawing/2014/main" xmlns="" id="{916DDABC-15AE-4FD8-95BD-D552C7BB7716}"/>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a16="http://schemas.microsoft.com/office/drawing/2014/main" xmlns="" id="{8AE345C2-4A4C-4C5B-8E65-A1E90B3F77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a16="http://schemas.microsoft.com/office/drawing/2014/main" xmlns="" id="{0CA3E800-1290-4F2E-A3B4-E98186F618B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a16="http://schemas.microsoft.com/office/drawing/2014/main" xmlns="" id="{3F153CFD-4EC3-4FBF-A99D-0C10E1BF2A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a16="http://schemas.microsoft.com/office/drawing/2014/main" xmlns="" id="{26E02F95-8393-4750-88BF-9B1A1B31D2E7}"/>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a16="http://schemas.microsoft.com/office/drawing/2014/main" xmlns="" id="{3703E32C-5BDA-4C5D-AD52-4B8C7273F83F}"/>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a16="http://schemas.microsoft.com/office/drawing/2014/main" xmlns="" id="{C9D946EA-3CA4-4630-82C9-75569F61312E}"/>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a16="http://schemas.microsoft.com/office/drawing/2014/main" xmlns="" id="{A799D29C-B507-491A-B3C0-BBEC3FFB321F}"/>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a16="http://schemas.microsoft.com/office/drawing/2014/main" xmlns="" id="{2F2A7AC2-F0B9-42EF-A688-441C69A9DE30}"/>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a16="http://schemas.microsoft.com/office/drawing/2014/main" xmlns="" id="{3CB53093-CCC0-4586-B265-15B99C2B6CEE}"/>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a16="http://schemas.microsoft.com/office/drawing/2014/main" xmlns="" id="{012ADA6A-3E75-4E49-A08B-F5D4D25985F3}"/>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a16="http://schemas.microsoft.com/office/drawing/2014/main" xmlns="" id="{464B5472-25DC-498B-8F5F-34B40EB93124}"/>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drawings/drawing6.xml><?xml version="1.0" encoding="utf-8"?>
<xdr:wsDr xmlns:xdr="http://schemas.openxmlformats.org/drawingml/2006/spreadsheetDrawing" xmlns:a="http://schemas.openxmlformats.org/drawingml/2006/main">
  <xdr:twoCellAnchor>
    <xdr:from>
      <xdr:col>7</xdr:col>
      <xdr:colOff>1047748</xdr:colOff>
      <xdr:row>4</xdr:row>
      <xdr:rowOff>152400</xdr:rowOff>
    </xdr:from>
    <xdr:to>
      <xdr:col>12</xdr:col>
      <xdr:colOff>638173</xdr:colOff>
      <xdr:row>22</xdr:row>
      <xdr:rowOff>66675</xdr:rowOff>
    </xdr:to>
    <xdr:sp macro="" textlink="">
      <xdr:nvSpPr>
        <xdr:cNvPr id="2" name="Circular Arrow 1">
          <a:extLst>
            <a:ext uri="{FF2B5EF4-FFF2-40B4-BE49-F238E27FC236}">
              <a16:creationId xmlns:a16="http://schemas.microsoft.com/office/drawing/2014/main" xmlns="" id="{00000000-0008-0000-0200-000002000000}"/>
            </a:ext>
          </a:extLst>
        </xdr:cNvPr>
        <xdr:cNvSpPr/>
      </xdr:nvSpPr>
      <xdr:spPr>
        <a:xfrm rot="5400000">
          <a:off x="12049123" y="0"/>
          <a:ext cx="3152775" cy="4981575"/>
        </a:xfrm>
        <a:prstGeom prst="circular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7</xdr:col>
      <xdr:colOff>1095373</xdr:colOff>
      <xdr:row>25</xdr:row>
      <xdr:rowOff>152400</xdr:rowOff>
    </xdr:from>
    <xdr:to>
      <xdr:col>12</xdr:col>
      <xdr:colOff>685798</xdr:colOff>
      <xdr:row>43</xdr:row>
      <xdr:rowOff>66675</xdr:rowOff>
    </xdr:to>
    <xdr:sp macro="" textlink="">
      <xdr:nvSpPr>
        <xdr:cNvPr id="3" name="Circular Arrow 2">
          <a:extLst>
            <a:ext uri="{FF2B5EF4-FFF2-40B4-BE49-F238E27FC236}">
              <a16:creationId xmlns:a16="http://schemas.microsoft.com/office/drawing/2014/main" xmlns="" id="{00000000-0008-0000-0200-000003000000}"/>
            </a:ext>
          </a:extLst>
        </xdr:cNvPr>
        <xdr:cNvSpPr/>
      </xdr:nvSpPr>
      <xdr:spPr>
        <a:xfrm rot="5400000">
          <a:off x="12096748" y="3810000"/>
          <a:ext cx="3152775" cy="4981575"/>
        </a:xfrm>
        <a:prstGeom prst="circular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405653</xdr:colOff>
      <xdr:row>22</xdr:row>
      <xdr:rowOff>9524</xdr:rowOff>
    </xdr:from>
    <xdr:to>
      <xdr:col>26</xdr:col>
      <xdr:colOff>437029</xdr:colOff>
      <xdr:row>51</xdr:row>
      <xdr:rowOff>180973</xdr:rowOff>
    </xdr:to>
    <xdr:graphicFrame macro="">
      <xdr:nvGraphicFramePr>
        <xdr:cNvPr id="2" name="Chart 1">
          <a:extLst>
            <a:ext uri="{FF2B5EF4-FFF2-40B4-BE49-F238E27FC236}">
              <a16:creationId xmlns:a16="http://schemas.microsoft.com/office/drawing/2014/main" xmlns=""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22412</xdr:colOff>
      <xdr:row>21</xdr:row>
      <xdr:rowOff>44823</xdr:rowOff>
    </xdr:from>
    <xdr:to>
      <xdr:col>28</xdr:col>
      <xdr:colOff>156536</xdr:colOff>
      <xdr:row>21</xdr:row>
      <xdr:rowOff>160657</xdr:rowOff>
    </xdr:to>
    <xdr:pic>
      <xdr:nvPicPr>
        <xdr:cNvPr id="3" name="Picture 2">
          <a:extLst>
            <a:ext uri="{FF2B5EF4-FFF2-40B4-BE49-F238E27FC236}">
              <a16:creationId xmlns:a16="http://schemas.microsoft.com/office/drawing/2014/main" xmlns="" id="{00000000-0008-0000-0A00-000003000000}"/>
            </a:ext>
          </a:extLst>
        </xdr:cNvPr>
        <xdr:cNvPicPr>
          <a:picLocks noChangeAspect="1"/>
        </xdr:cNvPicPr>
      </xdr:nvPicPr>
      <xdr:blipFill>
        <a:blip xmlns:r="http://schemas.openxmlformats.org/officeDocument/2006/relationships" r:embed="rId2"/>
        <a:stretch>
          <a:fillRect/>
        </a:stretch>
      </xdr:blipFill>
      <xdr:spPr>
        <a:xfrm>
          <a:off x="8538883" y="4045323"/>
          <a:ext cx="134124" cy="115834"/>
        </a:xfrm>
        <a:prstGeom prst="rect">
          <a:avLst/>
        </a:prstGeom>
      </xdr:spPr>
    </xdr:pic>
    <xdr:clientData/>
  </xdr:twoCellAnchor>
  <xdr:twoCellAnchor editAs="oneCell">
    <xdr:from>
      <xdr:col>32</xdr:col>
      <xdr:colOff>49867</xdr:colOff>
      <xdr:row>21</xdr:row>
      <xdr:rowOff>54348</xdr:rowOff>
    </xdr:from>
    <xdr:to>
      <xdr:col>32</xdr:col>
      <xdr:colOff>183991</xdr:colOff>
      <xdr:row>21</xdr:row>
      <xdr:rowOff>170182</xdr:rowOff>
    </xdr:to>
    <xdr:pic>
      <xdr:nvPicPr>
        <xdr:cNvPr id="4" name="Picture 3">
          <a:extLst>
            <a:ext uri="{FF2B5EF4-FFF2-40B4-BE49-F238E27FC236}">
              <a16:creationId xmlns:a16="http://schemas.microsoft.com/office/drawing/2014/main" xmlns="" id="{00000000-0008-0000-0A00-000004000000}"/>
            </a:ext>
          </a:extLst>
        </xdr:cNvPr>
        <xdr:cNvPicPr>
          <a:picLocks noChangeAspect="1"/>
        </xdr:cNvPicPr>
      </xdr:nvPicPr>
      <xdr:blipFill>
        <a:blip xmlns:r="http://schemas.openxmlformats.org/officeDocument/2006/relationships" r:embed="rId3"/>
        <a:stretch>
          <a:fillRect/>
        </a:stretch>
      </xdr:blipFill>
      <xdr:spPr>
        <a:xfrm>
          <a:off x="10986808" y="4054848"/>
          <a:ext cx="134124" cy="115834"/>
        </a:xfrm>
        <a:prstGeom prst="rect">
          <a:avLst/>
        </a:prstGeom>
      </xdr:spPr>
    </xdr:pic>
    <xdr:clientData/>
  </xdr:twoCellAnchor>
  <xdr:twoCellAnchor editAs="oneCell">
    <xdr:from>
      <xdr:col>30</xdr:col>
      <xdr:colOff>31377</xdr:colOff>
      <xdr:row>21</xdr:row>
      <xdr:rowOff>44823</xdr:rowOff>
    </xdr:from>
    <xdr:to>
      <xdr:col>30</xdr:col>
      <xdr:colOff>165501</xdr:colOff>
      <xdr:row>21</xdr:row>
      <xdr:rowOff>160657</xdr:rowOff>
    </xdr:to>
    <xdr:pic>
      <xdr:nvPicPr>
        <xdr:cNvPr id="5" name="Picture 4">
          <a:extLst>
            <a:ext uri="{FF2B5EF4-FFF2-40B4-BE49-F238E27FC236}">
              <a16:creationId xmlns:a16="http://schemas.microsoft.com/office/drawing/2014/main" xmlns="" id="{00000000-0008-0000-0A00-000005000000}"/>
            </a:ext>
          </a:extLst>
        </xdr:cNvPr>
        <xdr:cNvPicPr>
          <a:picLocks noChangeAspect="1"/>
        </xdr:cNvPicPr>
      </xdr:nvPicPr>
      <xdr:blipFill>
        <a:blip xmlns:r="http://schemas.openxmlformats.org/officeDocument/2006/relationships" r:embed="rId4"/>
        <a:stretch>
          <a:fillRect/>
        </a:stretch>
      </xdr:blipFill>
      <xdr:spPr>
        <a:xfrm>
          <a:off x="9758083" y="4045323"/>
          <a:ext cx="134124" cy="115834"/>
        </a:xfrm>
        <a:prstGeom prst="rect">
          <a:avLst/>
        </a:prstGeom>
      </xdr:spPr>
    </xdr:pic>
    <xdr:clientData/>
  </xdr:twoCellAnchor>
  <xdr:twoCellAnchor editAs="oneCell">
    <xdr:from>
      <xdr:col>31</xdr:col>
      <xdr:colOff>35859</xdr:colOff>
      <xdr:row>21</xdr:row>
      <xdr:rowOff>44823</xdr:rowOff>
    </xdr:from>
    <xdr:to>
      <xdr:col>31</xdr:col>
      <xdr:colOff>169983</xdr:colOff>
      <xdr:row>21</xdr:row>
      <xdr:rowOff>160657</xdr:rowOff>
    </xdr:to>
    <xdr:pic>
      <xdr:nvPicPr>
        <xdr:cNvPr id="6" name="Picture 5">
          <a:extLst>
            <a:ext uri="{FF2B5EF4-FFF2-40B4-BE49-F238E27FC236}">
              <a16:creationId xmlns:a16="http://schemas.microsoft.com/office/drawing/2014/main" xmlns="" id="{00000000-0008-0000-0A00-000006000000}"/>
            </a:ext>
          </a:extLst>
        </xdr:cNvPr>
        <xdr:cNvPicPr>
          <a:picLocks noChangeAspect="1"/>
        </xdr:cNvPicPr>
      </xdr:nvPicPr>
      <xdr:blipFill>
        <a:blip xmlns:r="http://schemas.openxmlformats.org/officeDocument/2006/relationships" r:embed="rId5"/>
        <a:stretch>
          <a:fillRect/>
        </a:stretch>
      </xdr:blipFill>
      <xdr:spPr>
        <a:xfrm>
          <a:off x="10367683" y="4045323"/>
          <a:ext cx="134124" cy="115834"/>
        </a:xfrm>
        <a:prstGeom prst="rect">
          <a:avLst/>
        </a:prstGeom>
      </xdr:spPr>
    </xdr:pic>
    <xdr:clientData/>
  </xdr:twoCellAnchor>
  <xdr:twoCellAnchor editAs="oneCell">
    <xdr:from>
      <xdr:col>29</xdr:col>
      <xdr:colOff>45945</xdr:colOff>
      <xdr:row>21</xdr:row>
      <xdr:rowOff>54348</xdr:rowOff>
    </xdr:from>
    <xdr:to>
      <xdr:col>29</xdr:col>
      <xdr:colOff>180069</xdr:colOff>
      <xdr:row>21</xdr:row>
      <xdr:rowOff>170182</xdr:rowOff>
    </xdr:to>
    <xdr:pic>
      <xdr:nvPicPr>
        <xdr:cNvPr id="7" name="Picture 6">
          <a:extLst>
            <a:ext uri="{FF2B5EF4-FFF2-40B4-BE49-F238E27FC236}">
              <a16:creationId xmlns:a16="http://schemas.microsoft.com/office/drawing/2014/main" xmlns="" id="{00000000-0008-0000-0A00-000007000000}"/>
            </a:ext>
          </a:extLst>
        </xdr:cNvPr>
        <xdr:cNvPicPr>
          <a:picLocks noChangeAspect="1"/>
        </xdr:cNvPicPr>
      </xdr:nvPicPr>
      <xdr:blipFill>
        <a:blip xmlns:r="http://schemas.openxmlformats.org/officeDocument/2006/relationships" r:embed="rId6"/>
        <a:stretch>
          <a:fillRect/>
        </a:stretch>
      </xdr:blipFill>
      <xdr:spPr>
        <a:xfrm>
          <a:off x="9167533" y="4054848"/>
          <a:ext cx="134124" cy="115834"/>
        </a:xfrm>
        <a:prstGeom prst="rect">
          <a:avLst/>
        </a:prstGeom>
      </xdr:spPr>
    </xdr:pic>
    <xdr:clientData/>
  </xdr:twoCellAnchor>
</xdr:wsDr>
</file>

<file path=xl/drawings/drawing8.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a16="http://schemas.microsoft.com/office/drawing/2014/main" xmlns="" id="{53B3E346-3E64-4B87-878D-64D74A9E98D2}"/>
            </a:ext>
          </a:extLst>
        </cdr:cNvPr>
        <cdr:cNvGrpSpPr/>
      </cdr:nvGrpSpPr>
      <cdr:grpSpPr>
        <a:xfrm xmlns:a="http://schemas.openxmlformats.org/drawingml/2006/main">
          <a:off x="0" y="0"/>
          <a:ext cx="19985317" cy="5457881"/>
          <a:chOff x="0" y="1"/>
          <a:chExt cx="9286876" cy="6363818"/>
        </a:xfrm>
      </cdr:grpSpPr>
      <cdr:grpSp>
        <cdr:nvGrpSpPr>
          <cdr:cNvPr id="9" name="Group 8">
            <a:extLst xmlns:a="http://schemas.openxmlformats.org/drawingml/2006/main">
              <a:ext uri="{FF2B5EF4-FFF2-40B4-BE49-F238E27FC236}">
                <a16:creationId xmlns:a16="http://schemas.microsoft.com/office/drawing/2014/main" xmlns="" id="{963D52C3-5F18-4250-9DE0-6D79CDD6CBCE}"/>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a16="http://schemas.microsoft.com/office/drawing/2014/main" xmlns="" id="{BD2D047A-7356-489F-8CEB-5E30F8D5B89C}"/>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a16="http://schemas.microsoft.com/office/drawing/2014/main" xmlns="" id="{E5EE8FA4-5854-4000-9860-A4638E31B34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a16="http://schemas.microsoft.com/office/drawing/2014/main" xmlns="" id="{391E7E56-88B4-4784-B072-06901F81B3A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a16="http://schemas.microsoft.com/office/drawing/2014/main" xmlns="" id="{5A937118-E8B2-488D-A952-EF345547EE94}"/>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a16="http://schemas.microsoft.com/office/drawing/2014/main" xmlns="" id="{434F2E2E-F3DB-4E6B-8288-6389CC361E2D}"/>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a16="http://schemas.microsoft.com/office/drawing/2014/main" xmlns="" id="{65156FAF-73F1-4C08-AD9A-EED2FBDB6DA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a16="http://schemas.microsoft.com/office/drawing/2014/main" xmlns="" id="{DB9AD2EC-D36C-479F-BD8C-2A745524781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a16="http://schemas.microsoft.com/office/drawing/2014/main" xmlns="" id="{6B13E8D5-E22A-4566-8E47-23955A9FCB1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a16="http://schemas.microsoft.com/office/drawing/2014/main" xmlns="" id="{99143338-6322-43EE-8340-1376DF50ADE6}"/>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a16="http://schemas.microsoft.com/office/drawing/2014/main" xmlns="" id="{AB581340-5723-4AEA-9C35-5F0E6FEF6CF8}"/>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a16="http://schemas.microsoft.com/office/drawing/2014/main" xmlns="" id="{890B0801-F3EA-4754-B1AD-87012B1BD448}"/>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a16="http://schemas.microsoft.com/office/drawing/2014/main" xmlns="" id="{AFCD42F0-DCEE-443D-B755-CE78AFF3AEE2}"/>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a16="http://schemas.microsoft.com/office/drawing/2014/main" xmlns="" id="{F3C0B452-DC57-4F5C-8082-27DE1E99A9D6}"/>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a16="http://schemas.microsoft.com/office/drawing/2014/main" xmlns="" id="{DAD2BA65-4AE7-4B5F-A173-C6F0FBBAEF86}"/>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a16="http://schemas.microsoft.com/office/drawing/2014/main" xmlns="" id="{0C05810C-D8DC-4E01-8E90-B935E6CE4A17}"/>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a16="http://schemas.microsoft.com/office/drawing/2014/main" xmlns="" id="{F049CD32-A481-49FF-BFCC-9845B5598F5B}"/>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northpagenas\DO\Users\Chetan\Desktop\Copy%20of%20simplified-xls-scoring-doc-v8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orthpagenas\DO\Users\Chetan\Documents\OLD\misc-projects\documentation-and-automation\scoring-review\scoring-review-master-v3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Exported Scores"/>
      <sheetName val="Pivot (Export)"/>
      <sheetName val="TESTING"/>
      <sheetName val="Sheet1"/>
      <sheetName val="ANALYSIS"/>
      <sheetName val="RANK CALCULATOR"/>
      <sheetName val="CHARTING"/>
      <sheetName val="Past Q Scores"/>
      <sheetName val="||END||"/>
      <sheetName val="Key Findings"/>
      <sheetName val="Industries v3"/>
      <sheetName val="Charting Data v2"/>
    </sheetNames>
    <sheetDataSet>
      <sheetData sheetId="0"/>
      <sheetData sheetId="1"/>
      <sheetData sheetId="2"/>
      <sheetData sheetId="3">
        <row r="1">
          <cell r="C1" t="str">
            <v xml:space="preserve">Target </v>
          </cell>
        </row>
      </sheetData>
      <sheetData sheetId="4"/>
      <sheetData sheetId="5">
        <row r="2">
          <cell r="B2" t="str">
            <v>Initial Consideration</v>
          </cell>
        </row>
      </sheetData>
      <sheetData sheetId="6"/>
      <sheetData sheetId="7"/>
      <sheetData sheetId="8"/>
      <sheetData sheetId="9"/>
      <sheetData sheetId="10"/>
      <sheetData sheetId="11">
        <row r="2">
          <cell r="B2" t="str">
            <v>&lt;Industry Sector&gt;</v>
          </cell>
        </row>
        <row r="3">
          <cell r="B3" t="str">
            <v>Aerospace &amp; Defense</v>
          </cell>
        </row>
        <row r="4">
          <cell r="B4" t="str">
            <v>Automotive</v>
          </cell>
        </row>
        <row r="5">
          <cell r="B5" t="str">
            <v>Banking</v>
          </cell>
        </row>
        <row r="6">
          <cell r="B6" t="str">
            <v>Business Services</v>
          </cell>
        </row>
        <row r="7">
          <cell r="B7" t="str">
            <v>Chemicals &amp; Petroleum</v>
          </cell>
        </row>
        <row r="8">
          <cell r="B8" t="str">
            <v>Consumer Products</v>
          </cell>
        </row>
        <row r="9">
          <cell r="B9" t="str">
            <v>Education</v>
          </cell>
        </row>
        <row r="10">
          <cell r="B10" t="str">
            <v>Electronics</v>
          </cell>
        </row>
        <row r="11">
          <cell r="B11" t="str">
            <v>Energy &amp; Utilities</v>
          </cell>
        </row>
        <row r="12">
          <cell r="B12" t="str">
            <v>Financial Markets</v>
          </cell>
        </row>
        <row r="13">
          <cell r="B13" t="str">
            <v>Government</v>
          </cell>
        </row>
        <row r="14">
          <cell r="B14" t="str">
            <v>Healthcare</v>
          </cell>
        </row>
        <row r="15">
          <cell r="B15" t="str">
            <v>Hospitality</v>
          </cell>
        </row>
        <row r="16">
          <cell r="B16" t="str">
            <v>Industrial Products</v>
          </cell>
        </row>
        <row r="17">
          <cell r="B17" t="str">
            <v>Insurance</v>
          </cell>
        </row>
        <row r="18">
          <cell r="B18" t="str">
            <v>Life Sciences</v>
          </cell>
        </row>
        <row r="19">
          <cell r="B19" t="str">
            <v>Manufacturing</v>
          </cell>
        </row>
        <row r="20">
          <cell r="B20" t="str">
            <v>Media &amp; Entertainment</v>
          </cell>
        </row>
        <row r="21">
          <cell r="B21" t="str">
            <v>Other</v>
          </cell>
        </row>
        <row r="22">
          <cell r="B22" t="str">
            <v>Professional Services</v>
          </cell>
        </row>
        <row r="23">
          <cell r="B23" t="str">
            <v>Retail</v>
          </cell>
        </row>
        <row r="24">
          <cell r="B24" t="str">
            <v>Technology</v>
          </cell>
        </row>
        <row r="25">
          <cell r="B25" t="str">
            <v>Telecom</v>
          </cell>
        </row>
        <row r="26">
          <cell r="B26" t="str">
            <v>Travel &amp; Transportation</v>
          </cell>
        </row>
        <row r="27">
          <cell r="B27" t="str">
            <v>Wholsale Distribution &amp; Services</v>
          </cell>
        </row>
        <row r="31">
          <cell r="B31" t="str">
            <v>&lt;Source&gt;</v>
          </cell>
        </row>
        <row r="32">
          <cell r="B32" t="str">
            <v>Non-McKinsey</v>
          </cell>
        </row>
        <row r="33">
          <cell r="B33" t="str">
            <v>McKinsey</v>
          </cell>
        </row>
        <row r="36">
          <cell r="B36" t="str">
            <v>&lt;Type&gt;</v>
          </cell>
        </row>
        <row r="37">
          <cell r="B37" t="str">
            <v>Yes E-Referral</v>
          </cell>
        </row>
        <row r="38">
          <cell r="B38" t="str">
            <v>No E-Referral</v>
          </cell>
        </row>
      </sheetData>
      <sheetData sheetId="12">
        <row r="1">
          <cell r="AL1" t="str">
            <v>Low</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Charting"/>
      <sheetName val="Key Findings"/>
      <sheetName val="Past Q Scores"/>
      <sheetName val="Industries v2"/>
      <sheetName val="Industries-lists-v2"/>
    </sheetNames>
    <sheetDataSet>
      <sheetData sheetId="0">
        <row r="1">
          <cell r="K1" t="str">
            <v>Bank Rakyat Indonesia Analysis</v>
          </cell>
        </row>
      </sheetData>
      <sheetData sheetId="1"/>
      <sheetData sheetId="2">
        <row r="53">
          <cell r="S53" t="str">
            <v>Bank Rakyat Indonesia Analysis's digital marketing programs:</v>
          </cell>
        </row>
      </sheetData>
      <sheetData sheetId="3">
        <row r="28">
          <cell r="K28">
            <v>10.5</v>
          </cell>
          <cell r="L28">
            <v>10.5</v>
          </cell>
          <cell r="M28">
            <v>10.5</v>
          </cell>
          <cell r="N28">
            <v>10.5</v>
          </cell>
          <cell r="O28">
            <v>10.5</v>
          </cell>
          <cell r="P28">
            <v>10.5</v>
          </cell>
          <cell r="Q28">
            <v>10.5</v>
          </cell>
          <cell r="R28">
            <v>10.5</v>
          </cell>
          <cell r="S28">
            <v>10.5</v>
          </cell>
          <cell r="T28">
            <v>10.5</v>
          </cell>
          <cell r="U28">
            <v>10.5</v>
          </cell>
          <cell r="V28">
            <v>10.5</v>
          </cell>
          <cell r="W28">
            <v>10.5</v>
          </cell>
          <cell r="X28">
            <v>10.5</v>
          </cell>
          <cell r="Y28">
            <v>10.5</v>
          </cell>
          <cell r="Z28">
            <v>10.5</v>
          </cell>
          <cell r="AA28">
            <v>10.5</v>
          </cell>
          <cell r="AB28">
            <v>10.5</v>
          </cell>
          <cell r="AC28">
            <v>10.5</v>
          </cell>
          <cell r="AD28">
            <v>10.5</v>
          </cell>
        </row>
        <row r="29">
          <cell r="K29">
            <v>10.5</v>
          </cell>
          <cell r="L29">
            <v>10.5</v>
          </cell>
          <cell r="M29">
            <v>10.5</v>
          </cell>
          <cell r="N29">
            <v>10.5</v>
          </cell>
          <cell r="O29">
            <v>10.5</v>
          </cell>
          <cell r="P29">
            <v>10.5</v>
          </cell>
          <cell r="Q29">
            <v>10.5</v>
          </cell>
          <cell r="R29">
            <v>10.5</v>
          </cell>
          <cell r="S29">
            <v>10.5</v>
          </cell>
          <cell r="T29">
            <v>10.5</v>
          </cell>
          <cell r="U29">
            <v>10.5</v>
          </cell>
          <cell r="V29">
            <v>10.5</v>
          </cell>
          <cell r="W29">
            <v>10.5</v>
          </cell>
          <cell r="X29">
            <v>10.5</v>
          </cell>
          <cell r="Y29">
            <v>10.5</v>
          </cell>
          <cell r="Z29">
            <v>10.5</v>
          </cell>
          <cell r="AA29">
            <v>10.5</v>
          </cell>
          <cell r="AB29">
            <v>10.5</v>
          </cell>
          <cell r="AC29">
            <v>10.5</v>
          </cell>
          <cell r="AD29">
            <v>10.5</v>
          </cell>
        </row>
        <row r="30">
          <cell r="K30">
            <v>10.5</v>
          </cell>
          <cell r="L30">
            <v>10.5</v>
          </cell>
          <cell r="M30">
            <v>10.5</v>
          </cell>
          <cell r="N30">
            <v>10.5</v>
          </cell>
          <cell r="O30">
            <v>10.5</v>
          </cell>
          <cell r="P30">
            <v>10.5</v>
          </cell>
          <cell r="Q30">
            <v>10.5</v>
          </cell>
          <cell r="R30">
            <v>10.5</v>
          </cell>
          <cell r="S30">
            <v>10.5</v>
          </cell>
          <cell r="T30">
            <v>10.5</v>
          </cell>
          <cell r="U30">
            <v>10.5</v>
          </cell>
          <cell r="V30">
            <v>10.5</v>
          </cell>
          <cell r="W30">
            <v>10.5</v>
          </cell>
          <cell r="X30">
            <v>10.5</v>
          </cell>
          <cell r="Y30">
            <v>10.5</v>
          </cell>
          <cell r="Z30">
            <v>10.5</v>
          </cell>
          <cell r="AA30">
            <v>10.5</v>
          </cell>
          <cell r="AB30">
            <v>10.5</v>
          </cell>
          <cell r="AC30">
            <v>10.5</v>
          </cell>
          <cell r="AD30">
            <v>10.5</v>
          </cell>
        </row>
        <row r="31">
          <cell r="K31">
            <v>10.5</v>
          </cell>
          <cell r="L31">
            <v>10.5</v>
          </cell>
          <cell r="M31">
            <v>10.5</v>
          </cell>
          <cell r="N31">
            <v>10.5</v>
          </cell>
          <cell r="O31">
            <v>10.5</v>
          </cell>
          <cell r="P31">
            <v>10.5</v>
          </cell>
          <cell r="Q31">
            <v>10.5</v>
          </cell>
          <cell r="R31">
            <v>10.5</v>
          </cell>
          <cell r="S31">
            <v>10.5</v>
          </cell>
          <cell r="T31">
            <v>10.5</v>
          </cell>
          <cell r="U31">
            <v>10.5</v>
          </cell>
          <cell r="V31">
            <v>10.5</v>
          </cell>
          <cell r="W31">
            <v>10.5</v>
          </cell>
          <cell r="X31">
            <v>10.5</v>
          </cell>
          <cell r="Y31">
            <v>10.5</v>
          </cell>
          <cell r="Z31">
            <v>10.5</v>
          </cell>
          <cell r="AA31">
            <v>10.5</v>
          </cell>
          <cell r="AB31">
            <v>10.5</v>
          </cell>
          <cell r="AC31">
            <v>10.5</v>
          </cell>
          <cell r="AD31">
            <v>10.5</v>
          </cell>
        </row>
        <row r="33">
          <cell r="K33">
            <v>10.5</v>
          </cell>
          <cell r="L33">
            <v>10.5</v>
          </cell>
          <cell r="M33">
            <v>10.5</v>
          </cell>
          <cell r="N33">
            <v>10.5</v>
          </cell>
          <cell r="O33">
            <v>10.5</v>
          </cell>
          <cell r="P33">
            <v>10.5</v>
          </cell>
          <cell r="Q33">
            <v>10.5</v>
          </cell>
          <cell r="R33">
            <v>10.5</v>
          </cell>
          <cell r="S33">
            <v>10.5</v>
          </cell>
          <cell r="T33">
            <v>10.5</v>
          </cell>
          <cell r="U33">
            <v>10.5</v>
          </cell>
          <cell r="V33">
            <v>10.5</v>
          </cell>
          <cell r="W33">
            <v>10.5</v>
          </cell>
          <cell r="X33">
            <v>10.5</v>
          </cell>
          <cell r="Y33">
            <v>10.5</v>
          </cell>
          <cell r="Z33">
            <v>10.5</v>
          </cell>
          <cell r="AA33">
            <v>10.5</v>
          </cell>
          <cell r="AB33">
            <v>10.5</v>
          </cell>
          <cell r="AC33">
            <v>10.5</v>
          </cell>
          <cell r="AD33">
            <v>10.5</v>
          </cell>
        </row>
        <row r="34">
          <cell r="K34">
            <v>10.5</v>
          </cell>
          <cell r="L34">
            <v>10.5</v>
          </cell>
          <cell r="M34">
            <v>10.5</v>
          </cell>
          <cell r="N34">
            <v>10.5</v>
          </cell>
          <cell r="O34">
            <v>10.5</v>
          </cell>
          <cell r="P34">
            <v>10.5</v>
          </cell>
          <cell r="Q34">
            <v>10.5</v>
          </cell>
          <cell r="R34">
            <v>10.5</v>
          </cell>
          <cell r="S34">
            <v>10.5</v>
          </cell>
          <cell r="T34">
            <v>10.5</v>
          </cell>
          <cell r="U34">
            <v>10.5</v>
          </cell>
          <cell r="V34">
            <v>10.5</v>
          </cell>
          <cell r="W34">
            <v>10.5</v>
          </cell>
          <cell r="X34">
            <v>10.5</v>
          </cell>
          <cell r="Y34">
            <v>10.5</v>
          </cell>
          <cell r="Z34">
            <v>10.5</v>
          </cell>
          <cell r="AA34">
            <v>10.5</v>
          </cell>
          <cell r="AB34">
            <v>10.5</v>
          </cell>
          <cell r="AC34">
            <v>10.5</v>
          </cell>
          <cell r="AD34">
            <v>10.5</v>
          </cell>
        </row>
        <row r="35">
          <cell r="K35">
            <v>10.5</v>
          </cell>
          <cell r="L35">
            <v>10.5</v>
          </cell>
          <cell r="M35">
            <v>10.5</v>
          </cell>
          <cell r="N35">
            <v>10.5</v>
          </cell>
          <cell r="O35">
            <v>10.5</v>
          </cell>
          <cell r="P35">
            <v>10.5</v>
          </cell>
          <cell r="Q35">
            <v>10.5</v>
          </cell>
          <cell r="R35">
            <v>10.5</v>
          </cell>
          <cell r="S35">
            <v>10.5</v>
          </cell>
          <cell r="T35">
            <v>10.5</v>
          </cell>
          <cell r="U35">
            <v>10.5</v>
          </cell>
          <cell r="V35">
            <v>10.5</v>
          </cell>
          <cell r="W35">
            <v>10.5</v>
          </cell>
          <cell r="X35">
            <v>10.5</v>
          </cell>
          <cell r="Y35">
            <v>10.5</v>
          </cell>
          <cell r="Z35">
            <v>10.5</v>
          </cell>
          <cell r="AA35">
            <v>10.5</v>
          </cell>
          <cell r="AB35">
            <v>10.5</v>
          </cell>
          <cell r="AC35">
            <v>10.5</v>
          </cell>
          <cell r="AD35">
            <v>10.5</v>
          </cell>
        </row>
        <row r="36">
          <cell r="K36">
            <v>10.5</v>
          </cell>
          <cell r="L36">
            <v>10.5</v>
          </cell>
          <cell r="M36">
            <v>10.5</v>
          </cell>
          <cell r="N36">
            <v>10.5</v>
          </cell>
          <cell r="O36">
            <v>10.5</v>
          </cell>
          <cell r="P36">
            <v>10.5</v>
          </cell>
          <cell r="Q36">
            <v>10.5</v>
          </cell>
          <cell r="R36">
            <v>10.5</v>
          </cell>
          <cell r="S36">
            <v>10.5</v>
          </cell>
          <cell r="T36">
            <v>10.5</v>
          </cell>
          <cell r="U36">
            <v>10.5</v>
          </cell>
          <cell r="V36">
            <v>10.5</v>
          </cell>
          <cell r="W36">
            <v>10.5</v>
          </cell>
          <cell r="X36">
            <v>10.5</v>
          </cell>
          <cell r="Y36">
            <v>10.5</v>
          </cell>
          <cell r="Z36">
            <v>10.5</v>
          </cell>
          <cell r="AA36">
            <v>10.5</v>
          </cell>
          <cell r="AB36">
            <v>10.5</v>
          </cell>
          <cell r="AC36">
            <v>10.5</v>
          </cell>
          <cell r="AD36">
            <v>10.5</v>
          </cell>
        </row>
        <row r="37">
          <cell r="K37">
            <v>10.5</v>
          </cell>
          <cell r="L37">
            <v>10.5</v>
          </cell>
          <cell r="M37">
            <v>10.5</v>
          </cell>
          <cell r="N37">
            <v>10.5</v>
          </cell>
          <cell r="O37">
            <v>10.5</v>
          </cell>
          <cell r="P37">
            <v>10.5</v>
          </cell>
          <cell r="Q37">
            <v>10.5</v>
          </cell>
          <cell r="R37">
            <v>10.5</v>
          </cell>
          <cell r="S37">
            <v>10.5</v>
          </cell>
          <cell r="T37">
            <v>10.5</v>
          </cell>
          <cell r="U37">
            <v>10.5</v>
          </cell>
          <cell r="V37">
            <v>10.5</v>
          </cell>
          <cell r="W37">
            <v>10.5</v>
          </cell>
          <cell r="X37">
            <v>10.5</v>
          </cell>
          <cell r="Y37">
            <v>10.5</v>
          </cell>
          <cell r="Z37">
            <v>10.5</v>
          </cell>
          <cell r="AA37">
            <v>10.5</v>
          </cell>
          <cell r="AB37">
            <v>10.5</v>
          </cell>
          <cell r="AC37">
            <v>10.5</v>
          </cell>
          <cell r="AD37">
            <v>10.5</v>
          </cell>
        </row>
        <row r="38">
          <cell r="K38">
            <v>10.5</v>
          </cell>
          <cell r="L38">
            <v>10.5</v>
          </cell>
          <cell r="M38">
            <v>10.5</v>
          </cell>
          <cell r="N38">
            <v>10.5</v>
          </cell>
          <cell r="O38">
            <v>10.5</v>
          </cell>
          <cell r="P38">
            <v>10.5</v>
          </cell>
          <cell r="Q38">
            <v>10.5</v>
          </cell>
          <cell r="R38">
            <v>10.5</v>
          </cell>
          <cell r="S38">
            <v>10.5</v>
          </cell>
          <cell r="T38">
            <v>10.5</v>
          </cell>
          <cell r="U38">
            <v>10.5</v>
          </cell>
          <cell r="V38">
            <v>10.5</v>
          </cell>
          <cell r="W38">
            <v>10.5</v>
          </cell>
          <cell r="X38">
            <v>10.5</v>
          </cell>
          <cell r="Y38">
            <v>10.5</v>
          </cell>
          <cell r="Z38">
            <v>10.5</v>
          </cell>
          <cell r="AA38">
            <v>10.5</v>
          </cell>
          <cell r="AB38">
            <v>10.5</v>
          </cell>
          <cell r="AC38">
            <v>10.5</v>
          </cell>
          <cell r="AD38">
            <v>10.5</v>
          </cell>
        </row>
        <row r="39">
          <cell r="K39">
            <v>10.5</v>
          </cell>
          <cell r="L39">
            <v>10.5</v>
          </cell>
          <cell r="M39">
            <v>10.5</v>
          </cell>
          <cell r="N39">
            <v>10.5</v>
          </cell>
          <cell r="O39">
            <v>10.5</v>
          </cell>
          <cell r="P39">
            <v>10.5</v>
          </cell>
          <cell r="Q39">
            <v>10.5</v>
          </cell>
          <cell r="R39">
            <v>10.5</v>
          </cell>
          <cell r="S39">
            <v>10.5</v>
          </cell>
          <cell r="T39">
            <v>10.5</v>
          </cell>
          <cell r="U39">
            <v>10.5</v>
          </cell>
          <cell r="V39">
            <v>10.5</v>
          </cell>
          <cell r="W39">
            <v>10.5</v>
          </cell>
          <cell r="X39">
            <v>10.5</v>
          </cell>
          <cell r="Y39">
            <v>10.5</v>
          </cell>
          <cell r="Z39">
            <v>10.5</v>
          </cell>
          <cell r="AA39">
            <v>10.5</v>
          </cell>
          <cell r="AB39">
            <v>10.5</v>
          </cell>
          <cell r="AC39">
            <v>10.5</v>
          </cell>
          <cell r="AD39">
            <v>10.5</v>
          </cell>
        </row>
        <row r="40">
          <cell r="K40">
            <v>10.5</v>
          </cell>
          <cell r="L40">
            <v>10.5</v>
          </cell>
          <cell r="M40">
            <v>10.5</v>
          </cell>
          <cell r="N40">
            <v>10.5</v>
          </cell>
          <cell r="O40">
            <v>10.5</v>
          </cell>
          <cell r="P40">
            <v>10.5</v>
          </cell>
          <cell r="Q40">
            <v>10.5</v>
          </cell>
          <cell r="R40">
            <v>10.5</v>
          </cell>
          <cell r="S40">
            <v>10.5</v>
          </cell>
          <cell r="T40">
            <v>10.5</v>
          </cell>
          <cell r="U40">
            <v>10.5</v>
          </cell>
          <cell r="V40">
            <v>10.5</v>
          </cell>
          <cell r="W40">
            <v>10.5</v>
          </cell>
          <cell r="X40">
            <v>10.5</v>
          </cell>
          <cell r="Y40">
            <v>10.5</v>
          </cell>
          <cell r="Z40">
            <v>10.5</v>
          </cell>
          <cell r="AA40">
            <v>10.5</v>
          </cell>
          <cell r="AB40">
            <v>10.5</v>
          </cell>
          <cell r="AC40">
            <v>10.5</v>
          </cell>
          <cell r="AD40">
            <v>10.5</v>
          </cell>
        </row>
        <row r="41">
          <cell r="K41">
            <v>10.5</v>
          </cell>
          <cell r="L41">
            <v>10.5</v>
          </cell>
          <cell r="M41">
            <v>10.5</v>
          </cell>
          <cell r="N41">
            <v>10.5</v>
          </cell>
          <cell r="O41">
            <v>10.5</v>
          </cell>
          <cell r="P41">
            <v>10.5</v>
          </cell>
          <cell r="Q41">
            <v>10.5</v>
          </cell>
          <cell r="R41">
            <v>10.5</v>
          </cell>
          <cell r="S41">
            <v>10.5</v>
          </cell>
          <cell r="T41">
            <v>10.5</v>
          </cell>
          <cell r="U41">
            <v>10.5</v>
          </cell>
          <cell r="V41">
            <v>10.5</v>
          </cell>
          <cell r="W41">
            <v>10.5</v>
          </cell>
          <cell r="X41">
            <v>10.5</v>
          </cell>
          <cell r="Y41">
            <v>10.5</v>
          </cell>
          <cell r="Z41">
            <v>10.5</v>
          </cell>
          <cell r="AA41">
            <v>10.5</v>
          </cell>
          <cell r="AB41">
            <v>10.5</v>
          </cell>
          <cell r="AC41">
            <v>10.5</v>
          </cell>
          <cell r="AD41">
            <v>10.5</v>
          </cell>
        </row>
        <row r="42">
          <cell r="K42">
            <v>10.5</v>
          </cell>
          <cell r="L42">
            <v>10.5</v>
          </cell>
          <cell r="M42">
            <v>10.5</v>
          </cell>
          <cell r="N42">
            <v>10.5</v>
          </cell>
          <cell r="O42">
            <v>10.5</v>
          </cell>
          <cell r="P42">
            <v>10.5</v>
          </cell>
          <cell r="Q42">
            <v>10.5</v>
          </cell>
          <cell r="R42">
            <v>10.5</v>
          </cell>
          <cell r="S42">
            <v>10.5</v>
          </cell>
          <cell r="T42">
            <v>10.5</v>
          </cell>
          <cell r="U42">
            <v>10.5</v>
          </cell>
          <cell r="V42">
            <v>10.5</v>
          </cell>
          <cell r="W42">
            <v>10.5</v>
          </cell>
          <cell r="X42">
            <v>10.5</v>
          </cell>
          <cell r="Y42">
            <v>10.5</v>
          </cell>
          <cell r="Z42">
            <v>10.5</v>
          </cell>
          <cell r="AA42">
            <v>10.5</v>
          </cell>
          <cell r="AB42">
            <v>10.5</v>
          </cell>
          <cell r="AC42">
            <v>10.5</v>
          </cell>
          <cell r="AD42">
            <v>10.5</v>
          </cell>
        </row>
        <row r="43">
          <cell r="K43">
            <v>10.5</v>
          </cell>
          <cell r="L43">
            <v>10.5</v>
          </cell>
          <cell r="M43">
            <v>10.5</v>
          </cell>
          <cell r="N43">
            <v>10.5</v>
          </cell>
          <cell r="O43">
            <v>10.5</v>
          </cell>
          <cell r="P43">
            <v>10.5</v>
          </cell>
          <cell r="Q43">
            <v>10.5</v>
          </cell>
          <cell r="R43">
            <v>10.5</v>
          </cell>
          <cell r="S43">
            <v>10.5</v>
          </cell>
          <cell r="T43">
            <v>10.5</v>
          </cell>
          <cell r="U43">
            <v>10.5</v>
          </cell>
          <cell r="V43">
            <v>10.5</v>
          </cell>
          <cell r="W43">
            <v>10.5</v>
          </cell>
          <cell r="X43">
            <v>10.5</v>
          </cell>
          <cell r="Y43">
            <v>10.5</v>
          </cell>
          <cell r="Z43">
            <v>10.5</v>
          </cell>
          <cell r="AA43">
            <v>10.5</v>
          </cell>
          <cell r="AB43">
            <v>10.5</v>
          </cell>
          <cell r="AC43">
            <v>10.5</v>
          </cell>
          <cell r="AD43">
            <v>10.5</v>
          </cell>
        </row>
      </sheetData>
      <sheetData sheetId="4">
        <row r="3">
          <cell r="D3" t="str">
            <v>B2B Data Storage</v>
          </cell>
        </row>
      </sheetData>
      <sheetData sheetId="5">
        <row r="2">
          <cell r="A2" t="str">
            <v xml:space="preserve">B2B Software and Technology Services </v>
          </cell>
        </row>
        <row r="3">
          <cell r="A3" t="str">
            <v xml:space="preserve">B2C Software and Technology Services </v>
          </cell>
        </row>
        <row r="4">
          <cell r="A4" t="str">
            <v xml:space="preserve">B2B Non Tech Products and Services </v>
          </cell>
        </row>
        <row r="5">
          <cell r="A5" t="str">
            <v>B2C Services</v>
          </cell>
        </row>
        <row r="6">
          <cell r="A6" t="str">
            <v>Retail and Manufacturing</v>
          </cell>
        </row>
        <row r="7">
          <cell r="A7" t="str">
            <v>Publishing and Media</v>
          </cell>
        </row>
        <row r="8">
          <cell r="A8" t="str">
            <v>Healthcare</v>
          </cell>
        </row>
        <row r="9">
          <cell r="A9" t="str">
            <v>Travel</v>
          </cell>
        </row>
        <row r="10">
          <cell r="A10" t="str">
            <v>Financials</v>
          </cell>
        </row>
        <row r="11">
          <cell r="A11" t="str">
            <v>Telecom</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lir" refreshedDate="42276.636665509257" createdVersion="5" refreshedVersion="6" minRefreshableVersion="3" recordCount="739">
  <cacheSource type="worksheet">
    <worksheetSource ref="A1:M849" sheet="Exported Scores"/>
  </cacheSource>
  <cacheFields count="13">
    <cacheField name="Analysis Id" numFmtId="0">
      <sharedItems containsString="0" containsBlank="1" containsNumber="1" containsInteger="1" minValue="944" maxValue="948"/>
    </cacheField>
    <cacheField name="Analysis Description" numFmtId="0">
      <sharedItems containsBlank="1" count="26">
        <s v="Chase Analysis"/>
        <s v="Wells Fargo Analysis"/>
        <s v="Westpac Analysis"/>
        <s v="KB Bank Analysis"/>
        <s v="Shinhan Bank Analysis"/>
        <m/>
        <s v="Marks &amp; Spencer Analysis" u="1"/>
        <s v="Cotton Traders Analysis" u="1"/>
        <s v="Vodafone DE Analysis" u="1"/>
        <s v="New York Life Analysis" u="1"/>
        <s v="John Lewis Analysis" u="1"/>
        <s v="Protective Life Analysis" u="1"/>
        <s v="Zalando Analysis" u="1"/>
        <s v="Boden Analysis" u="1"/>
        <s v="Charles Tyrwitt Analysis" u="1"/>
        <s v="Telekom Analysis" u="1"/>
        <s v="Land's End UK Analysis" u="1"/>
        <s v="Test" u="1"/>
        <s v="John Lewis UK Analysis" u="1"/>
        <s v="Western &amp; Southern Life Analysis" u="1"/>
        <s v="Unitymedia Analysis" u="1"/>
        <s v="1&amp;1 Analysis" u="1"/>
        <s v="Next Analysis" u="1"/>
        <s v="Kabel Deutschland Analysis" u="1"/>
        <s v="MetLife Analysis" u="1"/>
        <s v="MassMutual Analysis" u="1"/>
      </sharedItems>
    </cacheField>
    <cacheField name="Start Date" numFmtId="0">
      <sharedItems containsNonDate="0" containsDate="1" containsString="0" containsBlank="1" minDate="2015-09-25T00:00:00" maxDate="2015-09-26T00:00:00"/>
    </cacheField>
    <cacheField name="End Date" numFmtId="0">
      <sharedItems containsNonDate="0" containsString="0" containsBlank="1"/>
    </cacheField>
    <cacheField name="Date Generated" numFmtId="0">
      <sharedItems containsNonDate="0" containsDate="1" containsString="0" containsBlank="1" minDate="2015-09-29T19:11:10" maxDate="2015-09-29T19:11:36"/>
    </cacheField>
    <cacheField name="Asset" numFmtId="0">
      <sharedItems containsBlank="1"/>
    </cacheField>
    <cacheField name="Asset URL" numFmtId="0">
      <sharedItems containsNonDate="0" containsString="0" containsBlank="1"/>
    </cacheField>
    <cacheField name="Path" numFmtId="0">
      <sharedItems containsBlank="1"/>
    </cacheField>
    <cacheField name="Function Id" numFmtId="0">
      <sharedItems containsString="0" containsBlank="1" containsNumber="1" containsInteger="1" minValue="1" maxValue="154"/>
    </cacheField>
    <cacheField name="Function Name" numFmtId="0">
      <sharedItems containsBlank="1" count="83">
        <s v="Abandonment"/>
        <s v="Average Order Value"/>
        <s v="Awareness Creation"/>
        <s v="Content"/>
        <s v="Access"/>
        <s v="Content/Unassigned"/>
        <s v="Core Content"/>
        <s v="User Generated Content"/>
        <s v="Content/Infrastructure"/>
        <s v="Content/Promotion"/>
        <s v="Content/Appeal"/>
        <s v="Conversion"/>
        <s v="Customer Engagement"/>
        <s v="Demand Generation"/>
        <s v="E-Commerce"/>
        <s v="Checkout"/>
        <s v="E-Commerce/Infrastructure"/>
        <s v="E-Commerce/Latency"/>
        <s v="Product Listings"/>
        <s v="Site Functionality"/>
        <s v="Product Listings/Reviews"/>
        <s v="PLP Usability"/>
        <s v="PLP Merchandising"/>
        <s v="Non-Product Site Content"/>
        <s v="PLP Content"/>
        <s v="PLP Functionality"/>
        <s v="User Engagement"/>
        <s v="Site Content"/>
        <s v="E-Commerce/Product Merchandising"/>
        <s v="E-Commerce/Reviews"/>
        <s v="Product Search"/>
        <s v="E-Commerce/Unassigned"/>
        <s v="Section Pages"/>
        <s v="Mobile"/>
        <s v="Mobile/Content"/>
        <s v="Compatibility"/>
        <s v="Mobile/Infrastructure"/>
        <s v="Functionality"/>
        <s v="Mobile/Latency"/>
        <s v="Mobile/Promotion"/>
        <s v="Online Channel"/>
        <s v="E-Referral"/>
        <s v="Online Channel/Product Merchandising"/>
        <s v="Brand Merchandising"/>
        <s v="Opportunity Conversion"/>
        <s v="SEM"/>
        <s v="SEM/Content"/>
        <s v="Inclusion"/>
        <s v="Advertising"/>
        <s v="Constructs"/>
        <s v="SEM/Unassigned"/>
        <s v="SEM/Infrastructure"/>
        <s v="Ranking"/>
        <s v="Social Media"/>
        <s v="Social Media/Unassigned"/>
        <s v="YouTube"/>
        <s v="Twitter"/>
        <s v="Social Media/Promotion"/>
        <s v="Other Social Networks"/>
        <s v="LinkedIn"/>
        <s v="Social Media/Content"/>
        <s v="Social Media/Infrastructure"/>
        <s v="Facebook"/>
        <s v="Social Media/Appeal"/>
        <s v="Support"/>
        <s v="Task Completion"/>
        <s v="Time Spent on Site"/>
        <s v="Traffic"/>
        <s v="Website"/>
        <s v="E-Retail"/>
        <s v="Website/Infrastructure"/>
        <s v="Website/Latency"/>
        <s v="Website/Promotion"/>
        <s v="Website/Appeal"/>
        <s v="Website/Content"/>
        <s v="Website/Reviews"/>
        <s v="User Registration"/>
        <s v="Website/Unassigned"/>
        <s v="Website/Traffic"/>
        <s v="Usability"/>
        <s v="Site Search"/>
        <s v="Search Engine Constructs"/>
        <m/>
      </sharedItems>
    </cacheField>
    <cacheField name="Score" numFmtId="0">
      <sharedItems containsString="0" containsBlank="1" containsNumber="1" minValue="0" maxValue="100"/>
    </cacheField>
    <cacheField name="Score/100" numFmtId="0">
      <sharedItems containsString="0" containsBlank="1" containsNumber="1" minValue="0" maxValue="1"/>
    </cacheField>
    <cacheField name="Function Name I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39">
  <r>
    <n v="944"/>
    <x v="0"/>
    <d v="2015-09-25T00:00:00"/>
    <m/>
    <d v="2015-09-29T19:11:10"/>
    <s v="All Assets"/>
    <m/>
    <s v="Abandonment"/>
    <n v="150"/>
    <x v="0"/>
    <n v="58.321636699999999"/>
    <n v="0.58321636700000001"/>
    <s v="Abandonment 150"/>
  </r>
  <r>
    <n v="944"/>
    <x v="0"/>
    <d v="2015-09-25T00:00:00"/>
    <m/>
    <d v="2015-09-29T19:11:10"/>
    <s v="All Assets"/>
    <m/>
    <s v="Average Order Value"/>
    <n v="154"/>
    <x v="1"/>
    <n v="65"/>
    <n v="0.65"/>
    <s v="Average Order Value 154"/>
  </r>
  <r>
    <n v="944"/>
    <x v="0"/>
    <d v="2015-09-25T00:00:00"/>
    <m/>
    <d v="2015-09-29T19:11:10"/>
    <s v="All Assets"/>
    <m/>
    <s v="Awareness Creation"/>
    <n v="72"/>
    <x v="2"/>
    <n v="69.000990099999996"/>
    <n v="0.69000990099999993"/>
    <s v="Awareness Creation 72"/>
  </r>
  <r>
    <n v="944"/>
    <x v="0"/>
    <d v="2015-09-25T00:00:00"/>
    <m/>
    <d v="2015-09-29T19:11:10"/>
    <s v="All Assets"/>
    <m/>
    <s v="Content"/>
    <n v="1"/>
    <x v="3"/>
    <n v="63.371621619999999"/>
    <n v="0.63371621619999996"/>
    <s v="Content 1"/>
  </r>
  <r>
    <n v="944"/>
    <x v="0"/>
    <d v="2015-09-25T00:00:00"/>
    <m/>
    <d v="2015-09-29T19:11:10"/>
    <s v="All Assets"/>
    <m/>
    <s v="Content/Access"/>
    <n v="2"/>
    <x v="4"/>
    <m/>
    <n v="0"/>
    <s v="Access 2"/>
  </r>
  <r>
    <n v="944"/>
    <x v="0"/>
    <d v="2015-09-25T00:00:00"/>
    <m/>
    <d v="2015-09-29T19:11:10"/>
    <s v="All Assets"/>
    <m/>
    <s v="Content/Content/Unassigned"/>
    <n v="8"/>
    <x v="5"/>
    <n v="53.030303029999999"/>
    <n v="0.53030303030000003"/>
    <s v="Content/Unassigned 8"/>
  </r>
  <r>
    <n v="944"/>
    <x v="0"/>
    <d v="2015-09-25T00:00:00"/>
    <m/>
    <d v="2015-09-29T19:11:10"/>
    <s v="All Assets"/>
    <m/>
    <s v="Content/Core Content"/>
    <n v="6"/>
    <x v="6"/>
    <n v="62.847432019999999"/>
    <n v="0.62847432020000005"/>
    <s v="Core Content 6"/>
  </r>
  <r>
    <n v="944"/>
    <x v="0"/>
    <d v="2015-09-25T00:00:00"/>
    <m/>
    <d v="2015-09-29T19:11:10"/>
    <s v="All Assets"/>
    <m/>
    <s v="Content/User Generated Content"/>
    <n v="7"/>
    <x v="7"/>
    <m/>
    <n v="0"/>
    <s v="User Generated Content 7"/>
  </r>
  <r>
    <n v="944"/>
    <x v="0"/>
    <d v="2015-09-25T00:00:00"/>
    <m/>
    <d v="2015-09-29T19:11:10"/>
    <s v="All Assets"/>
    <m/>
    <s v="Content/Content/Infrastructure"/>
    <n v="4"/>
    <x v="8"/>
    <n v="75"/>
    <n v="0.75"/>
    <s v="Content/Infrastructure 4"/>
  </r>
  <r>
    <n v="944"/>
    <x v="0"/>
    <d v="2015-09-25T00:00:00"/>
    <m/>
    <d v="2015-09-29T19:11:10"/>
    <s v="All Assets"/>
    <m/>
    <s v="Content/Content/Promotion"/>
    <n v="5"/>
    <x v="9"/>
    <n v="79.166666669999998"/>
    <n v="0.79166666669999997"/>
    <s v="Content/Promotion 5"/>
  </r>
  <r>
    <n v="944"/>
    <x v="0"/>
    <d v="2015-09-25T00:00:00"/>
    <m/>
    <d v="2015-09-29T19:11:10"/>
    <s v="All Assets"/>
    <m/>
    <s v="Content/Content/Appeal"/>
    <n v="3"/>
    <x v="10"/>
    <n v="78"/>
    <n v="0.78"/>
    <s v="Content/Appeal 3"/>
  </r>
  <r>
    <n v="944"/>
    <x v="0"/>
    <d v="2015-09-25T00:00:00"/>
    <m/>
    <d v="2015-09-29T19:11:10"/>
    <s v="All Assets"/>
    <m/>
    <s v="Conversion"/>
    <n v="153"/>
    <x v="11"/>
    <n v="50.222077919999997"/>
    <n v="0.50222077919999997"/>
    <s v="Conversion 153"/>
  </r>
  <r>
    <n v="944"/>
    <x v="0"/>
    <d v="2015-09-25T00:00:00"/>
    <m/>
    <d v="2015-09-29T19:11:10"/>
    <s v="All Assets"/>
    <m/>
    <s v="Customer Engagement"/>
    <n v="73"/>
    <x v="12"/>
    <n v="61.212380250000002"/>
    <n v="0.61212380249999998"/>
    <s v="Customer Engagement 73"/>
  </r>
  <r>
    <n v="944"/>
    <x v="0"/>
    <d v="2015-09-25T00:00:00"/>
    <m/>
    <d v="2015-09-29T19:11:10"/>
    <s v="All Assets"/>
    <m/>
    <s v="Demand Generation"/>
    <n v="74"/>
    <x v="13"/>
    <n v="63.477477479999997"/>
    <n v="0.6347747748"/>
    <s v="Demand Generation 74"/>
  </r>
  <r>
    <n v="944"/>
    <x v="0"/>
    <d v="2015-09-25T00:00:00"/>
    <m/>
    <d v="2015-09-29T19:11:10"/>
    <s v="All Assets"/>
    <m/>
    <s v="E-Commerce"/>
    <n v="9"/>
    <x v="14"/>
    <n v="66.080332409999997"/>
    <n v="0.66080332409999998"/>
    <s v="E-Commerce 9"/>
  </r>
  <r>
    <n v="944"/>
    <x v="0"/>
    <d v="2015-09-25T00:00:00"/>
    <m/>
    <d v="2015-09-29T19:11:10"/>
    <s v="All Assets"/>
    <m/>
    <s v="E-Commerce/Checkout"/>
    <n v="10"/>
    <x v="15"/>
    <m/>
    <n v="0"/>
    <s v="Checkout 10"/>
  </r>
  <r>
    <n v="944"/>
    <x v="0"/>
    <d v="2015-09-25T00:00:00"/>
    <m/>
    <d v="2015-09-29T19:11:10"/>
    <s v="All Assets"/>
    <m/>
    <s v="E-Commerce/E-Commerce/Infrastructure"/>
    <n v="11"/>
    <x v="16"/>
    <m/>
    <n v="0"/>
    <s v="E-Commerce/Infrastructure 11"/>
  </r>
  <r>
    <n v="944"/>
    <x v="0"/>
    <d v="2015-09-25T00:00:00"/>
    <m/>
    <d v="2015-09-29T19:11:10"/>
    <s v="All Assets"/>
    <m/>
    <s v="E-Commerce/E-Commerce/Latency"/>
    <n v="12"/>
    <x v="17"/>
    <m/>
    <n v="0"/>
    <s v="E-Commerce/Latency 12"/>
  </r>
  <r>
    <n v="944"/>
    <x v="0"/>
    <d v="2015-09-25T00:00:00"/>
    <m/>
    <d v="2015-09-29T19:11:10"/>
    <s v="All Assets"/>
    <m/>
    <s v="E-Commerce/Product Listings"/>
    <n v="13"/>
    <x v="18"/>
    <n v="71.630434780000002"/>
    <n v="0.71630434779999996"/>
    <s v="Product Listings 13"/>
  </r>
  <r>
    <n v="944"/>
    <x v="0"/>
    <d v="2015-09-25T00:00:00"/>
    <m/>
    <d v="2015-09-29T19:11:10"/>
    <s v="All Assets"/>
    <m/>
    <s v="E-Commerce/Product Listings/Site Functionality"/>
    <n v="26"/>
    <x v="19"/>
    <m/>
    <n v="0"/>
    <s v="Site Functionality 26"/>
  </r>
  <r>
    <n v="944"/>
    <x v="0"/>
    <d v="2015-09-25T00:00:00"/>
    <m/>
    <d v="2015-09-29T19:11:10"/>
    <s v="All Assets"/>
    <m/>
    <s v="E-Commerce/Product Listings/Product Listings/Reviews"/>
    <n v="25"/>
    <x v="20"/>
    <m/>
    <n v="0"/>
    <s v="Product Listings/Reviews 25"/>
  </r>
  <r>
    <n v="944"/>
    <x v="0"/>
    <d v="2015-09-25T00:00:00"/>
    <m/>
    <d v="2015-09-29T19:11:10"/>
    <s v="All Assets"/>
    <m/>
    <s v="E-Commerce/Product Listings/PLP Usability"/>
    <n v="24"/>
    <x v="21"/>
    <n v="72.222222220000006"/>
    <n v="0.7222222222000001"/>
    <s v="PLP Usability 24"/>
  </r>
  <r>
    <n v="944"/>
    <x v="0"/>
    <d v="2015-09-25T00:00:00"/>
    <m/>
    <d v="2015-09-29T19:11:10"/>
    <s v="All Assets"/>
    <m/>
    <s v="E-Commerce/Product Listings/PLP Merchandising"/>
    <n v="23"/>
    <x v="22"/>
    <n v="66.690140850000006"/>
    <n v="0.66690140850000001"/>
    <s v="PLP Merchandising 23"/>
  </r>
  <r>
    <n v="944"/>
    <x v="0"/>
    <d v="2015-09-25T00:00:00"/>
    <m/>
    <d v="2015-09-29T19:11:10"/>
    <s v="All Assets"/>
    <m/>
    <s v="E-Commerce/Product Listings/Non-Product Site Content"/>
    <n v="20"/>
    <x v="23"/>
    <n v="80"/>
    <n v="0.8"/>
    <s v="Non-Product Site Content 20"/>
  </r>
  <r>
    <n v="944"/>
    <x v="0"/>
    <d v="2015-09-25T00:00:00"/>
    <m/>
    <d v="2015-09-29T19:11:10"/>
    <s v="All Assets"/>
    <m/>
    <s v="E-Commerce/Product Listings/PLP Content"/>
    <n v="21"/>
    <x v="24"/>
    <m/>
    <n v="0"/>
    <s v="PLP Content 21"/>
  </r>
  <r>
    <n v="944"/>
    <x v="0"/>
    <d v="2015-09-25T00:00:00"/>
    <m/>
    <d v="2015-09-29T19:11:10"/>
    <s v="All Assets"/>
    <m/>
    <s v="E-Commerce/Product Listings/PLP Functionality"/>
    <n v="22"/>
    <x v="25"/>
    <m/>
    <n v="0"/>
    <s v="PLP Functionality 22"/>
  </r>
  <r>
    <n v="944"/>
    <x v="0"/>
    <d v="2015-09-25T00:00:00"/>
    <m/>
    <d v="2015-09-29T19:11:10"/>
    <s v="All Assets"/>
    <m/>
    <s v="E-Commerce/User Engagement"/>
    <n v="17"/>
    <x v="26"/>
    <m/>
    <n v="0"/>
    <s v="User Engagement 17"/>
  </r>
  <r>
    <n v="944"/>
    <x v="0"/>
    <d v="2015-09-25T00:00:00"/>
    <m/>
    <d v="2015-09-29T19:11:10"/>
    <s v="All Assets"/>
    <m/>
    <s v="E-Commerce/Site Content"/>
    <n v="16"/>
    <x v="27"/>
    <m/>
    <n v="0"/>
    <s v="Site Content 16"/>
  </r>
  <r>
    <n v="944"/>
    <x v="0"/>
    <d v="2015-09-25T00:00:00"/>
    <m/>
    <d v="2015-09-29T19:11:10"/>
    <s v="All Assets"/>
    <m/>
    <s v="E-Commerce/E-Commerce/Product Merchandising"/>
    <n v="144"/>
    <x v="28"/>
    <n v="62.645739910000003"/>
    <n v="0.62645739909999998"/>
    <s v="E-Commerce/Product Merchandising 144"/>
  </r>
  <r>
    <n v="944"/>
    <x v="0"/>
    <d v="2015-09-25T00:00:00"/>
    <m/>
    <d v="2015-09-29T19:11:10"/>
    <s v="All Assets"/>
    <m/>
    <s v="E-Commerce/E-Commerce/Reviews"/>
    <n v="15"/>
    <x v="29"/>
    <m/>
    <n v="0"/>
    <s v="E-Commerce/Reviews 15"/>
  </r>
  <r>
    <n v="944"/>
    <x v="0"/>
    <d v="2015-09-25T00:00:00"/>
    <m/>
    <d v="2015-09-29T19:11:10"/>
    <s v="All Assets"/>
    <m/>
    <s v="E-Commerce/Product Search"/>
    <n v="14"/>
    <x v="30"/>
    <m/>
    <n v="0"/>
    <s v="Product Search 14"/>
  </r>
  <r>
    <n v="944"/>
    <x v="0"/>
    <d v="2015-09-25T00:00:00"/>
    <m/>
    <d v="2015-09-29T19:11:10"/>
    <s v="All Assets"/>
    <m/>
    <s v="E-Commerce/E-Commerce/Unassigned"/>
    <n v="19"/>
    <x v="31"/>
    <m/>
    <n v="0"/>
    <s v="E-Commerce/Unassigned 19"/>
  </r>
  <r>
    <n v="944"/>
    <x v="0"/>
    <d v="2015-09-25T00:00:00"/>
    <m/>
    <d v="2015-09-29T19:11:10"/>
    <s v="All Assets"/>
    <m/>
    <s v="E-Commerce/Section Pages"/>
    <n v="18"/>
    <x v="32"/>
    <m/>
    <n v="0"/>
    <s v="Section Pages 18"/>
  </r>
  <r>
    <n v="944"/>
    <x v="0"/>
    <d v="2015-09-25T00:00:00"/>
    <m/>
    <d v="2015-09-29T19:11:10"/>
    <s v="All Assets"/>
    <m/>
    <s v="Mobile"/>
    <n v="27"/>
    <x v="33"/>
    <n v="49.857142860000003"/>
    <n v="0.49857142860000003"/>
    <s v="Mobile 27"/>
  </r>
  <r>
    <n v="944"/>
    <x v="0"/>
    <d v="2015-09-25T00:00:00"/>
    <m/>
    <d v="2015-09-29T19:11:10"/>
    <s v="All Assets"/>
    <m/>
    <s v="Mobile/Mobile/Content"/>
    <n v="29"/>
    <x v="34"/>
    <m/>
    <n v="0"/>
    <s v="Mobile/Content 29"/>
  </r>
  <r>
    <n v="944"/>
    <x v="0"/>
    <d v="2015-09-25T00:00:00"/>
    <m/>
    <d v="2015-09-29T19:11:10"/>
    <s v="All Assets"/>
    <m/>
    <s v="Mobile/Compatibility"/>
    <n v="28"/>
    <x v="35"/>
    <n v="47.9375"/>
    <n v="0.479375"/>
    <s v="Compatibility 28"/>
  </r>
  <r>
    <n v="944"/>
    <x v="0"/>
    <d v="2015-09-25T00:00:00"/>
    <m/>
    <d v="2015-09-29T19:11:10"/>
    <s v="All Assets"/>
    <m/>
    <s v="Mobile/Mobile/Infrastructure"/>
    <n v="31"/>
    <x v="36"/>
    <m/>
    <n v="0"/>
    <s v="Mobile/Infrastructure 31"/>
  </r>
  <r>
    <n v="944"/>
    <x v="0"/>
    <d v="2015-09-25T00:00:00"/>
    <m/>
    <d v="2015-09-29T19:11:10"/>
    <s v="All Assets"/>
    <m/>
    <s v="Mobile/Functionality"/>
    <n v="30"/>
    <x v="37"/>
    <n v="56"/>
    <n v="0.56000000000000005"/>
    <s v="Functionality 30"/>
  </r>
  <r>
    <n v="944"/>
    <x v="0"/>
    <d v="2015-09-25T00:00:00"/>
    <m/>
    <d v="2015-09-29T19:11:10"/>
    <s v="All Assets"/>
    <m/>
    <s v="Mobile/Mobile/Latency"/>
    <n v="32"/>
    <x v="38"/>
    <m/>
    <n v="0"/>
    <s v="Mobile/Latency 32"/>
  </r>
  <r>
    <n v="944"/>
    <x v="0"/>
    <d v="2015-09-25T00:00:00"/>
    <m/>
    <d v="2015-09-29T19:11:10"/>
    <s v="All Assets"/>
    <m/>
    <s v="Mobile/Mobile/Promotion"/>
    <n v="33"/>
    <x v="39"/>
    <m/>
    <n v="0"/>
    <s v="Mobile/Promotion 33"/>
  </r>
  <r>
    <n v="944"/>
    <x v="0"/>
    <d v="2015-09-25T00:00:00"/>
    <m/>
    <d v="2015-09-29T19:11:10"/>
    <s v="All Assets"/>
    <m/>
    <s v="Online Channel"/>
    <n v="68"/>
    <x v="40"/>
    <m/>
    <n v="0"/>
    <s v="Online Channel 68"/>
  </r>
  <r>
    <n v="944"/>
    <x v="0"/>
    <d v="2015-09-25T00:00:00"/>
    <m/>
    <d v="2015-09-29T19:11:10"/>
    <s v="All Assets"/>
    <m/>
    <s v="Online Channel/E-Referral"/>
    <n v="69"/>
    <x v="41"/>
    <m/>
    <n v="0"/>
    <s v="E-Referral 69"/>
  </r>
  <r>
    <n v="944"/>
    <x v="0"/>
    <d v="2015-09-25T00:00:00"/>
    <m/>
    <d v="2015-09-29T19:11:10"/>
    <s v="All Assets"/>
    <m/>
    <s v="Online Channel/Online Channel/Product Merchandising"/>
    <n v="71"/>
    <x v="42"/>
    <m/>
    <n v="0"/>
    <s v="Online Channel/Product Merchandising 71"/>
  </r>
  <r>
    <n v="944"/>
    <x v="0"/>
    <d v="2015-09-25T00:00:00"/>
    <m/>
    <d v="2015-09-29T19:11:10"/>
    <s v="All Assets"/>
    <m/>
    <s v="Online Channel/Brand Merchandising"/>
    <n v="70"/>
    <x v="43"/>
    <m/>
    <n v="0"/>
    <s v="Brand Merchandising 70"/>
  </r>
  <r>
    <n v="944"/>
    <x v="0"/>
    <d v="2015-09-25T00:00:00"/>
    <m/>
    <d v="2015-09-29T19:11:10"/>
    <s v="All Assets"/>
    <m/>
    <s v="Opportunity Conversion"/>
    <n v="75"/>
    <x v="44"/>
    <n v="56.562352939999997"/>
    <n v="0.56562352939999994"/>
    <s v="Opportunity Conversion 75"/>
  </r>
  <r>
    <n v="944"/>
    <x v="0"/>
    <d v="2015-09-25T00:00:00"/>
    <m/>
    <d v="2015-09-29T19:11:10"/>
    <s v="All Assets"/>
    <m/>
    <s v="SEM"/>
    <n v="34"/>
    <x v="45"/>
    <n v="60.372361810000001"/>
    <n v="0.60372361809999997"/>
    <s v="SEM 34"/>
  </r>
  <r>
    <n v="944"/>
    <x v="0"/>
    <d v="2015-09-25T00:00:00"/>
    <m/>
    <d v="2015-09-29T19:11:10"/>
    <s v="All Assets"/>
    <m/>
    <s v="SEM/SEM/Content"/>
    <n v="37"/>
    <x v="46"/>
    <n v="62.833333330000002"/>
    <n v="0.62833333330000007"/>
    <s v="SEM/Content 37"/>
  </r>
  <r>
    <n v="944"/>
    <x v="0"/>
    <d v="2015-09-25T00:00:00"/>
    <m/>
    <d v="2015-09-29T19:11:10"/>
    <s v="All Assets"/>
    <m/>
    <s v="SEM/Inclusion"/>
    <n v="38"/>
    <x v="47"/>
    <m/>
    <n v="0"/>
    <s v="Inclusion 38"/>
  </r>
  <r>
    <n v="944"/>
    <x v="0"/>
    <d v="2015-09-25T00:00:00"/>
    <m/>
    <d v="2015-09-29T19:11:10"/>
    <s v="All Assets"/>
    <m/>
    <s v="SEM/Advertising"/>
    <n v="35"/>
    <x v="48"/>
    <m/>
    <n v="0"/>
    <s v="Advertising 35"/>
  </r>
  <r>
    <n v="944"/>
    <x v="0"/>
    <d v="2015-09-25T00:00:00"/>
    <m/>
    <d v="2015-09-29T19:11:10"/>
    <s v="All Assets"/>
    <m/>
    <s v="SEM/Constructs"/>
    <n v="36"/>
    <x v="49"/>
    <n v="56.932394369999997"/>
    <n v="0.56932394369999995"/>
    <s v="Constructs 36"/>
  </r>
  <r>
    <n v="944"/>
    <x v="0"/>
    <d v="2015-09-25T00:00:00"/>
    <m/>
    <d v="2015-09-29T19:11:10"/>
    <s v="All Assets"/>
    <m/>
    <s v="SEM/SEM/Unassigned"/>
    <n v="41"/>
    <x v="50"/>
    <m/>
    <n v="0"/>
    <s v="SEM/Unassigned 41"/>
  </r>
  <r>
    <n v="944"/>
    <x v="0"/>
    <d v="2015-09-25T00:00:00"/>
    <m/>
    <d v="2015-09-29T19:11:10"/>
    <s v="All Assets"/>
    <m/>
    <s v="SEM/SEM/Infrastructure"/>
    <n v="39"/>
    <x v="51"/>
    <n v="48.68"/>
    <n v="0.48680000000000001"/>
    <s v="SEM/Infrastructure 39"/>
  </r>
  <r>
    <n v="944"/>
    <x v="0"/>
    <d v="2015-09-25T00:00:00"/>
    <m/>
    <d v="2015-09-29T19:11:10"/>
    <s v="All Assets"/>
    <m/>
    <s v="SEM/Ranking"/>
    <n v="40"/>
    <x v="52"/>
    <m/>
    <n v="0"/>
    <s v="Ranking 40"/>
  </r>
  <r>
    <n v="944"/>
    <x v="0"/>
    <d v="2015-09-25T00:00:00"/>
    <m/>
    <d v="2015-09-29T19:11:10"/>
    <s v="All Assets"/>
    <m/>
    <s v="Social Media"/>
    <n v="42"/>
    <x v="53"/>
    <n v="63.633333329999999"/>
    <n v="0.63633333329999997"/>
    <s v="Social Media 42"/>
  </r>
  <r>
    <n v="944"/>
    <x v="0"/>
    <d v="2015-09-25T00:00:00"/>
    <m/>
    <d v="2015-09-29T19:11:10"/>
    <s v="All Assets"/>
    <m/>
    <s v="Social Media/Social Media/Unassigned"/>
    <n v="52"/>
    <x v="54"/>
    <m/>
    <n v="0"/>
    <s v="Social Media/Unassigned 52"/>
  </r>
  <r>
    <n v="944"/>
    <x v="0"/>
    <d v="2015-09-25T00:00:00"/>
    <m/>
    <d v="2015-09-29T19:11:10"/>
    <s v="All Assets"/>
    <m/>
    <s v="Social Media/YouTube"/>
    <n v="51"/>
    <x v="55"/>
    <n v="87.5"/>
    <n v="0.875"/>
    <s v="YouTube 51"/>
  </r>
  <r>
    <n v="944"/>
    <x v="0"/>
    <d v="2015-09-25T00:00:00"/>
    <m/>
    <d v="2015-09-29T19:11:10"/>
    <s v="All Assets"/>
    <m/>
    <s v="Social Media/Twitter"/>
    <n v="50"/>
    <x v="56"/>
    <n v="100"/>
    <n v="1"/>
    <s v="Twitter 50"/>
  </r>
  <r>
    <n v="944"/>
    <x v="0"/>
    <d v="2015-09-25T00:00:00"/>
    <m/>
    <d v="2015-09-29T19:11:10"/>
    <s v="All Assets"/>
    <m/>
    <s v="Social Media/Social Media/Promotion"/>
    <n v="49"/>
    <x v="57"/>
    <n v="65"/>
    <n v="0.65"/>
    <s v="Social Media/Promotion 49"/>
  </r>
  <r>
    <n v="944"/>
    <x v="0"/>
    <d v="2015-09-25T00:00:00"/>
    <m/>
    <d v="2015-09-29T19:11:10"/>
    <s v="All Assets"/>
    <m/>
    <s v="Social Media/Other Social Networks"/>
    <n v="48"/>
    <x v="58"/>
    <m/>
    <n v="0"/>
    <s v="Other Social Networks 48"/>
  </r>
  <r>
    <n v="944"/>
    <x v="0"/>
    <d v="2015-09-25T00:00:00"/>
    <m/>
    <d v="2015-09-29T19:11:10"/>
    <s v="All Assets"/>
    <m/>
    <s v="Social Media/LinkedIn"/>
    <n v="47"/>
    <x v="59"/>
    <m/>
    <n v="0"/>
    <s v="LinkedIn 47"/>
  </r>
  <r>
    <n v="944"/>
    <x v="0"/>
    <d v="2015-09-25T00:00:00"/>
    <m/>
    <d v="2015-09-29T19:11:10"/>
    <s v="All Assets"/>
    <m/>
    <s v="Social Media/Social Media/Content"/>
    <n v="44"/>
    <x v="60"/>
    <m/>
    <n v="0"/>
    <s v="Social Media/Content 44"/>
  </r>
  <r>
    <n v="944"/>
    <x v="0"/>
    <d v="2015-09-25T00:00:00"/>
    <m/>
    <d v="2015-09-29T19:11:10"/>
    <s v="All Assets"/>
    <m/>
    <s v="Social Media/Social Media/Infrastructure"/>
    <n v="46"/>
    <x v="61"/>
    <n v="46.190476189999998"/>
    <n v="0.46190476189999996"/>
    <s v="Social Media/Infrastructure 46"/>
  </r>
  <r>
    <n v="944"/>
    <x v="0"/>
    <d v="2015-09-25T00:00:00"/>
    <m/>
    <d v="2015-09-29T19:11:10"/>
    <s v="All Assets"/>
    <m/>
    <s v="Social Media/Facebook"/>
    <n v="45"/>
    <x v="62"/>
    <n v="39.655172409999999"/>
    <n v="0.3965517241"/>
    <s v="Facebook 45"/>
  </r>
  <r>
    <n v="944"/>
    <x v="0"/>
    <d v="2015-09-25T00:00:00"/>
    <m/>
    <d v="2015-09-29T19:11:10"/>
    <s v="All Assets"/>
    <m/>
    <s v="Social Media/Social Media/Appeal"/>
    <n v="43"/>
    <x v="63"/>
    <m/>
    <n v="0"/>
    <s v="Social Media/Appeal 43"/>
  </r>
  <r>
    <n v="944"/>
    <x v="0"/>
    <d v="2015-09-25T00:00:00"/>
    <m/>
    <d v="2015-09-29T19:11:10"/>
    <s v="All Assets"/>
    <m/>
    <s v="Support"/>
    <n v="53"/>
    <x v="64"/>
    <n v="54.785373610000001"/>
    <n v="0.54785373609999999"/>
    <s v="Support 53"/>
  </r>
  <r>
    <n v="944"/>
    <x v="0"/>
    <d v="2015-09-25T00:00:00"/>
    <m/>
    <d v="2015-09-29T19:11:10"/>
    <s v="All Assets"/>
    <m/>
    <s v="Task Completion"/>
    <n v="151"/>
    <x v="65"/>
    <n v="56.875873640000002"/>
    <n v="0.56875873639999996"/>
    <s v="Task Completion 151"/>
  </r>
  <r>
    <n v="944"/>
    <x v="0"/>
    <d v="2015-09-25T00:00:00"/>
    <m/>
    <d v="2015-09-29T19:11:10"/>
    <s v="All Assets"/>
    <m/>
    <s v="Time Spent on Site"/>
    <n v="152"/>
    <x v="66"/>
    <n v="57.321187340000002"/>
    <n v="0.57321187340000002"/>
    <s v="Time Spent on Site 152"/>
  </r>
  <r>
    <n v="944"/>
    <x v="0"/>
    <d v="2015-09-25T00:00:00"/>
    <m/>
    <d v="2015-09-29T19:11:10"/>
    <s v="All Assets"/>
    <m/>
    <s v="Traffic"/>
    <n v="149"/>
    <x v="67"/>
    <n v="65.6342772"/>
    <n v="0.65634277200000002"/>
    <s v="Traffic 149"/>
  </r>
  <r>
    <n v="944"/>
    <x v="0"/>
    <d v="2015-09-25T00:00:00"/>
    <m/>
    <d v="2015-09-29T19:11:10"/>
    <s v="All Assets"/>
    <m/>
    <s v="Website"/>
    <n v="54"/>
    <x v="68"/>
    <n v="61.820646770000003"/>
    <n v="0.61820646769999998"/>
    <s v="Website 54"/>
  </r>
  <r>
    <n v="944"/>
    <x v="0"/>
    <d v="2015-09-25T00:00:00"/>
    <m/>
    <d v="2015-09-29T19:11:10"/>
    <s v="All Assets"/>
    <m/>
    <s v="Website/E-Retail"/>
    <n v="57"/>
    <x v="69"/>
    <m/>
    <n v="0"/>
    <s v="E-Retail 57"/>
  </r>
  <r>
    <n v="944"/>
    <x v="0"/>
    <d v="2015-09-25T00:00:00"/>
    <m/>
    <d v="2015-09-29T19:11:10"/>
    <s v="All Assets"/>
    <m/>
    <s v="Website/Website/Infrastructure"/>
    <n v="58"/>
    <x v="70"/>
    <n v="54.75"/>
    <n v="0.54749999999999999"/>
    <s v="Website/Infrastructure 58"/>
  </r>
  <r>
    <n v="944"/>
    <x v="0"/>
    <d v="2015-09-25T00:00:00"/>
    <m/>
    <d v="2015-09-29T19:11:10"/>
    <s v="All Assets"/>
    <m/>
    <s v="Website/Website/Latency"/>
    <n v="59"/>
    <x v="71"/>
    <n v="51.533333329999998"/>
    <n v="0.51533333329999997"/>
    <s v="Website/Latency 59"/>
  </r>
  <r>
    <n v="944"/>
    <x v="0"/>
    <d v="2015-09-25T00:00:00"/>
    <m/>
    <d v="2015-09-29T19:11:10"/>
    <s v="All Assets"/>
    <m/>
    <s v="Website/Website/Promotion"/>
    <n v="60"/>
    <x v="72"/>
    <n v="65"/>
    <n v="0.65"/>
    <s v="Website/Promotion 60"/>
  </r>
  <r>
    <n v="944"/>
    <x v="0"/>
    <d v="2015-09-25T00:00:00"/>
    <m/>
    <d v="2015-09-29T19:11:10"/>
    <s v="All Assets"/>
    <m/>
    <s v="Website/Website/Appeal"/>
    <n v="55"/>
    <x v="73"/>
    <m/>
    <n v="0"/>
    <s v="Website/Appeal 55"/>
  </r>
  <r>
    <n v="944"/>
    <x v="0"/>
    <d v="2015-09-25T00:00:00"/>
    <m/>
    <d v="2015-09-29T19:11:10"/>
    <s v="All Assets"/>
    <m/>
    <s v="Website/Website/Content"/>
    <n v="56"/>
    <x v="74"/>
    <n v="66.208980999999994"/>
    <n v="0.66208980999999989"/>
    <s v="Website/Content 56"/>
  </r>
  <r>
    <n v="944"/>
    <x v="0"/>
    <d v="2015-09-25T00:00:00"/>
    <m/>
    <d v="2015-09-29T19:11:10"/>
    <s v="All Assets"/>
    <m/>
    <s v="Website/Website/Reviews"/>
    <n v="61"/>
    <x v="75"/>
    <m/>
    <n v="0"/>
    <s v="Website/Reviews 61"/>
  </r>
  <r>
    <n v="944"/>
    <x v="0"/>
    <d v="2015-09-25T00:00:00"/>
    <m/>
    <d v="2015-09-29T19:11:10"/>
    <s v="All Assets"/>
    <m/>
    <s v="Website/User Registration"/>
    <n v="66"/>
    <x v="76"/>
    <n v="60"/>
    <n v="0.6"/>
    <s v="User Registration 66"/>
  </r>
  <r>
    <n v="944"/>
    <x v="0"/>
    <d v="2015-09-25T00:00:00"/>
    <m/>
    <d v="2015-09-29T19:11:10"/>
    <s v="All Assets"/>
    <m/>
    <s v="Website/Website/Unassigned"/>
    <n v="67"/>
    <x v="77"/>
    <m/>
    <n v="0"/>
    <s v="Website/Unassigned 67"/>
  </r>
  <r>
    <n v="944"/>
    <x v="0"/>
    <d v="2015-09-25T00:00:00"/>
    <m/>
    <d v="2015-09-29T19:11:10"/>
    <s v="All Assets"/>
    <m/>
    <s v="Website/Website/Traffic"/>
    <n v="64"/>
    <x v="78"/>
    <m/>
    <n v="0"/>
    <s v="Website/Traffic 64"/>
  </r>
  <r>
    <n v="944"/>
    <x v="0"/>
    <d v="2015-09-25T00:00:00"/>
    <m/>
    <d v="2015-09-29T19:11:10"/>
    <s v="All Assets"/>
    <m/>
    <s v="Website/Usability"/>
    <n v="65"/>
    <x v="79"/>
    <n v="66.409411759999998"/>
    <n v="0.66409411759999992"/>
    <s v="Usability 65"/>
  </r>
  <r>
    <n v="944"/>
    <x v="0"/>
    <d v="2015-09-25T00:00:00"/>
    <m/>
    <d v="2015-09-29T19:11:10"/>
    <s v="All Assets"/>
    <m/>
    <s v="Website/Site Search"/>
    <n v="63"/>
    <x v="80"/>
    <n v="47.163934429999998"/>
    <n v="0.47163934429999999"/>
    <s v="Site Search 63"/>
  </r>
  <r>
    <n v="944"/>
    <x v="0"/>
    <d v="2015-09-25T00:00:00"/>
    <m/>
    <d v="2015-09-29T19:11:10"/>
    <s v="All Assets"/>
    <m/>
    <s v="Website/Search Engine Constructs"/>
    <n v="62"/>
    <x v="81"/>
    <n v="0"/>
    <n v="0"/>
    <s v="Search Engine Constructs 62"/>
  </r>
  <r>
    <n v="945"/>
    <x v="1"/>
    <d v="2015-09-25T00:00:00"/>
    <m/>
    <d v="2015-09-29T19:11:17"/>
    <s v="All Assets"/>
    <m/>
    <s v="Abandonment"/>
    <n v="150"/>
    <x v="0"/>
    <n v="64.738735980000001"/>
    <n v="0.64738735980000006"/>
    <s v="Abandonment 150"/>
  </r>
  <r>
    <n v="945"/>
    <x v="1"/>
    <d v="2015-09-25T00:00:00"/>
    <m/>
    <d v="2015-09-29T19:11:17"/>
    <s v="All Assets"/>
    <m/>
    <s v="Average Order Value"/>
    <n v="154"/>
    <x v="1"/>
    <n v="65"/>
    <n v="0.65"/>
    <s v="Average Order Value 154"/>
  </r>
  <r>
    <n v="945"/>
    <x v="1"/>
    <d v="2015-09-25T00:00:00"/>
    <m/>
    <d v="2015-09-29T19:11:17"/>
    <s v="All Assets"/>
    <m/>
    <s v="Awareness Creation"/>
    <n v="72"/>
    <x v="2"/>
    <n v="67.341503270000004"/>
    <n v="0.67341503270000003"/>
    <s v="Awareness Creation 72"/>
  </r>
  <r>
    <n v="945"/>
    <x v="1"/>
    <d v="2015-09-25T00:00:00"/>
    <m/>
    <d v="2015-09-29T19:11:17"/>
    <s v="All Assets"/>
    <m/>
    <s v="Content"/>
    <n v="1"/>
    <x v="3"/>
    <n v="59.731418920000003"/>
    <n v="0.59731418920000001"/>
    <s v="Content 1"/>
  </r>
  <r>
    <n v="945"/>
    <x v="1"/>
    <d v="2015-09-25T00:00:00"/>
    <m/>
    <d v="2015-09-29T19:11:17"/>
    <s v="All Assets"/>
    <m/>
    <s v="Content/Access"/>
    <n v="2"/>
    <x v="4"/>
    <m/>
    <n v="0"/>
    <s v="Access 2"/>
  </r>
  <r>
    <n v="945"/>
    <x v="1"/>
    <d v="2015-09-25T00:00:00"/>
    <m/>
    <d v="2015-09-29T19:11:17"/>
    <s v="All Assets"/>
    <m/>
    <s v="Content/Content/Unassigned"/>
    <n v="8"/>
    <x v="5"/>
    <n v="58.522727269999997"/>
    <n v="0.58522727269999997"/>
    <s v="Content/Unassigned 8"/>
  </r>
  <r>
    <n v="945"/>
    <x v="1"/>
    <d v="2015-09-25T00:00:00"/>
    <m/>
    <d v="2015-09-29T19:11:17"/>
    <s v="All Assets"/>
    <m/>
    <s v="Content/Core Content"/>
    <n v="6"/>
    <x v="6"/>
    <n v="58.859516620000001"/>
    <n v="0.58859516619999996"/>
    <s v="Core Content 6"/>
  </r>
  <r>
    <n v="945"/>
    <x v="1"/>
    <d v="2015-09-25T00:00:00"/>
    <m/>
    <d v="2015-09-29T19:11:17"/>
    <s v="All Assets"/>
    <m/>
    <s v="Content/User Generated Content"/>
    <n v="7"/>
    <x v="7"/>
    <m/>
    <n v="0"/>
    <s v="User Generated Content 7"/>
  </r>
  <r>
    <n v="945"/>
    <x v="1"/>
    <d v="2015-09-25T00:00:00"/>
    <m/>
    <d v="2015-09-29T19:11:17"/>
    <s v="All Assets"/>
    <m/>
    <s v="Content/Content/Infrastructure"/>
    <n v="4"/>
    <x v="8"/>
    <n v="76.25"/>
    <n v="0.76249999999999996"/>
    <s v="Content/Infrastructure 4"/>
  </r>
  <r>
    <n v="945"/>
    <x v="1"/>
    <d v="2015-09-25T00:00:00"/>
    <m/>
    <d v="2015-09-29T19:11:17"/>
    <s v="All Assets"/>
    <m/>
    <s v="Content/Content/Promotion"/>
    <n v="5"/>
    <x v="9"/>
    <n v="76.388888890000004"/>
    <n v="0.76388888890000006"/>
    <s v="Content/Promotion 5"/>
  </r>
  <r>
    <n v="945"/>
    <x v="1"/>
    <d v="2015-09-25T00:00:00"/>
    <m/>
    <d v="2015-09-29T19:11:17"/>
    <s v="All Assets"/>
    <m/>
    <s v="Content/Content/Appeal"/>
    <n v="3"/>
    <x v="10"/>
    <n v="50"/>
    <n v="0.5"/>
    <s v="Content/Appeal 3"/>
  </r>
  <r>
    <n v="945"/>
    <x v="1"/>
    <d v="2015-09-25T00:00:00"/>
    <m/>
    <d v="2015-09-29T19:11:17"/>
    <s v="All Assets"/>
    <m/>
    <s v="Conversion"/>
    <n v="153"/>
    <x v="11"/>
    <n v="53.414046120000002"/>
    <n v="0.53414046120000003"/>
    <s v="Conversion 153"/>
  </r>
  <r>
    <n v="945"/>
    <x v="1"/>
    <d v="2015-09-25T00:00:00"/>
    <m/>
    <d v="2015-09-29T19:11:17"/>
    <s v="All Assets"/>
    <m/>
    <s v="Customer Engagement"/>
    <n v="73"/>
    <x v="12"/>
    <n v="68.565841340000006"/>
    <n v="0.68565841340000011"/>
    <s v="Customer Engagement 73"/>
  </r>
  <r>
    <n v="945"/>
    <x v="1"/>
    <d v="2015-09-25T00:00:00"/>
    <m/>
    <d v="2015-09-29T19:11:17"/>
    <s v="All Assets"/>
    <m/>
    <s v="Demand Generation"/>
    <n v="74"/>
    <x v="13"/>
    <n v="68.076018520000005"/>
    <n v="0.68076018520000003"/>
    <s v="Demand Generation 74"/>
  </r>
  <r>
    <n v="945"/>
    <x v="1"/>
    <d v="2015-09-25T00:00:00"/>
    <m/>
    <d v="2015-09-29T19:11:17"/>
    <s v="All Assets"/>
    <m/>
    <s v="E-Commerce"/>
    <n v="9"/>
    <x v="14"/>
    <n v="60.455764080000002"/>
    <n v="0.60455764079999996"/>
    <s v="E-Commerce 9"/>
  </r>
  <r>
    <n v="945"/>
    <x v="1"/>
    <d v="2015-09-25T00:00:00"/>
    <m/>
    <d v="2015-09-29T19:11:17"/>
    <s v="All Assets"/>
    <m/>
    <s v="E-Commerce/Checkout"/>
    <n v="10"/>
    <x v="15"/>
    <m/>
    <n v="0"/>
    <s v="Checkout 10"/>
  </r>
  <r>
    <n v="945"/>
    <x v="1"/>
    <d v="2015-09-25T00:00:00"/>
    <m/>
    <d v="2015-09-29T19:11:17"/>
    <s v="All Assets"/>
    <m/>
    <s v="E-Commerce/E-Commerce/Infrastructure"/>
    <n v="11"/>
    <x v="16"/>
    <m/>
    <n v="0"/>
    <s v="E-Commerce/Infrastructure 11"/>
  </r>
  <r>
    <n v="945"/>
    <x v="1"/>
    <d v="2015-09-25T00:00:00"/>
    <m/>
    <d v="2015-09-29T19:11:17"/>
    <s v="All Assets"/>
    <m/>
    <s v="E-Commerce/E-Commerce/Latency"/>
    <n v="12"/>
    <x v="17"/>
    <m/>
    <n v="0"/>
    <s v="E-Commerce/Latency 12"/>
  </r>
  <r>
    <n v="945"/>
    <x v="1"/>
    <d v="2015-09-25T00:00:00"/>
    <m/>
    <d v="2015-09-29T19:11:17"/>
    <s v="All Assets"/>
    <m/>
    <s v="E-Commerce/Product Listings"/>
    <n v="13"/>
    <x v="18"/>
    <n v="63.020833330000002"/>
    <n v="0.63020833330000003"/>
    <s v="Product Listings 13"/>
  </r>
  <r>
    <n v="945"/>
    <x v="1"/>
    <d v="2015-09-25T00:00:00"/>
    <m/>
    <d v="2015-09-29T19:11:17"/>
    <s v="All Assets"/>
    <m/>
    <s v="E-Commerce/Product Listings/Site Functionality"/>
    <n v="26"/>
    <x v="19"/>
    <m/>
    <n v="0"/>
    <s v="Site Functionality 26"/>
  </r>
  <r>
    <n v="945"/>
    <x v="1"/>
    <d v="2015-09-25T00:00:00"/>
    <m/>
    <d v="2015-09-29T19:11:17"/>
    <s v="All Assets"/>
    <m/>
    <s v="E-Commerce/Product Listings/Product Listings/Reviews"/>
    <n v="25"/>
    <x v="20"/>
    <m/>
    <n v="0"/>
    <s v="Product Listings/Reviews 25"/>
  </r>
  <r>
    <n v="945"/>
    <x v="1"/>
    <d v="2015-09-25T00:00:00"/>
    <m/>
    <d v="2015-09-29T19:11:17"/>
    <s v="All Assets"/>
    <m/>
    <s v="E-Commerce/Product Listings/PLP Usability"/>
    <n v="24"/>
    <x v="21"/>
    <n v="53.333333330000002"/>
    <n v="0.53333333329999999"/>
    <s v="PLP Usability 24"/>
  </r>
  <r>
    <n v="945"/>
    <x v="1"/>
    <d v="2015-09-25T00:00:00"/>
    <m/>
    <d v="2015-09-29T19:11:17"/>
    <s v="All Assets"/>
    <m/>
    <s v="E-Commerce/Product Listings/PLP Merchandising"/>
    <n v="23"/>
    <x v="22"/>
    <n v="65"/>
    <n v="0.65"/>
    <s v="PLP Merchandising 23"/>
  </r>
  <r>
    <n v="945"/>
    <x v="1"/>
    <d v="2015-09-25T00:00:00"/>
    <m/>
    <d v="2015-09-29T19:11:17"/>
    <s v="All Assets"/>
    <m/>
    <s v="E-Commerce/Product Listings/Non-Product Site Content"/>
    <n v="20"/>
    <x v="23"/>
    <n v="65"/>
    <n v="0.65"/>
    <s v="Non-Product Site Content 20"/>
  </r>
  <r>
    <n v="945"/>
    <x v="1"/>
    <d v="2015-09-25T00:00:00"/>
    <m/>
    <d v="2015-09-29T19:11:17"/>
    <s v="All Assets"/>
    <m/>
    <s v="E-Commerce/Product Listings/PLP Content"/>
    <n v="21"/>
    <x v="24"/>
    <m/>
    <n v="0"/>
    <s v="PLP Content 21"/>
  </r>
  <r>
    <n v="945"/>
    <x v="1"/>
    <d v="2015-09-25T00:00:00"/>
    <m/>
    <d v="2015-09-29T19:11:17"/>
    <s v="All Assets"/>
    <m/>
    <s v="E-Commerce/Product Listings/PLP Functionality"/>
    <n v="22"/>
    <x v="25"/>
    <n v="70"/>
    <n v="0.7"/>
    <s v="PLP Functionality 22"/>
  </r>
  <r>
    <n v="945"/>
    <x v="1"/>
    <d v="2015-09-25T00:00:00"/>
    <m/>
    <d v="2015-09-29T19:11:17"/>
    <s v="All Assets"/>
    <m/>
    <s v="E-Commerce/User Engagement"/>
    <n v="17"/>
    <x v="26"/>
    <m/>
    <n v="0"/>
    <s v="User Engagement 17"/>
  </r>
  <r>
    <n v="945"/>
    <x v="1"/>
    <d v="2015-09-25T00:00:00"/>
    <m/>
    <d v="2015-09-29T19:11:17"/>
    <s v="All Assets"/>
    <m/>
    <s v="E-Commerce/Site Content"/>
    <n v="16"/>
    <x v="27"/>
    <m/>
    <n v="0"/>
    <s v="Site Content 16"/>
  </r>
  <r>
    <n v="945"/>
    <x v="1"/>
    <d v="2015-09-25T00:00:00"/>
    <m/>
    <d v="2015-09-29T19:11:17"/>
    <s v="All Assets"/>
    <m/>
    <s v="E-Commerce/E-Commerce/Product Merchandising"/>
    <n v="144"/>
    <x v="28"/>
    <n v="58.842794759999997"/>
    <n v="0.58842794759999995"/>
    <s v="E-Commerce/Product Merchandising 144"/>
  </r>
  <r>
    <n v="945"/>
    <x v="1"/>
    <d v="2015-09-25T00:00:00"/>
    <m/>
    <d v="2015-09-29T19:11:17"/>
    <s v="All Assets"/>
    <m/>
    <s v="E-Commerce/E-Commerce/Reviews"/>
    <n v="15"/>
    <x v="29"/>
    <m/>
    <n v="0"/>
    <s v="E-Commerce/Reviews 15"/>
  </r>
  <r>
    <n v="945"/>
    <x v="1"/>
    <d v="2015-09-25T00:00:00"/>
    <m/>
    <d v="2015-09-29T19:11:17"/>
    <s v="All Assets"/>
    <m/>
    <s v="E-Commerce/Product Search"/>
    <n v="14"/>
    <x v="30"/>
    <m/>
    <n v="0"/>
    <s v="Product Search 14"/>
  </r>
  <r>
    <n v="945"/>
    <x v="1"/>
    <d v="2015-09-25T00:00:00"/>
    <m/>
    <d v="2015-09-29T19:11:17"/>
    <s v="All Assets"/>
    <m/>
    <s v="E-Commerce/E-Commerce/Unassigned"/>
    <n v="19"/>
    <x v="31"/>
    <m/>
    <n v="0"/>
    <s v="E-Commerce/Unassigned 19"/>
  </r>
  <r>
    <n v="945"/>
    <x v="1"/>
    <d v="2015-09-25T00:00:00"/>
    <m/>
    <d v="2015-09-29T19:11:17"/>
    <s v="All Assets"/>
    <m/>
    <s v="E-Commerce/Section Pages"/>
    <n v="18"/>
    <x v="32"/>
    <m/>
    <n v="0"/>
    <s v="Section Pages 18"/>
  </r>
  <r>
    <n v="945"/>
    <x v="1"/>
    <d v="2015-09-25T00:00:00"/>
    <m/>
    <d v="2015-09-29T19:11:17"/>
    <s v="All Assets"/>
    <m/>
    <s v="Mobile"/>
    <n v="27"/>
    <x v="33"/>
    <n v="69.296296299999995"/>
    <n v="0.69296296299999993"/>
    <s v="Mobile 27"/>
  </r>
  <r>
    <n v="945"/>
    <x v="1"/>
    <d v="2015-09-25T00:00:00"/>
    <m/>
    <d v="2015-09-29T19:11:17"/>
    <s v="All Assets"/>
    <m/>
    <s v="Mobile/Mobile/Content"/>
    <n v="29"/>
    <x v="34"/>
    <m/>
    <n v="0"/>
    <s v="Mobile/Content 29"/>
  </r>
  <r>
    <n v="945"/>
    <x v="1"/>
    <d v="2015-09-25T00:00:00"/>
    <m/>
    <d v="2015-09-29T19:11:17"/>
    <s v="All Assets"/>
    <m/>
    <s v="Mobile/Compatibility"/>
    <n v="28"/>
    <x v="35"/>
    <n v="58.1875"/>
    <n v="0.58187500000000003"/>
    <s v="Compatibility 28"/>
  </r>
  <r>
    <n v="945"/>
    <x v="1"/>
    <d v="2015-09-25T00:00:00"/>
    <m/>
    <d v="2015-09-29T19:11:17"/>
    <s v="All Assets"/>
    <m/>
    <s v="Mobile/Mobile/Infrastructure"/>
    <n v="31"/>
    <x v="36"/>
    <n v="100"/>
    <n v="1"/>
    <s v="Mobile/Infrastructure 31"/>
  </r>
  <r>
    <n v="945"/>
    <x v="1"/>
    <d v="2015-09-25T00:00:00"/>
    <m/>
    <d v="2015-09-29T19:11:17"/>
    <s v="All Assets"/>
    <m/>
    <s v="Mobile/Functionality"/>
    <n v="30"/>
    <x v="37"/>
    <n v="68"/>
    <n v="0.68"/>
    <s v="Functionality 30"/>
  </r>
  <r>
    <n v="945"/>
    <x v="1"/>
    <d v="2015-09-25T00:00:00"/>
    <m/>
    <d v="2015-09-29T19:11:17"/>
    <s v="All Assets"/>
    <m/>
    <s v="Mobile/Mobile/Latency"/>
    <n v="32"/>
    <x v="38"/>
    <m/>
    <n v="0"/>
    <s v="Mobile/Latency 32"/>
  </r>
  <r>
    <n v="945"/>
    <x v="1"/>
    <d v="2015-09-25T00:00:00"/>
    <m/>
    <d v="2015-09-29T19:11:17"/>
    <s v="All Assets"/>
    <m/>
    <s v="Mobile/Mobile/Promotion"/>
    <n v="33"/>
    <x v="39"/>
    <m/>
    <n v="0"/>
    <s v="Mobile/Promotion 33"/>
  </r>
  <r>
    <n v="945"/>
    <x v="1"/>
    <d v="2015-09-25T00:00:00"/>
    <m/>
    <d v="2015-09-29T19:11:17"/>
    <s v="All Assets"/>
    <m/>
    <s v="Online Channel"/>
    <n v="68"/>
    <x v="40"/>
    <m/>
    <n v="0"/>
    <s v="Online Channel 68"/>
  </r>
  <r>
    <n v="945"/>
    <x v="1"/>
    <d v="2015-09-25T00:00:00"/>
    <m/>
    <d v="2015-09-29T19:11:17"/>
    <s v="All Assets"/>
    <m/>
    <s v="Online Channel/E-Referral"/>
    <n v="69"/>
    <x v="41"/>
    <m/>
    <n v="0"/>
    <s v="E-Referral 69"/>
  </r>
  <r>
    <n v="945"/>
    <x v="1"/>
    <d v="2015-09-25T00:00:00"/>
    <m/>
    <d v="2015-09-29T19:11:17"/>
    <s v="All Assets"/>
    <m/>
    <s v="Online Channel/Online Channel/Product Merchandising"/>
    <n v="71"/>
    <x v="42"/>
    <m/>
    <n v="0"/>
    <s v="Online Channel/Product Merchandising 71"/>
  </r>
  <r>
    <n v="945"/>
    <x v="1"/>
    <d v="2015-09-25T00:00:00"/>
    <m/>
    <d v="2015-09-29T19:11:17"/>
    <s v="All Assets"/>
    <m/>
    <s v="Online Channel/Brand Merchandising"/>
    <n v="70"/>
    <x v="43"/>
    <m/>
    <n v="0"/>
    <s v="Brand Merchandising 70"/>
  </r>
  <r>
    <n v="945"/>
    <x v="1"/>
    <d v="2015-09-25T00:00:00"/>
    <m/>
    <d v="2015-09-29T19:11:17"/>
    <s v="All Assets"/>
    <m/>
    <s v="Opportunity Conversion"/>
    <n v="75"/>
    <x v="44"/>
    <n v="57.170853270000002"/>
    <n v="0.57170853269999999"/>
    <s v="Opportunity Conversion 75"/>
  </r>
  <r>
    <n v="945"/>
    <x v="1"/>
    <d v="2015-09-25T00:00:00"/>
    <m/>
    <d v="2015-09-29T19:11:17"/>
    <s v="All Assets"/>
    <m/>
    <s v="SEM"/>
    <n v="34"/>
    <x v="45"/>
    <n v="62.947077409999999"/>
    <n v="0.62947077409999996"/>
    <s v="SEM 34"/>
  </r>
  <r>
    <n v="945"/>
    <x v="1"/>
    <d v="2015-09-25T00:00:00"/>
    <m/>
    <d v="2015-09-29T19:11:17"/>
    <s v="All Assets"/>
    <m/>
    <s v="SEM/SEM/Content"/>
    <n v="37"/>
    <x v="46"/>
    <n v="60.79132791"/>
    <n v="0.60791327910000004"/>
    <s v="SEM/Content 37"/>
  </r>
  <r>
    <n v="945"/>
    <x v="1"/>
    <d v="2015-09-25T00:00:00"/>
    <m/>
    <d v="2015-09-29T19:11:17"/>
    <s v="All Assets"/>
    <m/>
    <s v="SEM/Inclusion"/>
    <n v="38"/>
    <x v="47"/>
    <m/>
    <n v="0"/>
    <s v="Inclusion 38"/>
  </r>
  <r>
    <n v="945"/>
    <x v="1"/>
    <d v="2015-09-25T00:00:00"/>
    <m/>
    <d v="2015-09-29T19:11:17"/>
    <s v="All Assets"/>
    <m/>
    <s v="SEM/Advertising"/>
    <n v="35"/>
    <x v="48"/>
    <m/>
    <n v="0"/>
    <s v="Advertising 35"/>
  </r>
  <r>
    <n v="945"/>
    <x v="1"/>
    <d v="2015-09-25T00:00:00"/>
    <m/>
    <d v="2015-09-29T19:11:17"/>
    <s v="All Assets"/>
    <m/>
    <s v="SEM/Constructs"/>
    <n v="36"/>
    <x v="49"/>
    <n v="65.918674699999997"/>
    <n v="0.65918674700000002"/>
    <s v="Constructs 36"/>
  </r>
  <r>
    <n v="945"/>
    <x v="1"/>
    <d v="2015-09-25T00:00:00"/>
    <m/>
    <d v="2015-09-29T19:11:17"/>
    <s v="All Assets"/>
    <m/>
    <s v="SEM/SEM/Unassigned"/>
    <n v="41"/>
    <x v="50"/>
    <m/>
    <n v="0"/>
    <s v="SEM/Unassigned 41"/>
  </r>
  <r>
    <n v="945"/>
    <x v="1"/>
    <d v="2015-09-25T00:00:00"/>
    <m/>
    <d v="2015-09-29T19:11:17"/>
    <s v="All Assets"/>
    <m/>
    <s v="SEM/SEM/Infrastructure"/>
    <n v="39"/>
    <x v="51"/>
    <n v="66.650000000000006"/>
    <n v="0.66650000000000009"/>
    <s v="SEM/Infrastructure 39"/>
  </r>
  <r>
    <n v="945"/>
    <x v="1"/>
    <d v="2015-09-25T00:00:00"/>
    <m/>
    <d v="2015-09-29T19:11:17"/>
    <s v="All Assets"/>
    <m/>
    <s v="SEM/Ranking"/>
    <n v="40"/>
    <x v="52"/>
    <m/>
    <n v="0"/>
    <s v="Ranking 40"/>
  </r>
  <r>
    <n v="945"/>
    <x v="1"/>
    <d v="2015-09-25T00:00:00"/>
    <m/>
    <d v="2015-09-29T19:11:17"/>
    <s v="All Assets"/>
    <m/>
    <s v="Social Media"/>
    <n v="42"/>
    <x v="53"/>
    <n v="68.181818179999993"/>
    <n v="0.68181818179999998"/>
    <s v="Social Media 42"/>
  </r>
  <r>
    <n v="945"/>
    <x v="1"/>
    <d v="2015-09-25T00:00:00"/>
    <m/>
    <d v="2015-09-29T19:11:17"/>
    <s v="All Assets"/>
    <m/>
    <s v="Social Media/Social Media/Unassigned"/>
    <n v="52"/>
    <x v="54"/>
    <m/>
    <n v="0"/>
    <s v="Social Media/Unassigned 52"/>
  </r>
  <r>
    <n v="945"/>
    <x v="1"/>
    <d v="2015-09-25T00:00:00"/>
    <m/>
    <d v="2015-09-29T19:11:17"/>
    <s v="All Assets"/>
    <m/>
    <s v="Social Media/YouTube"/>
    <n v="51"/>
    <x v="55"/>
    <n v="88.235294120000006"/>
    <n v="0.88235294120000007"/>
    <s v="YouTube 51"/>
  </r>
  <r>
    <n v="945"/>
    <x v="1"/>
    <d v="2015-09-25T00:00:00"/>
    <m/>
    <d v="2015-09-29T19:11:17"/>
    <s v="All Assets"/>
    <m/>
    <s v="Social Media/Twitter"/>
    <n v="50"/>
    <x v="56"/>
    <n v="100"/>
    <n v="1"/>
    <s v="Twitter 50"/>
  </r>
  <r>
    <n v="945"/>
    <x v="1"/>
    <d v="2015-09-25T00:00:00"/>
    <m/>
    <d v="2015-09-29T19:11:17"/>
    <s v="All Assets"/>
    <m/>
    <s v="Social Media/Social Media/Promotion"/>
    <n v="49"/>
    <x v="57"/>
    <n v="50"/>
    <n v="0.5"/>
    <s v="Social Media/Promotion 49"/>
  </r>
  <r>
    <n v="945"/>
    <x v="1"/>
    <d v="2015-09-25T00:00:00"/>
    <m/>
    <d v="2015-09-29T19:11:17"/>
    <s v="All Assets"/>
    <m/>
    <s v="Social Media/Other Social Networks"/>
    <n v="48"/>
    <x v="58"/>
    <m/>
    <n v="0"/>
    <s v="Other Social Networks 48"/>
  </r>
  <r>
    <n v="945"/>
    <x v="1"/>
    <d v="2015-09-25T00:00:00"/>
    <m/>
    <d v="2015-09-29T19:11:17"/>
    <s v="All Assets"/>
    <m/>
    <s v="Social Media/LinkedIn"/>
    <n v="47"/>
    <x v="59"/>
    <m/>
    <n v="0"/>
    <s v="LinkedIn 47"/>
  </r>
  <r>
    <n v="945"/>
    <x v="1"/>
    <d v="2015-09-25T00:00:00"/>
    <m/>
    <d v="2015-09-29T19:11:17"/>
    <s v="All Assets"/>
    <m/>
    <s v="Social Media/Social Media/Content"/>
    <n v="44"/>
    <x v="60"/>
    <m/>
    <n v="0"/>
    <s v="Social Media/Content 44"/>
  </r>
  <r>
    <n v="945"/>
    <x v="1"/>
    <d v="2015-09-25T00:00:00"/>
    <m/>
    <d v="2015-09-29T19:11:17"/>
    <s v="All Assets"/>
    <m/>
    <s v="Social Media/Social Media/Infrastructure"/>
    <n v="46"/>
    <x v="61"/>
    <n v="65.38461538"/>
    <n v="0.6538461538"/>
    <s v="Social Media/Infrastructure 46"/>
  </r>
  <r>
    <n v="945"/>
    <x v="1"/>
    <d v="2015-09-25T00:00:00"/>
    <m/>
    <d v="2015-09-29T19:11:17"/>
    <s v="All Assets"/>
    <m/>
    <s v="Social Media/Facebook"/>
    <n v="45"/>
    <x v="62"/>
    <n v="45.689655170000002"/>
    <n v="0.45689655170000004"/>
    <s v="Facebook 45"/>
  </r>
  <r>
    <n v="945"/>
    <x v="1"/>
    <d v="2015-09-25T00:00:00"/>
    <m/>
    <d v="2015-09-29T19:11:17"/>
    <s v="All Assets"/>
    <m/>
    <s v="Social Media/Social Media/Appeal"/>
    <n v="43"/>
    <x v="63"/>
    <m/>
    <n v="0"/>
    <s v="Social Media/Appeal 43"/>
  </r>
  <r>
    <n v="945"/>
    <x v="1"/>
    <d v="2015-09-25T00:00:00"/>
    <m/>
    <d v="2015-09-29T19:11:17"/>
    <s v="All Assets"/>
    <m/>
    <s v="Support"/>
    <n v="53"/>
    <x v="64"/>
    <n v="65.202492210000003"/>
    <n v="0.65202492210000007"/>
    <s v="Support 53"/>
  </r>
  <r>
    <n v="945"/>
    <x v="1"/>
    <d v="2015-09-25T00:00:00"/>
    <m/>
    <d v="2015-09-29T19:11:17"/>
    <s v="All Assets"/>
    <m/>
    <s v="Task Completion"/>
    <n v="151"/>
    <x v="65"/>
    <n v="61.629440719999998"/>
    <n v="0.61629440719999995"/>
    <s v="Task Completion 151"/>
  </r>
  <r>
    <n v="945"/>
    <x v="1"/>
    <d v="2015-09-25T00:00:00"/>
    <m/>
    <d v="2015-09-29T19:11:17"/>
    <s v="All Assets"/>
    <m/>
    <s v="Time Spent on Site"/>
    <n v="152"/>
    <x v="66"/>
    <n v="62.657652239999997"/>
    <n v="0.62657652239999995"/>
    <s v="Time Spent on Site 152"/>
  </r>
  <r>
    <n v="945"/>
    <x v="1"/>
    <d v="2015-09-25T00:00:00"/>
    <m/>
    <d v="2015-09-29T19:11:17"/>
    <s v="All Assets"/>
    <m/>
    <s v="Traffic"/>
    <n v="149"/>
    <x v="67"/>
    <n v="64.609118089999996"/>
    <n v="0.64609118089999995"/>
    <s v="Traffic 149"/>
  </r>
  <r>
    <n v="945"/>
    <x v="1"/>
    <d v="2015-09-25T00:00:00"/>
    <m/>
    <d v="2015-09-29T19:11:17"/>
    <s v="All Assets"/>
    <m/>
    <s v="Website"/>
    <n v="54"/>
    <x v="68"/>
    <n v="66.992875780000006"/>
    <n v="0.66992875780000005"/>
    <s v="Website 54"/>
  </r>
  <r>
    <n v="945"/>
    <x v="1"/>
    <d v="2015-09-25T00:00:00"/>
    <m/>
    <d v="2015-09-29T19:11:17"/>
    <s v="All Assets"/>
    <m/>
    <s v="Website/E-Retail"/>
    <n v="57"/>
    <x v="69"/>
    <m/>
    <n v="0"/>
    <s v="E-Retail 57"/>
  </r>
  <r>
    <n v="945"/>
    <x v="1"/>
    <d v="2015-09-25T00:00:00"/>
    <m/>
    <d v="2015-09-29T19:11:17"/>
    <s v="All Assets"/>
    <m/>
    <s v="Website/Website/Infrastructure"/>
    <n v="58"/>
    <x v="70"/>
    <n v="75.487804879999999"/>
    <n v="0.75487804879999998"/>
    <s v="Website/Infrastructure 58"/>
  </r>
  <r>
    <n v="945"/>
    <x v="1"/>
    <d v="2015-09-25T00:00:00"/>
    <m/>
    <d v="2015-09-29T19:11:17"/>
    <s v="All Assets"/>
    <m/>
    <s v="Website/Website/Latency"/>
    <n v="59"/>
    <x v="71"/>
    <n v="68.903508770000002"/>
    <n v="0.68903508769999999"/>
    <s v="Website/Latency 59"/>
  </r>
  <r>
    <n v="945"/>
    <x v="1"/>
    <d v="2015-09-25T00:00:00"/>
    <m/>
    <d v="2015-09-29T19:11:17"/>
    <s v="All Assets"/>
    <m/>
    <s v="Website/Website/Promotion"/>
    <n v="60"/>
    <x v="72"/>
    <n v="61.470588239999998"/>
    <n v="0.61470588240000001"/>
    <s v="Website/Promotion 60"/>
  </r>
  <r>
    <n v="945"/>
    <x v="1"/>
    <d v="2015-09-25T00:00:00"/>
    <m/>
    <d v="2015-09-29T19:11:17"/>
    <s v="All Assets"/>
    <m/>
    <s v="Website/Website/Appeal"/>
    <n v="55"/>
    <x v="73"/>
    <m/>
    <n v="0"/>
    <s v="Website/Appeal 55"/>
  </r>
  <r>
    <n v="945"/>
    <x v="1"/>
    <d v="2015-09-25T00:00:00"/>
    <m/>
    <d v="2015-09-29T19:11:17"/>
    <s v="All Assets"/>
    <m/>
    <s v="Website/Website/Content"/>
    <n v="56"/>
    <x v="74"/>
    <n v="57.655440409999997"/>
    <n v="0.57655440409999992"/>
    <s v="Website/Content 56"/>
  </r>
  <r>
    <n v="945"/>
    <x v="1"/>
    <d v="2015-09-25T00:00:00"/>
    <m/>
    <d v="2015-09-29T19:11:17"/>
    <s v="All Assets"/>
    <m/>
    <s v="Website/Website/Reviews"/>
    <n v="61"/>
    <x v="75"/>
    <m/>
    <n v="0"/>
    <s v="Website/Reviews 61"/>
  </r>
  <r>
    <n v="945"/>
    <x v="1"/>
    <d v="2015-09-25T00:00:00"/>
    <m/>
    <d v="2015-09-29T19:11:17"/>
    <s v="All Assets"/>
    <m/>
    <s v="Website/User Registration"/>
    <n v="66"/>
    <x v="76"/>
    <n v="55"/>
    <n v="0.55000000000000004"/>
    <s v="User Registration 66"/>
  </r>
  <r>
    <n v="945"/>
    <x v="1"/>
    <d v="2015-09-25T00:00:00"/>
    <m/>
    <d v="2015-09-29T19:11:17"/>
    <s v="All Assets"/>
    <m/>
    <s v="Website/Website/Unassigned"/>
    <n v="67"/>
    <x v="77"/>
    <m/>
    <n v="0"/>
    <s v="Website/Unassigned 67"/>
  </r>
  <r>
    <n v="945"/>
    <x v="1"/>
    <d v="2015-09-25T00:00:00"/>
    <m/>
    <d v="2015-09-29T19:11:17"/>
    <s v="All Assets"/>
    <m/>
    <s v="Website/Website/Traffic"/>
    <n v="64"/>
    <x v="78"/>
    <m/>
    <n v="0"/>
    <s v="Website/Traffic 64"/>
  </r>
  <r>
    <n v="945"/>
    <x v="1"/>
    <d v="2015-09-25T00:00:00"/>
    <m/>
    <d v="2015-09-29T19:11:17"/>
    <s v="All Assets"/>
    <m/>
    <s v="Website/Usability"/>
    <n v="65"/>
    <x v="79"/>
    <n v="79.862745099999998"/>
    <n v="0.79862745099999999"/>
    <s v="Usability 65"/>
  </r>
  <r>
    <n v="945"/>
    <x v="1"/>
    <d v="2015-09-25T00:00:00"/>
    <m/>
    <d v="2015-09-29T19:11:17"/>
    <s v="All Assets"/>
    <m/>
    <s v="Website/Site Search"/>
    <n v="63"/>
    <x v="80"/>
    <n v="59.895522389999996"/>
    <n v="0.5989552239"/>
    <s v="Site Search 63"/>
  </r>
  <r>
    <n v="945"/>
    <x v="1"/>
    <d v="2015-09-25T00:00:00"/>
    <m/>
    <d v="2015-09-29T19:11:17"/>
    <s v="All Assets"/>
    <m/>
    <s v="Website/Search Engine Constructs"/>
    <n v="62"/>
    <x v="81"/>
    <n v="50"/>
    <n v="0.5"/>
    <s v="Search Engine Constructs 62"/>
  </r>
  <r>
    <n v="946"/>
    <x v="2"/>
    <d v="2015-09-25T00:00:00"/>
    <m/>
    <d v="2015-09-29T19:11:24"/>
    <s v="All Assets"/>
    <m/>
    <s v="Abandonment"/>
    <n v="150"/>
    <x v="0"/>
    <n v="63.731604050000001"/>
    <n v="0.63731604050000001"/>
    <s v="Abandonment 150"/>
  </r>
  <r>
    <n v="946"/>
    <x v="2"/>
    <d v="2015-09-25T00:00:00"/>
    <m/>
    <d v="2015-09-29T19:11:24"/>
    <s v="All Assets"/>
    <m/>
    <s v="Average Order Value"/>
    <n v="154"/>
    <x v="1"/>
    <n v="55"/>
    <n v="0.55000000000000004"/>
    <s v="Average Order Value 154"/>
  </r>
  <r>
    <n v="946"/>
    <x v="2"/>
    <d v="2015-09-25T00:00:00"/>
    <m/>
    <d v="2015-09-29T19:11:24"/>
    <s v="All Assets"/>
    <m/>
    <s v="Awareness Creation"/>
    <n v="72"/>
    <x v="2"/>
    <n v="67.309294870000002"/>
    <n v="0.67309294870000003"/>
    <s v="Awareness Creation 72"/>
  </r>
  <r>
    <n v="946"/>
    <x v="2"/>
    <d v="2015-09-25T00:00:00"/>
    <m/>
    <d v="2015-09-29T19:11:24"/>
    <s v="All Assets"/>
    <m/>
    <s v="Content"/>
    <n v="1"/>
    <x v="3"/>
    <n v="58.378378380000001"/>
    <n v="0.58378378379999996"/>
    <s v="Content 1"/>
  </r>
  <r>
    <n v="946"/>
    <x v="2"/>
    <d v="2015-09-25T00:00:00"/>
    <m/>
    <d v="2015-09-29T19:11:24"/>
    <s v="All Assets"/>
    <m/>
    <s v="Content/Access"/>
    <n v="2"/>
    <x v="4"/>
    <m/>
    <n v="0"/>
    <s v="Access 2"/>
  </r>
  <r>
    <n v="946"/>
    <x v="2"/>
    <d v="2015-09-25T00:00:00"/>
    <m/>
    <d v="2015-09-29T19:11:24"/>
    <s v="All Assets"/>
    <m/>
    <s v="Content/Content/Unassigned"/>
    <n v="8"/>
    <x v="5"/>
    <n v="57.575757580000001"/>
    <n v="0.57575757579999998"/>
    <s v="Content/Unassigned 8"/>
  </r>
  <r>
    <n v="946"/>
    <x v="2"/>
    <d v="2015-09-25T00:00:00"/>
    <m/>
    <d v="2015-09-29T19:11:24"/>
    <s v="All Assets"/>
    <m/>
    <s v="Content/Core Content"/>
    <n v="6"/>
    <x v="6"/>
    <n v="57.296072510000002"/>
    <n v="0.57296072510000007"/>
    <s v="Core Content 6"/>
  </r>
  <r>
    <n v="946"/>
    <x v="2"/>
    <d v="2015-09-25T00:00:00"/>
    <m/>
    <d v="2015-09-29T19:11:24"/>
    <s v="All Assets"/>
    <m/>
    <s v="Content/User Generated Content"/>
    <n v="7"/>
    <x v="7"/>
    <m/>
    <n v="0"/>
    <s v="User Generated Content 7"/>
  </r>
  <r>
    <n v="946"/>
    <x v="2"/>
    <d v="2015-09-25T00:00:00"/>
    <m/>
    <d v="2015-09-29T19:11:24"/>
    <s v="All Assets"/>
    <m/>
    <s v="Content/Content/Infrastructure"/>
    <n v="4"/>
    <x v="8"/>
    <n v="75"/>
    <n v="0.75"/>
    <s v="Content/Infrastructure 4"/>
  </r>
  <r>
    <n v="946"/>
    <x v="2"/>
    <d v="2015-09-25T00:00:00"/>
    <m/>
    <d v="2015-09-29T19:11:24"/>
    <s v="All Assets"/>
    <m/>
    <s v="Content/Content/Promotion"/>
    <n v="5"/>
    <x v="9"/>
    <n v="75"/>
    <n v="0.75"/>
    <s v="Content/Promotion 5"/>
  </r>
  <r>
    <n v="946"/>
    <x v="2"/>
    <d v="2015-09-25T00:00:00"/>
    <m/>
    <d v="2015-09-29T19:11:24"/>
    <s v="All Assets"/>
    <m/>
    <s v="Content/Content/Appeal"/>
    <n v="3"/>
    <x v="10"/>
    <n v="74"/>
    <n v="0.74"/>
    <s v="Content/Appeal 3"/>
  </r>
  <r>
    <n v="946"/>
    <x v="2"/>
    <d v="2015-09-25T00:00:00"/>
    <m/>
    <d v="2015-09-29T19:11:24"/>
    <s v="All Assets"/>
    <m/>
    <s v="Conversion"/>
    <n v="153"/>
    <x v="11"/>
    <n v="53.619480520000003"/>
    <n v="0.53619480520000007"/>
    <s v="Conversion 153"/>
  </r>
  <r>
    <n v="946"/>
    <x v="2"/>
    <d v="2015-09-25T00:00:00"/>
    <m/>
    <d v="2015-09-29T19:11:24"/>
    <s v="All Assets"/>
    <m/>
    <s v="Customer Engagement"/>
    <n v="73"/>
    <x v="12"/>
    <n v="64.640532759999999"/>
    <n v="0.64640532760000002"/>
    <s v="Customer Engagement 73"/>
  </r>
  <r>
    <n v="946"/>
    <x v="2"/>
    <d v="2015-09-25T00:00:00"/>
    <m/>
    <d v="2015-09-29T19:11:24"/>
    <s v="All Assets"/>
    <m/>
    <s v="Demand Generation"/>
    <n v="74"/>
    <x v="13"/>
    <n v="66.17525028"/>
    <n v="0.66175250279999998"/>
    <s v="Demand Generation 74"/>
  </r>
  <r>
    <n v="946"/>
    <x v="2"/>
    <d v="2015-09-25T00:00:00"/>
    <m/>
    <d v="2015-09-29T19:11:24"/>
    <s v="All Assets"/>
    <m/>
    <s v="E-Commerce"/>
    <n v="9"/>
    <x v="14"/>
    <n v="61.62601626"/>
    <n v="0.61626016260000005"/>
    <s v="E-Commerce 9"/>
  </r>
  <r>
    <n v="946"/>
    <x v="2"/>
    <d v="2015-09-25T00:00:00"/>
    <m/>
    <d v="2015-09-29T19:11:24"/>
    <s v="All Assets"/>
    <m/>
    <s v="E-Commerce/Checkout"/>
    <n v="10"/>
    <x v="15"/>
    <m/>
    <n v="0"/>
    <s v="Checkout 10"/>
  </r>
  <r>
    <n v="946"/>
    <x v="2"/>
    <d v="2015-09-25T00:00:00"/>
    <m/>
    <d v="2015-09-29T19:11:24"/>
    <s v="All Assets"/>
    <m/>
    <s v="E-Commerce/E-Commerce/Infrastructure"/>
    <n v="11"/>
    <x v="16"/>
    <m/>
    <n v="0"/>
    <s v="E-Commerce/Infrastructure 11"/>
  </r>
  <r>
    <n v="946"/>
    <x v="2"/>
    <d v="2015-09-25T00:00:00"/>
    <m/>
    <d v="2015-09-29T19:11:24"/>
    <s v="All Assets"/>
    <m/>
    <s v="E-Commerce/E-Commerce/Latency"/>
    <n v="12"/>
    <x v="17"/>
    <m/>
    <n v="0"/>
    <s v="E-Commerce/Latency 12"/>
  </r>
  <r>
    <n v="946"/>
    <x v="2"/>
    <d v="2015-09-25T00:00:00"/>
    <m/>
    <d v="2015-09-29T19:11:24"/>
    <s v="All Assets"/>
    <m/>
    <s v="E-Commerce/Product Listings"/>
    <n v="13"/>
    <x v="18"/>
    <n v="61.514084510000004"/>
    <n v="0.6151408451"/>
    <s v="Product Listings 13"/>
  </r>
  <r>
    <n v="946"/>
    <x v="2"/>
    <d v="2015-09-25T00:00:00"/>
    <m/>
    <d v="2015-09-29T19:11:24"/>
    <s v="All Assets"/>
    <m/>
    <s v="E-Commerce/Product Listings/Site Functionality"/>
    <n v="26"/>
    <x v="19"/>
    <m/>
    <n v="0"/>
    <s v="Site Functionality 26"/>
  </r>
  <r>
    <n v="946"/>
    <x v="2"/>
    <d v="2015-09-25T00:00:00"/>
    <m/>
    <d v="2015-09-29T19:11:24"/>
    <s v="All Assets"/>
    <m/>
    <s v="E-Commerce/Product Listings/Product Listings/Reviews"/>
    <n v="25"/>
    <x v="20"/>
    <m/>
    <n v="0"/>
    <s v="Product Listings/Reviews 25"/>
  </r>
  <r>
    <n v="946"/>
    <x v="2"/>
    <d v="2015-09-25T00:00:00"/>
    <m/>
    <d v="2015-09-29T19:11:24"/>
    <s v="All Assets"/>
    <m/>
    <s v="E-Commerce/Product Listings/PLP Usability"/>
    <n v="24"/>
    <x v="21"/>
    <n v="64.444444439999998"/>
    <n v="0.64444444439999993"/>
    <s v="PLP Usability 24"/>
  </r>
  <r>
    <n v="946"/>
    <x v="2"/>
    <d v="2015-09-25T00:00:00"/>
    <m/>
    <d v="2015-09-29T19:11:24"/>
    <s v="All Assets"/>
    <m/>
    <s v="E-Commerce/Product Listings/PLP Merchandising"/>
    <n v="23"/>
    <x v="22"/>
    <n v="56.267605629999998"/>
    <n v="0.56267605629999995"/>
    <s v="PLP Merchandising 23"/>
  </r>
  <r>
    <n v="946"/>
    <x v="2"/>
    <d v="2015-09-25T00:00:00"/>
    <m/>
    <d v="2015-09-29T19:11:24"/>
    <s v="All Assets"/>
    <m/>
    <s v="E-Commerce/Product Listings/Non-Product Site Content"/>
    <n v="20"/>
    <x v="23"/>
    <n v="65"/>
    <n v="0.65"/>
    <s v="Non-Product Site Content 20"/>
  </r>
  <r>
    <n v="946"/>
    <x v="2"/>
    <d v="2015-09-25T00:00:00"/>
    <m/>
    <d v="2015-09-29T19:11:24"/>
    <s v="All Assets"/>
    <m/>
    <s v="E-Commerce/Product Listings/PLP Content"/>
    <n v="21"/>
    <x v="24"/>
    <m/>
    <n v="0"/>
    <s v="PLP Content 21"/>
  </r>
  <r>
    <n v="946"/>
    <x v="2"/>
    <d v="2015-09-25T00:00:00"/>
    <m/>
    <d v="2015-09-29T19:11:24"/>
    <s v="All Assets"/>
    <m/>
    <s v="E-Commerce/Product Listings/PLP Functionality"/>
    <n v="22"/>
    <x v="25"/>
    <n v="100"/>
    <n v="1"/>
    <s v="PLP Functionality 22"/>
  </r>
  <r>
    <n v="946"/>
    <x v="2"/>
    <d v="2015-09-25T00:00:00"/>
    <m/>
    <d v="2015-09-29T19:11:24"/>
    <s v="All Assets"/>
    <m/>
    <s v="E-Commerce/User Engagement"/>
    <n v="17"/>
    <x v="26"/>
    <m/>
    <n v="0"/>
    <s v="User Engagement 17"/>
  </r>
  <r>
    <n v="946"/>
    <x v="2"/>
    <d v="2015-09-25T00:00:00"/>
    <m/>
    <d v="2015-09-29T19:11:24"/>
    <s v="All Assets"/>
    <m/>
    <s v="E-Commerce/Site Content"/>
    <n v="16"/>
    <x v="27"/>
    <m/>
    <n v="0"/>
    <s v="Site Content 16"/>
  </r>
  <r>
    <n v="946"/>
    <x v="2"/>
    <d v="2015-09-25T00:00:00"/>
    <m/>
    <d v="2015-09-29T19:11:24"/>
    <s v="All Assets"/>
    <m/>
    <s v="E-Commerce/E-Commerce/Product Merchandising"/>
    <n v="144"/>
    <x v="28"/>
    <n v="61.69603524"/>
    <n v="0.61696035240000002"/>
    <s v="E-Commerce/Product Merchandising 144"/>
  </r>
  <r>
    <n v="946"/>
    <x v="2"/>
    <d v="2015-09-25T00:00:00"/>
    <m/>
    <d v="2015-09-29T19:11:24"/>
    <s v="All Assets"/>
    <m/>
    <s v="E-Commerce/E-Commerce/Reviews"/>
    <n v="15"/>
    <x v="29"/>
    <m/>
    <n v="0"/>
    <s v="E-Commerce/Reviews 15"/>
  </r>
  <r>
    <n v="946"/>
    <x v="2"/>
    <d v="2015-09-25T00:00:00"/>
    <m/>
    <d v="2015-09-29T19:11:24"/>
    <s v="All Assets"/>
    <m/>
    <s v="E-Commerce/Product Search"/>
    <n v="14"/>
    <x v="30"/>
    <m/>
    <n v="0"/>
    <s v="Product Search 14"/>
  </r>
  <r>
    <n v="946"/>
    <x v="2"/>
    <d v="2015-09-25T00:00:00"/>
    <m/>
    <d v="2015-09-29T19:11:24"/>
    <s v="All Assets"/>
    <m/>
    <s v="E-Commerce/E-Commerce/Unassigned"/>
    <n v="19"/>
    <x v="31"/>
    <m/>
    <n v="0"/>
    <s v="E-Commerce/Unassigned 19"/>
  </r>
  <r>
    <n v="946"/>
    <x v="2"/>
    <d v="2015-09-25T00:00:00"/>
    <m/>
    <d v="2015-09-29T19:11:24"/>
    <s v="All Assets"/>
    <m/>
    <s v="E-Commerce/Section Pages"/>
    <n v="18"/>
    <x v="32"/>
    <m/>
    <n v="0"/>
    <s v="Section Pages 18"/>
  </r>
  <r>
    <n v="946"/>
    <x v="2"/>
    <d v="2015-09-25T00:00:00"/>
    <m/>
    <d v="2015-09-29T19:11:24"/>
    <s v="All Assets"/>
    <m/>
    <s v="Mobile"/>
    <n v="27"/>
    <x v="33"/>
    <n v="65.481481479999999"/>
    <n v="0.65481481480000003"/>
    <s v="Mobile 27"/>
  </r>
  <r>
    <n v="946"/>
    <x v="2"/>
    <d v="2015-09-25T00:00:00"/>
    <m/>
    <d v="2015-09-29T19:11:24"/>
    <s v="All Assets"/>
    <m/>
    <s v="Mobile/Mobile/Content"/>
    <n v="29"/>
    <x v="34"/>
    <m/>
    <n v="0"/>
    <s v="Mobile/Content 29"/>
  </r>
  <r>
    <n v="946"/>
    <x v="2"/>
    <d v="2015-09-25T00:00:00"/>
    <m/>
    <d v="2015-09-29T19:11:24"/>
    <s v="All Assets"/>
    <m/>
    <s v="Mobile/Compatibility"/>
    <n v="28"/>
    <x v="35"/>
    <n v="50.5"/>
    <n v="0.505"/>
    <s v="Compatibility 28"/>
  </r>
  <r>
    <n v="946"/>
    <x v="2"/>
    <d v="2015-09-25T00:00:00"/>
    <m/>
    <d v="2015-09-29T19:11:24"/>
    <s v="All Assets"/>
    <m/>
    <s v="Mobile/Mobile/Infrastructure"/>
    <n v="31"/>
    <x v="36"/>
    <n v="100"/>
    <n v="1"/>
    <s v="Mobile/Infrastructure 31"/>
  </r>
  <r>
    <n v="946"/>
    <x v="2"/>
    <d v="2015-09-25T00:00:00"/>
    <m/>
    <d v="2015-09-29T19:11:24"/>
    <s v="All Assets"/>
    <m/>
    <s v="Mobile/Functionality"/>
    <n v="30"/>
    <x v="37"/>
    <n v="72"/>
    <n v="0.72"/>
    <s v="Functionality 30"/>
  </r>
  <r>
    <n v="946"/>
    <x v="2"/>
    <d v="2015-09-25T00:00:00"/>
    <m/>
    <d v="2015-09-29T19:11:24"/>
    <s v="All Assets"/>
    <m/>
    <s v="Mobile/Mobile/Latency"/>
    <n v="32"/>
    <x v="38"/>
    <m/>
    <n v="0"/>
    <s v="Mobile/Latency 32"/>
  </r>
  <r>
    <n v="946"/>
    <x v="2"/>
    <d v="2015-09-25T00:00:00"/>
    <m/>
    <d v="2015-09-29T19:11:24"/>
    <s v="All Assets"/>
    <m/>
    <s v="Mobile/Mobile/Promotion"/>
    <n v="33"/>
    <x v="39"/>
    <m/>
    <n v="0"/>
    <s v="Mobile/Promotion 33"/>
  </r>
  <r>
    <n v="946"/>
    <x v="2"/>
    <d v="2015-09-25T00:00:00"/>
    <m/>
    <d v="2015-09-29T19:11:24"/>
    <s v="All Assets"/>
    <m/>
    <s v="Online Channel"/>
    <n v="68"/>
    <x v="40"/>
    <m/>
    <n v="0"/>
    <s v="Online Channel 68"/>
  </r>
  <r>
    <n v="946"/>
    <x v="2"/>
    <d v="2015-09-25T00:00:00"/>
    <m/>
    <d v="2015-09-29T19:11:24"/>
    <s v="All Assets"/>
    <m/>
    <s v="Online Channel/E-Referral"/>
    <n v="69"/>
    <x v="41"/>
    <m/>
    <n v="0"/>
    <s v="E-Referral 69"/>
  </r>
  <r>
    <n v="946"/>
    <x v="2"/>
    <d v="2015-09-25T00:00:00"/>
    <m/>
    <d v="2015-09-29T19:11:24"/>
    <s v="All Assets"/>
    <m/>
    <s v="Online Channel/Online Channel/Product Merchandising"/>
    <n v="71"/>
    <x v="42"/>
    <m/>
    <n v="0"/>
    <s v="Online Channel/Product Merchandising 71"/>
  </r>
  <r>
    <n v="946"/>
    <x v="2"/>
    <d v="2015-09-25T00:00:00"/>
    <m/>
    <d v="2015-09-29T19:11:24"/>
    <s v="All Assets"/>
    <m/>
    <s v="Online Channel/Brand Merchandising"/>
    <n v="70"/>
    <x v="43"/>
    <m/>
    <n v="0"/>
    <s v="Brand Merchandising 70"/>
  </r>
  <r>
    <n v="946"/>
    <x v="2"/>
    <d v="2015-09-25T00:00:00"/>
    <m/>
    <d v="2015-09-29T19:11:24"/>
    <s v="All Assets"/>
    <m/>
    <s v="Opportunity Conversion"/>
    <n v="75"/>
    <x v="44"/>
    <n v="59.193411759999996"/>
    <n v="0.59193411759999992"/>
    <s v="Opportunity Conversion 75"/>
  </r>
  <r>
    <n v="946"/>
    <x v="2"/>
    <d v="2015-09-25T00:00:00"/>
    <m/>
    <d v="2015-09-29T19:11:24"/>
    <s v="All Assets"/>
    <m/>
    <s v="SEM"/>
    <n v="34"/>
    <x v="45"/>
    <n v="66.771428569999998"/>
    <n v="0.66771428570000002"/>
    <s v="SEM 34"/>
  </r>
  <r>
    <n v="946"/>
    <x v="2"/>
    <d v="2015-09-25T00:00:00"/>
    <m/>
    <d v="2015-09-29T19:11:24"/>
    <s v="All Assets"/>
    <m/>
    <s v="SEM/SEM/Content"/>
    <n v="37"/>
    <x v="46"/>
    <n v="60.027642280000002"/>
    <n v="0.60027642280000004"/>
    <s v="SEM/Content 37"/>
  </r>
  <r>
    <n v="946"/>
    <x v="2"/>
    <d v="2015-09-25T00:00:00"/>
    <m/>
    <d v="2015-09-29T19:11:24"/>
    <s v="All Assets"/>
    <m/>
    <s v="SEM/Inclusion"/>
    <n v="38"/>
    <x v="47"/>
    <m/>
    <n v="0"/>
    <s v="Inclusion 38"/>
  </r>
  <r>
    <n v="946"/>
    <x v="2"/>
    <d v="2015-09-25T00:00:00"/>
    <m/>
    <d v="2015-09-29T19:11:24"/>
    <s v="All Assets"/>
    <m/>
    <s v="SEM/Advertising"/>
    <n v="35"/>
    <x v="48"/>
    <m/>
    <n v="0"/>
    <s v="Advertising 35"/>
  </r>
  <r>
    <n v="946"/>
    <x v="2"/>
    <d v="2015-09-25T00:00:00"/>
    <m/>
    <d v="2015-09-29T19:11:24"/>
    <s v="All Assets"/>
    <m/>
    <s v="SEM/Constructs"/>
    <n v="36"/>
    <x v="49"/>
    <n v="76.826506019999997"/>
    <n v="0.76826506019999996"/>
    <s v="Constructs 36"/>
  </r>
  <r>
    <n v="946"/>
    <x v="2"/>
    <d v="2015-09-25T00:00:00"/>
    <m/>
    <d v="2015-09-29T19:11:24"/>
    <s v="All Assets"/>
    <m/>
    <s v="SEM/SEM/Unassigned"/>
    <n v="41"/>
    <x v="50"/>
    <m/>
    <n v="0"/>
    <s v="SEM/Unassigned 41"/>
  </r>
  <r>
    <n v="946"/>
    <x v="2"/>
    <d v="2015-09-25T00:00:00"/>
    <m/>
    <d v="2015-09-29T19:11:24"/>
    <s v="All Assets"/>
    <m/>
    <s v="SEM/SEM/Infrastructure"/>
    <n v="39"/>
    <x v="51"/>
    <n v="65.5"/>
    <n v="0.65500000000000003"/>
    <s v="SEM/Infrastructure 39"/>
  </r>
  <r>
    <n v="946"/>
    <x v="2"/>
    <d v="2015-09-25T00:00:00"/>
    <m/>
    <d v="2015-09-29T19:11:24"/>
    <s v="All Assets"/>
    <m/>
    <s v="SEM/Ranking"/>
    <n v="40"/>
    <x v="52"/>
    <m/>
    <n v="0"/>
    <s v="Ranking 40"/>
  </r>
  <r>
    <n v="946"/>
    <x v="2"/>
    <d v="2015-09-25T00:00:00"/>
    <m/>
    <d v="2015-09-29T19:11:24"/>
    <s v="All Assets"/>
    <m/>
    <s v="Social Media"/>
    <n v="42"/>
    <x v="53"/>
    <n v="56.792452830000002"/>
    <n v="0.56792452830000006"/>
    <s v="Social Media 42"/>
  </r>
  <r>
    <n v="946"/>
    <x v="2"/>
    <d v="2015-09-25T00:00:00"/>
    <m/>
    <d v="2015-09-29T19:11:24"/>
    <s v="All Assets"/>
    <m/>
    <s v="Social Media/Social Media/Unassigned"/>
    <n v="52"/>
    <x v="54"/>
    <m/>
    <n v="0"/>
    <s v="Social Media/Unassigned 52"/>
  </r>
  <r>
    <n v="946"/>
    <x v="2"/>
    <d v="2015-09-25T00:00:00"/>
    <m/>
    <d v="2015-09-29T19:11:24"/>
    <s v="All Assets"/>
    <m/>
    <s v="Social Media/YouTube"/>
    <n v="51"/>
    <x v="55"/>
    <n v="67.307692309999993"/>
    <n v="0.67307692309999989"/>
    <s v="YouTube 51"/>
  </r>
  <r>
    <n v="946"/>
    <x v="2"/>
    <d v="2015-09-25T00:00:00"/>
    <m/>
    <d v="2015-09-29T19:11:24"/>
    <s v="All Assets"/>
    <m/>
    <s v="Social Media/Twitter"/>
    <n v="50"/>
    <x v="56"/>
    <n v="67.857142859999996"/>
    <n v="0.67857142859999997"/>
    <s v="Twitter 50"/>
  </r>
  <r>
    <n v="946"/>
    <x v="2"/>
    <d v="2015-09-25T00:00:00"/>
    <m/>
    <d v="2015-09-29T19:11:24"/>
    <s v="All Assets"/>
    <m/>
    <s v="Social Media/Social Media/Promotion"/>
    <n v="49"/>
    <x v="57"/>
    <n v="50"/>
    <n v="0.5"/>
    <s v="Social Media/Promotion 49"/>
  </r>
  <r>
    <n v="946"/>
    <x v="2"/>
    <d v="2015-09-25T00:00:00"/>
    <m/>
    <d v="2015-09-29T19:11:24"/>
    <s v="All Assets"/>
    <m/>
    <s v="Social Media/Other Social Networks"/>
    <n v="48"/>
    <x v="58"/>
    <m/>
    <n v="0"/>
    <s v="Other Social Networks 48"/>
  </r>
  <r>
    <n v="946"/>
    <x v="2"/>
    <d v="2015-09-25T00:00:00"/>
    <m/>
    <d v="2015-09-29T19:11:24"/>
    <s v="All Assets"/>
    <m/>
    <s v="Social Media/LinkedIn"/>
    <n v="47"/>
    <x v="59"/>
    <m/>
    <n v="0"/>
    <s v="LinkedIn 47"/>
  </r>
  <r>
    <n v="946"/>
    <x v="2"/>
    <d v="2015-09-25T00:00:00"/>
    <m/>
    <d v="2015-09-29T19:11:24"/>
    <s v="All Assets"/>
    <m/>
    <s v="Social Media/Social Media/Content"/>
    <n v="44"/>
    <x v="60"/>
    <m/>
    <n v="0"/>
    <s v="Social Media/Content 44"/>
  </r>
  <r>
    <n v="946"/>
    <x v="2"/>
    <d v="2015-09-25T00:00:00"/>
    <m/>
    <d v="2015-09-29T19:11:24"/>
    <s v="All Assets"/>
    <m/>
    <s v="Social Media/Social Media/Infrastructure"/>
    <n v="46"/>
    <x v="61"/>
    <n v="58.84615385"/>
    <n v="0.58846153850000005"/>
    <s v="Social Media/Infrastructure 46"/>
  </r>
  <r>
    <n v="946"/>
    <x v="2"/>
    <d v="2015-09-25T00:00:00"/>
    <m/>
    <d v="2015-09-29T19:11:24"/>
    <s v="All Assets"/>
    <m/>
    <s v="Social Media/Facebook"/>
    <n v="45"/>
    <x v="62"/>
    <n v="45.161290319999999"/>
    <n v="0.45161290319999997"/>
    <s v="Facebook 45"/>
  </r>
  <r>
    <n v="946"/>
    <x v="2"/>
    <d v="2015-09-25T00:00:00"/>
    <m/>
    <d v="2015-09-29T19:11:24"/>
    <s v="All Assets"/>
    <m/>
    <s v="Social Media/Social Media/Appeal"/>
    <n v="43"/>
    <x v="63"/>
    <m/>
    <n v="0"/>
    <s v="Social Media/Appeal 43"/>
  </r>
  <r>
    <n v="946"/>
    <x v="2"/>
    <d v="2015-09-25T00:00:00"/>
    <m/>
    <d v="2015-09-29T19:11:24"/>
    <s v="All Assets"/>
    <m/>
    <s v="Support"/>
    <n v="53"/>
    <x v="64"/>
    <n v="64.867601250000007"/>
    <n v="0.64867601250000007"/>
    <s v="Support 53"/>
  </r>
  <r>
    <n v="946"/>
    <x v="2"/>
    <d v="2015-09-25T00:00:00"/>
    <m/>
    <d v="2015-09-29T19:11:24"/>
    <s v="All Assets"/>
    <m/>
    <s v="Task Completion"/>
    <n v="151"/>
    <x v="65"/>
    <n v="59.238971579999998"/>
    <n v="0.59238971579999999"/>
    <s v="Task Completion 151"/>
  </r>
  <r>
    <n v="946"/>
    <x v="2"/>
    <d v="2015-09-25T00:00:00"/>
    <m/>
    <d v="2015-09-29T19:11:24"/>
    <s v="All Assets"/>
    <m/>
    <s v="Time Spent on Site"/>
    <n v="152"/>
    <x v="66"/>
    <n v="60.484713159999998"/>
    <n v="0.60484713160000003"/>
    <s v="Time Spent on Site 152"/>
  </r>
  <r>
    <n v="946"/>
    <x v="2"/>
    <d v="2015-09-25T00:00:00"/>
    <m/>
    <d v="2015-09-29T19:11:24"/>
    <s v="All Assets"/>
    <m/>
    <s v="Traffic"/>
    <n v="149"/>
    <x v="67"/>
    <n v="66.054388489999994"/>
    <n v="0.66054388489999993"/>
    <s v="Traffic 149"/>
  </r>
  <r>
    <n v="946"/>
    <x v="2"/>
    <d v="2015-09-25T00:00:00"/>
    <m/>
    <d v="2015-09-29T19:11:24"/>
    <s v="All Assets"/>
    <m/>
    <s v="Website"/>
    <n v="54"/>
    <x v="68"/>
    <n v="65.635770870000002"/>
    <n v="0.65635770869999999"/>
    <s v="Website 54"/>
  </r>
  <r>
    <n v="946"/>
    <x v="2"/>
    <d v="2015-09-25T00:00:00"/>
    <m/>
    <d v="2015-09-29T19:11:24"/>
    <s v="All Assets"/>
    <m/>
    <s v="Website/E-Retail"/>
    <n v="57"/>
    <x v="69"/>
    <m/>
    <n v="0"/>
    <s v="E-Retail 57"/>
  </r>
  <r>
    <n v="946"/>
    <x v="2"/>
    <d v="2015-09-25T00:00:00"/>
    <m/>
    <d v="2015-09-29T19:11:24"/>
    <s v="All Assets"/>
    <m/>
    <s v="Website/Website/Infrastructure"/>
    <n v="58"/>
    <x v="70"/>
    <n v="71.853982299999998"/>
    <n v="0.71853982299999997"/>
    <s v="Website/Infrastructure 58"/>
  </r>
  <r>
    <n v="946"/>
    <x v="2"/>
    <d v="2015-09-25T00:00:00"/>
    <m/>
    <d v="2015-09-29T19:11:24"/>
    <s v="All Assets"/>
    <m/>
    <s v="Website/Website/Latency"/>
    <n v="59"/>
    <x v="71"/>
    <n v="73.835772360000007"/>
    <n v="0.73835772360000007"/>
    <s v="Website/Latency 59"/>
  </r>
  <r>
    <n v="946"/>
    <x v="2"/>
    <d v="2015-09-25T00:00:00"/>
    <m/>
    <d v="2015-09-29T19:11:24"/>
    <s v="All Assets"/>
    <m/>
    <s v="Website/Website/Promotion"/>
    <n v="60"/>
    <x v="72"/>
    <n v="53.823529409999999"/>
    <n v="0.53823529410000004"/>
    <s v="Website/Promotion 60"/>
  </r>
  <r>
    <n v="946"/>
    <x v="2"/>
    <d v="2015-09-25T00:00:00"/>
    <m/>
    <d v="2015-09-29T19:11:24"/>
    <s v="All Assets"/>
    <m/>
    <s v="Website/Website/Appeal"/>
    <n v="55"/>
    <x v="73"/>
    <m/>
    <n v="0"/>
    <s v="Website/Appeal 55"/>
  </r>
  <r>
    <n v="946"/>
    <x v="2"/>
    <d v="2015-09-25T00:00:00"/>
    <m/>
    <d v="2015-09-29T19:11:24"/>
    <s v="All Assets"/>
    <m/>
    <s v="Website/Website/Content"/>
    <n v="56"/>
    <x v="74"/>
    <n v="62.347826089999998"/>
    <n v="0.62347826090000003"/>
    <s v="Website/Content 56"/>
  </r>
  <r>
    <n v="946"/>
    <x v="2"/>
    <d v="2015-09-25T00:00:00"/>
    <m/>
    <d v="2015-09-29T19:11:24"/>
    <s v="All Assets"/>
    <m/>
    <s v="Website/Website/Reviews"/>
    <n v="61"/>
    <x v="75"/>
    <m/>
    <n v="0"/>
    <s v="Website/Reviews 61"/>
  </r>
  <r>
    <n v="946"/>
    <x v="2"/>
    <d v="2015-09-25T00:00:00"/>
    <m/>
    <d v="2015-09-29T19:11:24"/>
    <s v="All Assets"/>
    <m/>
    <s v="Website/User Registration"/>
    <n v="66"/>
    <x v="76"/>
    <n v="64"/>
    <n v="0.64"/>
    <s v="User Registration 66"/>
  </r>
  <r>
    <n v="946"/>
    <x v="2"/>
    <d v="2015-09-25T00:00:00"/>
    <m/>
    <d v="2015-09-29T19:11:24"/>
    <s v="All Assets"/>
    <m/>
    <s v="Website/Website/Unassigned"/>
    <n v="67"/>
    <x v="77"/>
    <m/>
    <n v="0"/>
    <s v="Website/Unassigned 67"/>
  </r>
  <r>
    <n v="946"/>
    <x v="2"/>
    <d v="2015-09-25T00:00:00"/>
    <m/>
    <d v="2015-09-29T19:11:24"/>
    <s v="All Assets"/>
    <m/>
    <s v="Website/Website/Traffic"/>
    <n v="64"/>
    <x v="78"/>
    <m/>
    <n v="0"/>
    <s v="Website/Traffic 64"/>
  </r>
  <r>
    <n v="946"/>
    <x v="2"/>
    <d v="2015-09-25T00:00:00"/>
    <m/>
    <d v="2015-09-29T19:11:24"/>
    <s v="All Assets"/>
    <m/>
    <s v="Website/Usability"/>
    <n v="65"/>
    <x v="79"/>
    <n v="65.916470590000003"/>
    <n v="0.65916470589999998"/>
    <s v="Usability 65"/>
  </r>
  <r>
    <n v="946"/>
    <x v="2"/>
    <d v="2015-09-25T00:00:00"/>
    <m/>
    <d v="2015-09-29T19:11:24"/>
    <s v="All Assets"/>
    <m/>
    <s v="Website/Site Search"/>
    <n v="63"/>
    <x v="80"/>
    <n v="70.914728679999996"/>
    <n v="0.70914728679999994"/>
    <s v="Site Search 63"/>
  </r>
  <r>
    <n v="946"/>
    <x v="2"/>
    <d v="2015-09-25T00:00:00"/>
    <m/>
    <d v="2015-09-29T19:11:24"/>
    <s v="All Assets"/>
    <m/>
    <s v="Website/Search Engine Constructs"/>
    <n v="62"/>
    <x v="81"/>
    <n v="0"/>
    <n v="0"/>
    <s v="Search Engine Constructs 62"/>
  </r>
  <r>
    <n v="947"/>
    <x v="3"/>
    <d v="2015-09-25T00:00:00"/>
    <m/>
    <d v="2015-09-29T19:11:30"/>
    <s v="All Assets"/>
    <m/>
    <s v="Abandonment"/>
    <n v="150"/>
    <x v="0"/>
    <n v="57.350062889999997"/>
    <n v="0.57350062889999998"/>
    <s v="Abandonment 150"/>
  </r>
  <r>
    <n v="947"/>
    <x v="3"/>
    <d v="2015-09-25T00:00:00"/>
    <m/>
    <d v="2015-09-29T19:11:30"/>
    <s v="All Assets"/>
    <m/>
    <s v="Average Order Value"/>
    <n v="154"/>
    <x v="1"/>
    <n v="50"/>
    <n v="0.5"/>
    <s v="Average Order Value 154"/>
  </r>
  <r>
    <n v="947"/>
    <x v="3"/>
    <d v="2015-09-25T00:00:00"/>
    <m/>
    <d v="2015-09-29T19:11:30"/>
    <s v="All Assets"/>
    <m/>
    <s v="Awareness Creation"/>
    <n v="72"/>
    <x v="2"/>
    <n v="60.110482529999999"/>
    <n v="0.60110482529999998"/>
    <s v="Awareness Creation 72"/>
  </r>
  <r>
    <n v="947"/>
    <x v="3"/>
    <d v="2015-09-25T00:00:00"/>
    <m/>
    <d v="2015-09-29T19:11:30"/>
    <s v="All Assets"/>
    <m/>
    <s v="Content"/>
    <n v="1"/>
    <x v="3"/>
    <n v="50.453900709999999"/>
    <n v="0.50453900709999999"/>
    <s v="Content 1"/>
  </r>
  <r>
    <n v="947"/>
    <x v="3"/>
    <d v="2015-09-25T00:00:00"/>
    <m/>
    <d v="2015-09-29T19:11:30"/>
    <s v="All Assets"/>
    <m/>
    <s v="Content/Access"/>
    <n v="2"/>
    <x v="4"/>
    <m/>
    <n v="0"/>
    <s v="Access 2"/>
  </r>
  <r>
    <n v="947"/>
    <x v="3"/>
    <d v="2015-09-25T00:00:00"/>
    <m/>
    <d v="2015-09-29T19:11:30"/>
    <s v="All Assets"/>
    <m/>
    <s v="Content/Content/Unassigned"/>
    <n v="8"/>
    <x v="5"/>
    <n v="48.484848479999997"/>
    <n v="0.48484848479999998"/>
    <s v="Content/Unassigned 8"/>
  </r>
  <r>
    <n v="947"/>
    <x v="3"/>
    <d v="2015-09-25T00:00:00"/>
    <m/>
    <d v="2015-09-29T19:11:30"/>
    <s v="All Assets"/>
    <m/>
    <s v="Content/Core Content"/>
    <n v="6"/>
    <x v="6"/>
    <n v="49.425837319999999"/>
    <n v="0.49425837319999999"/>
    <s v="Core Content 6"/>
  </r>
  <r>
    <n v="947"/>
    <x v="3"/>
    <d v="2015-09-25T00:00:00"/>
    <m/>
    <d v="2015-09-29T19:11:30"/>
    <s v="All Assets"/>
    <m/>
    <s v="Content/User Generated Content"/>
    <n v="7"/>
    <x v="7"/>
    <m/>
    <n v="0"/>
    <s v="User Generated Content 7"/>
  </r>
  <r>
    <n v="947"/>
    <x v="3"/>
    <d v="2015-09-25T00:00:00"/>
    <m/>
    <d v="2015-09-29T19:11:30"/>
    <s v="All Assets"/>
    <m/>
    <s v="Content/Content/Infrastructure"/>
    <n v="4"/>
    <x v="8"/>
    <n v="75"/>
    <n v="0.75"/>
    <s v="Content/Infrastructure 4"/>
  </r>
  <r>
    <n v="947"/>
    <x v="3"/>
    <d v="2015-09-25T00:00:00"/>
    <m/>
    <d v="2015-09-29T19:11:30"/>
    <s v="All Assets"/>
    <m/>
    <s v="Content/Content/Promotion"/>
    <n v="5"/>
    <x v="9"/>
    <n v="63.888888889999997"/>
    <n v="0.63888888889999995"/>
    <s v="Content/Promotion 5"/>
  </r>
  <r>
    <n v="947"/>
    <x v="3"/>
    <d v="2015-09-25T00:00:00"/>
    <m/>
    <d v="2015-09-29T19:11:30"/>
    <s v="All Assets"/>
    <m/>
    <s v="Content/Content/Appeal"/>
    <n v="3"/>
    <x v="10"/>
    <n v="76"/>
    <n v="0.76"/>
    <s v="Content/Appeal 3"/>
  </r>
  <r>
    <n v="947"/>
    <x v="3"/>
    <d v="2015-09-25T00:00:00"/>
    <m/>
    <d v="2015-09-29T19:11:30"/>
    <s v="All Assets"/>
    <m/>
    <s v="Conversion"/>
    <n v="153"/>
    <x v="11"/>
    <n v="51.203361340000001"/>
    <n v="0.51203361339999998"/>
    <s v="Conversion 153"/>
  </r>
  <r>
    <n v="947"/>
    <x v="3"/>
    <d v="2015-09-25T00:00:00"/>
    <m/>
    <d v="2015-09-29T19:11:30"/>
    <s v="All Assets"/>
    <m/>
    <s v="Customer Engagement"/>
    <n v="73"/>
    <x v="12"/>
    <n v="56.954169800000003"/>
    <n v="0.56954169799999999"/>
    <s v="Customer Engagement 73"/>
  </r>
  <r>
    <n v="947"/>
    <x v="3"/>
    <d v="2015-09-25T00:00:00"/>
    <m/>
    <d v="2015-09-29T19:11:30"/>
    <s v="All Assets"/>
    <m/>
    <s v="Demand Generation"/>
    <n v="74"/>
    <x v="13"/>
    <n v="57.040792539999998"/>
    <n v="0.57040792539999996"/>
    <s v="Demand Generation 74"/>
  </r>
  <r>
    <n v="947"/>
    <x v="3"/>
    <d v="2015-09-25T00:00:00"/>
    <m/>
    <d v="2015-09-29T19:11:30"/>
    <s v="All Assets"/>
    <m/>
    <s v="E-Commerce"/>
    <n v="9"/>
    <x v="14"/>
    <n v="52.082191780000002"/>
    <n v="0.52082191779999998"/>
    <s v="E-Commerce 9"/>
  </r>
  <r>
    <n v="947"/>
    <x v="3"/>
    <d v="2015-09-25T00:00:00"/>
    <m/>
    <d v="2015-09-29T19:11:30"/>
    <s v="All Assets"/>
    <m/>
    <s v="E-Commerce/Checkout"/>
    <n v="10"/>
    <x v="15"/>
    <m/>
    <n v="0"/>
    <s v="Checkout 10"/>
  </r>
  <r>
    <n v="947"/>
    <x v="3"/>
    <d v="2015-09-25T00:00:00"/>
    <m/>
    <d v="2015-09-29T19:11:30"/>
    <s v="All Assets"/>
    <m/>
    <s v="E-Commerce/E-Commerce/Infrastructure"/>
    <n v="11"/>
    <x v="16"/>
    <m/>
    <n v="0"/>
    <s v="E-Commerce/Infrastructure 11"/>
  </r>
  <r>
    <n v="947"/>
    <x v="3"/>
    <d v="2015-09-25T00:00:00"/>
    <m/>
    <d v="2015-09-29T19:11:30"/>
    <s v="All Assets"/>
    <m/>
    <s v="E-Commerce/E-Commerce/Latency"/>
    <n v="12"/>
    <x v="17"/>
    <m/>
    <n v="0"/>
    <s v="E-Commerce/Latency 12"/>
  </r>
  <r>
    <n v="947"/>
    <x v="3"/>
    <d v="2015-09-25T00:00:00"/>
    <m/>
    <d v="2015-09-29T19:11:30"/>
    <s v="All Assets"/>
    <m/>
    <s v="E-Commerce/Product Listings"/>
    <n v="13"/>
    <x v="18"/>
    <n v="52.857142860000003"/>
    <n v="0.52857142860000006"/>
    <s v="Product Listings 13"/>
  </r>
  <r>
    <n v="947"/>
    <x v="3"/>
    <d v="2015-09-25T00:00:00"/>
    <m/>
    <d v="2015-09-29T19:11:30"/>
    <s v="All Assets"/>
    <m/>
    <s v="E-Commerce/Product Listings/Site Functionality"/>
    <n v="26"/>
    <x v="19"/>
    <m/>
    <n v="0"/>
    <s v="Site Functionality 26"/>
  </r>
  <r>
    <n v="947"/>
    <x v="3"/>
    <d v="2015-09-25T00:00:00"/>
    <m/>
    <d v="2015-09-29T19:11:30"/>
    <s v="All Assets"/>
    <m/>
    <s v="E-Commerce/Product Listings/Product Listings/Reviews"/>
    <n v="25"/>
    <x v="20"/>
    <m/>
    <n v="0"/>
    <s v="Product Listings/Reviews 25"/>
  </r>
  <r>
    <n v="947"/>
    <x v="3"/>
    <d v="2015-09-25T00:00:00"/>
    <m/>
    <d v="2015-09-29T19:11:30"/>
    <s v="All Assets"/>
    <m/>
    <s v="E-Commerce/Product Listings/PLP Usability"/>
    <n v="24"/>
    <x v="21"/>
    <n v="54.444444439999998"/>
    <n v="0.54444444439999995"/>
    <s v="PLP Usability 24"/>
  </r>
  <r>
    <n v="947"/>
    <x v="3"/>
    <d v="2015-09-25T00:00:00"/>
    <m/>
    <d v="2015-09-29T19:11:30"/>
    <s v="All Assets"/>
    <m/>
    <s v="E-Commerce/Product Listings/PLP Merchandising"/>
    <n v="23"/>
    <x v="22"/>
    <n v="50.845070419999999"/>
    <n v="0.50845070419999994"/>
    <s v="PLP Merchandising 23"/>
  </r>
  <r>
    <n v="947"/>
    <x v="3"/>
    <d v="2015-09-25T00:00:00"/>
    <m/>
    <d v="2015-09-29T19:11:30"/>
    <s v="All Assets"/>
    <m/>
    <s v="E-Commerce/Product Listings/Non-Product Site Content"/>
    <n v="20"/>
    <x v="23"/>
    <n v="55"/>
    <n v="0.55000000000000004"/>
    <s v="Non-Product Site Content 20"/>
  </r>
  <r>
    <n v="947"/>
    <x v="3"/>
    <d v="2015-09-25T00:00:00"/>
    <m/>
    <d v="2015-09-29T19:11:30"/>
    <s v="All Assets"/>
    <m/>
    <s v="E-Commerce/Product Listings/PLP Content"/>
    <n v="21"/>
    <x v="24"/>
    <m/>
    <n v="0"/>
    <s v="PLP Content 21"/>
  </r>
  <r>
    <n v="947"/>
    <x v="3"/>
    <d v="2015-09-25T00:00:00"/>
    <m/>
    <d v="2015-09-29T19:11:30"/>
    <s v="All Assets"/>
    <m/>
    <s v="E-Commerce/Product Listings/PLP Functionality"/>
    <n v="22"/>
    <x v="25"/>
    <n v="60"/>
    <n v="0.6"/>
    <s v="PLP Functionality 22"/>
  </r>
  <r>
    <n v="947"/>
    <x v="3"/>
    <d v="2015-09-25T00:00:00"/>
    <m/>
    <d v="2015-09-29T19:11:30"/>
    <s v="All Assets"/>
    <m/>
    <s v="E-Commerce/User Engagement"/>
    <n v="17"/>
    <x v="26"/>
    <m/>
    <n v="0"/>
    <s v="User Engagement 17"/>
  </r>
  <r>
    <n v="947"/>
    <x v="3"/>
    <d v="2015-09-25T00:00:00"/>
    <m/>
    <d v="2015-09-29T19:11:30"/>
    <s v="All Assets"/>
    <m/>
    <s v="E-Commerce/Site Content"/>
    <n v="16"/>
    <x v="27"/>
    <m/>
    <n v="0"/>
    <s v="Site Content 16"/>
  </r>
  <r>
    <n v="947"/>
    <x v="3"/>
    <d v="2015-09-25T00:00:00"/>
    <m/>
    <d v="2015-09-29T19:11:30"/>
    <s v="All Assets"/>
    <m/>
    <s v="E-Commerce/E-Commerce/Product Merchandising"/>
    <n v="144"/>
    <x v="28"/>
    <n v="51.6"/>
    <n v="0.51600000000000001"/>
    <s v="E-Commerce/Product Merchandising 144"/>
  </r>
  <r>
    <n v="947"/>
    <x v="3"/>
    <d v="2015-09-25T00:00:00"/>
    <m/>
    <d v="2015-09-29T19:11:30"/>
    <s v="All Assets"/>
    <m/>
    <s v="E-Commerce/E-Commerce/Reviews"/>
    <n v="15"/>
    <x v="29"/>
    <m/>
    <n v="0"/>
    <s v="E-Commerce/Reviews 15"/>
  </r>
  <r>
    <n v="947"/>
    <x v="3"/>
    <d v="2015-09-25T00:00:00"/>
    <m/>
    <d v="2015-09-29T19:11:30"/>
    <s v="All Assets"/>
    <m/>
    <s v="E-Commerce/Product Search"/>
    <n v="14"/>
    <x v="30"/>
    <m/>
    <n v="0"/>
    <s v="Product Search 14"/>
  </r>
  <r>
    <n v="947"/>
    <x v="3"/>
    <d v="2015-09-25T00:00:00"/>
    <m/>
    <d v="2015-09-29T19:11:30"/>
    <s v="All Assets"/>
    <m/>
    <s v="E-Commerce/E-Commerce/Unassigned"/>
    <n v="19"/>
    <x v="31"/>
    <m/>
    <n v="0"/>
    <s v="E-Commerce/Unassigned 19"/>
  </r>
  <r>
    <n v="947"/>
    <x v="3"/>
    <d v="2015-09-25T00:00:00"/>
    <m/>
    <d v="2015-09-29T19:11:30"/>
    <s v="All Assets"/>
    <m/>
    <s v="E-Commerce/Section Pages"/>
    <n v="18"/>
    <x v="32"/>
    <m/>
    <n v="0"/>
    <s v="Section Pages 18"/>
  </r>
  <r>
    <n v="947"/>
    <x v="3"/>
    <d v="2015-09-25T00:00:00"/>
    <m/>
    <d v="2015-09-29T19:11:30"/>
    <s v="All Assets"/>
    <m/>
    <s v="Mobile"/>
    <n v="27"/>
    <x v="33"/>
    <n v="64.296296299999995"/>
    <n v="0.642962963"/>
    <s v="Mobile 27"/>
  </r>
  <r>
    <n v="947"/>
    <x v="3"/>
    <d v="2015-09-25T00:00:00"/>
    <m/>
    <d v="2015-09-29T19:11:30"/>
    <s v="All Assets"/>
    <m/>
    <s v="Mobile/Mobile/Content"/>
    <n v="29"/>
    <x v="34"/>
    <m/>
    <n v="0"/>
    <s v="Mobile/Content 29"/>
  </r>
  <r>
    <n v="947"/>
    <x v="3"/>
    <d v="2015-09-25T00:00:00"/>
    <m/>
    <d v="2015-09-29T19:11:30"/>
    <s v="All Assets"/>
    <m/>
    <s v="Mobile/Compatibility"/>
    <n v="28"/>
    <x v="35"/>
    <n v="50.875"/>
    <n v="0.50875000000000004"/>
    <s v="Compatibility 28"/>
  </r>
  <r>
    <n v="947"/>
    <x v="3"/>
    <d v="2015-09-25T00:00:00"/>
    <m/>
    <d v="2015-09-29T19:11:30"/>
    <s v="All Assets"/>
    <m/>
    <s v="Mobile/Mobile/Infrastructure"/>
    <n v="31"/>
    <x v="36"/>
    <n v="100"/>
    <n v="1"/>
    <s v="Mobile/Infrastructure 31"/>
  </r>
  <r>
    <n v="947"/>
    <x v="3"/>
    <d v="2015-09-25T00:00:00"/>
    <m/>
    <d v="2015-09-29T19:11:30"/>
    <s v="All Assets"/>
    <m/>
    <s v="Mobile/Functionality"/>
    <n v="30"/>
    <x v="37"/>
    <n v="64.400000000000006"/>
    <n v="0.64400000000000002"/>
    <s v="Functionality 30"/>
  </r>
  <r>
    <n v="947"/>
    <x v="3"/>
    <d v="2015-09-25T00:00:00"/>
    <m/>
    <d v="2015-09-29T19:11:30"/>
    <s v="All Assets"/>
    <m/>
    <s v="Mobile/Mobile/Latency"/>
    <n v="32"/>
    <x v="38"/>
    <m/>
    <n v="0"/>
    <s v="Mobile/Latency 32"/>
  </r>
  <r>
    <n v="947"/>
    <x v="3"/>
    <d v="2015-09-25T00:00:00"/>
    <m/>
    <d v="2015-09-29T19:11:30"/>
    <s v="All Assets"/>
    <m/>
    <s v="Mobile/Mobile/Promotion"/>
    <n v="33"/>
    <x v="39"/>
    <m/>
    <n v="0"/>
    <s v="Mobile/Promotion 33"/>
  </r>
  <r>
    <n v="947"/>
    <x v="3"/>
    <d v="2015-09-25T00:00:00"/>
    <m/>
    <d v="2015-09-29T19:11:30"/>
    <s v="All Assets"/>
    <m/>
    <s v="Online Channel"/>
    <n v="68"/>
    <x v="40"/>
    <m/>
    <n v="0"/>
    <s v="Online Channel 68"/>
  </r>
  <r>
    <n v="947"/>
    <x v="3"/>
    <d v="2015-09-25T00:00:00"/>
    <m/>
    <d v="2015-09-29T19:11:30"/>
    <s v="All Assets"/>
    <m/>
    <s v="Online Channel/E-Referral"/>
    <n v="69"/>
    <x v="41"/>
    <m/>
    <n v="0"/>
    <s v="E-Referral 69"/>
  </r>
  <r>
    <n v="947"/>
    <x v="3"/>
    <d v="2015-09-25T00:00:00"/>
    <m/>
    <d v="2015-09-29T19:11:30"/>
    <s v="All Assets"/>
    <m/>
    <s v="Online Channel/Online Channel/Product Merchandising"/>
    <n v="71"/>
    <x v="42"/>
    <m/>
    <n v="0"/>
    <s v="Online Channel/Product Merchandising 71"/>
  </r>
  <r>
    <n v="947"/>
    <x v="3"/>
    <d v="2015-09-25T00:00:00"/>
    <m/>
    <d v="2015-09-29T19:11:30"/>
    <s v="All Assets"/>
    <m/>
    <s v="Online Channel/Brand Merchandising"/>
    <n v="70"/>
    <x v="43"/>
    <m/>
    <n v="0"/>
    <s v="Brand Merchandising 70"/>
  </r>
  <r>
    <n v="947"/>
    <x v="3"/>
    <d v="2015-09-25T00:00:00"/>
    <m/>
    <d v="2015-09-29T19:11:30"/>
    <s v="All Assets"/>
    <m/>
    <s v="Opportunity Conversion"/>
    <n v="75"/>
    <x v="44"/>
    <n v="55.648083620000001"/>
    <n v="0.5564808362"/>
    <s v="Opportunity Conversion 75"/>
  </r>
  <r>
    <n v="947"/>
    <x v="3"/>
    <d v="2015-09-25T00:00:00"/>
    <m/>
    <d v="2015-09-29T19:11:30"/>
    <s v="All Assets"/>
    <m/>
    <s v="SEM"/>
    <n v="34"/>
    <x v="45"/>
    <n v="58.955665019999998"/>
    <n v="0.58955665020000003"/>
    <s v="SEM 34"/>
  </r>
  <r>
    <n v="947"/>
    <x v="3"/>
    <d v="2015-09-25T00:00:00"/>
    <m/>
    <d v="2015-09-29T19:11:30"/>
    <s v="All Assets"/>
    <m/>
    <s v="SEM/SEM/Content"/>
    <n v="37"/>
    <x v="46"/>
    <n v="51.347826089999998"/>
    <n v="0.51347826089999993"/>
    <s v="SEM/Content 37"/>
  </r>
  <r>
    <n v="947"/>
    <x v="3"/>
    <d v="2015-09-25T00:00:00"/>
    <m/>
    <d v="2015-09-29T19:11:30"/>
    <s v="All Assets"/>
    <m/>
    <s v="SEM/Inclusion"/>
    <n v="38"/>
    <x v="47"/>
    <m/>
    <n v="0"/>
    <s v="Inclusion 38"/>
  </r>
  <r>
    <n v="947"/>
    <x v="3"/>
    <d v="2015-09-25T00:00:00"/>
    <m/>
    <d v="2015-09-29T19:11:30"/>
    <s v="All Assets"/>
    <m/>
    <s v="SEM/Advertising"/>
    <n v="35"/>
    <x v="48"/>
    <m/>
    <n v="0"/>
    <s v="Advertising 35"/>
  </r>
  <r>
    <n v="947"/>
    <x v="3"/>
    <d v="2015-09-25T00:00:00"/>
    <m/>
    <d v="2015-09-29T19:11:30"/>
    <s v="All Assets"/>
    <m/>
    <s v="SEM/Constructs"/>
    <n v="36"/>
    <x v="49"/>
    <n v="71.824096389999994"/>
    <n v="0.71824096389999992"/>
    <s v="Constructs 36"/>
  </r>
  <r>
    <n v="947"/>
    <x v="3"/>
    <d v="2015-09-25T00:00:00"/>
    <m/>
    <d v="2015-09-29T19:11:30"/>
    <s v="All Assets"/>
    <m/>
    <s v="SEM/SEM/Unassigned"/>
    <n v="41"/>
    <x v="50"/>
    <m/>
    <n v="0"/>
    <s v="SEM/Unassigned 41"/>
  </r>
  <r>
    <n v="947"/>
    <x v="3"/>
    <d v="2015-09-25T00:00:00"/>
    <m/>
    <d v="2015-09-29T19:11:30"/>
    <s v="All Assets"/>
    <m/>
    <s v="SEM/SEM/Infrastructure"/>
    <n v="39"/>
    <x v="51"/>
    <n v="20.32"/>
    <n v="0.20319999999999999"/>
    <s v="SEM/Infrastructure 39"/>
  </r>
  <r>
    <n v="947"/>
    <x v="3"/>
    <d v="2015-09-25T00:00:00"/>
    <m/>
    <d v="2015-09-29T19:11:30"/>
    <s v="All Assets"/>
    <m/>
    <s v="SEM/Ranking"/>
    <n v="40"/>
    <x v="52"/>
    <m/>
    <n v="0"/>
    <s v="Ranking 40"/>
  </r>
  <r>
    <n v="947"/>
    <x v="3"/>
    <d v="2015-09-25T00:00:00"/>
    <m/>
    <d v="2015-09-29T19:11:30"/>
    <s v="All Assets"/>
    <m/>
    <s v="Social Media"/>
    <n v="42"/>
    <x v="53"/>
    <n v="51.867088610000003"/>
    <n v="0.51867088610000001"/>
    <s v="Social Media 42"/>
  </r>
  <r>
    <n v="947"/>
    <x v="3"/>
    <d v="2015-09-25T00:00:00"/>
    <m/>
    <d v="2015-09-29T19:11:30"/>
    <s v="All Assets"/>
    <m/>
    <s v="Social Media/Social Media/Unassigned"/>
    <n v="52"/>
    <x v="54"/>
    <m/>
    <n v="0"/>
    <s v="Social Media/Unassigned 52"/>
  </r>
  <r>
    <n v="947"/>
    <x v="3"/>
    <d v="2015-09-25T00:00:00"/>
    <m/>
    <d v="2015-09-29T19:11:30"/>
    <s v="All Assets"/>
    <m/>
    <s v="Social Media/YouTube"/>
    <n v="51"/>
    <x v="55"/>
    <n v="61.764705880000001"/>
    <n v="0.61764705880000004"/>
    <s v="YouTube 51"/>
  </r>
  <r>
    <n v="947"/>
    <x v="3"/>
    <d v="2015-09-25T00:00:00"/>
    <m/>
    <d v="2015-09-29T19:11:30"/>
    <s v="All Assets"/>
    <m/>
    <s v="Social Media/Twitter"/>
    <n v="50"/>
    <x v="56"/>
    <n v="42.857142860000003"/>
    <n v="0.42857142860000003"/>
    <s v="Twitter 50"/>
  </r>
  <r>
    <n v="947"/>
    <x v="3"/>
    <d v="2015-09-25T00:00:00"/>
    <m/>
    <d v="2015-09-29T19:11:30"/>
    <s v="All Assets"/>
    <m/>
    <s v="Social Media/Social Media/Promotion"/>
    <n v="49"/>
    <x v="57"/>
    <n v="40"/>
    <n v="0.4"/>
    <s v="Social Media/Promotion 49"/>
  </r>
  <r>
    <n v="947"/>
    <x v="3"/>
    <d v="2015-09-25T00:00:00"/>
    <m/>
    <d v="2015-09-29T19:11:30"/>
    <s v="All Assets"/>
    <m/>
    <s v="Social Media/Other Social Networks"/>
    <n v="48"/>
    <x v="58"/>
    <m/>
    <n v="0"/>
    <s v="Other Social Networks 48"/>
  </r>
  <r>
    <n v="947"/>
    <x v="3"/>
    <d v="2015-09-25T00:00:00"/>
    <m/>
    <d v="2015-09-29T19:11:30"/>
    <s v="All Assets"/>
    <m/>
    <s v="Social Media/LinkedIn"/>
    <n v="47"/>
    <x v="59"/>
    <m/>
    <n v="0"/>
    <s v="LinkedIn 47"/>
  </r>
  <r>
    <n v="947"/>
    <x v="3"/>
    <d v="2015-09-25T00:00:00"/>
    <m/>
    <d v="2015-09-29T19:11:30"/>
    <s v="All Assets"/>
    <m/>
    <s v="Social Media/Social Media/Content"/>
    <n v="44"/>
    <x v="60"/>
    <m/>
    <n v="0"/>
    <s v="Social Media/Content 44"/>
  </r>
  <r>
    <n v="947"/>
    <x v="3"/>
    <d v="2015-09-25T00:00:00"/>
    <m/>
    <d v="2015-09-29T19:11:30"/>
    <s v="All Assets"/>
    <m/>
    <s v="Social Media/Social Media/Infrastructure"/>
    <n v="46"/>
    <x v="61"/>
    <n v="59.42307692"/>
    <n v="0.59423076919999995"/>
    <s v="Social Media/Infrastructure 46"/>
  </r>
  <r>
    <n v="947"/>
    <x v="3"/>
    <d v="2015-09-25T00:00:00"/>
    <m/>
    <d v="2015-09-29T19:11:30"/>
    <s v="All Assets"/>
    <m/>
    <s v="Social Media/Facebook"/>
    <n v="45"/>
    <x v="62"/>
    <n v="43.548387099999999"/>
    <n v="0.43548387099999997"/>
    <s v="Facebook 45"/>
  </r>
  <r>
    <n v="947"/>
    <x v="3"/>
    <d v="2015-09-25T00:00:00"/>
    <m/>
    <d v="2015-09-29T19:11:30"/>
    <s v="All Assets"/>
    <m/>
    <s v="Social Media/Social Media/Appeal"/>
    <n v="43"/>
    <x v="63"/>
    <m/>
    <n v="0"/>
    <s v="Social Media/Appeal 43"/>
  </r>
  <r>
    <n v="947"/>
    <x v="3"/>
    <d v="2015-09-25T00:00:00"/>
    <m/>
    <d v="2015-09-29T19:11:30"/>
    <s v="All Assets"/>
    <m/>
    <s v="Support"/>
    <n v="53"/>
    <x v="64"/>
    <n v="56.892697470000002"/>
    <n v="0.56892697469999998"/>
    <s v="Support 53"/>
  </r>
  <r>
    <n v="947"/>
    <x v="3"/>
    <d v="2015-09-25T00:00:00"/>
    <m/>
    <d v="2015-09-29T19:11:30"/>
    <s v="All Assets"/>
    <m/>
    <s v="Task Completion"/>
    <n v="151"/>
    <x v="65"/>
    <n v="54.550070920000003"/>
    <n v="0.54550070920000004"/>
    <s v="Task Completion 151"/>
  </r>
  <r>
    <n v="947"/>
    <x v="3"/>
    <d v="2015-09-25T00:00:00"/>
    <m/>
    <d v="2015-09-29T19:11:30"/>
    <s v="All Assets"/>
    <m/>
    <s v="Time Spent on Site"/>
    <n v="152"/>
    <x v="66"/>
    <n v="55.250378920000003"/>
    <n v="0.55250378919999998"/>
    <s v="Time Spent on Site 152"/>
  </r>
  <r>
    <n v="947"/>
    <x v="3"/>
    <d v="2015-09-25T00:00:00"/>
    <m/>
    <d v="2015-09-29T19:11:30"/>
    <s v="All Assets"/>
    <m/>
    <s v="Traffic"/>
    <n v="149"/>
    <x v="67"/>
    <n v="58.622547580000003"/>
    <n v="0.58622547580000006"/>
    <s v="Traffic 149"/>
  </r>
  <r>
    <n v="947"/>
    <x v="3"/>
    <d v="2015-09-25T00:00:00"/>
    <m/>
    <d v="2015-09-29T19:11:30"/>
    <s v="All Assets"/>
    <m/>
    <s v="Website"/>
    <n v="54"/>
    <x v="68"/>
    <n v="56.592230409999999"/>
    <n v="0.5659223041"/>
    <s v="Website 54"/>
  </r>
  <r>
    <n v="947"/>
    <x v="3"/>
    <d v="2015-09-25T00:00:00"/>
    <m/>
    <d v="2015-09-29T19:11:30"/>
    <s v="All Assets"/>
    <m/>
    <s v="Website/E-Retail"/>
    <n v="57"/>
    <x v="69"/>
    <m/>
    <n v="0"/>
    <s v="E-Retail 57"/>
  </r>
  <r>
    <n v="947"/>
    <x v="3"/>
    <d v="2015-09-25T00:00:00"/>
    <m/>
    <d v="2015-09-29T19:11:30"/>
    <s v="All Assets"/>
    <m/>
    <s v="Website/Website/Infrastructure"/>
    <n v="58"/>
    <x v="70"/>
    <n v="64.475609759999998"/>
    <n v="0.64475609759999997"/>
    <s v="Website/Infrastructure 58"/>
  </r>
  <r>
    <n v="947"/>
    <x v="3"/>
    <d v="2015-09-25T00:00:00"/>
    <m/>
    <d v="2015-09-29T19:11:30"/>
    <s v="All Assets"/>
    <m/>
    <s v="Website/Website/Latency"/>
    <n v="59"/>
    <x v="71"/>
    <n v="43.985365850000001"/>
    <n v="0.43985365850000002"/>
    <s v="Website/Latency 59"/>
  </r>
  <r>
    <n v="947"/>
    <x v="3"/>
    <d v="2015-09-25T00:00:00"/>
    <m/>
    <d v="2015-09-29T19:11:30"/>
    <s v="All Assets"/>
    <m/>
    <s v="Website/Website/Promotion"/>
    <n v="60"/>
    <x v="72"/>
    <n v="47.647058819999998"/>
    <n v="0.47647058819999999"/>
    <s v="Website/Promotion 60"/>
  </r>
  <r>
    <n v="947"/>
    <x v="3"/>
    <d v="2015-09-25T00:00:00"/>
    <m/>
    <d v="2015-09-29T19:11:30"/>
    <s v="All Assets"/>
    <m/>
    <s v="Website/Website/Appeal"/>
    <n v="55"/>
    <x v="73"/>
    <m/>
    <n v="0"/>
    <s v="Website/Appeal 55"/>
  </r>
  <r>
    <n v="947"/>
    <x v="3"/>
    <d v="2015-09-25T00:00:00"/>
    <m/>
    <d v="2015-09-29T19:11:30"/>
    <s v="All Assets"/>
    <m/>
    <s v="Website/Website/Content"/>
    <n v="56"/>
    <x v="74"/>
    <n v="50.103969749999997"/>
    <n v="0.50103969749999999"/>
    <s v="Website/Content 56"/>
  </r>
  <r>
    <n v="947"/>
    <x v="3"/>
    <d v="2015-09-25T00:00:00"/>
    <m/>
    <d v="2015-09-29T19:11:30"/>
    <s v="All Assets"/>
    <m/>
    <s v="Website/Website/Reviews"/>
    <n v="61"/>
    <x v="75"/>
    <m/>
    <n v="0"/>
    <s v="Website/Reviews 61"/>
  </r>
  <r>
    <n v="947"/>
    <x v="3"/>
    <d v="2015-09-25T00:00:00"/>
    <m/>
    <d v="2015-09-29T19:11:30"/>
    <s v="All Assets"/>
    <m/>
    <s v="Website/User Registration"/>
    <n v="66"/>
    <x v="76"/>
    <m/>
    <n v="0"/>
    <s v="User Registration 66"/>
  </r>
  <r>
    <n v="947"/>
    <x v="3"/>
    <d v="2015-09-25T00:00:00"/>
    <m/>
    <d v="2015-09-29T19:11:30"/>
    <s v="All Assets"/>
    <m/>
    <s v="Website/Website/Unassigned"/>
    <n v="67"/>
    <x v="77"/>
    <m/>
    <n v="0"/>
    <s v="Website/Unassigned 67"/>
  </r>
  <r>
    <n v="947"/>
    <x v="3"/>
    <d v="2015-09-25T00:00:00"/>
    <m/>
    <d v="2015-09-29T19:11:30"/>
    <s v="All Assets"/>
    <m/>
    <s v="Website/Website/Traffic"/>
    <n v="64"/>
    <x v="78"/>
    <m/>
    <n v="0"/>
    <s v="Website/Traffic 64"/>
  </r>
  <r>
    <n v="947"/>
    <x v="3"/>
    <d v="2015-09-25T00:00:00"/>
    <m/>
    <d v="2015-09-29T19:11:30"/>
    <s v="All Assets"/>
    <m/>
    <s v="Website/Usability"/>
    <n v="65"/>
    <x v="79"/>
    <n v="66.735064940000001"/>
    <n v="0.6673506494"/>
    <s v="Usability 65"/>
  </r>
  <r>
    <n v="947"/>
    <x v="3"/>
    <d v="2015-09-25T00:00:00"/>
    <m/>
    <d v="2015-09-29T19:11:30"/>
    <s v="All Assets"/>
    <m/>
    <s v="Website/Site Search"/>
    <n v="63"/>
    <x v="80"/>
    <n v="57.155737700000003"/>
    <n v="0.57155737699999998"/>
    <s v="Site Search 63"/>
  </r>
  <r>
    <n v="947"/>
    <x v="3"/>
    <d v="2015-09-25T00:00:00"/>
    <m/>
    <d v="2015-09-29T19:11:30"/>
    <s v="All Assets"/>
    <m/>
    <s v="Website/Search Engine Constructs"/>
    <n v="62"/>
    <x v="81"/>
    <n v="0"/>
    <n v="0"/>
    <s v="Search Engine Constructs 62"/>
  </r>
  <r>
    <n v="948"/>
    <x v="4"/>
    <d v="2015-09-25T00:00:00"/>
    <m/>
    <d v="2015-09-29T19:11:36"/>
    <s v="All Assets"/>
    <m/>
    <s v="Abandonment"/>
    <n v="150"/>
    <x v="0"/>
    <n v="51.587158090000003"/>
    <n v="0.51587158090000007"/>
    <s v="Abandonment 150"/>
  </r>
  <r>
    <n v="948"/>
    <x v="4"/>
    <d v="2015-09-25T00:00:00"/>
    <m/>
    <d v="2015-09-29T19:11:36"/>
    <s v="All Assets"/>
    <m/>
    <s v="Average Order Value"/>
    <n v="154"/>
    <x v="1"/>
    <n v="50"/>
    <n v="0.5"/>
    <s v="Average Order Value 154"/>
  </r>
  <r>
    <n v="948"/>
    <x v="4"/>
    <d v="2015-09-25T00:00:00"/>
    <m/>
    <d v="2015-09-29T19:11:36"/>
    <s v="All Assets"/>
    <m/>
    <s v="Awareness Creation"/>
    <n v="72"/>
    <x v="2"/>
    <n v="49.36224189"/>
    <n v="0.49362241890000003"/>
    <s v="Awareness Creation 72"/>
  </r>
  <r>
    <n v="948"/>
    <x v="4"/>
    <d v="2015-09-25T00:00:00"/>
    <m/>
    <d v="2015-09-29T19:11:36"/>
    <s v="All Assets"/>
    <m/>
    <s v="Content"/>
    <n v="1"/>
    <x v="3"/>
    <n v="39.211742950000001"/>
    <n v="0.3921174295"/>
    <s v="Content 1"/>
  </r>
  <r>
    <n v="948"/>
    <x v="4"/>
    <d v="2015-09-25T00:00:00"/>
    <m/>
    <d v="2015-09-29T19:11:36"/>
    <s v="All Assets"/>
    <m/>
    <s v="Content/Access"/>
    <n v="2"/>
    <x v="4"/>
    <m/>
    <n v="0"/>
    <s v="Access 2"/>
  </r>
  <r>
    <n v="948"/>
    <x v="4"/>
    <d v="2015-09-25T00:00:00"/>
    <m/>
    <d v="2015-09-29T19:11:36"/>
    <s v="All Assets"/>
    <m/>
    <s v="Content/Content/Unassigned"/>
    <n v="8"/>
    <x v="5"/>
    <n v="47.979797980000001"/>
    <n v="0.4797979798"/>
    <s v="Content/Unassigned 8"/>
  </r>
  <r>
    <n v="948"/>
    <x v="4"/>
    <d v="2015-09-25T00:00:00"/>
    <m/>
    <d v="2015-09-29T19:11:36"/>
    <s v="All Assets"/>
    <m/>
    <s v="Content/Core Content"/>
    <n v="6"/>
    <x v="6"/>
    <n v="37.420774649999998"/>
    <n v="0.37420774649999999"/>
    <s v="Core Content 6"/>
  </r>
  <r>
    <n v="948"/>
    <x v="4"/>
    <d v="2015-09-25T00:00:00"/>
    <m/>
    <d v="2015-09-29T19:11:36"/>
    <s v="All Assets"/>
    <m/>
    <s v="Content/User Generated Content"/>
    <n v="7"/>
    <x v="7"/>
    <m/>
    <n v="0"/>
    <s v="User Generated Content 7"/>
  </r>
  <r>
    <n v="948"/>
    <x v="4"/>
    <d v="2015-09-25T00:00:00"/>
    <m/>
    <d v="2015-09-29T19:11:36"/>
    <s v="All Assets"/>
    <m/>
    <s v="Content/Content/Infrastructure"/>
    <n v="4"/>
    <x v="8"/>
    <n v="42.194092830000002"/>
    <n v="0.42194092830000002"/>
    <s v="Content/Infrastructure 4"/>
  </r>
  <r>
    <n v="948"/>
    <x v="4"/>
    <d v="2015-09-25T00:00:00"/>
    <m/>
    <d v="2015-09-29T19:11:36"/>
    <s v="All Assets"/>
    <m/>
    <s v="Content/Content/Promotion"/>
    <n v="5"/>
    <x v="9"/>
    <n v="45.833333330000002"/>
    <n v="0.45833333330000003"/>
    <s v="Content/Promotion 5"/>
  </r>
  <r>
    <n v="948"/>
    <x v="4"/>
    <d v="2015-09-25T00:00:00"/>
    <m/>
    <d v="2015-09-29T19:11:36"/>
    <s v="All Assets"/>
    <m/>
    <s v="Content/Content/Appeal"/>
    <n v="3"/>
    <x v="10"/>
    <n v="90"/>
    <n v="0.9"/>
    <s v="Content/Appeal 3"/>
  </r>
  <r>
    <n v="948"/>
    <x v="4"/>
    <d v="2015-09-25T00:00:00"/>
    <m/>
    <d v="2015-09-29T19:11:36"/>
    <s v="All Assets"/>
    <m/>
    <s v="Conversion"/>
    <n v="153"/>
    <x v="11"/>
    <n v="40.74603175"/>
    <n v="0.4074603175"/>
    <s v="Conversion 153"/>
  </r>
  <r>
    <n v="948"/>
    <x v="4"/>
    <d v="2015-09-25T00:00:00"/>
    <m/>
    <d v="2015-09-29T19:11:36"/>
    <s v="All Assets"/>
    <m/>
    <s v="Customer Engagement"/>
    <n v="73"/>
    <x v="12"/>
    <n v="58.381955699999999"/>
    <n v="0.58381955699999999"/>
    <s v="Customer Engagement 73"/>
  </r>
  <r>
    <n v="948"/>
    <x v="4"/>
    <d v="2015-09-25T00:00:00"/>
    <m/>
    <d v="2015-09-29T19:11:36"/>
    <s v="All Assets"/>
    <m/>
    <s v="Demand Generation"/>
    <n v="74"/>
    <x v="13"/>
    <n v="53.195519349999998"/>
    <n v="0.53195519349999998"/>
    <s v="Demand Generation 74"/>
  </r>
  <r>
    <n v="948"/>
    <x v="4"/>
    <d v="2015-09-25T00:00:00"/>
    <m/>
    <d v="2015-09-29T19:11:36"/>
    <s v="All Assets"/>
    <m/>
    <s v="E-Commerce"/>
    <n v="9"/>
    <x v="14"/>
    <n v="39.821428570000002"/>
    <n v="0.3982142857"/>
    <s v="E-Commerce 9"/>
  </r>
  <r>
    <n v="948"/>
    <x v="4"/>
    <d v="2015-09-25T00:00:00"/>
    <m/>
    <d v="2015-09-29T19:11:36"/>
    <s v="All Assets"/>
    <m/>
    <s v="E-Commerce/Checkout"/>
    <n v="10"/>
    <x v="15"/>
    <m/>
    <n v="0"/>
    <s v="Checkout 10"/>
  </r>
  <r>
    <n v="948"/>
    <x v="4"/>
    <d v="2015-09-25T00:00:00"/>
    <m/>
    <d v="2015-09-29T19:11:36"/>
    <s v="All Assets"/>
    <m/>
    <s v="E-Commerce/E-Commerce/Infrastructure"/>
    <n v="11"/>
    <x v="16"/>
    <n v="40"/>
    <n v="0.4"/>
    <s v="E-Commerce/Infrastructure 11"/>
  </r>
  <r>
    <n v="948"/>
    <x v="4"/>
    <d v="2015-09-25T00:00:00"/>
    <m/>
    <d v="2015-09-29T19:11:36"/>
    <s v="All Assets"/>
    <m/>
    <s v="E-Commerce/E-Commerce/Latency"/>
    <n v="12"/>
    <x v="17"/>
    <m/>
    <n v="0"/>
    <s v="E-Commerce/Latency 12"/>
  </r>
  <r>
    <n v="948"/>
    <x v="4"/>
    <d v="2015-09-25T00:00:00"/>
    <m/>
    <d v="2015-09-29T19:11:36"/>
    <s v="All Assets"/>
    <m/>
    <s v="E-Commerce/Product Listings"/>
    <n v="13"/>
    <x v="18"/>
    <n v="48.095238100000003"/>
    <n v="0.48095238100000004"/>
    <s v="Product Listings 13"/>
  </r>
  <r>
    <n v="948"/>
    <x v="4"/>
    <d v="2015-09-25T00:00:00"/>
    <m/>
    <d v="2015-09-29T19:11:36"/>
    <s v="All Assets"/>
    <m/>
    <s v="E-Commerce/Product Listings/Site Functionality"/>
    <n v="26"/>
    <x v="19"/>
    <m/>
    <n v="0"/>
    <s v="Site Functionality 26"/>
  </r>
  <r>
    <n v="948"/>
    <x v="4"/>
    <d v="2015-09-25T00:00:00"/>
    <m/>
    <d v="2015-09-29T19:11:36"/>
    <s v="All Assets"/>
    <m/>
    <s v="E-Commerce/Product Listings/Product Listings/Reviews"/>
    <n v="25"/>
    <x v="20"/>
    <m/>
    <n v="0"/>
    <s v="Product Listings/Reviews 25"/>
  </r>
  <r>
    <n v="948"/>
    <x v="4"/>
    <d v="2015-09-25T00:00:00"/>
    <m/>
    <d v="2015-09-29T19:11:36"/>
    <s v="All Assets"/>
    <m/>
    <s v="E-Commerce/Product Listings/PLP Usability"/>
    <n v="24"/>
    <x v="21"/>
    <m/>
    <n v="0"/>
    <s v="PLP Usability 24"/>
  </r>
  <r>
    <n v="948"/>
    <x v="4"/>
    <d v="2015-09-25T00:00:00"/>
    <m/>
    <d v="2015-09-29T19:11:36"/>
    <s v="All Assets"/>
    <m/>
    <s v="E-Commerce/Product Listings/PLP Merchandising"/>
    <n v="23"/>
    <x v="22"/>
    <n v="50"/>
    <n v="0.5"/>
    <s v="PLP Merchandising 23"/>
  </r>
  <r>
    <n v="948"/>
    <x v="4"/>
    <d v="2015-09-25T00:00:00"/>
    <m/>
    <d v="2015-09-29T19:11:36"/>
    <s v="All Assets"/>
    <m/>
    <s v="E-Commerce/Product Listings/Non-Product Site Content"/>
    <n v="20"/>
    <x v="23"/>
    <n v="45"/>
    <n v="0.45"/>
    <s v="Non-Product Site Content 20"/>
  </r>
  <r>
    <n v="948"/>
    <x v="4"/>
    <d v="2015-09-25T00:00:00"/>
    <m/>
    <d v="2015-09-29T19:11:36"/>
    <s v="All Assets"/>
    <m/>
    <s v="E-Commerce/Product Listings/PLP Content"/>
    <n v="21"/>
    <x v="24"/>
    <m/>
    <n v="0"/>
    <s v="PLP Content 21"/>
  </r>
  <r>
    <n v="948"/>
    <x v="4"/>
    <d v="2015-09-25T00:00:00"/>
    <m/>
    <d v="2015-09-29T19:11:36"/>
    <s v="All Assets"/>
    <m/>
    <s v="E-Commerce/Product Listings/PLP Functionality"/>
    <n v="22"/>
    <x v="25"/>
    <m/>
    <n v="0"/>
    <s v="PLP Functionality 22"/>
  </r>
  <r>
    <n v="948"/>
    <x v="4"/>
    <d v="2015-09-25T00:00:00"/>
    <m/>
    <d v="2015-09-29T19:11:36"/>
    <s v="All Assets"/>
    <m/>
    <s v="E-Commerce/User Engagement"/>
    <n v="17"/>
    <x v="26"/>
    <m/>
    <n v="0"/>
    <s v="User Engagement 17"/>
  </r>
  <r>
    <n v="948"/>
    <x v="4"/>
    <d v="2015-09-25T00:00:00"/>
    <m/>
    <d v="2015-09-29T19:11:36"/>
    <s v="All Assets"/>
    <m/>
    <s v="E-Commerce/Site Content"/>
    <n v="16"/>
    <x v="27"/>
    <m/>
    <n v="0"/>
    <s v="Site Content 16"/>
  </r>
  <r>
    <n v="948"/>
    <x v="4"/>
    <d v="2015-09-25T00:00:00"/>
    <m/>
    <d v="2015-09-29T19:11:36"/>
    <s v="All Assets"/>
    <m/>
    <s v="E-Commerce/E-Commerce/Product Merchandising"/>
    <n v="144"/>
    <x v="28"/>
    <n v="34.084967319999997"/>
    <n v="0.34084967319999998"/>
    <s v="E-Commerce/Product Merchandising 144"/>
  </r>
  <r>
    <n v="948"/>
    <x v="4"/>
    <d v="2015-09-25T00:00:00"/>
    <m/>
    <d v="2015-09-29T19:11:36"/>
    <s v="All Assets"/>
    <m/>
    <s v="E-Commerce/E-Commerce/Reviews"/>
    <n v="15"/>
    <x v="29"/>
    <m/>
    <n v="0"/>
    <s v="E-Commerce/Reviews 15"/>
  </r>
  <r>
    <n v="948"/>
    <x v="4"/>
    <d v="2015-09-25T00:00:00"/>
    <m/>
    <d v="2015-09-29T19:11:36"/>
    <s v="All Assets"/>
    <m/>
    <s v="E-Commerce/Product Search"/>
    <n v="14"/>
    <x v="30"/>
    <m/>
    <n v="0"/>
    <s v="Product Search 14"/>
  </r>
  <r>
    <n v="948"/>
    <x v="4"/>
    <d v="2015-09-25T00:00:00"/>
    <m/>
    <d v="2015-09-29T19:11:36"/>
    <s v="All Assets"/>
    <m/>
    <s v="E-Commerce/E-Commerce/Unassigned"/>
    <n v="19"/>
    <x v="31"/>
    <m/>
    <n v="0"/>
    <s v="E-Commerce/Unassigned 19"/>
  </r>
  <r>
    <n v="948"/>
    <x v="4"/>
    <d v="2015-09-25T00:00:00"/>
    <m/>
    <d v="2015-09-29T19:11:36"/>
    <s v="All Assets"/>
    <m/>
    <s v="E-Commerce/Section Pages"/>
    <n v="18"/>
    <x v="32"/>
    <m/>
    <n v="0"/>
    <s v="Section Pages 18"/>
  </r>
  <r>
    <n v="948"/>
    <x v="4"/>
    <d v="2015-09-25T00:00:00"/>
    <m/>
    <d v="2015-09-29T19:11:36"/>
    <s v="All Assets"/>
    <m/>
    <s v="Mobile"/>
    <n v="27"/>
    <x v="33"/>
    <n v="59.753086420000002"/>
    <n v="0.59753086420000001"/>
    <s v="Mobile 27"/>
  </r>
  <r>
    <n v="948"/>
    <x v="4"/>
    <d v="2015-09-25T00:00:00"/>
    <m/>
    <d v="2015-09-29T19:11:36"/>
    <s v="All Assets"/>
    <m/>
    <s v="Mobile/Mobile/Content"/>
    <n v="29"/>
    <x v="34"/>
    <m/>
    <n v="0"/>
    <s v="Mobile/Content 29"/>
  </r>
  <r>
    <n v="948"/>
    <x v="4"/>
    <d v="2015-09-25T00:00:00"/>
    <m/>
    <d v="2015-09-29T19:11:36"/>
    <s v="All Assets"/>
    <m/>
    <s v="Mobile/Compatibility"/>
    <n v="28"/>
    <x v="35"/>
    <n v="42.5"/>
    <n v="0.42499999999999999"/>
    <s v="Compatibility 28"/>
  </r>
  <r>
    <n v="948"/>
    <x v="4"/>
    <d v="2015-09-25T00:00:00"/>
    <m/>
    <d v="2015-09-29T19:11:36"/>
    <s v="All Assets"/>
    <m/>
    <s v="Mobile/Mobile/Infrastructure"/>
    <n v="31"/>
    <x v="36"/>
    <n v="100"/>
    <n v="1"/>
    <s v="Mobile/Infrastructure 31"/>
  </r>
  <r>
    <n v="948"/>
    <x v="4"/>
    <d v="2015-09-25T00:00:00"/>
    <m/>
    <d v="2015-09-29T19:11:36"/>
    <s v="All Assets"/>
    <m/>
    <s v="Mobile/Functionality"/>
    <n v="30"/>
    <x v="37"/>
    <n v="66.666666669999998"/>
    <n v="0.66666666669999997"/>
    <s v="Functionality 30"/>
  </r>
  <r>
    <n v="948"/>
    <x v="4"/>
    <d v="2015-09-25T00:00:00"/>
    <m/>
    <d v="2015-09-29T19:11:36"/>
    <s v="All Assets"/>
    <m/>
    <s v="Mobile/Mobile/Latency"/>
    <n v="32"/>
    <x v="38"/>
    <m/>
    <n v="0"/>
    <s v="Mobile/Latency 32"/>
  </r>
  <r>
    <n v="948"/>
    <x v="4"/>
    <d v="2015-09-25T00:00:00"/>
    <m/>
    <d v="2015-09-29T19:11:36"/>
    <s v="All Assets"/>
    <m/>
    <s v="Mobile/Mobile/Promotion"/>
    <n v="33"/>
    <x v="39"/>
    <m/>
    <n v="0"/>
    <s v="Mobile/Promotion 33"/>
  </r>
  <r>
    <n v="948"/>
    <x v="4"/>
    <d v="2015-09-25T00:00:00"/>
    <m/>
    <d v="2015-09-29T19:11:36"/>
    <s v="All Assets"/>
    <m/>
    <s v="Online Channel"/>
    <n v="68"/>
    <x v="40"/>
    <m/>
    <n v="0"/>
    <s v="Online Channel 68"/>
  </r>
  <r>
    <n v="948"/>
    <x v="4"/>
    <d v="2015-09-25T00:00:00"/>
    <m/>
    <d v="2015-09-29T19:11:36"/>
    <s v="All Assets"/>
    <m/>
    <s v="Online Channel/E-Referral"/>
    <n v="69"/>
    <x v="41"/>
    <m/>
    <n v="0"/>
    <s v="E-Referral 69"/>
  </r>
  <r>
    <n v="948"/>
    <x v="4"/>
    <d v="2015-09-25T00:00:00"/>
    <m/>
    <d v="2015-09-29T19:11:36"/>
    <s v="All Assets"/>
    <m/>
    <s v="Online Channel/Online Channel/Product Merchandising"/>
    <n v="71"/>
    <x v="42"/>
    <m/>
    <n v="0"/>
    <s v="Online Channel/Product Merchandising 71"/>
  </r>
  <r>
    <n v="948"/>
    <x v="4"/>
    <d v="2015-09-25T00:00:00"/>
    <m/>
    <d v="2015-09-29T19:11:36"/>
    <s v="All Assets"/>
    <m/>
    <s v="Online Channel/Brand Merchandising"/>
    <n v="70"/>
    <x v="43"/>
    <m/>
    <n v="0"/>
    <s v="Brand Merchandising 70"/>
  </r>
  <r>
    <n v="948"/>
    <x v="4"/>
    <d v="2015-09-25T00:00:00"/>
    <m/>
    <d v="2015-09-29T19:11:36"/>
    <s v="All Assets"/>
    <m/>
    <s v="Opportunity Conversion"/>
    <n v="75"/>
    <x v="44"/>
    <n v="46.478219699999997"/>
    <n v="0.46478219699999995"/>
    <s v="Opportunity Conversion 75"/>
  </r>
  <r>
    <n v="948"/>
    <x v="4"/>
    <d v="2015-09-25T00:00:00"/>
    <m/>
    <d v="2015-09-29T19:11:36"/>
    <s v="All Assets"/>
    <m/>
    <s v="SEM"/>
    <n v="34"/>
    <x v="45"/>
    <n v="45.087064679999997"/>
    <n v="0.4508706468"/>
    <s v="SEM 34"/>
  </r>
  <r>
    <n v="948"/>
    <x v="4"/>
    <d v="2015-09-25T00:00:00"/>
    <m/>
    <d v="2015-09-29T19:11:36"/>
    <s v="All Assets"/>
    <m/>
    <s v="SEM/SEM/Content"/>
    <n v="37"/>
    <x v="46"/>
    <n v="40.032407409999998"/>
    <n v="0.40032407409999998"/>
    <s v="SEM/Content 37"/>
  </r>
  <r>
    <n v="948"/>
    <x v="4"/>
    <d v="2015-09-25T00:00:00"/>
    <m/>
    <d v="2015-09-29T19:11:36"/>
    <s v="All Assets"/>
    <m/>
    <s v="SEM/Inclusion"/>
    <n v="38"/>
    <x v="47"/>
    <m/>
    <n v="0"/>
    <s v="Inclusion 38"/>
  </r>
  <r>
    <n v="948"/>
    <x v="4"/>
    <d v="2015-09-25T00:00:00"/>
    <m/>
    <d v="2015-09-29T19:11:36"/>
    <s v="All Assets"/>
    <m/>
    <s v="SEM/Advertising"/>
    <n v="35"/>
    <x v="48"/>
    <m/>
    <n v="0"/>
    <s v="Advertising 35"/>
  </r>
  <r>
    <n v="948"/>
    <x v="4"/>
    <d v="2015-09-25T00:00:00"/>
    <m/>
    <d v="2015-09-29T19:11:36"/>
    <s v="All Assets"/>
    <m/>
    <s v="SEM/Constructs"/>
    <n v="36"/>
    <x v="49"/>
    <n v="54.621212120000003"/>
    <n v="0.54621212120000007"/>
    <s v="Constructs 36"/>
  </r>
  <r>
    <n v="948"/>
    <x v="4"/>
    <d v="2015-09-25T00:00:00"/>
    <m/>
    <d v="2015-09-29T19:11:36"/>
    <s v="All Assets"/>
    <m/>
    <s v="SEM/SEM/Unassigned"/>
    <n v="41"/>
    <x v="50"/>
    <m/>
    <n v="0"/>
    <s v="SEM/Unassigned 41"/>
  </r>
  <r>
    <n v="948"/>
    <x v="4"/>
    <d v="2015-09-25T00:00:00"/>
    <m/>
    <d v="2015-09-29T19:11:36"/>
    <s v="All Assets"/>
    <m/>
    <s v="SEM/SEM/Infrastructure"/>
    <n v="39"/>
    <x v="51"/>
    <n v="42"/>
    <n v="0.42"/>
    <s v="SEM/Infrastructure 39"/>
  </r>
  <r>
    <n v="948"/>
    <x v="4"/>
    <d v="2015-09-25T00:00:00"/>
    <m/>
    <d v="2015-09-29T19:11:36"/>
    <s v="All Assets"/>
    <m/>
    <s v="SEM/Ranking"/>
    <n v="40"/>
    <x v="52"/>
    <m/>
    <n v="0"/>
    <s v="Ranking 40"/>
  </r>
  <r>
    <n v="948"/>
    <x v="4"/>
    <d v="2015-09-25T00:00:00"/>
    <m/>
    <d v="2015-09-29T19:11:36"/>
    <s v="All Assets"/>
    <m/>
    <s v="Social Media"/>
    <n v="42"/>
    <x v="53"/>
    <n v="46.553398059999999"/>
    <n v="0.46553398060000001"/>
    <s v="Social Media 42"/>
  </r>
  <r>
    <n v="948"/>
    <x v="4"/>
    <d v="2015-09-25T00:00:00"/>
    <m/>
    <d v="2015-09-29T19:11:36"/>
    <s v="All Assets"/>
    <m/>
    <s v="Social Media/Social Media/Unassigned"/>
    <n v="52"/>
    <x v="54"/>
    <m/>
    <n v="0"/>
    <s v="Social Media/Unassigned 52"/>
  </r>
  <r>
    <n v="948"/>
    <x v="4"/>
    <d v="2015-09-25T00:00:00"/>
    <m/>
    <d v="2015-09-29T19:11:36"/>
    <s v="All Assets"/>
    <m/>
    <s v="Social Media/YouTube"/>
    <n v="51"/>
    <x v="55"/>
    <m/>
    <n v="0"/>
    <s v="YouTube 51"/>
  </r>
  <r>
    <n v="948"/>
    <x v="4"/>
    <d v="2015-09-25T00:00:00"/>
    <m/>
    <d v="2015-09-29T19:11:36"/>
    <s v="All Assets"/>
    <m/>
    <s v="Social Media/Twitter"/>
    <n v="50"/>
    <x v="56"/>
    <n v="71.428571430000005"/>
    <n v="0.7142857143000001"/>
    <s v="Twitter 50"/>
  </r>
  <r>
    <n v="948"/>
    <x v="4"/>
    <d v="2015-09-25T00:00:00"/>
    <m/>
    <d v="2015-09-29T19:11:36"/>
    <s v="All Assets"/>
    <m/>
    <s v="Social Media/Social Media/Promotion"/>
    <n v="49"/>
    <x v="57"/>
    <n v="0"/>
    <n v="0"/>
    <s v="Social Media/Promotion 49"/>
  </r>
  <r>
    <n v="948"/>
    <x v="4"/>
    <d v="2015-09-25T00:00:00"/>
    <m/>
    <d v="2015-09-29T19:11:36"/>
    <s v="All Assets"/>
    <m/>
    <s v="Social Media/Other Social Networks"/>
    <n v="48"/>
    <x v="58"/>
    <m/>
    <n v="0"/>
    <s v="Other Social Networks 48"/>
  </r>
  <r>
    <n v="948"/>
    <x v="4"/>
    <d v="2015-09-25T00:00:00"/>
    <m/>
    <d v="2015-09-29T19:11:36"/>
    <s v="All Assets"/>
    <m/>
    <s v="Social Media/LinkedIn"/>
    <n v="47"/>
    <x v="59"/>
    <m/>
    <n v="0"/>
    <s v="LinkedIn 47"/>
  </r>
  <r>
    <n v="948"/>
    <x v="4"/>
    <d v="2015-09-25T00:00:00"/>
    <m/>
    <d v="2015-09-29T19:11:36"/>
    <s v="All Assets"/>
    <m/>
    <s v="Social Media/Social Media/Content"/>
    <n v="44"/>
    <x v="60"/>
    <m/>
    <n v="0"/>
    <s v="Social Media/Content 44"/>
  </r>
  <r>
    <n v="948"/>
    <x v="4"/>
    <d v="2015-09-25T00:00:00"/>
    <m/>
    <d v="2015-09-29T19:11:36"/>
    <s v="All Assets"/>
    <m/>
    <s v="Social Media/Social Media/Infrastructure"/>
    <n v="46"/>
    <x v="61"/>
    <n v="53.65384615"/>
    <n v="0.53653846149999995"/>
    <s v="Social Media/Infrastructure 46"/>
  </r>
  <r>
    <n v="948"/>
    <x v="4"/>
    <d v="2015-09-25T00:00:00"/>
    <m/>
    <d v="2015-09-29T19:11:36"/>
    <s v="All Assets"/>
    <m/>
    <s v="Social Media/Facebook"/>
    <n v="45"/>
    <x v="62"/>
    <n v="41.379310340000004"/>
    <n v="0.41379310340000003"/>
    <s v="Facebook 45"/>
  </r>
  <r>
    <n v="948"/>
    <x v="4"/>
    <d v="2015-09-25T00:00:00"/>
    <m/>
    <d v="2015-09-29T19:11:36"/>
    <s v="All Assets"/>
    <m/>
    <s v="Social Media/Social Media/Appeal"/>
    <n v="43"/>
    <x v="63"/>
    <m/>
    <n v="0"/>
    <s v="Social Media/Appeal 43"/>
  </r>
  <r>
    <n v="948"/>
    <x v="4"/>
    <d v="2015-09-25T00:00:00"/>
    <m/>
    <d v="2015-09-29T19:11:36"/>
    <s v="All Assets"/>
    <m/>
    <s v="Support"/>
    <n v="53"/>
    <x v="64"/>
    <n v="54.299674269999997"/>
    <n v="0.54299674269999998"/>
    <s v="Support 53"/>
  </r>
  <r>
    <n v="948"/>
    <x v="4"/>
    <d v="2015-09-25T00:00:00"/>
    <m/>
    <d v="2015-09-29T19:11:36"/>
    <s v="All Assets"/>
    <m/>
    <s v="Task Completion"/>
    <n v="151"/>
    <x v="65"/>
    <n v="47.01318071"/>
    <n v="0.47013180710000002"/>
    <s v="Task Completion 151"/>
  </r>
  <r>
    <n v="948"/>
    <x v="4"/>
    <d v="2015-09-25T00:00:00"/>
    <m/>
    <d v="2015-09-29T19:11:36"/>
    <s v="All Assets"/>
    <m/>
    <s v="Time Spent on Site"/>
    <n v="152"/>
    <x v="66"/>
    <n v="48.619129690000001"/>
    <n v="0.48619129690000001"/>
    <s v="Time Spent on Site 152"/>
  </r>
  <r>
    <n v="948"/>
    <x v="4"/>
    <d v="2015-09-25T00:00:00"/>
    <m/>
    <d v="2015-09-29T19:11:36"/>
    <s v="All Assets"/>
    <m/>
    <s v="Traffic"/>
    <n v="149"/>
    <x v="67"/>
    <n v="48.385807100000001"/>
    <n v="0.483858071"/>
    <s v="Traffic 149"/>
  </r>
  <r>
    <n v="948"/>
    <x v="4"/>
    <d v="2015-09-25T00:00:00"/>
    <m/>
    <d v="2015-09-29T19:11:36"/>
    <s v="All Assets"/>
    <m/>
    <s v="Website"/>
    <n v="54"/>
    <x v="68"/>
    <n v="52.570660050000001"/>
    <n v="0.52570660049999995"/>
    <s v="Website 54"/>
  </r>
  <r>
    <n v="948"/>
    <x v="4"/>
    <d v="2015-09-25T00:00:00"/>
    <m/>
    <d v="2015-09-29T19:11:36"/>
    <s v="All Assets"/>
    <m/>
    <s v="Website/E-Retail"/>
    <n v="57"/>
    <x v="69"/>
    <m/>
    <n v="0"/>
    <s v="E-Retail 57"/>
  </r>
  <r>
    <n v="948"/>
    <x v="4"/>
    <d v="2015-09-25T00:00:00"/>
    <m/>
    <d v="2015-09-29T19:11:36"/>
    <s v="All Assets"/>
    <m/>
    <s v="Website/Website/Infrastructure"/>
    <n v="58"/>
    <x v="70"/>
    <n v="67.522658609999993"/>
    <n v="0.67522658609999997"/>
    <s v="Website/Infrastructure 58"/>
  </r>
  <r>
    <n v="948"/>
    <x v="4"/>
    <d v="2015-09-25T00:00:00"/>
    <m/>
    <d v="2015-09-29T19:11:36"/>
    <s v="All Assets"/>
    <m/>
    <s v="Website/Website/Latency"/>
    <n v="59"/>
    <x v="71"/>
    <n v="67.310924369999995"/>
    <n v="0.67310924369999992"/>
    <s v="Website/Latency 59"/>
  </r>
  <r>
    <n v="948"/>
    <x v="4"/>
    <d v="2015-09-25T00:00:00"/>
    <m/>
    <d v="2015-09-29T19:11:36"/>
    <s v="All Assets"/>
    <m/>
    <s v="Website/Website/Promotion"/>
    <n v="60"/>
    <x v="72"/>
    <n v="38.235294119999999"/>
    <n v="0.38235294119999996"/>
    <s v="Website/Promotion 60"/>
  </r>
  <r>
    <n v="948"/>
    <x v="4"/>
    <d v="2015-09-25T00:00:00"/>
    <m/>
    <d v="2015-09-29T19:11:36"/>
    <s v="All Assets"/>
    <m/>
    <s v="Website/Website/Appeal"/>
    <n v="55"/>
    <x v="73"/>
    <m/>
    <n v="0"/>
    <s v="Website/Appeal 55"/>
  </r>
  <r>
    <n v="948"/>
    <x v="4"/>
    <d v="2015-09-25T00:00:00"/>
    <m/>
    <d v="2015-09-29T19:11:36"/>
    <s v="All Assets"/>
    <m/>
    <s v="Website/Website/Content"/>
    <n v="56"/>
    <x v="74"/>
    <n v="38.38689351"/>
    <n v="0.38386893509999997"/>
    <s v="Website/Content 56"/>
  </r>
  <r>
    <n v="948"/>
    <x v="4"/>
    <d v="2015-09-25T00:00:00"/>
    <m/>
    <d v="2015-09-29T19:11:36"/>
    <s v="All Assets"/>
    <m/>
    <s v="Website/Website/Reviews"/>
    <n v="61"/>
    <x v="75"/>
    <m/>
    <n v="0"/>
    <s v="Website/Reviews 61"/>
  </r>
  <r>
    <n v="948"/>
    <x v="4"/>
    <d v="2015-09-25T00:00:00"/>
    <m/>
    <d v="2015-09-29T19:11:36"/>
    <s v="All Assets"/>
    <m/>
    <s v="Website/User Registration"/>
    <n v="66"/>
    <x v="76"/>
    <n v="30"/>
    <n v="0.3"/>
    <s v="User Registration 66"/>
  </r>
  <r>
    <n v="948"/>
    <x v="4"/>
    <d v="2015-09-25T00:00:00"/>
    <m/>
    <d v="2015-09-29T19:11:36"/>
    <s v="All Assets"/>
    <m/>
    <s v="Website/Website/Unassigned"/>
    <n v="67"/>
    <x v="77"/>
    <m/>
    <n v="0"/>
    <s v="Website/Unassigned 67"/>
  </r>
  <r>
    <n v="948"/>
    <x v="4"/>
    <d v="2015-09-25T00:00:00"/>
    <m/>
    <d v="2015-09-29T19:11:36"/>
    <s v="All Assets"/>
    <m/>
    <s v="Website/Website/Traffic"/>
    <n v="64"/>
    <x v="78"/>
    <m/>
    <n v="0"/>
    <s v="Website/Traffic 64"/>
  </r>
  <r>
    <n v="948"/>
    <x v="4"/>
    <d v="2015-09-25T00:00:00"/>
    <m/>
    <d v="2015-09-29T19:11:36"/>
    <s v="All Assets"/>
    <m/>
    <s v="Website/Usability"/>
    <n v="65"/>
    <x v="79"/>
    <n v="66.287328489999993"/>
    <n v="0.66287328489999997"/>
    <s v="Usability 65"/>
  </r>
  <r>
    <n v="948"/>
    <x v="4"/>
    <d v="2015-09-25T00:00:00"/>
    <m/>
    <d v="2015-09-29T19:11:36"/>
    <s v="All Assets"/>
    <m/>
    <s v="Website/Site Search"/>
    <n v="63"/>
    <x v="80"/>
    <n v="19.457627120000001"/>
    <n v="0.19457627120000001"/>
    <s v="Site Search 63"/>
  </r>
  <r>
    <n v="948"/>
    <x v="4"/>
    <d v="2015-09-25T00:00:00"/>
    <m/>
    <d v="2015-09-29T19:11:36"/>
    <s v="All Assets"/>
    <m/>
    <s v="Website/Search Engine Constructs"/>
    <n v="62"/>
    <x v="81"/>
    <m/>
    <n v="0"/>
    <s v="Search Engine Constructs 62"/>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1:G16" firstHeaderRow="1" firstDataRow="2" firstDataCol="1"/>
  <pivotFields count="13">
    <pivotField showAll="0"/>
    <pivotField axis="axisCol" showAll="0">
      <items count="27">
        <item m="1" x="20"/>
        <item m="1" x="8"/>
        <item m="1" x="15"/>
        <item m="1" x="21"/>
        <item m="1" x="23"/>
        <item x="5"/>
        <item m="1" x="17"/>
        <item m="1" x="16"/>
        <item m="1" x="14"/>
        <item m="1" x="12"/>
        <item m="1" x="6"/>
        <item m="1" x="10"/>
        <item m="1" x="13"/>
        <item m="1" x="7"/>
        <item m="1" x="18"/>
        <item m="1" x="22"/>
        <item m="1" x="24"/>
        <item m="1" x="19"/>
        <item m="1" x="11"/>
        <item m="1" x="9"/>
        <item m="1" x="25"/>
        <item x="0"/>
        <item x="1"/>
        <item x="2"/>
        <item x="3"/>
        <item x="4"/>
        <item t="default"/>
      </items>
    </pivotField>
    <pivotField numFmtId="14" showAll="0"/>
    <pivotField showAll="0"/>
    <pivotField numFmtId="22" showAll="0"/>
    <pivotField showAll="0"/>
    <pivotField showAll="0" defaultSubtotal="0"/>
    <pivotField showAll="0" defaultSubtotal="0"/>
    <pivotField showAll="0"/>
    <pivotField axis="axisRow" showAll="0">
      <items count="84">
        <item h="1" x="0"/>
        <item h="1" x="4"/>
        <item h="1" x="48"/>
        <item h="1" x="1"/>
        <item x="2"/>
        <item h="1" x="43"/>
        <item h="1" x="15"/>
        <item h="1" x="35"/>
        <item h="1" x="49"/>
        <item x="3"/>
        <item h="1" x="10"/>
        <item h="1" x="8"/>
        <item h="1" x="9"/>
        <item h="1" x="5"/>
        <item h="1" x="11"/>
        <item h="1" x="6"/>
        <item x="12"/>
        <item x="13"/>
        <item x="14"/>
        <item h="1" x="16"/>
        <item h="1" x="17"/>
        <item x="28"/>
        <item h="1" x="29"/>
        <item h="1" x="31"/>
        <item h="1" x="41"/>
        <item h="1" x="69"/>
        <item h="1" x="62"/>
        <item h="1" x="37"/>
        <item h="1" x="47"/>
        <item h="1" x="59"/>
        <item x="33"/>
        <item h="1" x="34"/>
        <item h="1" x="36"/>
        <item h="1" x="38"/>
        <item h="1" x="39"/>
        <item h="1" x="23"/>
        <item h="1" x="40"/>
        <item h="1" x="42"/>
        <item x="44"/>
        <item h="1" x="58"/>
        <item h="1" x="24"/>
        <item h="1" x="25"/>
        <item h="1" x="22"/>
        <item h="1" x="21"/>
        <item h="1" x="18"/>
        <item h="1" x="20"/>
        <item h="1" x="30"/>
        <item h="1" x="52"/>
        <item h="1" x="81"/>
        <item h="1" x="32"/>
        <item x="45"/>
        <item h="1" x="46"/>
        <item h="1" x="51"/>
        <item h="1" x="50"/>
        <item h="1" x="27"/>
        <item h="1" x="19"/>
        <item h="1" x="80"/>
        <item x="53"/>
        <item h="1" x="63"/>
        <item h="1" x="60"/>
        <item h="1" x="61"/>
        <item h="1" x="57"/>
        <item h="1" x="54"/>
        <item x="64"/>
        <item h="1" x="65"/>
        <item h="1" x="66"/>
        <item h="1" x="67"/>
        <item h="1" x="56"/>
        <item h="1" x="79"/>
        <item h="1" x="26"/>
        <item h="1" x="7"/>
        <item x="76"/>
        <item x="68"/>
        <item h="1" x="73"/>
        <item h="1" x="74"/>
        <item h="1" x="70"/>
        <item h="1" x="71"/>
        <item h="1" x="72"/>
        <item h="1" x="75"/>
        <item h="1" x="78"/>
        <item h="1" x="77"/>
        <item h="1" x="55"/>
        <item h="1" x="82"/>
        <item t="default"/>
      </items>
    </pivotField>
    <pivotField showAll="0"/>
    <pivotField dataField="1" showAll="0"/>
    <pivotField showAll="0"/>
  </pivotFields>
  <rowFields count="1">
    <field x="9"/>
  </rowFields>
  <rowItems count="14">
    <i>
      <x v="4"/>
    </i>
    <i>
      <x v="9"/>
    </i>
    <i>
      <x v="16"/>
    </i>
    <i>
      <x v="17"/>
    </i>
    <i>
      <x v="18"/>
    </i>
    <i>
      <x v="21"/>
    </i>
    <i>
      <x v="30"/>
    </i>
    <i>
      <x v="38"/>
    </i>
    <i>
      <x v="50"/>
    </i>
    <i>
      <x v="57"/>
    </i>
    <i>
      <x v="63"/>
    </i>
    <i>
      <x v="71"/>
    </i>
    <i>
      <x v="72"/>
    </i>
    <i t="grand">
      <x/>
    </i>
  </rowItems>
  <colFields count="1">
    <field x="1"/>
  </colFields>
  <colItems count="6">
    <i>
      <x v="21"/>
    </i>
    <i>
      <x v="22"/>
    </i>
    <i>
      <x v="23"/>
    </i>
    <i>
      <x v="24"/>
    </i>
    <i>
      <x v="25"/>
    </i>
    <i t="grand">
      <x/>
    </i>
  </colItems>
  <dataFields count="1">
    <dataField name="Sum of Score/100" fld="11" baseField="0" baseItem="0"/>
  </dataFields>
  <formats count="3">
    <format dxfId="23">
      <pivotArea collapsedLevelsAreSubtotals="1" fieldPosition="0">
        <references count="2">
          <reference field="1" count="0" selected="0"/>
          <reference field="9" count="0"/>
        </references>
      </pivotArea>
    </format>
    <format dxfId="22">
      <pivotArea collapsedLevelsAreSubtotals="1" fieldPosition="0">
        <references count="2">
          <reference field="1" count="0" selected="0"/>
          <reference field="9" count="0"/>
        </references>
      </pivotArea>
    </format>
    <format dxfId="21">
      <pivotArea collapsedLevelsAreSubtotals="1" fieldPosition="0">
        <references count="2">
          <reference field="1" count="4" selected="0">
            <x v="12"/>
            <x v="13"/>
            <x v="14"/>
            <x v="15"/>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id="{62F939B6-93AF-4DB8-9C6B-D6C7DFDC589F}" name="Office Theme"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M50"/>
  <sheetViews>
    <sheetView tabSelected="1" zoomScaleNormal="100" workbookViewId="0">
      <pane xSplit="2" ySplit="2" topLeftCell="D6" activePane="bottomRight" state="frozen"/>
      <selection pane="topRight" activeCell="C1" sqref="C1"/>
      <selection pane="bottomLeft" activeCell="A3" sqref="A3"/>
      <selection pane="bottomRight" activeCell="J25" sqref="J25:R25"/>
    </sheetView>
  </sheetViews>
  <sheetFormatPr defaultColWidth="8.7109375" defaultRowHeight="15"/>
  <cols>
    <col min="1" max="1" width="6" style="33" customWidth="1" collapsed="1"/>
    <col min="2" max="2" width="30.42578125" style="33" customWidth="1" collapsed="1"/>
    <col min="3" max="3" width="28.140625" style="230" customWidth="1" collapsed="1"/>
    <col min="4" max="4" width="31.85546875" style="230" customWidth="1" collapsed="1"/>
    <col min="5" max="5" width="9.42578125" style="230" customWidth="1" collapsed="1"/>
    <col min="6" max="6" width="7" style="230" customWidth="1" collapsed="1"/>
    <col min="7" max="7" width="6.7109375" style="52" customWidth="1" collapsed="1"/>
    <col min="8" max="8" width="13.140625" style="218" customWidth="1" collapsed="1"/>
    <col min="9" max="9" width="12" style="33" customWidth="1" collapsed="1"/>
    <col min="10" max="10" width="7.7109375" style="218" customWidth="1" collapsed="1"/>
    <col min="11" max="12" width="7.7109375" style="219" customWidth="1" collapsed="1"/>
    <col min="13" max="19" width="7.7109375" style="33" customWidth="1" collapsed="1"/>
    <col min="20" max="20" width="8.140625" style="33" customWidth="1" collapsed="1"/>
    <col min="21" max="21" width="7.7109375" style="52" customWidth="1" collapsed="1"/>
    <col min="22" max="22" width="7.7109375" style="292" customWidth="1" collapsed="1"/>
    <col min="23" max="36" width="7.7109375" style="33" customWidth="1" collapsed="1"/>
    <col min="37" max="37" width="2.140625" style="287" customWidth="1" collapsed="1"/>
    <col min="38" max="52" width="8.7109375" style="69" customWidth="1" collapsed="1"/>
    <col min="53" max="53" width="2.140625" style="287" customWidth="1" collapsed="1"/>
    <col min="54" max="55" width="8.7109375" style="69" collapsed="1"/>
    <col min="56" max="56" width="2.140625" style="287" customWidth="1" collapsed="1"/>
    <col min="57" max="58" width="8.7109375" style="151" collapsed="1"/>
    <col min="59" max="16384" width="8.7109375" style="69" collapsed="1"/>
  </cols>
  <sheetData>
    <row r="1" spans="1:91">
      <c r="A1" s="308" t="s">
        <v>678</v>
      </c>
      <c r="B1" s="308"/>
      <c r="C1" s="308"/>
      <c r="D1" s="308"/>
      <c r="E1" s="308"/>
      <c r="F1" s="308"/>
      <c r="G1" s="308"/>
      <c r="H1" s="309" t="s">
        <v>679</v>
      </c>
      <c r="I1" s="309"/>
      <c r="J1" s="310" t="s">
        <v>680</v>
      </c>
      <c r="K1" s="310"/>
      <c r="L1" s="310"/>
      <c r="M1" s="310"/>
      <c r="N1" s="310"/>
      <c r="O1" s="310"/>
      <c r="P1" s="310"/>
      <c r="Q1" s="310"/>
      <c r="R1" s="310"/>
      <c r="S1" s="310"/>
      <c r="T1" s="310"/>
      <c r="U1" s="310"/>
      <c r="V1" s="311" t="s">
        <v>681</v>
      </c>
      <c r="W1" s="311"/>
      <c r="X1" s="311"/>
      <c r="Y1" s="311"/>
      <c r="Z1" s="311"/>
      <c r="AA1" s="311"/>
      <c r="AB1" s="311"/>
      <c r="AC1" s="311"/>
      <c r="AD1" s="311"/>
      <c r="AE1" s="311"/>
      <c r="AF1" s="311"/>
      <c r="AG1" s="311"/>
      <c r="AH1" s="311"/>
      <c r="AI1" s="311"/>
      <c r="AJ1" s="312"/>
      <c r="AK1" s="220"/>
      <c r="AL1" s="313" t="s">
        <v>351</v>
      </c>
      <c r="AM1" s="313"/>
      <c r="AN1" s="313"/>
      <c r="AO1" s="313"/>
      <c r="AP1" s="313"/>
      <c r="AQ1" s="313"/>
      <c r="AR1" s="313"/>
      <c r="AS1" s="313"/>
      <c r="AT1" s="313"/>
      <c r="AU1" s="313"/>
      <c r="AV1" s="313"/>
      <c r="AW1" s="313"/>
      <c r="AX1" s="313"/>
      <c r="AY1" s="313"/>
      <c r="AZ1" s="313"/>
      <c r="BA1" s="220"/>
      <c r="BC1" s="307" t="s">
        <v>682</v>
      </c>
      <c r="BD1" s="221"/>
    </row>
    <row r="2" spans="1:91" s="33" customFormat="1" ht="15.75" thickBot="1">
      <c r="A2" s="168" t="s">
        <v>73</v>
      </c>
      <c r="B2" s="168" t="s">
        <v>55</v>
      </c>
      <c r="C2" s="168" t="s">
        <v>703</v>
      </c>
      <c r="D2" s="168" t="s">
        <v>683</v>
      </c>
      <c r="E2" s="226" t="s">
        <v>695</v>
      </c>
      <c r="F2" s="226" t="s">
        <v>349</v>
      </c>
      <c r="G2" s="226" t="s">
        <v>350</v>
      </c>
      <c r="H2" s="222" t="s">
        <v>700</v>
      </c>
      <c r="I2" s="168" t="s">
        <v>701</v>
      </c>
      <c r="J2" s="236" t="s">
        <v>684</v>
      </c>
      <c r="K2" s="237" t="s">
        <v>685</v>
      </c>
      <c r="L2" s="223" t="s">
        <v>686</v>
      </c>
      <c r="M2" s="168" t="s">
        <v>305</v>
      </c>
      <c r="N2" s="226" t="s">
        <v>687</v>
      </c>
      <c r="O2" s="226" t="s">
        <v>688</v>
      </c>
      <c r="P2" s="226" t="s">
        <v>689</v>
      </c>
      <c r="Q2" s="226" t="s">
        <v>690</v>
      </c>
      <c r="R2" s="224" t="s">
        <v>691</v>
      </c>
      <c r="S2" s="226" t="s">
        <v>692</v>
      </c>
      <c r="T2" s="226" t="s">
        <v>693</v>
      </c>
      <c r="U2" s="226" t="s">
        <v>2517</v>
      </c>
      <c r="V2" s="238" t="s">
        <v>673</v>
      </c>
      <c r="W2" s="225" t="s">
        <v>674</v>
      </c>
      <c r="X2" s="225" t="s">
        <v>675</v>
      </c>
      <c r="Y2" s="225" t="s">
        <v>10</v>
      </c>
      <c r="Z2" s="224" t="s">
        <v>496</v>
      </c>
      <c r="AA2" s="224" t="s">
        <v>5</v>
      </c>
      <c r="AB2" s="224" t="s">
        <v>305</v>
      </c>
      <c r="AC2" s="226" t="s">
        <v>8</v>
      </c>
      <c r="AD2" s="226" t="s">
        <v>539</v>
      </c>
      <c r="AE2" s="226" t="s">
        <v>694</v>
      </c>
      <c r="AF2" s="226" t="s">
        <v>695</v>
      </c>
      <c r="AG2" s="226" t="s">
        <v>349</v>
      </c>
      <c r="AH2" s="226" t="s">
        <v>350</v>
      </c>
      <c r="AI2" s="226" t="s">
        <v>10</v>
      </c>
      <c r="AJ2" s="226" t="s">
        <v>6</v>
      </c>
      <c r="AK2" s="220"/>
      <c r="AL2" s="225" t="s">
        <v>673</v>
      </c>
      <c r="AM2" s="225" t="s">
        <v>674</v>
      </c>
      <c r="AN2" s="225" t="s">
        <v>675</v>
      </c>
      <c r="AO2" s="225" t="s">
        <v>10</v>
      </c>
      <c r="AP2" s="226" t="s">
        <v>496</v>
      </c>
      <c r="AQ2" s="226" t="s">
        <v>5</v>
      </c>
      <c r="AR2" s="226" t="s">
        <v>305</v>
      </c>
      <c r="AS2" s="226" t="s">
        <v>8</v>
      </c>
      <c r="AT2" s="226" t="s">
        <v>539</v>
      </c>
      <c r="AU2" s="226" t="s">
        <v>694</v>
      </c>
      <c r="AV2" s="226" t="s">
        <v>695</v>
      </c>
      <c r="AW2" s="226" t="s">
        <v>349</v>
      </c>
      <c r="AX2" s="226" t="s">
        <v>350</v>
      </c>
      <c r="AY2" s="226" t="s">
        <v>10</v>
      </c>
      <c r="AZ2" s="226" t="s">
        <v>6</v>
      </c>
      <c r="BA2" s="220"/>
      <c r="BB2" s="227" t="s">
        <v>696</v>
      </c>
      <c r="BC2" s="307"/>
      <c r="BD2" s="221"/>
      <c r="BE2" s="151" t="s">
        <v>2515</v>
      </c>
      <c r="BF2" s="151"/>
      <c r="BG2" s="69"/>
      <c r="BH2" s="69"/>
      <c r="BI2" s="69"/>
      <c r="BJ2" s="69"/>
      <c r="BK2" s="69"/>
      <c r="BL2" s="69"/>
      <c r="BM2" s="69"/>
      <c r="BN2" s="69"/>
      <c r="BO2" s="69"/>
      <c r="BP2" s="69"/>
      <c r="BQ2" s="69"/>
      <c r="BR2" s="69"/>
      <c r="BS2" s="69"/>
      <c r="BT2" s="69"/>
      <c r="BU2" s="69"/>
      <c r="BV2" s="69"/>
      <c r="BW2" s="69"/>
      <c r="BX2" s="69"/>
      <c r="BY2" s="69"/>
      <c r="BZ2" s="69"/>
      <c r="CA2" s="69"/>
      <c r="CB2" s="69"/>
      <c r="CC2" s="69"/>
      <c r="CD2" s="69"/>
      <c r="CE2" s="69"/>
      <c r="CF2" s="69"/>
      <c r="CG2" s="69"/>
      <c r="CH2" s="69"/>
      <c r="CI2" s="69"/>
      <c r="CJ2" s="69"/>
      <c r="CK2" s="69"/>
      <c r="CL2" s="69"/>
      <c r="CM2" s="69"/>
    </row>
    <row r="3" spans="1:91" ht="16.5">
      <c r="A3" s="231">
        <v>1</v>
      </c>
      <c r="B3" s="290" t="s">
        <v>2524</v>
      </c>
      <c r="C3" s="300"/>
      <c r="D3" s="290" t="s">
        <v>2525</v>
      </c>
      <c r="E3" s="245">
        <v>0</v>
      </c>
      <c r="F3" s="245">
        <v>1</v>
      </c>
      <c r="G3" s="245">
        <v>0</v>
      </c>
      <c r="H3" s="233" t="s">
        <v>702</v>
      </c>
      <c r="I3" s="231"/>
      <c r="J3" s="239">
        <f>(J25+K25)/2</f>
        <v>0</v>
      </c>
      <c r="K3" s="239">
        <f>(L25+M25)/2</f>
        <v>0</v>
      </c>
      <c r="L3" s="239">
        <f t="shared" ref="L3:L22" si="0">0.8*J3+0.2*K3</f>
        <v>0</v>
      </c>
      <c r="M3" s="241"/>
      <c r="N3" s="241"/>
      <c r="O3" s="239">
        <f>N25</f>
        <v>0</v>
      </c>
      <c r="P3" s="239">
        <f>O25+(0.5*P25)</f>
        <v>0</v>
      </c>
      <c r="Q3" s="239">
        <f>Q25+(0.5*R25)</f>
        <v>0</v>
      </c>
      <c r="R3" s="239">
        <f t="shared" ref="R3" si="1">0.2*O3+0.4*P3+0.4*Q3</f>
        <v>0</v>
      </c>
      <c r="S3" s="241">
        <v>0.32</v>
      </c>
      <c r="T3" s="241"/>
      <c r="U3" s="241"/>
      <c r="V3" s="240">
        <f t="shared" ref="V3:V8" si="2">0.8*Z3+0.2*AJ3</f>
        <v>0</v>
      </c>
      <c r="W3" s="239">
        <f t="shared" ref="W3:W8" si="3">0.22*AB3+0.17*AA3+0.09*AJ3+0.22*AE3+0.17*AC3+0.13*AD3</f>
        <v>4.3520000000000003E-2</v>
      </c>
      <c r="X3" s="239">
        <f t="shared" ref="X3:X8" si="4">IFERROR(((E3*1*AF3)+(F3*0.5*AG3)+(G3*0.3*AH3))/(E3*1+F3*0.5+G3*0.3),0)</f>
        <v>0</v>
      </c>
      <c r="Y3" s="239">
        <f t="shared" ref="Y3:Y8" si="5">0.12*AB3+0.06*AA3+0.18*AJ3+0.06*AC3+0.59*AI3</f>
        <v>1.536E-2</v>
      </c>
      <c r="Z3" s="239">
        <f t="shared" ref="Z3:Z8" si="6">0.6*T3+0.15*AE3+0.15*AC3+0.1*L3</f>
        <v>0</v>
      </c>
      <c r="AA3" s="239">
        <f t="shared" ref="AA3:AA8" si="7">0.8*S3+0.2*R3</f>
        <v>0.25600000000000001</v>
      </c>
      <c r="AB3" s="239">
        <f t="shared" ref="AB3:AB8" si="8">0.6*AD3+0.2*L3+0.2*M3</f>
        <v>0</v>
      </c>
      <c r="AC3" s="293"/>
      <c r="AD3" s="299"/>
      <c r="AE3" s="299"/>
      <c r="AF3" s="299"/>
      <c r="AG3" s="299"/>
      <c r="AH3" s="299"/>
      <c r="AI3" s="299"/>
      <c r="AJ3" s="299"/>
      <c r="AK3" s="220"/>
      <c r="AL3" s="33">
        <f t="shared" ref="AL3:AZ5" si="9">IFERROR(_xlfn.RANK.AVG(V3,V$3:V$22,0)," - ")</f>
        <v>10.5</v>
      </c>
      <c r="AM3" s="33">
        <f t="shared" si="9"/>
        <v>1</v>
      </c>
      <c r="AN3" s="33">
        <f t="shared" si="9"/>
        <v>10.5</v>
      </c>
      <c r="AO3" s="33">
        <f t="shared" si="9"/>
        <v>1</v>
      </c>
      <c r="AP3" s="33">
        <f t="shared" si="9"/>
        <v>10.5</v>
      </c>
      <c r="AQ3" s="33">
        <f t="shared" si="9"/>
        <v>1</v>
      </c>
      <c r="AR3" s="33">
        <f t="shared" si="9"/>
        <v>10.5</v>
      </c>
      <c r="AS3" s="33" t="str">
        <f t="shared" ref="AS3:AS22" si="10">IFERROR(_xlfn.RANK.AVG(AC3,AC$3:AC$22,0)," - ")</f>
        <v xml:space="preserve"> - </v>
      </c>
      <c r="AT3" s="33" t="str">
        <f t="shared" si="9"/>
        <v xml:space="preserve"> - </v>
      </c>
      <c r="AU3" s="33" t="str">
        <f t="shared" si="9"/>
        <v xml:space="preserve"> - </v>
      </c>
      <c r="AV3" s="33" t="str">
        <f t="shared" si="9"/>
        <v xml:space="preserve"> - </v>
      </c>
      <c r="AW3" s="33" t="str">
        <f t="shared" si="9"/>
        <v xml:space="preserve"> - </v>
      </c>
      <c r="AX3" s="33" t="str">
        <f t="shared" si="9"/>
        <v xml:space="preserve"> - </v>
      </c>
      <c r="AY3" s="33" t="str">
        <f t="shared" si="9"/>
        <v xml:space="preserve"> - </v>
      </c>
      <c r="AZ3" s="33" t="str">
        <f t="shared" si="9"/>
        <v xml:space="preserve"> - </v>
      </c>
      <c r="BA3" s="220"/>
      <c r="BB3" s="244">
        <f>(0.6*V3+1*W3+0.8*X3+0.4*Y3)/2.8</f>
        <v>1.7737142857142858E-2</v>
      </c>
      <c r="BC3" s="33">
        <f>_xlfn.RANK.AVG(BB3,BB$3:BB$22,0)</f>
        <v>1</v>
      </c>
      <c r="BD3" s="221"/>
      <c r="BE3" s="243" t="str">
        <f ca="1">IF((IF(V3='TESTING v1'!C2,0,1)+IF('TESTING v2'!W3='TESTING v1'!C3,0,1)+IF('TESTING v2'!X3='TESTING v1'!C4,0,1)+IF('TESTING v2'!Y3='TESTING v1'!C5,0,1))=0,"GOOD","ERROR")</f>
        <v>GOOD</v>
      </c>
    </row>
    <row r="4" spans="1:91" ht="16.5">
      <c r="A4" s="231">
        <v>2</v>
      </c>
      <c r="B4" s="290" t="s">
        <v>2526</v>
      </c>
      <c r="C4" s="300"/>
      <c r="D4" s="290"/>
      <c r="E4" s="245">
        <v>0</v>
      </c>
      <c r="F4" s="245">
        <v>1</v>
      </c>
      <c r="G4" s="245">
        <v>0</v>
      </c>
      <c r="H4" s="233" t="s">
        <v>702</v>
      </c>
      <c r="I4" s="231"/>
      <c r="J4" s="239">
        <f>(J26+K26)/2</f>
        <v>0</v>
      </c>
      <c r="K4" s="239">
        <f>(L26+M26)/2</f>
        <v>0</v>
      </c>
      <c r="L4" s="239">
        <f t="shared" si="0"/>
        <v>0</v>
      </c>
      <c r="M4" s="241"/>
      <c r="N4" s="241"/>
      <c r="O4" s="239">
        <f>N26</f>
        <v>0</v>
      </c>
      <c r="P4" s="239">
        <f>O26+(0.5*P26)</f>
        <v>0</v>
      </c>
      <c r="Q4" s="239">
        <f>Q26+(0.5*R26)</f>
        <v>0</v>
      </c>
      <c r="R4" s="239">
        <f t="shared" ref="R4:R22" si="11">0.2*O4+0.4*P4+0.4*Q4</f>
        <v>0</v>
      </c>
      <c r="S4" s="241"/>
      <c r="T4" s="241"/>
      <c r="U4" s="241"/>
      <c r="V4" s="240">
        <f t="shared" si="2"/>
        <v>0</v>
      </c>
      <c r="W4" s="239">
        <f t="shared" si="3"/>
        <v>0</v>
      </c>
      <c r="X4" s="239">
        <f t="shared" si="4"/>
        <v>0</v>
      </c>
      <c r="Y4" s="239">
        <f t="shared" si="5"/>
        <v>0</v>
      </c>
      <c r="Z4" s="239">
        <f t="shared" si="6"/>
        <v>0</v>
      </c>
      <c r="AA4" s="239">
        <f t="shared" si="7"/>
        <v>0</v>
      </c>
      <c r="AB4" s="239">
        <f t="shared" si="8"/>
        <v>0</v>
      </c>
      <c r="AC4" s="293"/>
      <c r="AD4" s="299"/>
      <c r="AE4" s="299"/>
      <c r="AF4" s="299"/>
      <c r="AG4" s="299"/>
      <c r="AH4" s="299"/>
      <c r="AI4" s="299"/>
      <c r="AJ4" s="299"/>
      <c r="AK4" s="220"/>
      <c r="AL4" s="33">
        <f t="shared" si="9"/>
        <v>10.5</v>
      </c>
      <c r="AM4" s="33">
        <f t="shared" si="9"/>
        <v>11</v>
      </c>
      <c r="AN4" s="33">
        <f t="shared" si="9"/>
        <v>10.5</v>
      </c>
      <c r="AO4" s="33">
        <f t="shared" si="9"/>
        <v>11</v>
      </c>
      <c r="AP4" s="33">
        <f t="shared" si="9"/>
        <v>10.5</v>
      </c>
      <c r="AQ4" s="33">
        <f t="shared" si="9"/>
        <v>11</v>
      </c>
      <c r="AR4" s="33">
        <f t="shared" si="9"/>
        <v>10.5</v>
      </c>
      <c r="AS4" s="33" t="str">
        <f t="shared" ref="AS4:AZ4" si="12">IFERROR(_xlfn.RANK.AVG(AC4,AC$3:AC$22,0)," - ")</f>
        <v xml:space="preserve"> - </v>
      </c>
      <c r="AT4" s="33" t="str">
        <f t="shared" si="12"/>
        <v xml:space="preserve"> - </v>
      </c>
      <c r="AU4" s="33" t="str">
        <f t="shared" si="12"/>
        <v xml:space="preserve"> - </v>
      </c>
      <c r="AV4" s="33" t="str">
        <f t="shared" si="12"/>
        <v xml:space="preserve"> - </v>
      </c>
      <c r="AW4" s="33" t="str">
        <f t="shared" si="12"/>
        <v xml:space="preserve"> - </v>
      </c>
      <c r="AX4" s="33" t="str">
        <f t="shared" si="12"/>
        <v xml:space="preserve"> - </v>
      </c>
      <c r="AY4" s="33" t="str">
        <f t="shared" si="12"/>
        <v xml:space="preserve"> - </v>
      </c>
      <c r="AZ4" s="33" t="str">
        <f t="shared" si="12"/>
        <v xml:space="preserve"> - </v>
      </c>
      <c r="BA4" s="220"/>
      <c r="BB4" s="244">
        <f t="shared" ref="BB4:BB22" si="13">(0.6*V4+1*W4+0.8*X4+0.4*Y4)/2.8</f>
        <v>0</v>
      </c>
      <c r="BC4" s="33">
        <f>_xlfn.RANK.AVG(BB4,BB$3:BB$22,0)</f>
        <v>11</v>
      </c>
      <c r="BD4" s="221"/>
      <c r="BE4" s="243" t="str">
        <f ca="1">IF((IF(V4='TESTING v1'!D2,0,1)+IF('TESTING v2'!W4='TESTING v1'!D3,0,1)+IF('TESTING v2'!X4='TESTING v1'!D4,0,1)+IF('TESTING v2'!Y4='TESTING v1'!D5,0,1))=0,"GOOD","ERROR")</f>
        <v>GOOD</v>
      </c>
    </row>
    <row r="5" spans="1:91" ht="16.5">
      <c r="A5" s="231">
        <v>3</v>
      </c>
      <c r="B5" s="290" t="s">
        <v>2527</v>
      </c>
      <c r="C5" s="300"/>
      <c r="D5" s="290"/>
      <c r="E5" s="245">
        <v>0</v>
      </c>
      <c r="F5" s="245">
        <v>1</v>
      </c>
      <c r="G5" s="245">
        <v>0</v>
      </c>
      <c r="H5" s="233" t="s">
        <v>702</v>
      </c>
      <c r="I5" s="231"/>
      <c r="J5" s="239">
        <f>(J27+K27)/2</f>
        <v>0</v>
      </c>
      <c r="K5" s="239">
        <f>(L27+M27)/2</f>
        <v>0</v>
      </c>
      <c r="L5" s="239">
        <f t="shared" si="0"/>
        <v>0</v>
      </c>
      <c r="M5" s="241"/>
      <c r="N5" s="241"/>
      <c r="O5" s="239">
        <f>N27</f>
        <v>0</v>
      </c>
      <c r="P5" s="239">
        <f>O27+(0.5*P27)</f>
        <v>0</v>
      </c>
      <c r="Q5" s="239">
        <f>Q27+(0.5*R27)</f>
        <v>0</v>
      </c>
      <c r="R5" s="239">
        <f t="shared" si="11"/>
        <v>0</v>
      </c>
      <c r="S5" s="241"/>
      <c r="T5" s="241"/>
      <c r="U5" s="241"/>
      <c r="V5" s="240">
        <f t="shared" si="2"/>
        <v>0</v>
      </c>
      <c r="W5" s="239">
        <f t="shared" si="3"/>
        <v>0</v>
      </c>
      <c r="X5" s="239">
        <f t="shared" si="4"/>
        <v>0</v>
      </c>
      <c r="Y5" s="239">
        <f t="shared" si="5"/>
        <v>0</v>
      </c>
      <c r="Z5" s="239">
        <f t="shared" si="6"/>
        <v>0</v>
      </c>
      <c r="AA5" s="239">
        <f t="shared" si="7"/>
        <v>0</v>
      </c>
      <c r="AB5" s="239">
        <f t="shared" si="8"/>
        <v>0</v>
      </c>
      <c r="AC5" s="293"/>
      <c r="AD5" s="299"/>
      <c r="AE5" s="299"/>
      <c r="AF5" s="299"/>
      <c r="AG5" s="299"/>
      <c r="AH5" s="299"/>
      <c r="AI5" s="299"/>
      <c r="AJ5" s="299"/>
      <c r="AK5" s="220"/>
      <c r="AL5" s="33">
        <f t="shared" si="9"/>
        <v>10.5</v>
      </c>
      <c r="AM5" s="33">
        <f t="shared" si="9"/>
        <v>11</v>
      </c>
      <c r="AN5" s="33">
        <f t="shared" si="9"/>
        <v>10.5</v>
      </c>
      <c r="AO5" s="33">
        <f t="shared" si="9"/>
        <v>11</v>
      </c>
      <c r="AP5" s="33">
        <f t="shared" si="9"/>
        <v>10.5</v>
      </c>
      <c r="AQ5" s="33">
        <f t="shared" si="9"/>
        <v>11</v>
      </c>
      <c r="AR5" s="33">
        <f t="shared" si="9"/>
        <v>10.5</v>
      </c>
      <c r="AS5" s="33" t="str">
        <f t="shared" si="10"/>
        <v xml:space="preserve"> - </v>
      </c>
      <c r="AT5" s="33" t="str">
        <f t="shared" si="9"/>
        <v xml:space="preserve"> - </v>
      </c>
      <c r="AU5" s="33" t="str">
        <f t="shared" si="9"/>
        <v xml:space="preserve"> - </v>
      </c>
      <c r="AV5" s="33" t="str">
        <f t="shared" si="9"/>
        <v xml:space="preserve"> - </v>
      </c>
      <c r="AW5" s="33" t="str">
        <f t="shared" si="9"/>
        <v xml:space="preserve"> - </v>
      </c>
      <c r="AX5" s="33" t="str">
        <f t="shared" si="9"/>
        <v xml:space="preserve"> - </v>
      </c>
      <c r="AY5" s="33" t="str">
        <f t="shared" si="9"/>
        <v xml:space="preserve"> - </v>
      </c>
      <c r="AZ5" s="33" t="str">
        <f t="shared" si="9"/>
        <v xml:space="preserve"> - </v>
      </c>
      <c r="BA5" s="220"/>
      <c r="BB5" s="244">
        <f t="shared" si="13"/>
        <v>0</v>
      </c>
      <c r="BC5" s="33">
        <f>_xlfn.RANK.AVG(BB5,BB$3:BB$22,0)</f>
        <v>11</v>
      </c>
      <c r="BD5" s="221"/>
      <c r="BE5" s="243" t="str">
        <f ca="1">IF((IF(V5='TESTING v1'!E2,0,1)+IF('TESTING v2'!W5='TESTING v1'!E3,0,1)+IF('TESTING v2'!X5='TESTING v1'!E4,0,1)+IF('TESTING v2'!Y5='TESTING v1'!E5,0,1))=0,"GOOD","ERROR")</f>
        <v>GOOD</v>
      </c>
    </row>
    <row r="6" spans="1:91" s="16" customFormat="1" ht="16.5">
      <c r="A6" s="234">
        <v>4</v>
      </c>
      <c r="B6" s="290" t="s">
        <v>2528</v>
      </c>
      <c r="C6" s="300"/>
      <c r="D6" s="290"/>
      <c r="E6" s="245">
        <v>0</v>
      </c>
      <c r="F6" s="245">
        <v>1</v>
      </c>
      <c r="G6" s="245">
        <v>0</v>
      </c>
      <c r="H6" s="233" t="s">
        <v>702</v>
      </c>
      <c r="I6" s="234"/>
      <c r="J6" s="239">
        <f t="shared" ref="J6:J22" si="14">(J28+K28)/2</f>
        <v>0</v>
      </c>
      <c r="K6" s="239">
        <f t="shared" ref="K6:K22" si="15">(L28+M28)/2</f>
        <v>0</v>
      </c>
      <c r="L6" s="239">
        <f t="shared" si="0"/>
        <v>0</v>
      </c>
      <c r="M6" s="242"/>
      <c r="N6" s="242"/>
      <c r="O6" s="239">
        <f t="shared" ref="O6:O22" si="16">N28</f>
        <v>0</v>
      </c>
      <c r="P6" s="239">
        <f t="shared" ref="P6:P22" si="17">O28+(0.5*P28)</f>
        <v>0</v>
      </c>
      <c r="Q6" s="239">
        <f t="shared" ref="Q6:Q22" si="18">Q28+(0.5*R28)</f>
        <v>0</v>
      </c>
      <c r="R6" s="239">
        <f t="shared" si="11"/>
        <v>0</v>
      </c>
      <c r="S6" s="242"/>
      <c r="T6" s="242"/>
      <c r="U6" s="242"/>
      <c r="V6" s="240">
        <f t="shared" si="2"/>
        <v>0</v>
      </c>
      <c r="W6" s="239">
        <f t="shared" si="3"/>
        <v>0</v>
      </c>
      <c r="X6" s="239">
        <f t="shared" si="4"/>
        <v>0</v>
      </c>
      <c r="Y6" s="239">
        <f t="shared" si="5"/>
        <v>0</v>
      </c>
      <c r="Z6" s="239">
        <f t="shared" si="6"/>
        <v>0</v>
      </c>
      <c r="AA6" s="239">
        <f t="shared" si="7"/>
        <v>0</v>
      </c>
      <c r="AB6" s="239">
        <f t="shared" si="8"/>
        <v>0</v>
      </c>
      <c r="AC6" s="293"/>
      <c r="AD6" s="299"/>
      <c r="AE6" s="299"/>
      <c r="AF6" s="299"/>
      <c r="AG6" s="299"/>
      <c r="AH6" s="299"/>
      <c r="AI6" s="299"/>
      <c r="AJ6" s="299"/>
      <c r="AK6" s="228"/>
      <c r="AL6" s="33">
        <f t="shared" ref="AL6" si="19">IFERROR(_xlfn.RANK.AVG(V6,V$3:V$22,0)," - ")</f>
        <v>10.5</v>
      </c>
      <c r="AM6" s="33">
        <f t="shared" ref="AM6" si="20">IFERROR(_xlfn.RANK.AVG(W6,W$3:W$22,0)," - ")</f>
        <v>11</v>
      </c>
      <c r="AN6" s="33">
        <f t="shared" ref="AN6" si="21">IFERROR(_xlfn.RANK.AVG(X6,X$3:X$22,0)," - ")</f>
        <v>10.5</v>
      </c>
      <c r="AO6" s="33">
        <f t="shared" ref="AO6" si="22">IFERROR(_xlfn.RANK.AVG(Y6,Y$3:Y$22,0)," - ")</f>
        <v>11</v>
      </c>
      <c r="AP6" s="33">
        <f t="shared" ref="AP6" si="23">IFERROR(_xlfn.RANK.AVG(Z6,Z$3:Z$22,0)," - ")</f>
        <v>10.5</v>
      </c>
      <c r="AQ6" s="33">
        <f t="shared" ref="AQ6" si="24">IFERROR(_xlfn.RANK.AVG(AA6,AA$3:AA$22,0)," - ")</f>
        <v>11</v>
      </c>
      <c r="AR6" s="33">
        <f t="shared" ref="AR6" si="25">IFERROR(_xlfn.RANK.AVG(AB6,AB$3:AB$22,0)," - ")</f>
        <v>10.5</v>
      </c>
      <c r="AS6" s="33" t="str">
        <f t="shared" si="10"/>
        <v xml:space="preserve"> - </v>
      </c>
      <c r="AT6" s="33" t="str">
        <f t="shared" ref="AT6" si="26">IFERROR(_xlfn.RANK.AVG(AD6,AD$3:AD$22,0)," - ")</f>
        <v xml:space="preserve"> - </v>
      </c>
      <c r="AU6" s="33" t="str">
        <f t="shared" ref="AU6" si="27">IFERROR(_xlfn.RANK.AVG(AE6,AE$3:AE$22,0)," - ")</f>
        <v xml:space="preserve"> - </v>
      </c>
      <c r="AV6" s="33" t="str">
        <f t="shared" ref="AV6" si="28">IFERROR(_xlfn.RANK.AVG(AF6,AF$3:AF$22,0)," - ")</f>
        <v xml:space="preserve"> - </v>
      </c>
      <c r="AW6" s="33" t="str">
        <f t="shared" ref="AW6" si="29">IFERROR(_xlfn.RANK.AVG(AG6,AG$3:AG$22,0)," - ")</f>
        <v xml:space="preserve"> - </v>
      </c>
      <c r="AX6" s="33" t="str">
        <f t="shared" ref="AX6:AZ6" si="30">IFERROR(_xlfn.RANK.AVG(AH6,AH$3:AH$22,0)," - ")</f>
        <v xml:space="preserve"> - </v>
      </c>
      <c r="AY6" s="33" t="str">
        <f t="shared" si="30"/>
        <v xml:space="preserve"> - </v>
      </c>
      <c r="AZ6" s="33" t="str">
        <f t="shared" si="30"/>
        <v xml:space="preserve"> - </v>
      </c>
      <c r="BA6" s="228"/>
      <c r="BB6" s="244">
        <f t="shared" si="13"/>
        <v>0</v>
      </c>
      <c r="BC6" s="33">
        <f t="shared" ref="BC6" si="31">_xlfn.RANK.AVG(BB6,BB$3:BB$22,0)</f>
        <v>11</v>
      </c>
      <c r="BD6" s="229"/>
      <c r="BE6" s="243" t="str">
        <f ca="1">IF((IF(V6='TESTING v1'!F2,0,1)+IF('TESTING v2'!W6='TESTING v1'!F3,0,1)+IF('TESTING v2'!X6='TESTING v1'!F4,0,1)+IF('TESTING v2'!Y6='TESTING v1'!F5,0,1))=0,"GOOD","ERROR")</f>
        <v>GOOD</v>
      </c>
      <c r="BF6" s="151"/>
      <c r="BG6" s="69"/>
      <c r="BH6" s="69"/>
      <c r="BI6" s="69"/>
      <c r="BJ6" s="69"/>
      <c r="BK6" s="69"/>
      <c r="BL6" s="69"/>
      <c r="BM6" s="69"/>
      <c r="BN6" s="69"/>
      <c r="BO6" s="69"/>
      <c r="BP6" s="69"/>
      <c r="BQ6" s="69"/>
      <c r="BR6" s="69"/>
      <c r="BS6" s="69"/>
      <c r="BT6" s="69"/>
      <c r="BU6" s="69"/>
      <c r="BV6" s="69"/>
      <c r="BW6" s="69"/>
      <c r="BX6" s="69"/>
      <c r="BY6" s="69"/>
      <c r="BZ6" s="69"/>
      <c r="CA6" s="69"/>
      <c r="CB6" s="69"/>
      <c r="CC6" s="69"/>
      <c r="CD6" s="69"/>
      <c r="CE6" s="69"/>
      <c r="CF6" s="69"/>
      <c r="CG6" s="69"/>
      <c r="CH6" s="69"/>
      <c r="CI6" s="69"/>
      <c r="CJ6" s="69"/>
      <c r="CK6" s="69"/>
      <c r="CL6" s="69"/>
      <c r="CM6" s="69"/>
    </row>
    <row r="7" spans="1:91" ht="16.5">
      <c r="A7" s="231">
        <v>5</v>
      </c>
      <c r="B7" s="290" t="s">
        <v>2529</v>
      </c>
      <c r="C7" s="300"/>
      <c r="E7" s="245">
        <v>0</v>
      </c>
      <c r="F7" s="245">
        <v>1</v>
      </c>
      <c r="G7" s="245">
        <v>0</v>
      </c>
      <c r="H7" s="233" t="s">
        <v>702</v>
      </c>
      <c r="I7" s="231"/>
      <c r="J7" s="239">
        <f t="shared" si="14"/>
        <v>0</v>
      </c>
      <c r="K7" s="239">
        <f t="shared" si="15"/>
        <v>0</v>
      </c>
      <c r="L7" s="239">
        <f t="shared" si="0"/>
        <v>0</v>
      </c>
      <c r="M7" s="241"/>
      <c r="N7" s="241"/>
      <c r="O7" s="239">
        <f t="shared" si="16"/>
        <v>0</v>
      </c>
      <c r="P7" s="239">
        <f t="shared" si="17"/>
        <v>0</v>
      </c>
      <c r="Q7" s="239">
        <f t="shared" si="18"/>
        <v>0</v>
      </c>
      <c r="R7" s="239">
        <f t="shared" si="11"/>
        <v>0</v>
      </c>
      <c r="S7" s="241"/>
      <c r="T7" s="241"/>
      <c r="U7" s="241"/>
      <c r="V7" s="240">
        <f t="shared" si="2"/>
        <v>0</v>
      </c>
      <c r="W7" s="239">
        <f t="shared" si="3"/>
        <v>0</v>
      </c>
      <c r="X7" s="239">
        <f t="shared" si="4"/>
        <v>0</v>
      </c>
      <c r="Y7" s="239">
        <f t="shared" si="5"/>
        <v>0</v>
      </c>
      <c r="Z7" s="239">
        <f t="shared" si="6"/>
        <v>0</v>
      </c>
      <c r="AA7" s="239">
        <f t="shared" si="7"/>
        <v>0</v>
      </c>
      <c r="AB7" s="239">
        <f t="shared" si="8"/>
        <v>0</v>
      </c>
      <c r="AC7" s="293"/>
      <c r="AD7" s="299"/>
      <c r="AE7" s="299"/>
      <c r="AF7" s="299"/>
      <c r="AG7" s="299"/>
      <c r="AH7" s="299"/>
      <c r="AI7" s="299"/>
      <c r="AJ7" s="299"/>
      <c r="AK7" s="220"/>
      <c r="AL7" s="33">
        <f t="shared" ref="AL7:AL22" si="32">IFERROR(_xlfn.RANK.AVG(V7,V$3:V$22,0)," - ")</f>
        <v>10.5</v>
      </c>
      <c r="AM7" s="33">
        <f t="shared" ref="AM7:AM22" si="33">IFERROR(_xlfn.RANK.AVG(W7,W$3:W$22,0)," - ")</f>
        <v>11</v>
      </c>
      <c r="AN7" s="33">
        <f t="shared" ref="AN7:AN22" si="34">IFERROR(_xlfn.RANK.AVG(X7,X$3:X$22,0)," - ")</f>
        <v>10.5</v>
      </c>
      <c r="AO7" s="33">
        <f t="shared" ref="AO7:AO22" si="35">IFERROR(_xlfn.RANK.AVG(Y7,Y$3:Y$22,0)," - ")</f>
        <v>11</v>
      </c>
      <c r="AP7" s="33">
        <f t="shared" ref="AP7:AP22" si="36">IFERROR(_xlfn.RANK.AVG(Z7,Z$3:Z$22,0)," - ")</f>
        <v>10.5</v>
      </c>
      <c r="AQ7" s="33">
        <f t="shared" ref="AQ7:AQ22" si="37">IFERROR(_xlfn.RANK.AVG(AA7,AA$3:AA$22,0)," - ")</f>
        <v>11</v>
      </c>
      <c r="AR7" s="33">
        <f t="shared" ref="AR7:AR22" si="38">IFERROR(_xlfn.RANK.AVG(AB7,AB$3:AB$22,0)," - ")</f>
        <v>10.5</v>
      </c>
      <c r="AS7" s="33" t="str">
        <f t="shared" si="10"/>
        <v xml:space="preserve"> - </v>
      </c>
      <c r="AT7" s="33" t="str">
        <f t="shared" ref="AT7:AT22" si="39">IFERROR(_xlfn.RANK.AVG(AD7,AD$3:AD$22,0)," - ")</f>
        <v xml:space="preserve"> - </v>
      </c>
      <c r="AU7" s="33" t="str">
        <f t="shared" ref="AU7:AU22" si="40">IFERROR(_xlfn.RANK.AVG(AE7,AE$3:AE$22,0)," - ")</f>
        <v xml:space="preserve"> - </v>
      </c>
      <c r="AV7" s="33" t="str">
        <f t="shared" ref="AV7:AV22" si="41">IFERROR(_xlfn.RANK.AVG(AF7,AF$3:AF$22,0)," - ")</f>
        <v xml:space="preserve"> - </v>
      </c>
      <c r="AW7" s="33" t="str">
        <f t="shared" ref="AW7:AW22" si="42">IFERROR(_xlfn.RANK.AVG(AG7,AG$3:AG$22,0)," - ")</f>
        <v xml:space="preserve"> - </v>
      </c>
      <c r="AX7" s="33" t="str">
        <f t="shared" ref="AX7:AX22" si="43">IFERROR(_xlfn.RANK.AVG(AH7,AH$3:AH$22,0)," - ")</f>
        <v xml:space="preserve"> - </v>
      </c>
      <c r="AY7" s="33" t="str">
        <f t="shared" ref="AY7:AY22" si="44">IFERROR(_xlfn.RANK.AVG(AI7,AI$3:AI$22,0)," - ")</f>
        <v xml:space="preserve"> - </v>
      </c>
      <c r="AZ7" s="33" t="str">
        <f t="shared" ref="AZ7:AZ22" si="45">IFERROR(_xlfn.RANK.AVG(AJ7,AJ$3:AJ$22,0)," - ")</f>
        <v xml:space="preserve"> - </v>
      </c>
      <c r="BA7" s="220"/>
      <c r="BB7" s="244">
        <f t="shared" si="13"/>
        <v>0</v>
      </c>
      <c r="BC7" s="33">
        <f t="shared" ref="BC7:BC22" si="46">_xlfn.RANK.AVG(BB7,BB$3:BB$22,0)</f>
        <v>11</v>
      </c>
      <c r="BD7" s="221"/>
      <c r="BE7" s="243" t="str">
        <f ca="1">IF((IF(V7='TESTING v1'!G2,0,1)+IF('TESTING v2'!W7='TESTING v1'!G3,0,1)+IF('TESTING v2'!X7='TESTING v1'!G4,0,1)+IF('TESTING v2'!Y7='TESTING v1'!G5,0,1))=0,"GOOD","ERROR")</f>
        <v>GOOD</v>
      </c>
    </row>
    <row r="8" spans="1:91">
      <c r="A8" s="231">
        <v>6</v>
      </c>
      <c r="B8" s="290" t="s">
        <v>2530</v>
      </c>
      <c r="C8" s="231"/>
      <c r="D8" s="232"/>
      <c r="E8" s="245">
        <v>0</v>
      </c>
      <c r="F8" s="245">
        <v>1</v>
      </c>
      <c r="G8" s="245">
        <v>0</v>
      </c>
      <c r="H8" s="233" t="s">
        <v>702</v>
      </c>
      <c r="I8" s="231"/>
      <c r="J8" s="239">
        <f t="shared" si="14"/>
        <v>0</v>
      </c>
      <c r="K8" s="239">
        <f t="shared" si="15"/>
        <v>0</v>
      </c>
      <c r="L8" s="239">
        <f t="shared" si="0"/>
        <v>0</v>
      </c>
      <c r="M8" s="241"/>
      <c r="N8" s="241"/>
      <c r="O8" s="239">
        <f t="shared" si="16"/>
        <v>0</v>
      </c>
      <c r="P8" s="239">
        <f t="shared" si="17"/>
        <v>0</v>
      </c>
      <c r="Q8" s="239">
        <f t="shared" si="18"/>
        <v>0</v>
      </c>
      <c r="R8" s="239">
        <f t="shared" si="11"/>
        <v>0</v>
      </c>
      <c r="S8" s="241"/>
      <c r="T8" s="241"/>
      <c r="U8" s="241"/>
      <c r="V8" s="240">
        <f t="shared" si="2"/>
        <v>0</v>
      </c>
      <c r="W8" s="239">
        <f t="shared" si="3"/>
        <v>0</v>
      </c>
      <c r="X8" s="239">
        <f t="shared" si="4"/>
        <v>0</v>
      </c>
      <c r="Y8" s="239">
        <f t="shared" si="5"/>
        <v>0</v>
      </c>
      <c r="Z8" s="239">
        <f t="shared" si="6"/>
        <v>0</v>
      </c>
      <c r="AA8" s="239">
        <f t="shared" si="7"/>
        <v>0</v>
      </c>
      <c r="AB8" s="239">
        <f t="shared" si="8"/>
        <v>0</v>
      </c>
      <c r="AC8" s="293"/>
      <c r="AD8" s="299"/>
      <c r="AE8" s="299"/>
      <c r="AF8" s="299"/>
      <c r="AG8" s="299"/>
      <c r="AH8" s="299"/>
      <c r="AI8" s="299"/>
      <c r="AJ8" s="299"/>
      <c r="AK8" s="220"/>
      <c r="AL8" s="33">
        <f t="shared" si="32"/>
        <v>10.5</v>
      </c>
      <c r="AM8" s="33">
        <f t="shared" si="33"/>
        <v>11</v>
      </c>
      <c r="AN8" s="33">
        <f t="shared" si="34"/>
        <v>10.5</v>
      </c>
      <c r="AO8" s="33">
        <f t="shared" si="35"/>
        <v>11</v>
      </c>
      <c r="AP8" s="33">
        <f t="shared" si="36"/>
        <v>10.5</v>
      </c>
      <c r="AQ8" s="33">
        <f t="shared" si="37"/>
        <v>11</v>
      </c>
      <c r="AR8" s="33">
        <f t="shared" si="38"/>
        <v>10.5</v>
      </c>
      <c r="AS8" s="33" t="str">
        <f t="shared" si="10"/>
        <v xml:space="preserve"> - </v>
      </c>
      <c r="AT8" s="33" t="str">
        <f t="shared" si="39"/>
        <v xml:space="preserve"> - </v>
      </c>
      <c r="AU8" s="33" t="str">
        <f t="shared" si="40"/>
        <v xml:space="preserve"> - </v>
      </c>
      <c r="AV8" s="33" t="str">
        <f t="shared" si="41"/>
        <v xml:space="preserve"> - </v>
      </c>
      <c r="AW8" s="33" t="str">
        <f t="shared" si="42"/>
        <v xml:space="preserve"> - </v>
      </c>
      <c r="AX8" s="33" t="str">
        <f t="shared" si="43"/>
        <v xml:space="preserve"> - </v>
      </c>
      <c r="AY8" s="33" t="str">
        <f t="shared" si="44"/>
        <v xml:space="preserve"> - </v>
      </c>
      <c r="AZ8" s="33" t="str">
        <f t="shared" si="45"/>
        <v xml:space="preserve"> - </v>
      </c>
      <c r="BA8" s="220"/>
      <c r="BB8" s="244">
        <f t="shared" si="13"/>
        <v>0</v>
      </c>
      <c r="BC8" s="33">
        <f t="shared" si="46"/>
        <v>11</v>
      </c>
      <c r="BD8" s="221"/>
      <c r="BE8" s="243" t="str">
        <f ca="1">IF((IF(V8='TESTING v1'!H2,0,1)+IF('TESTING v2'!W8='TESTING v1'!H3,0,1)+IF('TESTING v2'!X8='TESTING v1'!H4,0,1)+IF('TESTING v2'!Y8='TESTING v1'!H5,0,1))=0,"GOOD","ERROR")</f>
        <v>GOOD</v>
      </c>
    </row>
    <row r="9" spans="1:91" s="16" customFormat="1">
      <c r="A9" s="231">
        <v>7</v>
      </c>
      <c r="B9" s="290" t="s">
        <v>2531</v>
      </c>
      <c r="C9" s="231"/>
      <c r="D9" s="235"/>
      <c r="E9" s="245">
        <v>0</v>
      </c>
      <c r="F9" s="245">
        <v>1</v>
      </c>
      <c r="G9" s="245">
        <v>0</v>
      </c>
      <c r="H9" s="233" t="s">
        <v>702</v>
      </c>
      <c r="I9" s="234"/>
      <c r="J9" s="239">
        <f t="shared" si="14"/>
        <v>0</v>
      </c>
      <c r="K9" s="239">
        <f t="shared" si="15"/>
        <v>0</v>
      </c>
      <c r="L9" s="239">
        <f t="shared" si="0"/>
        <v>0</v>
      </c>
      <c r="M9" s="242"/>
      <c r="N9" s="242"/>
      <c r="O9" s="239">
        <f t="shared" si="16"/>
        <v>0</v>
      </c>
      <c r="P9" s="239">
        <f t="shared" si="17"/>
        <v>0</v>
      </c>
      <c r="Q9" s="239">
        <f t="shared" si="18"/>
        <v>0</v>
      </c>
      <c r="R9" s="239">
        <f t="shared" si="11"/>
        <v>0</v>
      </c>
      <c r="S9" s="242"/>
      <c r="T9" s="242"/>
      <c r="U9" s="242"/>
      <c r="V9" s="240">
        <f t="shared" ref="V9:V17" si="47">0.8*Z9+0.2*AJ9</f>
        <v>0</v>
      </c>
      <c r="W9" s="239">
        <f t="shared" ref="W9:W14" si="48">0.22*AB9+0.17*AA9+0.09*AJ9+0.22*AE9+0.17*AC9+0.13*AD9</f>
        <v>0</v>
      </c>
      <c r="X9" s="239">
        <f t="shared" ref="X9:X14" si="49">IFERROR(((E9*1*AF9)+(F9*0.5*AG9)+(G9*0.3*AH9))/(E9*1+F9*0.5+G9*0.3),0)</f>
        <v>0</v>
      </c>
      <c r="Y9" s="239">
        <f t="shared" ref="Y9:Y15" si="50">0.12*AB9+0.06*AA9+0.18*AJ9+0.06*AC9+0.59*AI9</f>
        <v>0</v>
      </c>
      <c r="Z9" s="239">
        <f t="shared" ref="Z9" si="51">0.6*T9+0.15*AE9+0.15*AC9+0.1*L9</f>
        <v>0</v>
      </c>
      <c r="AA9" s="239">
        <f t="shared" ref="AA9:AA11" si="52">0.8*S9+0.2*R9</f>
        <v>0</v>
      </c>
      <c r="AB9" s="239">
        <f t="shared" ref="AB9:AB10" si="53">0.6*AD9+0.2*L9+0.2*M9</f>
        <v>0</v>
      </c>
      <c r="AC9" s="293"/>
      <c r="AD9" s="293"/>
      <c r="AE9" s="293"/>
      <c r="AF9" s="293"/>
      <c r="AG9" s="293"/>
      <c r="AH9" s="293"/>
      <c r="AI9" s="293"/>
      <c r="AJ9" s="293"/>
      <c r="AK9" s="228"/>
      <c r="AL9" s="33">
        <f t="shared" si="32"/>
        <v>10.5</v>
      </c>
      <c r="AM9" s="33">
        <f t="shared" si="33"/>
        <v>11</v>
      </c>
      <c r="AN9" s="33">
        <f t="shared" si="34"/>
        <v>10.5</v>
      </c>
      <c r="AO9" s="33">
        <f t="shared" si="35"/>
        <v>11</v>
      </c>
      <c r="AP9" s="33">
        <f t="shared" si="36"/>
        <v>10.5</v>
      </c>
      <c r="AQ9" s="33">
        <f t="shared" si="37"/>
        <v>11</v>
      </c>
      <c r="AR9" s="33">
        <f t="shared" si="38"/>
        <v>10.5</v>
      </c>
      <c r="AS9" s="33" t="str">
        <f t="shared" si="10"/>
        <v xml:space="preserve"> - </v>
      </c>
      <c r="AT9" s="33" t="str">
        <f t="shared" si="39"/>
        <v xml:space="preserve"> - </v>
      </c>
      <c r="AU9" s="33" t="str">
        <f t="shared" si="40"/>
        <v xml:space="preserve"> - </v>
      </c>
      <c r="AV9" s="33" t="str">
        <f t="shared" si="41"/>
        <v xml:space="preserve"> - </v>
      </c>
      <c r="AW9" s="33" t="str">
        <f t="shared" si="42"/>
        <v xml:space="preserve"> - </v>
      </c>
      <c r="AX9" s="33" t="str">
        <f t="shared" si="43"/>
        <v xml:space="preserve"> - </v>
      </c>
      <c r="AY9" s="33" t="str">
        <f t="shared" si="44"/>
        <v xml:space="preserve"> - </v>
      </c>
      <c r="AZ9" s="33" t="str">
        <f t="shared" si="45"/>
        <v xml:space="preserve"> - </v>
      </c>
      <c r="BA9" s="228"/>
      <c r="BB9" s="244">
        <f t="shared" si="13"/>
        <v>0</v>
      </c>
      <c r="BC9" s="33">
        <f t="shared" si="46"/>
        <v>11</v>
      </c>
      <c r="BD9" s="229"/>
      <c r="BE9" s="243" t="str">
        <f ca="1">IF((IF(V9='TESTING v1'!I2,0,1)+IF('TESTING v2'!W9='TESTING v1'!I3,0,1)+IF('TESTING v2'!X9='TESTING v1'!I4,0,1)+IF('TESTING v2'!Y9='TESTING v1'!I5,0,1))=0,"GOOD","ERROR")</f>
        <v>GOOD</v>
      </c>
      <c r="BF9" s="151"/>
      <c r="BG9" s="69"/>
      <c r="BH9" s="69"/>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c r="CI9" s="69"/>
      <c r="CJ9" s="69"/>
      <c r="CK9" s="69"/>
      <c r="CL9" s="69"/>
      <c r="CM9" s="69"/>
    </row>
    <row r="10" spans="1:91">
      <c r="A10" s="231">
        <v>8</v>
      </c>
      <c r="B10" s="290" t="s">
        <v>2532</v>
      </c>
      <c r="C10" s="231"/>
      <c r="D10" s="232"/>
      <c r="E10" s="245">
        <v>0</v>
      </c>
      <c r="F10" s="245">
        <v>1</v>
      </c>
      <c r="G10" s="245">
        <v>0</v>
      </c>
      <c r="H10" s="233" t="s">
        <v>702</v>
      </c>
      <c r="I10" s="231"/>
      <c r="J10" s="239">
        <f t="shared" si="14"/>
        <v>0</v>
      </c>
      <c r="K10" s="239">
        <f t="shared" si="15"/>
        <v>0</v>
      </c>
      <c r="L10" s="239">
        <f t="shared" si="0"/>
        <v>0</v>
      </c>
      <c r="M10" s="241"/>
      <c r="N10" s="241"/>
      <c r="O10" s="239">
        <f t="shared" si="16"/>
        <v>0</v>
      </c>
      <c r="P10" s="239">
        <f t="shared" si="17"/>
        <v>0</v>
      </c>
      <c r="Q10" s="239">
        <f t="shared" si="18"/>
        <v>0</v>
      </c>
      <c r="R10" s="239">
        <f t="shared" si="11"/>
        <v>0</v>
      </c>
      <c r="S10" s="241"/>
      <c r="T10" s="241"/>
      <c r="U10" s="241"/>
      <c r="V10" s="240">
        <f t="shared" si="47"/>
        <v>0</v>
      </c>
      <c r="W10" s="239">
        <f t="shared" si="48"/>
        <v>0</v>
      </c>
      <c r="X10" s="239">
        <f t="shared" si="49"/>
        <v>0</v>
      </c>
      <c r="Y10" s="239">
        <f t="shared" si="50"/>
        <v>0</v>
      </c>
      <c r="Z10" s="239">
        <f t="shared" ref="Z10:Z12" si="54">0.6*T10+0.15*AE10+0.15*AC10+0.1*L10</f>
        <v>0</v>
      </c>
      <c r="AA10" s="239">
        <f t="shared" si="52"/>
        <v>0</v>
      </c>
      <c r="AB10" s="239">
        <f t="shared" si="53"/>
        <v>0</v>
      </c>
      <c r="AC10" s="293"/>
      <c r="AD10" s="293"/>
      <c r="AE10" s="293"/>
      <c r="AF10" s="293"/>
      <c r="AG10" s="293"/>
      <c r="AH10" s="293"/>
      <c r="AI10" s="293"/>
      <c r="AJ10" s="293"/>
      <c r="AK10" s="220"/>
      <c r="AL10" s="33">
        <f t="shared" si="32"/>
        <v>10.5</v>
      </c>
      <c r="AM10" s="33">
        <f t="shared" si="33"/>
        <v>11</v>
      </c>
      <c r="AN10" s="33">
        <f t="shared" si="34"/>
        <v>10.5</v>
      </c>
      <c r="AO10" s="33">
        <f t="shared" si="35"/>
        <v>11</v>
      </c>
      <c r="AP10" s="33">
        <f t="shared" si="36"/>
        <v>10.5</v>
      </c>
      <c r="AQ10" s="33">
        <f t="shared" si="37"/>
        <v>11</v>
      </c>
      <c r="AR10" s="33">
        <f t="shared" si="38"/>
        <v>10.5</v>
      </c>
      <c r="AS10" s="33" t="str">
        <f t="shared" si="10"/>
        <v xml:space="preserve"> - </v>
      </c>
      <c r="AT10" s="33" t="str">
        <f t="shared" si="39"/>
        <v xml:space="preserve"> - </v>
      </c>
      <c r="AU10" s="33" t="str">
        <f t="shared" si="40"/>
        <v xml:space="preserve"> - </v>
      </c>
      <c r="AV10" s="33" t="str">
        <f t="shared" si="41"/>
        <v xml:space="preserve"> - </v>
      </c>
      <c r="AW10" s="33" t="str">
        <f t="shared" si="42"/>
        <v xml:space="preserve"> - </v>
      </c>
      <c r="AX10" s="33" t="str">
        <f t="shared" si="43"/>
        <v xml:space="preserve"> - </v>
      </c>
      <c r="AY10" s="33" t="str">
        <f t="shared" si="44"/>
        <v xml:space="preserve"> - </v>
      </c>
      <c r="AZ10" s="33" t="str">
        <f t="shared" si="45"/>
        <v xml:space="preserve"> - </v>
      </c>
      <c r="BA10" s="220"/>
      <c r="BB10" s="244">
        <f t="shared" si="13"/>
        <v>0</v>
      </c>
      <c r="BC10" s="33">
        <f t="shared" si="46"/>
        <v>11</v>
      </c>
      <c r="BD10" s="221"/>
      <c r="BE10" s="243" t="str">
        <f ca="1">IF((IF(V10='TESTING v1'!J2,0,1)+IF('TESTING v2'!W10='TESTING v1'!J3,0,1)+IF('TESTING v2'!X10='TESTING v1'!J4,0,1)+IF('TESTING v2'!Y10='TESTING v1'!J5,0,1))=0,"GOOD","ERROR")</f>
        <v>GOOD</v>
      </c>
    </row>
    <row r="11" spans="1:91" s="33" customFormat="1">
      <c r="A11" s="231">
        <v>9</v>
      </c>
      <c r="B11" s="290"/>
      <c r="C11" s="231"/>
      <c r="D11" s="230"/>
      <c r="E11" s="245">
        <v>0</v>
      </c>
      <c r="F11" s="245">
        <v>0</v>
      </c>
      <c r="G11" s="245">
        <v>0</v>
      </c>
      <c r="H11" s="233" t="s">
        <v>702</v>
      </c>
      <c r="J11" s="239">
        <f t="shared" si="14"/>
        <v>0</v>
      </c>
      <c r="K11" s="239">
        <f t="shared" si="15"/>
        <v>0</v>
      </c>
      <c r="L11" s="239">
        <f t="shared" si="0"/>
        <v>0</v>
      </c>
      <c r="M11" s="85"/>
      <c r="N11" s="85"/>
      <c r="O11" s="239">
        <f t="shared" si="16"/>
        <v>0</v>
      </c>
      <c r="P11" s="239">
        <f t="shared" si="17"/>
        <v>0</v>
      </c>
      <c r="Q11" s="239">
        <f t="shared" si="18"/>
        <v>0</v>
      </c>
      <c r="R11" s="239">
        <f t="shared" si="11"/>
        <v>0</v>
      </c>
      <c r="S11" s="85"/>
      <c r="T11" s="85"/>
      <c r="U11" s="85"/>
      <c r="V11" s="240">
        <f t="shared" si="47"/>
        <v>0</v>
      </c>
      <c r="W11" s="239">
        <f t="shared" si="48"/>
        <v>0</v>
      </c>
      <c r="X11" s="239">
        <f t="shared" si="49"/>
        <v>0</v>
      </c>
      <c r="Y11" s="239">
        <f t="shared" si="50"/>
        <v>0</v>
      </c>
      <c r="Z11" s="239">
        <f t="shared" si="54"/>
        <v>0</v>
      </c>
      <c r="AA11" s="239">
        <f t="shared" si="52"/>
        <v>0</v>
      </c>
      <c r="AB11" s="239">
        <f t="shared" ref="AB11" si="55">0.6*AD11+0.2*L11+0.2*M11</f>
        <v>0</v>
      </c>
      <c r="AC11" s="293"/>
      <c r="AD11" s="293"/>
      <c r="AE11" s="293"/>
      <c r="AF11" s="293"/>
      <c r="AG11" s="293"/>
      <c r="AH11" s="293"/>
      <c r="AI11" s="293"/>
      <c r="AJ11" s="293"/>
      <c r="AK11" s="220"/>
      <c r="AL11" s="33">
        <f t="shared" si="32"/>
        <v>10.5</v>
      </c>
      <c r="AM11" s="33">
        <f t="shared" si="33"/>
        <v>11</v>
      </c>
      <c r="AN11" s="33">
        <f t="shared" si="34"/>
        <v>10.5</v>
      </c>
      <c r="AO11" s="33">
        <f t="shared" si="35"/>
        <v>11</v>
      </c>
      <c r="AP11" s="33">
        <f t="shared" si="36"/>
        <v>10.5</v>
      </c>
      <c r="AQ11" s="33">
        <f t="shared" si="37"/>
        <v>11</v>
      </c>
      <c r="AR11" s="33">
        <f t="shared" si="38"/>
        <v>10.5</v>
      </c>
      <c r="AS11" s="33" t="str">
        <f t="shared" si="10"/>
        <v xml:space="preserve"> - </v>
      </c>
      <c r="AT11" s="33" t="str">
        <f t="shared" si="39"/>
        <v xml:space="preserve"> - </v>
      </c>
      <c r="AU11" s="33" t="str">
        <f t="shared" si="40"/>
        <v xml:space="preserve"> - </v>
      </c>
      <c r="AV11" s="33" t="str">
        <f t="shared" si="41"/>
        <v xml:space="preserve"> - </v>
      </c>
      <c r="AW11" s="33" t="str">
        <f t="shared" si="42"/>
        <v xml:space="preserve"> - </v>
      </c>
      <c r="AX11" s="33" t="str">
        <f t="shared" si="43"/>
        <v xml:space="preserve"> - </v>
      </c>
      <c r="AY11" s="33" t="str">
        <f t="shared" si="44"/>
        <v xml:space="preserve"> - </v>
      </c>
      <c r="AZ11" s="33" t="str">
        <f t="shared" si="45"/>
        <v xml:space="preserve"> - </v>
      </c>
      <c r="BA11" s="220"/>
      <c r="BB11" s="244">
        <f t="shared" si="13"/>
        <v>0</v>
      </c>
      <c r="BC11" s="33">
        <f t="shared" si="46"/>
        <v>11</v>
      </c>
      <c r="BD11" s="220"/>
      <c r="BE11" s="243" t="str">
        <f ca="1">IF((IF(V11='TESTING v1'!K2,0,1)+IF('TESTING v2'!W11='TESTING v1'!K3,0,1)+IF('TESTING v2'!X11='TESTING v1'!K4,0,1)+IF('TESTING v2'!Y11='TESTING v1'!K5,0,1))=0,"GOOD","ERROR")</f>
        <v>GOOD</v>
      </c>
      <c r="BF11" s="151"/>
      <c r="BG11" s="69"/>
      <c r="BH11" s="69"/>
      <c r="BI11" s="69"/>
      <c r="BJ11" s="69"/>
      <c r="BK11" s="69"/>
      <c r="BL11" s="69"/>
      <c r="BM11" s="69"/>
      <c r="BN11" s="69"/>
      <c r="BO11" s="69"/>
      <c r="BP11" s="69"/>
      <c r="BQ11" s="69"/>
      <c r="BR11" s="69"/>
      <c r="BS11" s="69"/>
      <c r="BT11" s="69"/>
      <c r="BU11" s="69"/>
      <c r="BV11" s="69"/>
      <c r="BW11" s="69"/>
      <c r="BX11" s="69"/>
      <c r="BY11" s="69"/>
      <c r="BZ11" s="69"/>
      <c r="CA11" s="69"/>
      <c r="CB11" s="69"/>
      <c r="CC11" s="69"/>
      <c r="CD11" s="69"/>
      <c r="CE11" s="69"/>
      <c r="CF11" s="69"/>
      <c r="CG11" s="69"/>
      <c r="CH11" s="69"/>
      <c r="CI11" s="69"/>
      <c r="CJ11" s="69"/>
      <c r="CK11" s="69"/>
      <c r="CL11" s="69"/>
      <c r="CM11" s="69"/>
    </row>
    <row r="12" spans="1:91" s="33" customFormat="1">
      <c r="A12" s="234">
        <v>10</v>
      </c>
      <c r="B12" s="290"/>
      <c r="C12" s="231"/>
      <c r="D12" s="230"/>
      <c r="E12" s="245">
        <v>0</v>
      </c>
      <c r="F12" s="245">
        <v>0</v>
      </c>
      <c r="G12" s="245">
        <v>0</v>
      </c>
      <c r="H12" s="233" t="s">
        <v>702</v>
      </c>
      <c r="J12" s="239">
        <f t="shared" si="14"/>
        <v>0</v>
      </c>
      <c r="K12" s="239">
        <f t="shared" si="15"/>
        <v>0</v>
      </c>
      <c r="L12" s="239">
        <f t="shared" si="0"/>
        <v>0</v>
      </c>
      <c r="M12" s="85"/>
      <c r="N12" s="85"/>
      <c r="O12" s="239">
        <f t="shared" si="16"/>
        <v>0</v>
      </c>
      <c r="P12" s="239">
        <f t="shared" si="17"/>
        <v>0</v>
      </c>
      <c r="Q12" s="239">
        <f t="shared" si="18"/>
        <v>0</v>
      </c>
      <c r="R12" s="239">
        <f t="shared" si="11"/>
        <v>0</v>
      </c>
      <c r="S12" s="85"/>
      <c r="T12" s="85"/>
      <c r="U12" s="85"/>
      <c r="V12" s="240">
        <f t="shared" si="47"/>
        <v>0</v>
      </c>
      <c r="W12" s="239">
        <f t="shared" si="48"/>
        <v>0</v>
      </c>
      <c r="X12" s="239">
        <f t="shared" si="49"/>
        <v>0</v>
      </c>
      <c r="Y12" s="239">
        <f t="shared" si="50"/>
        <v>0</v>
      </c>
      <c r="Z12" s="239">
        <f t="shared" si="54"/>
        <v>0</v>
      </c>
      <c r="AA12" s="239">
        <f t="shared" ref="AA12:AA22" si="56">0.8*S12+0.2*R12</f>
        <v>0</v>
      </c>
      <c r="AB12" s="239">
        <f t="shared" ref="AB12:AB22" si="57">0.6*AD12+0.2*L12+0.2*M12</f>
        <v>0</v>
      </c>
      <c r="AC12" s="293"/>
      <c r="AD12" s="293"/>
      <c r="AE12" s="293"/>
      <c r="AF12" s="293"/>
      <c r="AG12" s="293"/>
      <c r="AH12" s="293"/>
      <c r="AI12" s="293"/>
      <c r="AJ12" s="293"/>
      <c r="AK12" s="220"/>
      <c r="AL12" s="33">
        <f t="shared" si="32"/>
        <v>10.5</v>
      </c>
      <c r="AM12" s="33">
        <f t="shared" si="33"/>
        <v>11</v>
      </c>
      <c r="AN12" s="33">
        <f t="shared" si="34"/>
        <v>10.5</v>
      </c>
      <c r="AO12" s="33">
        <f t="shared" si="35"/>
        <v>11</v>
      </c>
      <c r="AP12" s="33">
        <f t="shared" si="36"/>
        <v>10.5</v>
      </c>
      <c r="AQ12" s="33">
        <f t="shared" si="37"/>
        <v>11</v>
      </c>
      <c r="AR12" s="33">
        <f t="shared" si="38"/>
        <v>10.5</v>
      </c>
      <c r="AS12" s="33" t="str">
        <f t="shared" si="10"/>
        <v xml:space="preserve"> - </v>
      </c>
      <c r="AT12" s="33" t="str">
        <f t="shared" si="39"/>
        <v xml:space="preserve"> - </v>
      </c>
      <c r="AU12" s="33" t="str">
        <f t="shared" si="40"/>
        <v xml:space="preserve"> - </v>
      </c>
      <c r="AV12" s="33" t="str">
        <f t="shared" si="41"/>
        <v xml:space="preserve"> - </v>
      </c>
      <c r="AW12" s="33" t="str">
        <f t="shared" si="42"/>
        <v xml:space="preserve"> - </v>
      </c>
      <c r="AX12" s="33" t="str">
        <f t="shared" si="43"/>
        <v xml:space="preserve"> - </v>
      </c>
      <c r="AY12" s="33" t="str">
        <f t="shared" si="44"/>
        <v xml:space="preserve"> - </v>
      </c>
      <c r="AZ12" s="33" t="str">
        <f t="shared" si="45"/>
        <v xml:space="preserve"> - </v>
      </c>
      <c r="BA12" s="220"/>
      <c r="BB12" s="244">
        <f t="shared" si="13"/>
        <v>0</v>
      </c>
      <c r="BC12" s="33">
        <f t="shared" si="46"/>
        <v>11</v>
      </c>
      <c r="BD12" s="220"/>
      <c r="BE12" s="243" t="str">
        <f ca="1">IF((IF(V12='TESTING v1'!L2,0,1)+IF('TESTING v2'!W12='TESTING v1'!L3,0,1)+IF('TESTING v2'!X12='TESTING v1'!L4,0,1)+IF('TESTING v2'!Y12='TESTING v1'!L5,0,1))=0,"GOOD","ERROR")</f>
        <v>GOOD</v>
      </c>
      <c r="BF12" s="151"/>
      <c r="BG12" s="69"/>
      <c r="BH12" s="69"/>
      <c r="BI12" s="69"/>
      <c r="BJ12" s="69"/>
      <c r="BK12" s="69"/>
      <c r="BL12" s="69"/>
      <c r="BM12" s="69"/>
      <c r="BN12" s="69"/>
      <c r="BO12" s="69"/>
      <c r="BP12" s="69"/>
      <c r="BQ12" s="69"/>
      <c r="BR12" s="69"/>
      <c r="BS12" s="69"/>
      <c r="BT12" s="69"/>
      <c r="BU12" s="69"/>
      <c r="BV12" s="69"/>
      <c r="BW12" s="69"/>
      <c r="BX12" s="69"/>
      <c r="BY12" s="69"/>
      <c r="BZ12" s="69"/>
      <c r="CA12" s="69"/>
      <c r="CB12" s="69"/>
      <c r="CC12" s="69"/>
      <c r="CD12" s="69"/>
      <c r="CE12" s="69"/>
      <c r="CF12" s="69"/>
      <c r="CG12" s="69"/>
      <c r="CH12" s="69"/>
      <c r="CI12" s="69"/>
      <c r="CJ12" s="69"/>
      <c r="CK12" s="69"/>
      <c r="CL12" s="69"/>
      <c r="CM12" s="69"/>
    </row>
    <row r="13" spans="1:91" s="33" customFormat="1">
      <c r="A13" s="231">
        <v>11</v>
      </c>
      <c r="B13" s="290"/>
      <c r="C13" s="231"/>
      <c r="D13" s="230"/>
      <c r="E13" s="245">
        <v>0</v>
      </c>
      <c r="F13" s="245">
        <v>0</v>
      </c>
      <c r="G13" s="245">
        <v>0</v>
      </c>
      <c r="H13" s="233" t="s">
        <v>702</v>
      </c>
      <c r="J13" s="239">
        <f t="shared" si="14"/>
        <v>0</v>
      </c>
      <c r="K13" s="239">
        <f t="shared" si="15"/>
        <v>0</v>
      </c>
      <c r="L13" s="239">
        <f t="shared" si="0"/>
        <v>0</v>
      </c>
      <c r="M13" s="85"/>
      <c r="N13" s="85"/>
      <c r="O13" s="239">
        <f t="shared" si="16"/>
        <v>0</v>
      </c>
      <c r="P13" s="239">
        <f t="shared" si="17"/>
        <v>0</v>
      </c>
      <c r="Q13" s="239">
        <f t="shared" si="18"/>
        <v>0</v>
      </c>
      <c r="R13" s="239">
        <f t="shared" si="11"/>
        <v>0</v>
      </c>
      <c r="S13" s="85"/>
      <c r="T13" s="85"/>
      <c r="U13" s="85"/>
      <c r="V13" s="240">
        <f t="shared" si="47"/>
        <v>0</v>
      </c>
      <c r="W13" s="239">
        <f t="shared" si="48"/>
        <v>0</v>
      </c>
      <c r="X13" s="239">
        <f t="shared" si="49"/>
        <v>0</v>
      </c>
      <c r="Y13" s="239">
        <f t="shared" si="50"/>
        <v>0</v>
      </c>
      <c r="Z13" s="239">
        <f t="shared" ref="Z13:Z22" si="58">0.6*T13+0.15*AE13+0.15*AC13+0.1*L13</f>
        <v>0</v>
      </c>
      <c r="AA13" s="239">
        <f t="shared" si="56"/>
        <v>0</v>
      </c>
      <c r="AB13" s="239">
        <f t="shared" si="57"/>
        <v>0</v>
      </c>
      <c r="AC13" s="293"/>
      <c r="AD13" s="293"/>
      <c r="AE13" s="293"/>
      <c r="AF13" s="293"/>
      <c r="AG13" s="293"/>
      <c r="AH13" s="293"/>
      <c r="AI13" s="293"/>
      <c r="AJ13" s="293"/>
      <c r="AK13" s="220"/>
      <c r="AL13" s="33">
        <f t="shared" si="32"/>
        <v>10.5</v>
      </c>
      <c r="AM13" s="33">
        <f t="shared" si="33"/>
        <v>11</v>
      </c>
      <c r="AN13" s="33">
        <f t="shared" si="34"/>
        <v>10.5</v>
      </c>
      <c r="AO13" s="33">
        <f t="shared" si="35"/>
        <v>11</v>
      </c>
      <c r="AP13" s="33">
        <f t="shared" si="36"/>
        <v>10.5</v>
      </c>
      <c r="AQ13" s="33">
        <f t="shared" si="37"/>
        <v>11</v>
      </c>
      <c r="AR13" s="33">
        <f t="shared" si="38"/>
        <v>10.5</v>
      </c>
      <c r="AS13" s="33" t="str">
        <f t="shared" si="10"/>
        <v xml:space="preserve"> - </v>
      </c>
      <c r="AT13" s="33" t="str">
        <f t="shared" si="39"/>
        <v xml:space="preserve"> - </v>
      </c>
      <c r="AU13" s="33" t="str">
        <f t="shared" si="40"/>
        <v xml:space="preserve"> - </v>
      </c>
      <c r="AV13" s="33" t="str">
        <f t="shared" si="41"/>
        <v xml:space="preserve"> - </v>
      </c>
      <c r="AW13" s="33" t="str">
        <f t="shared" si="42"/>
        <v xml:space="preserve"> - </v>
      </c>
      <c r="AX13" s="33" t="str">
        <f t="shared" si="43"/>
        <v xml:space="preserve"> - </v>
      </c>
      <c r="AY13" s="33" t="str">
        <f t="shared" si="44"/>
        <v xml:space="preserve"> - </v>
      </c>
      <c r="AZ13" s="33" t="str">
        <f t="shared" si="45"/>
        <v xml:space="preserve"> - </v>
      </c>
      <c r="BA13" s="220"/>
      <c r="BB13" s="244">
        <f t="shared" si="13"/>
        <v>0</v>
      </c>
      <c r="BC13" s="33">
        <f t="shared" si="46"/>
        <v>11</v>
      </c>
      <c r="BD13" s="220"/>
      <c r="BE13" s="243" t="str">
        <f ca="1">IF((IF(V13='TESTING v1'!M2,0,1)+IF('TESTING v2'!W13='TESTING v1'!M3,0,1)+IF('TESTING v2'!X13='TESTING v1'!M4,0,1)+IF('TESTING v2'!Y13='TESTING v1'!M5,0,1))=0,"GOOD","ERROR")</f>
        <v>GOOD</v>
      </c>
      <c r="BF13" s="151"/>
      <c r="BG13" s="69"/>
      <c r="BH13" s="69"/>
      <c r="BI13" s="69"/>
      <c r="BJ13" s="69"/>
      <c r="BK13" s="69"/>
      <c r="BL13" s="69"/>
      <c r="BM13" s="69"/>
      <c r="BN13" s="69"/>
      <c r="BO13" s="69"/>
      <c r="BP13" s="69"/>
      <c r="BQ13" s="69"/>
      <c r="BR13" s="69"/>
      <c r="BS13" s="69"/>
      <c r="BT13" s="69"/>
      <c r="BU13" s="69"/>
      <c r="BV13" s="69"/>
      <c r="BW13" s="69"/>
      <c r="BX13" s="69"/>
      <c r="BY13" s="69"/>
      <c r="BZ13" s="69"/>
      <c r="CA13" s="69"/>
      <c r="CB13" s="69"/>
      <c r="CC13" s="69"/>
      <c r="CD13" s="69"/>
      <c r="CE13" s="69"/>
      <c r="CF13" s="69"/>
      <c r="CG13" s="69"/>
      <c r="CH13" s="69"/>
      <c r="CI13" s="69"/>
      <c r="CJ13" s="69"/>
      <c r="CK13" s="69"/>
      <c r="CL13" s="69"/>
      <c r="CM13" s="69"/>
    </row>
    <row r="14" spans="1:91" s="33" customFormat="1">
      <c r="A14" s="231">
        <v>12</v>
      </c>
      <c r="B14" s="52"/>
      <c r="C14" s="231"/>
      <c r="D14" s="230"/>
      <c r="E14" s="245">
        <v>0</v>
      </c>
      <c r="F14" s="245">
        <v>0</v>
      </c>
      <c r="G14" s="245">
        <v>0</v>
      </c>
      <c r="H14" s="233" t="s">
        <v>702</v>
      </c>
      <c r="J14" s="239">
        <f t="shared" si="14"/>
        <v>0</v>
      </c>
      <c r="K14" s="239">
        <f t="shared" si="15"/>
        <v>0</v>
      </c>
      <c r="L14" s="239">
        <f t="shared" si="0"/>
        <v>0</v>
      </c>
      <c r="M14" s="85"/>
      <c r="N14" s="85"/>
      <c r="O14" s="239">
        <f t="shared" si="16"/>
        <v>0</v>
      </c>
      <c r="P14" s="239">
        <f t="shared" si="17"/>
        <v>0</v>
      </c>
      <c r="Q14" s="239">
        <f t="shared" si="18"/>
        <v>0</v>
      </c>
      <c r="R14" s="239">
        <f t="shared" si="11"/>
        <v>0</v>
      </c>
      <c r="S14" s="85"/>
      <c r="T14" s="85"/>
      <c r="U14" s="85"/>
      <c r="V14" s="240">
        <f t="shared" si="47"/>
        <v>0</v>
      </c>
      <c r="W14" s="239">
        <f t="shared" si="48"/>
        <v>0</v>
      </c>
      <c r="X14" s="239">
        <f t="shared" si="49"/>
        <v>0</v>
      </c>
      <c r="Y14" s="239">
        <f t="shared" si="50"/>
        <v>0</v>
      </c>
      <c r="Z14" s="239">
        <f t="shared" si="58"/>
        <v>0</v>
      </c>
      <c r="AA14" s="239">
        <f t="shared" si="56"/>
        <v>0</v>
      </c>
      <c r="AB14" s="239">
        <f t="shared" si="57"/>
        <v>0</v>
      </c>
      <c r="AC14" s="85"/>
      <c r="AD14" s="85"/>
      <c r="AE14" s="85"/>
      <c r="AF14" s="85"/>
      <c r="AG14" s="85"/>
      <c r="AH14" s="85"/>
      <c r="AI14" s="85"/>
      <c r="AJ14" s="85"/>
      <c r="AK14" s="220"/>
      <c r="AL14" s="33">
        <f t="shared" si="32"/>
        <v>10.5</v>
      </c>
      <c r="AM14" s="33">
        <f t="shared" si="33"/>
        <v>11</v>
      </c>
      <c r="AN14" s="33">
        <f t="shared" si="34"/>
        <v>10.5</v>
      </c>
      <c r="AO14" s="33">
        <f t="shared" si="35"/>
        <v>11</v>
      </c>
      <c r="AP14" s="33">
        <f t="shared" si="36"/>
        <v>10.5</v>
      </c>
      <c r="AQ14" s="33">
        <f t="shared" si="37"/>
        <v>11</v>
      </c>
      <c r="AR14" s="33">
        <f t="shared" si="38"/>
        <v>10.5</v>
      </c>
      <c r="AS14" s="33" t="str">
        <f t="shared" si="10"/>
        <v xml:space="preserve"> - </v>
      </c>
      <c r="AT14" s="33" t="str">
        <f t="shared" si="39"/>
        <v xml:space="preserve"> - </v>
      </c>
      <c r="AU14" s="33" t="str">
        <f t="shared" si="40"/>
        <v xml:space="preserve"> - </v>
      </c>
      <c r="AV14" s="33" t="str">
        <f t="shared" si="41"/>
        <v xml:space="preserve"> - </v>
      </c>
      <c r="AW14" s="33" t="str">
        <f t="shared" si="42"/>
        <v xml:space="preserve"> - </v>
      </c>
      <c r="AX14" s="33" t="str">
        <f t="shared" si="43"/>
        <v xml:space="preserve"> - </v>
      </c>
      <c r="AY14" s="33" t="str">
        <f t="shared" si="44"/>
        <v xml:space="preserve"> - </v>
      </c>
      <c r="AZ14" s="33" t="str">
        <f t="shared" si="45"/>
        <v xml:space="preserve"> - </v>
      </c>
      <c r="BA14" s="220"/>
      <c r="BB14" s="244">
        <f t="shared" si="13"/>
        <v>0</v>
      </c>
      <c r="BC14" s="33">
        <f t="shared" si="46"/>
        <v>11</v>
      </c>
      <c r="BD14" s="220"/>
      <c r="BE14" s="243" t="str">
        <f ca="1">IF((IF(V14='TESTING v1'!N2,0,1)+IF('TESTING v2'!W14='TESTING v1'!N3,0,1)+IF('TESTING v2'!X14='TESTING v1'!N4,0,1)+IF('TESTING v2'!Y14='TESTING v1'!N5,0,1))=0,"GOOD","ERROR")</f>
        <v>GOOD</v>
      </c>
      <c r="BF14" s="151"/>
      <c r="BG14" s="69"/>
      <c r="BH14" s="69"/>
      <c r="BI14" s="69"/>
      <c r="BJ14" s="69"/>
      <c r="BK14" s="69"/>
      <c r="BL14" s="69"/>
      <c r="BM14" s="69"/>
      <c r="BN14" s="69"/>
      <c r="BO14" s="69"/>
      <c r="BP14" s="69"/>
      <c r="BQ14" s="69"/>
      <c r="BR14" s="69"/>
      <c r="BS14" s="69"/>
      <c r="BT14" s="69"/>
      <c r="BU14" s="69"/>
      <c r="BV14" s="69"/>
      <c r="BW14" s="69"/>
      <c r="BX14" s="69"/>
      <c r="BY14" s="69"/>
      <c r="BZ14" s="69"/>
      <c r="CA14" s="69"/>
      <c r="CB14" s="69"/>
      <c r="CC14" s="69"/>
      <c r="CD14" s="69"/>
      <c r="CE14" s="69"/>
      <c r="CF14" s="69"/>
      <c r="CG14" s="69"/>
      <c r="CH14" s="69"/>
      <c r="CI14" s="69"/>
      <c r="CJ14" s="69"/>
      <c r="CK14" s="69"/>
      <c r="CL14" s="69"/>
      <c r="CM14" s="69"/>
    </row>
    <row r="15" spans="1:91" s="33" customFormat="1">
      <c r="A15" s="231">
        <v>13</v>
      </c>
      <c r="B15" s="52"/>
      <c r="C15" s="230"/>
      <c r="D15" s="230"/>
      <c r="E15" s="245">
        <v>0</v>
      </c>
      <c r="F15" s="245">
        <v>0</v>
      </c>
      <c r="G15" s="245">
        <v>0</v>
      </c>
      <c r="H15" s="233" t="s">
        <v>702</v>
      </c>
      <c r="J15" s="239">
        <f t="shared" si="14"/>
        <v>0</v>
      </c>
      <c r="K15" s="239">
        <f t="shared" si="15"/>
        <v>0</v>
      </c>
      <c r="L15" s="239">
        <f t="shared" si="0"/>
        <v>0</v>
      </c>
      <c r="M15" s="85"/>
      <c r="N15" s="85"/>
      <c r="O15" s="239">
        <f t="shared" si="16"/>
        <v>0</v>
      </c>
      <c r="P15" s="239">
        <f t="shared" si="17"/>
        <v>0</v>
      </c>
      <c r="Q15" s="239">
        <f t="shared" si="18"/>
        <v>0</v>
      </c>
      <c r="R15" s="239">
        <f t="shared" si="11"/>
        <v>0</v>
      </c>
      <c r="S15" s="85"/>
      <c r="T15" s="85"/>
      <c r="U15" s="85"/>
      <c r="V15" s="240">
        <f t="shared" si="47"/>
        <v>0</v>
      </c>
      <c r="W15" s="239">
        <f t="shared" ref="W15:W22" si="59">0.22*AB15+0.17*AA15+0.09*AJ15+0.22*AE15+0.17*AC15+0.13*AD15</f>
        <v>0</v>
      </c>
      <c r="X15" s="239">
        <f t="shared" ref="X15:X22" si="60">IFERROR(((E15*1*AF15)+(F15*0.5*AG15)+(G15*0.3*AH15))/(E15*1+F15*0.5+G15*0.3),0)</f>
        <v>0</v>
      </c>
      <c r="Y15" s="239">
        <f t="shared" si="50"/>
        <v>0</v>
      </c>
      <c r="Z15" s="239">
        <f t="shared" si="58"/>
        <v>0</v>
      </c>
      <c r="AA15" s="239">
        <f t="shared" si="56"/>
        <v>0</v>
      </c>
      <c r="AB15" s="239">
        <f t="shared" si="57"/>
        <v>0</v>
      </c>
      <c r="AC15" s="85"/>
      <c r="AD15" s="85"/>
      <c r="AE15" s="85"/>
      <c r="AF15" s="85"/>
      <c r="AG15" s="85"/>
      <c r="AH15" s="85"/>
      <c r="AI15" s="85"/>
      <c r="AJ15" s="85"/>
      <c r="AK15" s="220"/>
      <c r="AL15" s="33">
        <f t="shared" si="32"/>
        <v>10.5</v>
      </c>
      <c r="AM15" s="33">
        <f t="shared" si="33"/>
        <v>11</v>
      </c>
      <c r="AN15" s="33">
        <f t="shared" si="34"/>
        <v>10.5</v>
      </c>
      <c r="AO15" s="33">
        <f t="shared" si="35"/>
        <v>11</v>
      </c>
      <c r="AP15" s="33">
        <f t="shared" si="36"/>
        <v>10.5</v>
      </c>
      <c r="AQ15" s="33">
        <f t="shared" si="37"/>
        <v>11</v>
      </c>
      <c r="AR15" s="33">
        <f t="shared" si="38"/>
        <v>10.5</v>
      </c>
      <c r="AS15" s="33" t="str">
        <f t="shared" si="10"/>
        <v xml:space="preserve"> - </v>
      </c>
      <c r="AT15" s="33" t="str">
        <f t="shared" si="39"/>
        <v xml:space="preserve"> - </v>
      </c>
      <c r="AU15" s="33" t="str">
        <f t="shared" si="40"/>
        <v xml:space="preserve"> - </v>
      </c>
      <c r="AV15" s="33" t="str">
        <f t="shared" si="41"/>
        <v xml:space="preserve"> - </v>
      </c>
      <c r="AW15" s="33" t="str">
        <f t="shared" si="42"/>
        <v xml:space="preserve"> - </v>
      </c>
      <c r="AX15" s="33" t="str">
        <f t="shared" si="43"/>
        <v xml:space="preserve"> - </v>
      </c>
      <c r="AY15" s="33" t="str">
        <f t="shared" si="44"/>
        <v xml:space="preserve"> - </v>
      </c>
      <c r="AZ15" s="33" t="str">
        <f t="shared" si="45"/>
        <v xml:space="preserve"> - </v>
      </c>
      <c r="BA15" s="220"/>
      <c r="BB15" s="244">
        <f t="shared" si="13"/>
        <v>0</v>
      </c>
      <c r="BC15" s="33">
        <f t="shared" si="46"/>
        <v>11</v>
      </c>
      <c r="BD15" s="220"/>
      <c r="BE15" s="243" t="str">
        <f ca="1">IF((IF(V15='TESTING v1'!O2,0,1)+IF('TESTING v2'!W15='TESTING v1'!O3,0,1)+IF('TESTING v2'!X15='TESTING v1'!O4,0,1)+IF('TESTING v2'!Y15='TESTING v1'!O5,0,1))=0,"GOOD","ERROR")</f>
        <v>GOOD</v>
      </c>
      <c r="BF15" s="151"/>
      <c r="BG15" s="69"/>
      <c r="BH15" s="69"/>
      <c r="BI15" s="69"/>
      <c r="BJ15" s="69"/>
      <c r="BK15" s="69"/>
      <c r="BL15" s="69"/>
      <c r="BM15" s="69"/>
      <c r="BN15" s="69"/>
      <c r="BO15" s="69"/>
      <c r="BP15" s="69"/>
      <c r="BQ15" s="69"/>
      <c r="BR15" s="69"/>
      <c r="BS15" s="69"/>
      <c r="BT15" s="69"/>
      <c r="BU15" s="69"/>
      <c r="BV15" s="69"/>
      <c r="BW15" s="69"/>
      <c r="BX15" s="69"/>
      <c r="BY15" s="69"/>
      <c r="BZ15" s="69"/>
      <c r="CA15" s="69"/>
      <c r="CB15" s="69"/>
      <c r="CC15" s="69"/>
      <c r="CD15" s="69"/>
      <c r="CE15" s="69"/>
      <c r="CF15" s="69"/>
      <c r="CG15" s="69"/>
      <c r="CH15" s="69"/>
      <c r="CI15" s="69"/>
      <c r="CJ15" s="69"/>
      <c r="CK15" s="69"/>
      <c r="CL15" s="69"/>
      <c r="CM15" s="69"/>
    </row>
    <row r="16" spans="1:91" s="33" customFormat="1">
      <c r="A16" s="231">
        <v>14</v>
      </c>
      <c r="B16" s="52"/>
      <c r="C16" s="230"/>
      <c r="D16" s="230"/>
      <c r="E16" s="245">
        <v>0</v>
      </c>
      <c r="F16" s="245">
        <v>0</v>
      </c>
      <c r="G16" s="245">
        <v>0</v>
      </c>
      <c r="H16" s="233" t="s">
        <v>702</v>
      </c>
      <c r="J16" s="239">
        <f t="shared" si="14"/>
        <v>0</v>
      </c>
      <c r="K16" s="239">
        <f t="shared" si="15"/>
        <v>0</v>
      </c>
      <c r="L16" s="239">
        <f t="shared" si="0"/>
        <v>0</v>
      </c>
      <c r="M16" s="85"/>
      <c r="N16" s="85"/>
      <c r="O16" s="239">
        <f t="shared" si="16"/>
        <v>0</v>
      </c>
      <c r="P16" s="239">
        <f t="shared" si="17"/>
        <v>0</v>
      </c>
      <c r="Q16" s="239">
        <f t="shared" si="18"/>
        <v>0</v>
      </c>
      <c r="R16" s="239">
        <f t="shared" si="11"/>
        <v>0</v>
      </c>
      <c r="S16" s="85"/>
      <c r="T16" s="85"/>
      <c r="U16" s="85"/>
      <c r="V16" s="240">
        <f t="shared" si="47"/>
        <v>0</v>
      </c>
      <c r="W16" s="239">
        <f t="shared" si="59"/>
        <v>0</v>
      </c>
      <c r="X16" s="239">
        <f t="shared" si="60"/>
        <v>0</v>
      </c>
      <c r="Y16" s="239">
        <f t="shared" ref="Y16:Y22" si="61">0.12*AB16+0.06*AA16+0.18*AJ16+0.06*AC16+0.59*AI16</f>
        <v>0</v>
      </c>
      <c r="Z16" s="239">
        <f t="shared" si="58"/>
        <v>0</v>
      </c>
      <c r="AA16" s="239">
        <f t="shared" si="56"/>
        <v>0</v>
      </c>
      <c r="AB16" s="239">
        <f t="shared" si="57"/>
        <v>0</v>
      </c>
      <c r="AC16" s="85"/>
      <c r="AD16" s="85"/>
      <c r="AE16" s="85"/>
      <c r="AF16" s="85"/>
      <c r="AG16" s="85"/>
      <c r="AH16" s="85"/>
      <c r="AI16" s="85"/>
      <c r="AJ16" s="85"/>
      <c r="AK16" s="220"/>
      <c r="AL16" s="33">
        <f t="shared" si="32"/>
        <v>10.5</v>
      </c>
      <c r="AM16" s="33">
        <f t="shared" si="33"/>
        <v>11</v>
      </c>
      <c r="AN16" s="33">
        <f t="shared" si="34"/>
        <v>10.5</v>
      </c>
      <c r="AO16" s="33">
        <f t="shared" si="35"/>
        <v>11</v>
      </c>
      <c r="AP16" s="33">
        <f t="shared" si="36"/>
        <v>10.5</v>
      </c>
      <c r="AQ16" s="33">
        <f t="shared" si="37"/>
        <v>11</v>
      </c>
      <c r="AR16" s="33">
        <f t="shared" si="38"/>
        <v>10.5</v>
      </c>
      <c r="AS16" s="33" t="str">
        <f t="shared" si="10"/>
        <v xml:space="preserve"> - </v>
      </c>
      <c r="AT16" s="33" t="str">
        <f t="shared" si="39"/>
        <v xml:space="preserve"> - </v>
      </c>
      <c r="AU16" s="33" t="str">
        <f t="shared" si="40"/>
        <v xml:space="preserve"> - </v>
      </c>
      <c r="AV16" s="33" t="str">
        <f t="shared" si="41"/>
        <v xml:space="preserve"> - </v>
      </c>
      <c r="AW16" s="33" t="str">
        <f t="shared" si="42"/>
        <v xml:space="preserve"> - </v>
      </c>
      <c r="AX16" s="33" t="str">
        <f t="shared" si="43"/>
        <v xml:space="preserve"> - </v>
      </c>
      <c r="AY16" s="33" t="str">
        <f t="shared" si="44"/>
        <v xml:space="preserve"> - </v>
      </c>
      <c r="AZ16" s="33" t="str">
        <f t="shared" si="45"/>
        <v xml:space="preserve"> - </v>
      </c>
      <c r="BA16" s="220"/>
      <c r="BB16" s="244">
        <f t="shared" si="13"/>
        <v>0</v>
      </c>
      <c r="BC16" s="33">
        <f t="shared" si="46"/>
        <v>11</v>
      </c>
      <c r="BD16" s="220"/>
      <c r="BE16" s="243" t="str">
        <f ca="1">IF((IF(V16='TESTING v1'!P2,0,1)+IF('TESTING v2'!W16='TESTING v1'!P3,0,1)+IF('TESTING v2'!X16='TESTING v1'!P4,0,1)+IF('TESTING v2'!Y16='TESTING v1'!P5,0,1))=0,"GOOD","ERROR")</f>
        <v>GOOD</v>
      </c>
      <c r="BF16" s="151"/>
      <c r="BG16" s="69"/>
      <c r="BH16" s="69"/>
      <c r="BI16" s="69"/>
      <c r="BJ16" s="69"/>
      <c r="BK16" s="69"/>
      <c r="BL16" s="69"/>
      <c r="BM16" s="69"/>
      <c r="BN16" s="69"/>
      <c r="BO16" s="69"/>
      <c r="BP16" s="69"/>
      <c r="BQ16" s="69"/>
      <c r="BR16" s="69"/>
      <c r="BS16" s="69"/>
      <c r="BT16" s="69"/>
      <c r="BU16" s="69"/>
      <c r="BV16" s="69"/>
      <c r="BW16" s="69"/>
      <c r="BX16" s="69"/>
      <c r="BY16" s="69"/>
      <c r="BZ16" s="69"/>
      <c r="CA16" s="69"/>
      <c r="CB16" s="69"/>
      <c r="CC16" s="69"/>
      <c r="CD16" s="69"/>
      <c r="CE16" s="69"/>
      <c r="CF16" s="69"/>
      <c r="CG16" s="69"/>
      <c r="CH16" s="69"/>
      <c r="CI16" s="69"/>
      <c r="CJ16" s="69"/>
      <c r="CK16" s="69"/>
      <c r="CL16" s="69"/>
      <c r="CM16" s="69"/>
    </row>
    <row r="17" spans="1:91" s="33" customFormat="1">
      <c r="A17" s="231">
        <v>15</v>
      </c>
      <c r="B17" s="52"/>
      <c r="C17" s="230"/>
      <c r="D17" s="230"/>
      <c r="E17" s="245">
        <v>0</v>
      </c>
      <c r="F17" s="245">
        <v>0</v>
      </c>
      <c r="G17" s="245">
        <v>0</v>
      </c>
      <c r="H17" s="233" t="s">
        <v>702</v>
      </c>
      <c r="J17" s="239">
        <f t="shared" si="14"/>
        <v>0</v>
      </c>
      <c r="K17" s="239">
        <f t="shared" si="15"/>
        <v>0</v>
      </c>
      <c r="L17" s="239">
        <f t="shared" si="0"/>
        <v>0</v>
      </c>
      <c r="M17" s="85"/>
      <c r="N17" s="85"/>
      <c r="O17" s="239">
        <f t="shared" si="16"/>
        <v>0</v>
      </c>
      <c r="P17" s="239">
        <f t="shared" si="17"/>
        <v>0</v>
      </c>
      <c r="Q17" s="239">
        <f t="shared" si="18"/>
        <v>0</v>
      </c>
      <c r="R17" s="239">
        <f t="shared" si="11"/>
        <v>0</v>
      </c>
      <c r="S17" s="85"/>
      <c r="T17" s="85"/>
      <c r="U17" s="85"/>
      <c r="V17" s="240">
        <f t="shared" si="47"/>
        <v>0</v>
      </c>
      <c r="W17" s="239">
        <f t="shared" si="59"/>
        <v>0</v>
      </c>
      <c r="X17" s="239">
        <f t="shared" si="60"/>
        <v>0</v>
      </c>
      <c r="Y17" s="239">
        <f t="shared" si="61"/>
        <v>0</v>
      </c>
      <c r="Z17" s="239">
        <f t="shared" si="58"/>
        <v>0</v>
      </c>
      <c r="AA17" s="239">
        <f t="shared" si="56"/>
        <v>0</v>
      </c>
      <c r="AB17" s="239">
        <f t="shared" si="57"/>
        <v>0</v>
      </c>
      <c r="AC17" s="85"/>
      <c r="AD17" s="85"/>
      <c r="AE17" s="85"/>
      <c r="AF17" s="85"/>
      <c r="AG17" s="85"/>
      <c r="AH17" s="85"/>
      <c r="AI17" s="85"/>
      <c r="AJ17" s="85"/>
      <c r="AK17" s="220"/>
      <c r="AL17" s="33">
        <f t="shared" si="32"/>
        <v>10.5</v>
      </c>
      <c r="AM17" s="33">
        <f t="shared" si="33"/>
        <v>11</v>
      </c>
      <c r="AN17" s="33">
        <f t="shared" si="34"/>
        <v>10.5</v>
      </c>
      <c r="AO17" s="33">
        <f t="shared" si="35"/>
        <v>11</v>
      </c>
      <c r="AP17" s="33">
        <f t="shared" si="36"/>
        <v>10.5</v>
      </c>
      <c r="AQ17" s="33">
        <f t="shared" si="37"/>
        <v>11</v>
      </c>
      <c r="AR17" s="33">
        <f t="shared" si="38"/>
        <v>10.5</v>
      </c>
      <c r="AS17" s="33" t="str">
        <f t="shared" si="10"/>
        <v xml:space="preserve"> - </v>
      </c>
      <c r="AT17" s="33" t="str">
        <f t="shared" si="39"/>
        <v xml:space="preserve"> - </v>
      </c>
      <c r="AU17" s="33" t="str">
        <f t="shared" si="40"/>
        <v xml:space="preserve"> - </v>
      </c>
      <c r="AV17" s="33" t="str">
        <f t="shared" si="41"/>
        <v xml:space="preserve"> - </v>
      </c>
      <c r="AW17" s="33" t="str">
        <f t="shared" si="42"/>
        <v xml:space="preserve"> - </v>
      </c>
      <c r="AX17" s="33" t="str">
        <f t="shared" si="43"/>
        <v xml:space="preserve"> - </v>
      </c>
      <c r="AY17" s="33" t="str">
        <f t="shared" si="44"/>
        <v xml:space="preserve"> - </v>
      </c>
      <c r="AZ17" s="33" t="str">
        <f t="shared" si="45"/>
        <v xml:space="preserve"> - </v>
      </c>
      <c r="BA17" s="220"/>
      <c r="BB17" s="244">
        <f t="shared" si="13"/>
        <v>0</v>
      </c>
      <c r="BC17" s="33">
        <f t="shared" si="46"/>
        <v>11</v>
      </c>
      <c r="BD17" s="220"/>
      <c r="BE17" s="243" t="str">
        <f ca="1">IF((IF(V17='TESTING v1'!Q2,0,1)+IF('TESTING v2'!W17='TESTING v1'!Q3,0,1)+IF('TESTING v2'!X17='TESTING v1'!Q4,0,1)+IF('TESTING v2'!Y17='TESTING v1'!Q5,0,1))=0,"GOOD","ERROR")</f>
        <v>GOOD</v>
      </c>
      <c r="BF17" s="151"/>
      <c r="BG17" s="69"/>
      <c r="BH17" s="69"/>
      <c r="BI17" s="69"/>
      <c r="BJ17" s="69"/>
      <c r="BK17" s="69"/>
      <c r="BL17" s="69"/>
      <c r="BM17" s="69"/>
      <c r="BN17" s="69"/>
      <c r="BO17" s="69"/>
      <c r="BP17" s="69"/>
      <c r="BQ17" s="69"/>
      <c r="BR17" s="69"/>
      <c r="BS17" s="69"/>
      <c r="BT17" s="69"/>
      <c r="BU17" s="69"/>
      <c r="BV17" s="69"/>
      <c r="BW17" s="69"/>
      <c r="BX17" s="69"/>
      <c r="BY17" s="69"/>
      <c r="BZ17" s="69"/>
      <c r="CA17" s="69"/>
      <c r="CB17" s="69"/>
      <c r="CC17" s="69"/>
      <c r="CD17" s="69"/>
      <c r="CE17" s="69"/>
      <c r="CF17" s="69"/>
      <c r="CG17" s="69"/>
      <c r="CH17" s="69"/>
      <c r="CI17" s="69"/>
      <c r="CJ17" s="69"/>
      <c r="CK17" s="69"/>
      <c r="CL17" s="69"/>
      <c r="CM17" s="69"/>
    </row>
    <row r="18" spans="1:91" s="33" customFormat="1">
      <c r="A18" s="234">
        <v>16</v>
      </c>
      <c r="B18" s="52"/>
      <c r="C18" s="230"/>
      <c r="D18" s="230"/>
      <c r="E18" s="245">
        <v>0</v>
      </c>
      <c r="F18" s="245">
        <v>0</v>
      </c>
      <c r="G18" s="245">
        <v>0</v>
      </c>
      <c r="H18" s="233" t="s">
        <v>702</v>
      </c>
      <c r="J18" s="239">
        <f t="shared" si="14"/>
        <v>0</v>
      </c>
      <c r="K18" s="239">
        <f t="shared" si="15"/>
        <v>0</v>
      </c>
      <c r="L18" s="239">
        <f t="shared" si="0"/>
        <v>0</v>
      </c>
      <c r="M18" s="85"/>
      <c r="N18" s="85"/>
      <c r="O18" s="239">
        <f t="shared" si="16"/>
        <v>0</v>
      </c>
      <c r="P18" s="239">
        <f t="shared" si="17"/>
        <v>0</v>
      </c>
      <c r="Q18" s="239">
        <f t="shared" si="18"/>
        <v>0</v>
      </c>
      <c r="R18" s="239">
        <f t="shared" si="11"/>
        <v>0</v>
      </c>
      <c r="S18" s="85"/>
      <c r="T18" s="85"/>
      <c r="U18" s="85"/>
      <c r="V18" s="240">
        <f t="shared" ref="V18:V22" si="62">0.8*Z18+0.2*AJ18</f>
        <v>0</v>
      </c>
      <c r="W18" s="239">
        <f t="shared" si="59"/>
        <v>0</v>
      </c>
      <c r="X18" s="239">
        <f t="shared" si="60"/>
        <v>0</v>
      </c>
      <c r="Y18" s="239">
        <f t="shared" si="61"/>
        <v>0</v>
      </c>
      <c r="Z18" s="239">
        <f t="shared" si="58"/>
        <v>0</v>
      </c>
      <c r="AA18" s="239">
        <f t="shared" si="56"/>
        <v>0</v>
      </c>
      <c r="AB18" s="239">
        <f t="shared" si="57"/>
        <v>0</v>
      </c>
      <c r="AC18" s="85"/>
      <c r="AD18" s="85"/>
      <c r="AE18" s="85"/>
      <c r="AF18" s="85"/>
      <c r="AG18" s="85"/>
      <c r="AH18" s="85"/>
      <c r="AI18" s="85"/>
      <c r="AJ18" s="85"/>
      <c r="AK18" s="220"/>
      <c r="AL18" s="33">
        <f t="shared" si="32"/>
        <v>10.5</v>
      </c>
      <c r="AM18" s="33">
        <f t="shared" si="33"/>
        <v>11</v>
      </c>
      <c r="AN18" s="33">
        <f t="shared" si="34"/>
        <v>10.5</v>
      </c>
      <c r="AO18" s="33">
        <f t="shared" si="35"/>
        <v>11</v>
      </c>
      <c r="AP18" s="33">
        <f t="shared" si="36"/>
        <v>10.5</v>
      </c>
      <c r="AQ18" s="33">
        <f t="shared" si="37"/>
        <v>11</v>
      </c>
      <c r="AR18" s="33">
        <f t="shared" si="38"/>
        <v>10.5</v>
      </c>
      <c r="AS18" s="33" t="str">
        <f t="shared" si="10"/>
        <v xml:space="preserve"> - </v>
      </c>
      <c r="AT18" s="33" t="str">
        <f t="shared" si="39"/>
        <v xml:space="preserve"> - </v>
      </c>
      <c r="AU18" s="33" t="str">
        <f t="shared" si="40"/>
        <v xml:space="preserve"> - </v>
      </c>
      <c r="AV18" s="33" t="str">
        <f t="shared" si="41"/>
        <v xml:space="preserve"> - </v>
      </c>
      <c r="AW18" s="33" t="str">
        <f t="shared" si="42"/>
        <v xml:space="preserve"> - </v>
      </c>
      <c r="AX18" s="33" t="str">
        <f t="shared" si="43"/>
        <v xml:space="preserve"> - </v>
      </c>
      <c r="AY18" s="33" t="str">
        <f t="shared" si="44"/>
        <v xml:space="preserve"> - </v>
      </c>
      <c r="AZ18" s="33" t="str">
        <f t="shared" si="45"/>
        <v xml:space="preserve"> - </v>
      </c>
      <c r="BA18" s="220"/>
      <c r="BB18" s="244">
        <f t="shared" si="13"/>
        <v>0</v>
      </c>
      <c r="BC18" s="33">
        <f t="shared" si="46"/>
        <v>11</v>
      </c>
      <c r="BD18" s="220"/>
      <c r="BE18" s="243" t="str">
        <f ca="1">IF((IF(V18='TESTING v1'!R2,0,1)+IF('TESTING v2'!W18='TESTING v1'!R3,0,1)+IF('TESTING v2'!X18='TESTING v1'!R4,0,1)+IF('TESTING v2'!Y18='TESTING v1'!R5,0,1))=0,"GOOD","ERROR")</f>
        <v>GOOD</v>
      </c>
      <c r="BF18" s="151"/>
      <c r="BG18" s="69"/>
      <c r="BH18" s="69"/>
      <c r="BI18" s="69"/>
      <c r="BJ18" s="69"/>
      <c r="BK18" s="69"/>
      <c r="BL18" s="69"/>
      <c r="BM18" s="69"/>
      <c r="BN18" s="69"/>
      <c r="BO18" s="69"/>
      <c r="BP18" s="69"/>
      <c r="BQ18" s="69"/>
      <c r="BR18" s="69"/>
      <c r="BS18" s="69"/>
      <c r="BT18" s="69"/>
      <c r="BU18" s="69"/>
      <c r="BV18" s="69"/>
      <c r="BW18" s="69"/>
      <c r="BX18" s="69"/>
      <c r="BY18" s="69"/>
      <c r="BZ18" s="69"/>
      <c r="CA18" s="69"/>
      <c r="CB18" s="69"/>
      <c r="CC18" s="69"/>
      <c r="CD18" s="69"/>
      <c r="CE18" s="69"/>
      <c r="CF18" s="69"/>
      <c r="CG18" s="69"/>
      <c r="CH18" s="69"/>
      <c r="CI18" s="69"/>
      <c r="CJ18" s="69"/>
      <c r="CK18" s="69"/>
      <c r="CL18" s="69"/>
      <c r="CM18" s="69"/>
    </row>
    <row r="19" spans="1:91" s="33" customFormat="1">
      <c r="A19" s="231">
        <v>17</v>
      </c>
      <c r="B19" s="52"/>
      <c r="C19" s="230"/>
      <c r="D19" s="230"/>
      <c r="E19" s="245">
        <v>0</v>
      </c>
      <c r="F19" s="245">
        <v>0</v>
      </c>
      <c r="G19" s="245">
        <v>0</v>
      </c>
      <c r="H19" s="233" t="s">
        <v>702</v>
      </c>
      <c r="J19" s="239">
        <f t="shared" si="14"/>
        <v>0</v>
      </c>
      <c r="K19" s="239">
        <f t="shared" si="15"/>
        <v>0</v>
      </c>
      <c r="L19" s="239">
        <f t="shared" si="0"/>
        <v>0</v>
      </c>
      <c r="M19" s="85"/>
      <c r="N19" s="85"/>
      <c r="O19" s="239">
        <f t="shared" si="16"/>
        <v>0</v>
      </c>
      <c r="P19" s="239">
        <f t="shared" si="17"/>
        <v>0</v>
      </c>
      <c r="Q19" s="239">
        <f t="shared" si="18"/>
        <v>0</v>
      </c>
      <c r="R19" s="239">
        <f t="shared" si="11"/>
        <v>0</v>
      </c>
      <c r="S19" s="85"/>
      <c r="T19" s="85"/>
      <c r="U19" s="85"/>
      <c r="V19" s="240">
        <f t="shared" si="62"/>
        <v>0</v>
      </c>
      <c r="W19" s="239">
        <f t="shared" si="59"/>
        <v>0</v>
      </c>
      <c r="X19" s="239">
        <f t="shared" si="60"/>
        <v>0</v>
      </c>
      <c r="Y19" s="239">
        <f t="shared" si="61"/>
        <v>0</v>
      </c>
      <c r="Z19" s="239">
        <f t="shared" si="58"/>
        <v>0</v>
      </c>
      <c r="AA19" s="239">
        <f t="shared" si="56"/>
        <v>0</v>
      </c>
      <c r="AB19" s="239">
        <f t="shared" si="57"/>
        <v>0</v>
      </c>
      <c r="AC19" s="85"/>
      <c r="AD19" s="85"/>
      <c r="AE19" s="85"/>
      <c r="AF19" s="85"/>
      <c r="AG19" s="85"/>
      <c r="AH19" s="85"/>
      <c r="AI19" s="85"/>
      <c r="AJ19" s="85"/>
      <c r="AK19" s="220"/>
      <c r="AL19" s="33">
        <f t="shared" si="32"/>
        <v>10.5</v>
      </c>
      <c r="AM19" s="33">
        <f t="shared" si="33"/>
        <v>11</v>
      </c>
      <c r="AN19" s="33">
        <f t="shared" si="34"/>
        <v>10.5</v>
      </c>
      <c r="AO19" s="33">
        <f t="shared" si="35"/>
        <v>11</v>
      </c>
      <c r="AP19" s="33">
        <f t="shared" si="36"/>
        <v>10.5</v>
      </c>
      <c r="AQ19" s="33">
        <f t="shared" si="37"/>
        <v>11</v>
      </c>
      <c r="AR19" s="33">
        <f t="shared" si="38"/>
        <v>10.5</v>
      </c>
      <c r="AS19" s="33" t="str">
        <f t="shared" si="10"/>
        <v xml:space="preserve"> - </v>
      </c>
      <c r="AT19" s="33" t="str">
        <f t="shared" si="39"/>
        <v xml:space="preserve"> - </v>
      </c>
      <c r="AU19" s="33" t="str">
        <f t="shared" si="40"/>
        <v xml:space="preserve"> - </v>
      </c>
      <c r="AV19" s="33" t="str">
        <f t="shared" si="41"/>
        <v xml:space="preserve"> - </v>
      </c>
      <c r="AW19" s="33" t="str">
        <f t="shared" si="42"/>
        <v xml:space="preserve"> - </v>
      </c>
      <c r="AX19" s="33" t="str">
        <f t="shared" si="43"/>
        <v xml:space="preserve"> - </v>
      </c>
      <c r="AY19" s="33" t="str">
        <f t="shared" si="44"/>
        <v xml:space="preserve"> - </v>
      </c>
      <c r="AZ19" s="33" t="str">
        <f t="shared" si="45"/>
        <v xml:space="preserve"> - </v>
      </c>
      <c r="BA19" s="220"/>
      <c r="BB19" s="244">
        <f t="shared" si="13"/>
        <v>0</v>
      </c>
      <c r="BC19" s="33">
        <f t="shared" si="46"/>
        <v>11</v>
      </c>
      <c r="BD19" s="220"/>
      <c r="BE19" s="243" t="str">
        <f ca="1">IF((IF(V19='TESTING v1'!S2,0,1)+IF('TESTING v2'!W19='TESTING v1'!S3,0,1)+IF('TESTING v2'!X19='TESTING v1'!S4,0,1)+IF('TESTING v2'!Y19='TESTING v1'!S5,0,1))=0,"GOOD","ERROR")</f>
        <v>GOOD</v>
      </c>
      <c r="BF19" s="151"/>
      <c r="BG19" s="69"/>
      <c r="BH19" s="69"/>
      <c r="BI19" s="69"/>
      <c r="BJ19" s="69"/>
      <c r="BK19" s="69"/>
      <c r="BL19" s="69"/>
      <c r="BM19" s="69"/>
      <c r="BN19" s="69"/>
      <c r="BO19" s="69"/>
      <c r="BP19" s="69"/>
      <c r="BQ19" s="69"/>
      <c r="BR19" s="69"/>
      <c r="BS19" s="69"/>
      <c r="BT19" s="69"/>
      <c r="BU19" s="69"/>
      <c r="BV19" s="69"/>
      <c r="BW19" s="69"/>
      <c r="BX19" s="69"/>
      <c r="BY19" s="69"/>
      <c r="BZ19" s="69"/>
      <c r="CA19" s="69"/>
      <c r="CB19" s="69"/>
      <c r="CC19" s="69"/>
      <c r="CD19" s="69"/>
      <c r="CE19" s="69"/>
      <c r="CF19" s="69"/>
      <c r="CG19" s="69"/>
      <c r="CH19" s="69"/>
      <c r="CI19" s="69"/>
      <c r="CJ19" s="69"/>
      <c r="CK19" s="69"/>
      <c r="CL19" s="69"/>
      <c r="CM19" s="69"/>
    </row>
    <row r="20" spans="1:91" s="33" customFormat="1">
      <c r="A20" s="231">
        <v>18</v>
      </c>
      <c r="B20" s="52"/>
      <c r="C20" s="230"/>
      <c r="D20" s="230"/>
      <c r="E20" s="245">
        <v>0</v>
      </c>
      <c r="F20" s="245">
        <v>0</v>
      </c>
      <c r="G20" s="245">
        <v>0</v>
      </c>
      <c r="H20" s="233" t="s">
        <v>702</v>
      </c>
      <c r="J20" s="239">
        <f t="shared" si="14"/>
        <v>0</v>
      </c>
      <c r="K20" s="239">
        <f t="shared" si="15"/>
        <v>0</v>
      </c>
      <c r="L20" s="239">
        <f t="shared" si="0"/>
        <v>0</v>
      </c>
      <c r="M20" s="85"/>
      <c r="N20" s="85"/>
      <c r="O20" s="239">
        <f t="shared" si="16"/>
        <v>0</v>
      </c>
      <c r="P20" s="239">
        <f t="shared" si="17"/>
        <v>0</v>
      </c>
      <c r="Q20" s="239">
        <f t="shared" si="18"/>
        <v>0</v>
      </c>
      <c r="R20" s="239">
        <f t="shared" si="11"/>
        <v>0</v>
      </c>
      <c r="S20" s="85"/>
      <c r="T20" s="85"/>
      <c r="U20" s="85"/>
      <c r="V20" s="240">
        <f t="shared" si="62"/>
        <v>0</v>
      </c>
      <c r="W20" s="239">
        <f t="shared" si="59"/>
        <v>0</v>
      </c>
      <c r="X20" s="239">
        <f t="shared" si="60"/>
        <v>0</v>
      </c>
      <c r="Y20" s="239">
        <f t="shared" si="61"/>
        <v>0</v>
      </c>
      <c r="Z20" s="239">
        <f t="shared" si="58"/>
        <v>0</v>
      </c>
      <c r="AA20" s="239">
        <f t="shared" si="56"/>
        <v>0</v>
      </c>
      <c r="AB20" s="239">
        <f t="shared" si="57"/>
        <v>0</v>
      </c>
      <c r="AC20" s="85"/>
      <c r="AD20" s="85"/>
      <c r="AE20" s="85"/>
      <c r="AF20" s="85"/>
      <c r="AG20" s="85"/>
      <c r="AH20" s="85"/>
      <c r="AI20" s="85"/>
      <c r="AJ20" s="85"/>
      <c r="AK20" s="220"/>
      <c r="AL20" s="33">
        <f t="shared" si="32"/>
        <v>10.5</v>
      </c>
      <c r="AM20" s="33">
        <f t="shared" si="33"/>
        <v>11</v>
      </c>
      <c r="AN20" s="33">
        <f t="shared" si="34"/>
        <v>10.5</v>
      </c>
      <c r="AO20" s="33">
        <f t="shared" si="35"/>
        <v>11</v>
      </c>
      <c r="AP20" s="33">
        <f t="shared" si="36"/>
        <v>10.5</v>
      </c>
      <c r="AQ20" s="33">
        <f t="shared" si="37"/>
        <v>11</v>
      </c>
      <c r="AR20" s="33">
        <f t="shared" si="38"/>
        <v>10.5</v>
      </c>
      <c r="AS20" s="33" t="str">
        <f t="shared" si="10"/>
        <v xml:space="preserve"> - </v>
      </c>
      <c r="AT20" s="33" t="str">
        <f t="shared" si="39"/>
        <v xml:space="preserve"> - </v>
      </c>
      <c r="AU20" s="33" t="str">
        <f t="shared" si="40"/>
        <v xml:space="preserve"> - </v>
      </c>
      <c r="AV20" s="33" t="str">
        <f t="shared" si="41"/>
        <v xml:space="preserve"> - </v>
      </c>
      <c r="AW20" s="33" t="str">
        <f t="shared" si="42"/>
        <v xml:space="preserve"> - </v>
      </c>
      <c r="AX20" s="33" t="str">
        <f t="shared" si="43"/>
        <v xml:space="preserve"> - </v>
      </c>
      <c r="AY20" s="33" t="str">
        <f t="shared" si="44"/>
        <v xml:space="preserve"> - </v>
      </c>
      <c r="AZ20" s="33" t="str">
        <f t="shared" si="45"/>
        <v xml:space="preserve"> - </v>
      </c>
      <c r="BA20" s="220"/>
      <c r="BB20" s="244">
        <f t="shared" si="13"/>
        <v>0</v>
      </c>
      <c r="BC20" s="33">
        <f t="shared" si="46"/>
        <v>11</v>
      </c>
      <c r="BD20" s="220"/>
      <c r="BE20" s="243" t="str">
        <f ca="1">IF((IF(V20='TESTING v1'!T2,0,1)+IF('TESTING v2'!W20='TESTING v1'!T3,0,1)+IF('TESTING v2'!X20='TESTING v1'!T4,0,1)+IF('TESTING v2'!Y20='TESTING v1'!T5,0,1))=0,"GOOD","ERROR")</f>
        <v>GOOD</v>
      </c>
      <c r="BF20" s="151"/>
      <c r="BG20" s="69"/>
      <c r="BH20" s="69"/>
      <c r="BI20" s="69"/>
      <c r="BJ20" s="69"/>
      <c r="BK20" s="69"/>
      <c r="BL20" s="69"/>
      <c r="BM20" s="69"/>
      <c r="BN20" s="69"/>
      <c r="BO20" s="69"/>
      <c r="BP20" s="69"/>
      <c r="BQ20" s="69"/>
      <c r="BR20" s="69"/>
      <c r="BS20" s="69"/>
      <c r="BT20" s="69"/>
      <c r="BU20" s="69"/>
      <c r="BV20" s="69"/>
      <c r="BW20" s="69"/>
      <c r="BX20" s="69"/>
      <c r="BY20" s="69"/>
      <c r="BZ20" s="69"/>
      <c r="CA20" s="69"/>
      <c r="CB20" s="69"/>
      <c r="CC20" s="69"/>
      <c r="CD20" s="69"/>
      <c r="CE20" s="69"/>
      <c r="CF20" s="69"/>
      <c r="CG20" s="69"/>
      <c r="CH20" s="69"/>
      <c r="CI20" s="69"/>
      <c r="CJ20" s="69"/>
      <c r="CK20" s="69"/>
      <c r="CL20" s="69"/>
      <c r="CM20" s="69"/>
    </row>
    <row r="21" spans="1:91" s="33" customFormat="1">
      <c r="A21" s="231">
        <v>19</v>
      </c>
      <c r="B21" s="52"/>
      <c r="C21" s="230"/>
      <c r="D21" s="230"/>
      <c r="E21" s="245">
        <v>0</v>
      </c>
      <c r="F21" s="245">
        <v>0</v>
      </c>
      <c r="G21" s="245">
        <v>0</v>
      </c>
      <c r="H21" s="233" t="s">
        <v>702</v>
      </c>
      <c r="J21" s="239">
        <f t="shared" si="14"/>
        <v>0</v>
      </c>
      <c r="K21" s="239">
        <f t="shared" si="15"/>
        <v>0</v>
      </c>
      <c r="L21" s="239">
        <f t="shared" si="0"/>
        <v>0</v>
      </c>
      <c r="M21" s="85"/>
      <c r="N21" s="85"/>
      <c r="O21" s="239">
        <f t="shared" si="16"/>
        <v>0</v>
      </c>
      <c r="P21" s="239">
        <f t="shared" si="17"/>
        <v>0</v>
      </c>
      <c r="Q21" s="239">
        <f t="shared" si="18"/>
        <v>0</v>
      </c>
      <c r="R21" s="239">
        <f t="shared" si="11"/>
        <v>0</v>
      </c>
      <c r="S21" s="85"/>
      <c r="T21" s="85"/>
      <c r="U21" s="85"/>
      <c r="V21" s="240">
        <f t="shared" si="62"/>
        <v>0</v>
      </c>
      <c r="W21" s="239">
        <f t="shared" si="59"/>
        <v>0</v>
      </c>
      <c r="X21" s="239">
        <f t="shared" si="60"/>
        <v>0</v>
      </c>
      <c r="Y21" s="239">
        <f t="shared" si="61"/>
        <v>0</v>
      </c>
      <c r="Z21" s="239">
        <f t="shared" si="58"/>
        <v>0</v>
      </c>
      <c r="AA21" s="239">
        <f t="shared" si="56"/>
        <v>0</v>
      </c>
      <c r="AB21" s="239">
        <f t="shared" si="57"/>
        <v>0</v>
      </c>
      <c r="AC21" s="85"/>
      <c r="AD21" s="85"/>
      <c r="AE21" s="85"/>
      <c r="AF21" s="85"/>
      <c r="AG21" s="85"/>
      <c r="AH21" s="85"/>
      <c r="AI21" s="85"/>
      <c r="AJ21" s="85"/>
      <c r="AK21" s="220"/>
      <c r="AL21" s="33">
        <f t="shared" si="32"/>
        <v>10.5</v>
      </c>
      <c r="AM21" s="33">
        <f t="shared" si="33"/>
        <v>11</v>
      </c>
      <c r="AN21" s="33">
        <f t="shared" si="34"/>
        <v>10.5</v>
      </c>
      <c r="AO21" s="33">
        <f t="shared" si="35"/>
        <v>11</v>
      </c>
      <c r="AP21" s="33">
        <f t="shared" si="36"/>
        <v>10.5</v>
      </c>
      <c r="AQ21" s="33">
        <f t="shared" si="37"/>
        <v>11</v>
      </c>
      <c r="AR21" s="33">
        <f t="shared" si="38"/>
        <v>10.5</v>
      </c>
      <c r="AS21" s="33" t="str">
        <f t="shared" si="10"/>
        <v xml:space="preserve"> - </v>
      </c>
      <c r="AT21" s="33" t="str">
        <f t="shared" si="39"/>
        <v xml:space="preserve"> - </v>
      </c>
      <c r="AU21" s="33" t="str">
        <f t="shared" si="40"/>
        <v xml:space="preserve"> - </v>
      </c>
      <c r="AV21" s="33" t="str">
        <f t="shared" si="41"/>
        <v xml:space="preserve"> - </v>
      </c>
      <c r="AW21" s="33" t="str">
        <f t="shared" si="42"/>
        <v xml:space="preserve"> - </v>
      </c>
      <c r="AX21" s="33" t="str">
        <f t="shared" si="43"/>
        <v xml:space="preserve"> - </v>
      </c>
      <c r="AY21" s="33" t="str">
        <f t="shared" si="44"/>
        <v xml:space="preserve"> - </v>
      </c>
      <c r="AZ21" s="33" t="str">
        <f t="shared" si="45"/>
        <v xml:space="preserve"> - </v>
      </c>
      <c r="BA21" s="220"/>
      <c r="BB21" s="244">
        <f t="shared" si="13"/>
        <v>0</v>
      </c>
      <c r="BC21" s="33">
        <f t="shared" si="46"/>
        <v>11</v>
      </c>
      <c r="BD21" s="220"/>
      <c r="BE21" s="243" t="str">
        <f ca="1">IF((IF(V21='TESTING v1'!U2,0,1)+IF('TESTING v2'!W21='TESTING v1'!U3,0,1)+IF('TESTING v2'!X21='TESTING v1'!U4,0,1)+IF('TESTING v2'!Y21='TESTING v1'!U5,0,1))=0,"GOOD","ERROR")</f>
        <v>GOOD</v>
      </c>
      <c r="BF21" s="151"/>
      <c r="BG21" s="69"/>
      <c r="BH21" s="69"/>
      <c r="BI21" s="69"/>
      <c r="BJ21" s="69"/>
      <c r="BK21" s="69"/>
      <c r="BL21" s="69"/>
      <c r="BM21" s="69"/>
      <c r="BN21" s="69"/>
      <c r="BO21" s="69"/>
      <c r="BP21" s="69"/>
      <c r="BQ21" s="69"/>
      <c r="BR21" s="69"/>
      <c r="BS21" s="69"/>
      <c r="BT21" s="69"/>
      <c r="BU21" s="69"/>
      <c r="BV21" s="69"/>
      <c r="BW21" s="69"/>
      <c r="BX21" s="69"/>
      <c r="BY21" s="69"/>
      <c r="BZ21" s="69"/>
      <c r="CA21" s="69"/>
      <c r="CB21" s="69"/>
      <c r="CC21" s="69"/>
      <c r="CD21" s="69"/>
      <c r="CE21" s="69"/>
      <c r="CF21" s="69"/>
      <c r="CG21" s="69"/>
      <c r="CH21" s="69"/>
      <c r="CI21" s="69"/>
      <c r="CJ21" s="69"/>
      <c r="CK21" s="69"/>
      <c r="CL21" s="69"/>
      <c r="CM21" s="69"/>
    </row>
    <row r="22" spans="1:91" s="33" customFormat="1">
      <c r="A22" s="231">
        <v>20</v>
      </c>
      <c r="B22" s="52"/>
      <c r="C22" s="230"/>
      <c r="D22" s="230"/>
      <c r="E22" s="245">
        <v>0</v>
      </c>
      <c r="F22" s="245">
        <v>0</v>
      </c>
      <c r="G22" s="245">
        <v>0</v>
      </c>
      <c r="H22" s="233" t="s">
        <v>702</v>
      </c>
      <c r="J22" s="239">
        <f t="shared" si="14"/>
        <v>0</v>
      </c>
      <c r="K22" s="239">
        <f t="shared" si="15"/>
        <v>0</v>
      </c>
      <c r="L22" s="239">
        <f t="shared" si="0"/>
        <v>0</v>
      </c>
      <c r="M22" s="85"/>
      <c r="N22" s="85"/>
      <c r="O22" s="239">
        <f t="shared" si="16"/>
        <v>0</v>
      </c>
      <c r="P22" s="239">
        <f t="shared" si="17"/>
        <v>0</v>
      </c>
      <c r="Q22" s="239">
        <f t="shared" si="18"/>
        <v>0</v>
      </c>
      <c r="R22" s="239">
        <f t="shared" si="11"/>
        <v>0</v>
      </c>
      <c r="S22" s="85"/>
      <c r="T22" s="85"/>
      <c r="U22" s="85"/>
      <c r="V22" s="240">
        <f t="shared" si="62"/>
        <v>0</v>
      </c>
      <c r="W22" s="239">
        <f t="shared" si="59"/>
        <v>0</v>
      </c>
      <c r="X22" s="239">
        <f t="shared" si="60"/>
        <v>0</v>
      </c>
      <c r="Y22" s="239">
        <f t="shared" si="61"/>
        <v>0</v>
      </c>
      <c r="Z22" s="239">
        <f t="shared" si="58"/>
        <v>0</v>
      </c>
      <c r="AA22" s="239">
        <f t="shared" si="56"/>
        <v>0</v>
      </c>
      <c r="AB22" s="239">
        <f t="shared" si="57"/>
        <v>0</v>
      </c>
      <c r="AC22" s="85"/>
      <c r="AD22" s="85"/>
      <c r="AE22" s="85"/>
      <c r="AF22" s="85"/>
      <c r="AG22" s="85"/>
      <c r="AH22" s="85"/>
      <c r="AI22" s="85"/>
      <c r="AJ22" s="85"/>
      <c r="AK22" s="220"/>
      <c r="AL22" s="33">
        <f t="shared" si="32"/>
        <v>10.5</v>
      </c>
      <c r="AM22" s="33">
        <f t="shared" si="33"/>
        <v>11</v>
      </c>
      <c r="AN22" s="33">
        <f t="shared" si="34"/>
        <v>10.5</v>
      </c>
      <c r="AO22" s="33">
        <f t="shared" si="35"/>
        <v>11</v>
      </c>
      <c r="AP22" s="33">
        <f t="shared" si="36"/>
        <v>10.5</v>
      </c>
      <c r="AQ22" s="33">
        <f t="shared" si="37"/>
        <v>11</v>
      </c>
      <c r="AR22" s="33">
        <f t="shared" si="38"/>
        <v>10.5</v>
      </c>
      <c r="AS22" s="33" t="str">
        <f t="shared" si="10"/>
        <v xml:space="preserve"> - </v>
      </c>
      <c r="AT22" s="33" t="str">
        <f t="shared" si="39"/>
        <v xml:space="preserve"> - </v>
      </c>
      <c r="AU22" s="33" t="str">
        <f t="shared" si="40"/>
        <v xml:space="preserve"> - </v>
      </c>
      <c r="AV22" s="33" t="str">
        <f t="shared" si="41"/>
        <v xml:space="preserve"> - </v>
      </c>
      <c r="AW22" s="33" t="str">
        <f t="shared" si="42"/>
        <v xml:space="preserve"> - </v>
      </c>
      <c r="AX22" s="33" t="str">
        <f t="shared" si="43"/>
        <v xml:space="preserve"> - </v>
      </c>
      <c r="AY22" s="33" t="str">
        <f t="shared" si="44"/>
        <v xml:space="preserve"> - </v>
      </c>
      <c r="AZ22" s="33" t="str">
        <f t="shared" si="45"/>
        <v xml:space="preserve"> - </v>
      </c>
      <c r="BA22" s="220"/>
      <c r="BB22" s="244">
        <f t="shared" si="13"/>
        <v>0</v>
      </c>
      <c r="BC22" s="33">
        <f t="shared" si="46"/>
        <v>11</v>
      </c>
      <c r="BD22" s="220"/>
      <c r="BE22" s="243" t="str">
        <f ca="1">IF((IF(V22='TESTING v1'!V2,0,1)+IF('TESTING v2'!W22='TESTING v1'!V3,0,1)+IF('TESTING v2'!X22='TESTING v1'!V4,0,1)+IF('TESTING v2'!Y22='TESTING v1'!V5,0,1))=0,"GOOD","ERROR")</f>
        <v>GOOD</v>
      </c>
      <c r="BF22" s="151"/>
      <c r="BG22" s="69"/>
      <c r="BH22" s="69"/>
      <c r="BI22" s="69"/>
      <c r="BJ22" s="69"/>
      <c r="BK22" s="69"/>
      <c r="BL22" s="69"/>
      <c r="BM22" s="69"/>
      <c r="BN22" s="69"/>
      <c r="BO22" s="69"/>
      <c r="BP22" s="69"/>
      <c r="BQ22" s="69"/>
      <c r="BR22" s="69"/>
      <c r="BS22" s="69"/>
      <c r="BT22" s="69"/>
      <c r="BU22" s="69"/>
      <c r="BV22" s="69"/>
      <c r="BW22" s="69"/>
      <c r="BX22" s="69"/>
      <c r="BY22" s="69"/>
      <c r="BZ22" s="69"/>
      <c r="CA22" s="69"/>
      <c r="CB22" s="69"/>
      <c r="CC22" s="69"/>
      <c r="CD22" s="69"/>
      <c r="CE22" s="69"/>
      <c r="CF22" s="69"/>
      <c r="CG22" s="69"/>
      <c r="CH22" s="69"/>
      <c r="CI22" s="69"/>
      <c r="CJ22" s="69"/>
      <c r="CK22" s="69"/>
      <c r="CL22" s="69"/>
      <c r="CM22" s="69"/>
    </row>
    <row r="23" spans="1:91">
      <c r="A23" s="288" t="str">
        <f t="shared" ref="A23:U23" ca="1" si="63">IF(COUNTIF($BE$3:$BE$22,"ERROR")&gt;0,"ERROR","")</f>
        <v/>
      </c>
      <c r="B23" s="288" t="str">
        <f t="shared" ca="1" si="63"/>
        <v/>
      </c>
      <c r="C23" s="288" t="str">
        <f t="shared" ca="1" si="63"/>
        <v/>
      </c>
      <c r="D23" s="288" t="str">
        <f t="shared" ca="1" si="63"/>
        <v/>
      </c>
      <c r="E23" s="288" t="str">
        <f t="shared" ca="1" si="63"/>
        <v/>
      </c>
      <c r="F23" s="288" t="str">
        <f t="shared" ca="1" si="63"/>
        <v/>
      </c>
      <c r="G23" s="288" t="str">
        <f t="shared" ca="1" si="63"/>
        <v/>
      </c>
      <c r="H23" s="288" t="str">
        <f t="shared" ca="1" si="63"/>
        <v/>
      </c>
      <c r="I23" s="288" t="str">
        <f t="shared" ca="1" si="63"/>
        <v/>
      </c>
      <c r="J23" s="288" t="str">
        <f t="shared" ca="1" si="63"/>
        <v/>
      </c>
      <c r="K23" s="288" t="str">
        <f t="shared" ca="1" si="63"/>
        <v/>
      </c>
      <c r="L23" s="288" t="str">
        <f t="shared" ca="1" si="63"/>
        <v/>
      </c>
      <c r="M23" s="288" t="str">
        <f t="shared" ca="1" si="63"/>
        <v/>
      </c>
      <c r="N23" s="288" t="str">
        <f t="shared" ca="1" si="63"/>
        <v/>
      </c>
      <c r="O23" s="288" t="str">
        <f t="shared" ca="1" si="63"/>
        <v/>
      </c>
      <c r="P23" s="288" t="str">
        <f t="shared" ca="1" si="63"/>
        <v/>
      </c>
      <c r="Q23" s="288" t="str">
        <f t="shared" ca="1" si="63"/>
        <v/>
      </c>
      <c r="R23" s="288" t="str">
        <f t="shared" ca="1" si="63"/>
        <v/>
      </c>
      <c r="S23" s="288" t="str">
        <f t="shared" ca="1" si="63"/>
        <v/>
      </c>
      <c r="T23" s="288" t="str">
        <f t="shared" ca="1" si="63"/>
        <v/>
      </c>
      <c r="U23" s="288" t="str">
        <f t="shared" ca="1" si="63"/>
        <v/>
      </c>
      <c r="V23" s="294">
        <f t="shared" ref="V23:AB23" si="64">MAX(V3:V22)-SMALL(V3:V22,21-COUNTA($B$3:$B$22))</f>
        <v>0</v>
      </c>
      <c r="W23" s="289">
        <f t="shared" si="64"/>
        <v>4.3520000000000003E-2</v>
      </c>
      <c r="X23" s="289">
        <f t="shared" si="64"/>
        <v>0</v>
      </c>
      <c r="Y23" s="289">
        <f t="shared" si="64"/>
        <v>1.536E-2</v>
      </c>
      <c r="Z23" s="289">
        <f t="shared" si="64"/>
        <v>0</v>
      </c>
      <c r="AA23" s="289">
        <f t="shared" si="64"/>
        <v>0.25600000000000001</v>
      </c>
      <c r="AB23" s="289">
        <f t="shared" si="64"/>
        <v>0</v>
      </c>
      <c r="AC23" s="289">
        <f>MAX(AC3:AC22)-MIN(AC3:AC22)</f>
        <v>0</v>
      </c>
      <c r="AD23" s="289">
        <f t="shared" ref="AD23:AJ23" si="65">MAX(AD3:AD22)-MIN(AD3:AD22)</f>
        <v>0</v>
      </c>
      <c r="AE23" s="289">
        <f t="shared" si="65"/>
        <v>0</v>
      </c>
      <c r="AF23" s="289">
        <f t="shared" si="65"/>
        <v>0</v>
      </c>
      <c r="AG23" s="289">
        <f t="shared" si="65"/>
        <v>0</v>
      </c>
      <c r="AH23" s="289">
        <f t="shared" si="65"/>
        <v>0</v>
      </c>
      <c r="AI23" s="289">
        <f t="shared" si="65"/>
        <v>0</v>
      </c>
      <c r="AJ23" s="289">
        <f t="shared" si="65"/>
        <v>0</v>
      </c>
      <c r="AK23" s="288" t="str">
        <f t="shared" ref="AK23:BD23" ca="1" si="66">IF(COUNTIF($BE$3:$BE$22,"ERROR")&gt;0,"ERROR","")</f>
        <v/>
      </c>
      <c r="AL23" s="288" t="str">
        <f t="shared" ca="1" si="66"/>
        <v/>
      </c>
      <c r="AM23" s="288" t="str">
        <f t="shared" ca="1" si="66"/>
        <v/>
      </c>
      <c r="AN23" s="288" t="str">
        <f t="shared" ca="1" si="66"/>
        <v/>
      </c>
      <c r="AO23" s="288" t="str">
        <f t="shared" ca="1" si="66"/>
        <v/>
      </c>
      <c r="AP23" s="288" t="str">
        <f t="shared" ca="1" si="66"/>
        <v/>
      </c>
      <c r="AQ23" s="288" t="str">
        <f t="shared" ca="1" si="66"/>
        <v/>
      </c>
      <c r="AR23" s="288" t="str">
        <f t="shared" ca="1" si="66"/>
        <v/>
      </c>
      <c r="AS23" s="288" t="str">
        <f t="shared" ca="1" si="66"/>
        <v/>
      </c>
      <c r="AT23" s="288" t="str">
        <f t="shared" ca="1" si="66"/>
        <v/>
      </c>
      <c r="AU23" s="288" t="str">
        <f t="shared" ca="1" si="66"/>
        <v/>
      </c>
      <c r="AV23" s="288" t="str">
        <f t="shared" ca="1" si="66"/>
        <v/>
      </c>
      <c r="AW23" s="288" t="str">
        <f t="shared" ca="1" si="66"/>
        <v/>
      </c>
      <c r="AX23" s="288" t="str">
        <f t="shared" ca="1" si="66"/>
        <v/>
      </c>
      <c r="AY23" s="288" t="str">
        <f t="shared" ca="1" si="66"/>
        <v/>
      </c>
      <c r="AZ23" s="288" t="str">
        <f t="shared" ca="1" si="66"/>
        <v/>
      </c>
      <c r="BA23" s="288" t="str">
        <f t="shared" ca="1" si="66"/>
        <v/>
      </c>
      <c r="BB23" s="288" t="str">
        <f t="shared" ca="1" si="66"/>
        <v/>
      </c>
      <c r="BC23" s="288" t="str">
        <f t="shared" ca="1" si="66"/>
        <v/>
      </c>
      <c r="BD23" s="288" t="str">
        <f t="shared" ca="1" si="66"/>
        <v/>
      </c>
    </row>
    <row r="24" spans="1:91">
      <c r="J24" s="301" t="s">
        <v>2520</v>
      </c>
      <c r="K24" s="302" t="s">
        <v>2521</v>
      </c>
      <c r="L24" s="303" t="s">
        <v>2522</v>
      </c>
      <c r="M24" s="302" t="s">
        <v>2523</v>
      </c>
      <c r="N24" s="303" t="s">
        <v>688</v>
      </c>
      <c r="O24" s="296" t="s">
        <v>2518</v>
      </c>
      <c r="P24" s="297" t="s">
        <v>2518</v>
      </c>
      <c r="Q24" s="296" t="s">
        <v>2519</v>
      </c>
      <c r="R24" s="298" t="s">
        <v>2519</v>
      </c>
      <c r="V24" s="134"/>
      <c r="W24" s="290"/>
      <c r="X24" s="290"/>
      <c r="Y24" s="290"/>
      <c r="Z24" s="290"/>
      <c r="AA24" s="290"/>
      <c r="AB24" s="290"/>
    </row>
    <row r="25" spans="1:91">
      <c r="J25" s="305"/>
      <c r="K25" s="306"/>
      <c r="L25" s="304"/>
      <c r="M25" s="304"/>
      <c r="N25" s="304"/>
      <c r="O25" s="304"/>
      <c r="P25" s="304"/>
      <c r="Q25" s="304"/>
      <c r="R25" s="304"/>
      <c r="U25" s="291"/>
      <c r="V25" s="134"/>
      <c r="W25" s="290"/>
      <c r="X25" s="290"/>
      <c r="Y25" s="290"/>
      <c r="Z25" s="290"/>
      <c r="AA25" s="290"/>
      <c r="AB25" s="290"/>
      <c r="AC25" s="290"/>
      <c r="AD25" s="290"/>
      <c r="AE25" s="290"/>
      <c r="AF25" s="290"/>
      <c r="AG25" s="290"/>
      <c r="AH25" s="290"/>
    </row>
    <row r="26" spans="1:91">
      <c r="J26" s="305"/>
      <c r="K26" s="306"/>
      <c r="L26" s="304"/>
      <c r="M26" s="304"/>
      <c r="N26" s="304"/>
      <c r="O26" s="304"/>
      <c r="P26" s="304"/>
      <c r="Q26" s="304"/>
      <c r="R26" s="304"/>
      <c r="U26" s="113"/>
      <c r="V26" s="134"/>
      <c r="W26" s="290"/>
      <c r="X26" s="290"/>
      <c r="Y26" s="290"/>
      <c r="Z26" s="290"/>
      <c r="AA26" s="290"/>
      <c r="AB26" s="290"/>
      <c r="AC26" s="290"/>
      <c r="AD26" s="290"/>
      <c r="AE26" s="290"/>
      <c r="AF26" s="290"/>
      <c r="AG26" s="290"/>
      <c r="AH26" s="290"/>
    </row>
    <row r="27" spans="1:91">
      <c r="J27" s="305"/>
      <c r="K27" s="306"/>
      <c r="L27" s="304"/>
      <c r="M27" s="304"/>
      <c r="N27" s="304"/>
      <c r="O27" s="304"/>
      <c r="P27" s="304"/>
      <c r="Q27" s="304"/>
      <c r="R27" s="304"/>
      <c r="U27" s="113"/>
      <c r="V27" s="295"/>
      <c r="W27" s="84"/>
      <c r="X27" s="84"/>
      <c r="Y27" s="290"/>
      <c r="Z27" s="290"/>
      <c r="AA27" s="290"/>
      <c r="AB27" s="290"/>
      <c r="AC27" s="290"/>
      <c r="AD27" s="290"/>
      <c r="AE27" s="290"/>
      <c r="AF27" s="290"/>
      <c r="AG27" s="290"/>
      <c r="AH27" s="290"/>
    </row>
    <row r="28" spans="1:91">
      <c r="J28" s="305"/>
      <c r="K28" s="306"/>
      <c r="L28" s="304"/>
      <c r="M28" s="304"/>
      <c r="N28" s="304"/>
      <c r="O28" s="304"/>
      <c r="P28" s="304"/>
      <c r="Q28" s="304"/>
      <c r="R28" s="304"/>
      <c r="U28" s="113"/>
      <c r="V28" s="295"/>
      <c r="W28" s="208"/>
      <c r="X28" s="290"/>
      <c r="Y28" s="208"/>
      <c r="Z28" s="84"/>
      <c r="AA28" s="84"/>
      <c r="AB28" s="84"/>
      <c r="AC28" s="84"/>
      <c r="AD28" s="84"/>
      <c r="AE28" s="84"/>
      <c r="AF28" s="84"/>
      <c r="AG28" s="84"/>
      <c r="AH28" s="84"/>
      <c r="AI28" s="84"/>
    </row>
    <row r="29" spans="1:91">
      <c r="J29" s="305"/>
      <c r="K29" s="306"/>
      <c r="L29" s="304"/>
      <c r="M29" s="304"/>
      <c r="N29" s="304"/>
      <c r="O29" s="304"/>
      <c r="P29" s="304"/>
      <c r="Q29" s="304"/>
      <c r="R29" s="304"/>
      <c r="U29" s="113"/>
      <c r="V29" s="295"/>
      <c r="W29" s="84"/>
      <c r="X29" s="84"/>
      <c r="Y29" s="84"/>
      <c r="Z29" s="84"/>
      <c r="AA29" s="84"/>
      <c r="AB29" s="84"/>
      <c r="AC29" s="84"/>
      <c r="AD29" s="84"/>
      <c r="AE29" s="84"/>
      <c r="AF29" s="84"/>
      <c r="AG29" s="290"/>
    </row>
    <row r="30" spans="1:91">
      <c r="J30" s="305"/>
      <c r="K30" s="306"/>
      <c r="L30" s="306"/>
      <c r="M30" s="304"/>
      <c r="N30" s="304"/>
      <c r="O30" s="304"/>
      <c r="P30" s="304"/>
      <c r="Q30" s="304"/>
      <c r="R30" s="304"/>
      <c r="U30" s="113"/>
      <c r="V30" s="295"/>
      <c r="W30" s="84"/>
      <c r="X30" s="84"/>
      <c r="Y30" s="290"/>
      <c r="Z30" s="290"/>
      <c r="AA30" s="290"/>
      <c r="AB30" s="290"/>
      <c r="AC30" s="290"/>
      <c r="AD30" s="290"/>
      <c r="AE30" s="290"/>
      <c r="AF30" s="290"/>
      <c r="AG30" s="290"/>
      <c r="AH30" s="290"/>
    </row>
    <row r="31" spans="1:91">
      <c r="J31" s="305"/>
      <c r="K31" s="306"/>
      <c r="L31" s="306"/>
      <c r="M31" s="304"/>
      <c r="N31" s="304"/>
      <c r="O31" s="304"/>
      <c r="P31" s="304"/>
      <c r="Q31" s="304"/>
      <c r="R31" s="304"/>
      <c r="U31" s="291"/>
      <c r="V31" s="295"/>
      <c r="W31" s="84"/>
      <c r="X31" s="84"/>
      <c r="Y31" s="290"/>
      <c r="Z31" s="290"/>
      <c r="AA31" s="290"/>
      <c r="AB31" s="290"/>
      <c r="AC31" s="290"/>
      <c r="AD31" s="290"/>
      <c r="AE31" s="290"/>
      <c r="AF31" s="290"/>
      <c r="AG31" s="290"/>
      <c r="AH31" s="290"/>
    </row>
    <row r="32" spans="1:91">
      <c r="J32" s="305"/>
      <c r="K32" s="306"/>
      <c r="L32" s="306"/>
      <c r="M32" s="304"/>
      <c r="N32" s="304"/>
      <c r="O32" s="304"/>
      <c r="P32" s="304"/>
      <c r="Q32" s="304"/>
      <c r="R32" s="304"/>
      <c r="U32" s="113"/>
      <c r="V32" s="295"/>
      <c r="W32" s="84"/>
      <c r="X32" s="84"/>
      <c r="Y32" s="84"/>
      <c r="Z32" s="84"/>
      <c r="AA32" s="84"/>
      <c r="AB32" s="84"/>
      <c r="AC32" s="290"/>
      <c r="AD32" s="290"/>
      <c r="AE32" s="290"/>
      <c r="AF32" s="290"/>
      <c r="AG32" s="290"/>
      <c r="AH32" s="290"/>
    </row>
    <row r="33" spans="10:35">
      <c r="J33" s="305"/>
      <c r="K33" s="306"/>
      <c r="L33" s="306"/>
      <c r="M33" s="304"/>
      <c r="N33" s="304"/>
      <c r="O33" s="304"/>
      <c r="P33" s="304"/>
      <c r="Q33" s="304"/>
      <c r="R33" s="304"/>
      <c r="U33" s="113"/>
      <c r="V33" s="295"/>
      <c r="W33" s="84"/>
      <c r="X33" s="84"/>
      <c r="Y33" s="290"/>
      <c r="Z33" s="290"/>
      <c r="AA33" s="290"/>
      <c r="AB33" s="290"/>
      <c r="AC33" s="290"/>
      <c r="AD33" s="290"/>
      <c r="AE33" s="290"/>
      <c r="AF33" s="290"/>
      <c r="AG33" s="290"/>
      <c r="AH33" s="290"/>
    </row>
    <row r="34" spans="10:35">
      <c r="J34" s="305"/>
      <c r="K34" s="306"/>
      <c r="L34" s="306"/>
      <c r="M34" s="304"/>
      <c r="N34" s="304"/>
      <c r="O34" s="304"/>
      <c r="P34" s="304"/>
      <c r="Q34" s="304"/>
      <c r="R34" s="304"/>
      <c r="U34" s="113"/>
      <c r="V34" s="295"/>
      <c r="W34" s="84"/>
      <c r="X34" s="84"/>
      <c r="Y34" s="290"/>
      <c r="Z34" s="86"/>
      <c r="AA34" s="86"/>
      <c r="AB34" s="86"/>
      <c r="AC34" s="290"/>
      <c r="AD34" s="290"/>
      <c r="AE34" s="290"/>
      <c r="AF34" s="290"/>
      <c r="AG34" s="290"/>
      <c r="AH34" s="290"/>
    </row>
    <row r="35" spans="10:35">
      <c r="J35" s="305"/>
      <c r="K35" s="306"/>
      <c r="L35" s="306"/>
      <c r="M35" s="304"/>
      <c r="N35" s="304"/>
      <c r="O35" s="304"/>
      <c r="P35" s="304"/>
      <c r="Q35" s="304"/>
      <c r="R35" s="304"/>
      <c r="U35" s="113"/>
      <c r="V35" s="295"/>
      <c r="W35" s="84"/>
      <c r="X35" s="84"/>
      <c r="Y35" s="290"/>
      <c r="Z35" s="86"/>
      <c r="AA35" s="86"/>
      <c r="AB35" s="86"/>
      <c r="AC35" s="290"/>
      <c r="AD35" s="290"/>
      <c r="AE35" s="290"/>
      <c r="AF35" s="290"/>
      <c r="AG35" s="290"/>
      <c r="AH35" s="290"/>
    </row>
    <row r="36" spans="10:35">
      <c r="J36" s="305"/>
      <c r="K36" s="306"/>
      <c r="L36" s="306"/>
      <c r="M36" s="304"/>
      <c r="N36" s="304"/>
      <c r="O36" s="304"/>
      <c r="P36" s="304"/>
      <c r="Q36" s="304"/>
      <c r="R36" s="304"/>
      <c r="U36" s="113"/>
      <c r="V36" s="295"/>
      <c r="W36" s="84"/>
      <c r="X36" s="84"/>
      <c r="Y36" s="290"/>
      <c r="Z36" s="86"/>
      <c r="AA36" s="86"/>
      <c r="AB36" s="86"/>
      <c r="AC36" s="290"/>
      <c r="AD36" s="290"/>
      <c r="AE36" s="290"/>
      <c r="AF36" s="290"/>
      <c r="AG36" s="290"/>
      <c r="AH36" s="290"/>
    </row>
    <row r="37" spans="10:35">
      <c r="J37" s="305"/>
      <c r="K37" s="306"/>
      <c r="L37" s="306"/>
      <c r="M37" s="304"/>
      <c r="N37" s="304"/>
      <c r="O37" s="304"/>
      <c r="P37" s="304"/>
      <c r="Q37" s="304"/>
      <c r="R37" s="304"/>
      <c r="U37" s="113"/>
      <c r="V37" s="295"/>
      <c r="W37" s="84"/>
      <c r="X37" s="84"/>
      <c r="Y37" s="290"/>
      <c r="Z37" s="86"/>
      <c r="AA37" s="86"/>
      <c r="AB37" s="86"/>
      <c r="AC37" s="84"/>
      <c r="AD37" s="290"/>
      <c r="AE37" s="290"/>
      <c r="AF37" s="290"/>
      <c r="AG37" s="290"/>
      <c r="AH37" s="290"/>
      <c r="AI37" s="290"/>
    </row>
    <row r="38" spans="10:35">
      <c r="J38" s="305"/>
      <c r="K38" s="306"/>
      <c r="L38" s="306"/>
      <c r="M38" s="304"/>
      <c r="N38" s="304"/>
      <c r="O38" s="304"/>
      <c r="P38" s="304"/>
      <c r="Q38" s="304"/>
      <c r="R38" s="304"/>
      <c r="U38" s="113"/>
      <c r="V38" s="295"/>
      <c r="W38" s="84"/>
      <c r="X38" s="290"/>
      <c r="Y38" s="290"/>
      <c r="Z38" s="86"/>
      <c r="AA38" s="86"/>
      <c r="AB38" s="86"/>
    </row>
    <row r="39" spans="10:35">
      <c r="J39" s="305"/>
      <c r="K39" s="306"/>
      <c r="L39" s="306"/>
      <c r="M39" s="304"/>
      <c r="N39" s="304"/>
      <c r="O39" s="304"/>
      <c r="P39" s="304"/>
      <c r="Q39" s="304"/>
      <c r="R39" s="304"/>
      <c r="U39" s="113"/>
      <c r="V39" s="295"/>
      <c r="W39" s="84"/>
    </row>
    <row r="40" spans="10:35">
      <c r="J40" s="305"/>
      <c r="K40" s="306"/>
      <c r="L40" s="306"/>
      <c r="M40" s="304"/>
      <c r="N40" s="304"/>
      <c r="O40" s="304"/>
      <c r="P40" s="304"/>
      <c r="Q40" s="304"/>
      <c r="R40" s="304"/>
      <c r="U40" s="113"/>
      <c r="V40" s="295"/>
      <c r="W40" s="84"/>
    </row>
    <row r="41" spans="10:35">
      <c r="J41" s="305"/>
      <c r="K41" s="306"/>
      <c r="L41" s="306"/>
      <c r="M41" s="304"/>
      <c r="N41" s="304"/>
      <c r="O41" s="304"/>
      <c r="P41" s="304"/>
      <c r="Q41" s="304"/>
      <c r="R41" s="304"/>
      <c r="U41" s="113"/>
      <c r="V41" s="295"/>
      <c r="W41" s="84"/>
    </row>
    <row r="42" spans="10:35">
      <c r="J42" s="305"/>
      <c r="K42" s="306"/>
      <c r="L42" s="306"/>
      <c r="M42" s="304"/>
      <c r="N42" s="304"/>
      <c r="O42" s="304"/>
      <c r="P42" s="304"/>
      <c r="Q42" s="304"/>
      <c r="R42" s="304"/>
      <c r="U42" s="113"/>
      <c r="V42" s="295"/>
      <c r="W42" s="84"/>
    </row>
    <row r="43" spans="10:35">
      <c r="J43" s="305"/>
      <c r="K43" s="306"/>
      <c r="L43" s="306"/>
      <c r="M43" s="304"/>
      <c r="N43" s="304"/>
      <c r="O43" s="304"/>
      <c r="P43" s="304"/>
      <c r="Q43" s="304"/>
      <c r="R43" s="304"/>
      <c r="V43" s="134"/>
      <c r="W43" s="290"/>
    </row>
    <row r="44" spans="10:35">
      <c r="J44" s="305"/>
      <c r="K44" s="306"/>
      <c r="L44" s="306"/>
      <c r="M44" s="304"/>
      <c r="N44" s="304"/>
      <c r="O44" s="304"/>
      <c r="P44" s="304"/>
      <c r="Q44" s="304"/>
      <c r="R44" s="304"/>
      <c r="V44" s="134"/>
      <c r="W44" s="290"/>
      <c r="X44" s="290"/>
      <c r="Y44" s="84"/>
      <c r="Z44" s="290"/>
      <c r="AA44" s="290"/>
      <c r="AB44" s="290"/>
      <c r="AC44" s="290"/>
      <c r="AD44" s="290"/>
      <c r="AE44" s="290"/>
    </row>
    <row r="45" spans="10:35">
      <c r="J45" s="305"/>
      <c r="K45" s="306"/>
      <c r="L45" s="306"/>
      <c r="M45" s="304"/>
      <c r="N45" s="304"/>
      <c r="O45" s="304"/>
      <c r="P45" s="304"/>
      <c r="Q45" s="304"/>
      <c r="R45" s="304"/>
      <c r="V45" s="134"/>
      <c r="W45" s="290"/>
      <c r="X45" s="290"/>
      <c r="Y45" s="290"/>
      <c r="Z45" s="86"/>
      <c r="AA45" s="86"/>
      <c r="AB45" s="86"/>
    </row>
    <row r="46" spans="10:35">
      <c r="J46" s="305"/>
      <c r="K46" s="306"/>
      <c r="L46" s="306"/>
      <c r="M46" s="304"/>
      <c r="N46" s="304"/>
      <c r="O46" s="304"/>
      <c r="P46" s="304"/>
      <c r="Q46" s="304"/>
      <c r="R46" s="304"/>
      <c r="V46" s="134"/>
      <c r="W46" s="290"/>
      <c r="X46" s="290"/>
      <c r="Y46" s="290"/>
      <c r="Z46" s="86"/>
      <c r="AA46" s="86"/>
      <c r="AB46" s="86"/>
    </row>
    <row r="47" spans="10:35">
      <c r="V47" s="134"/>
      <c r="W47" s="290"/>
      <c r="X47" s="290"/>
      <c r="Y47" s="290"/>
      <c r="Z47" s="86"/>
      <c r="AA47" s="86"/>
      <c r="AB47" s="86"/>
    </row>
    <row r="48" spans="10:35">
      <c r="V48" s="134"/>
      <c r="W48" s="290"/>
      <c r="X48" s="290"/>
      <c r="Y48" s="290"/>
      <c r="Z48" s="86"/>
      <c r="AA48" s="86"/>
      <c r="AB48" s="86"/>
    </row>
    <row r="49" spans="22:28">
      <c r="V49" s="134"/>
      <c r="W49" s="290"/>
      <c r="X49" s="290"/>
      <c r="Y49" s="290"/>
      <c r="Z49" s="86"/>
      <c r="AA49" s="86"/>
      <c r="AB49" s="86"/>
    </row>
    <row r="50" spans="22:28">
      <c r="V50" s="134"/>
      <c r="W50" s="290"/>
      <c r="X50" s="290"/>
      <c r="Y50" s="290"/>
      <c r="Z50" s="290"/>
      <c r="AA50" s="290"/>
      <c r="AB50" s="290"/>
    </row>
  </sheetData>
  <mergeCells count="6">
    <mergeCell ref="BC1:BC2"/>
    <mergeCell ref="A1:G1"/>
    <mergeCell ref="H1:I1"/>
    <mergeCell ref="J1:U1"/>
    <mergeCell ref="V1:AJ1"/>
    <mergeCell ref="AL1:AZ1"/>
  </mergeCells>
  <conditionalFormatting sqref="BC3:BC22">
    <cfRule type="colorScale" priority="16">
      <colorScale>
        <cfvo type="min"/>
        <cfvo type="percentile" val="50"/>
        <cfvo type="formula" val="COUNTA($B$3:$B$22)"/>
        <color rgb="FF63BE7B"/>
        <color rgb="FFFCFCFF"/>
        <color rgb="FFF8696B"/>
      </colorScale>
    </cfRule>
    <cfRule type="colorScale" priority="167">
      <colorScale>
        <cfvo type="formula" val="COUNTA($B$3:$B$22)"/>
        <cfvo type="max"/>
        <color rgb="FFFF0000"/>
        <color rgb="FF00B050"/>
      </colorScale>
    </cfRule>
  </conditionalFormatting>
  <conditionalFormatting sqref="L3:L22 V3:AB22">
    <cfRule type="cellIs" dxfId="95" priority="61" operator="equal">
      <formula>0</formula>
    </cfRule>
  </conditionalFormatting>
  <conditionalFormatting sqref="AL3:AZ22">
    <cfRule type="expression" dxfId="94" priority="17">
      <formula>AL3=MIN(AL$3:AL$22)</formula>
    </cfRule>
    <cfRule type="expression" dxfId="93" priority="60">
      <formula>V3=0</formula>
    </cfRule>
  </conditionalFormatting>
  <conditionalFormatting sqref="H3:H22">
    <cfRule type="cellIs" dxfId="92" priority="59" operator="equal">
      <formula>"NA"</formula>
    </cfRule>
  </conditionalFormatting>
  <conditionalFormatting sqref="E3:G22">
    <cfRule type="cellIs" dxfId="91" priority="56" operator="equal">
      <formula>1</formula>
    </cfRule>
  </conditionalFormatting>
  <conditionalFormatting sqref="BE3">
    <cfRule type="cellIs" dxfId="90" priority="54" operator="equal">
      <formula>"ERROR"</formula>
    </cfRule>
    <cfRule type="cellIs" dxfId="89" priority="55" operator="equal">
      <formula>"GOOD"</formula>
    </cfRule>
  </conditionalFormatting>
  <conditionalFormatting sqref="BE7">
    <cfRule type="cellIs" dxfId="88" priority="52" operator="equal">
      <formula>"ERROR"</formula>
    </cfRule>
    <cfRule type="cellIs" dxfId="87" priority="53" operator="equal">
      <formula>"GOOD"</formula>
    </cfRule>
  </conditionalFormatting>
  <conditionalFormatting sqref="BE4">
    <cfRule type="cellIs" dxfId="86" priority="50" operator="equal">
      <formula>"ERROR"</formula>
    </cfRule>
    <cfRule type="cellIs" dxfId="85" priority="51" operator="equal">
      <formula>"GOOD"</formula>
    </cfRule>
  </conditionalFormatting>
  <conditionalFormatting sqref="BE5">
    <cfRule type="cellIs" dxfId="84" priority="48" operator="equal">
      <formula>"ERROR"</formula>
    </cfRule>
    <cfRule type="cellIs" dxfId="83" priority="49" operator="equal">
      <formula>"GOOD"</formula>
    </cfRule>
  </conditionalFormatting>
  <conditionalFormatting sqref="BE6">
    <cfRule type="cellIs" dxfId="82" priority="46" operator="equal">
      <formula>"ERROR"</formula>
    </cfRule>
    <cfRule type="cellIs" dxfId="81" priority="47" operator="equal">
      <formula>"GOOD"</formula>
    </cfRule>
  </conditionalFormatting>
  <conditionalFormatting sqref="BE8">
    <cfRule type="cellIs" dxfId="80" priority="44" operator="equal">
      <formula>"ERROR"</formula>
    </cfRule>
    <cfRule type="cellIs" dxfId="79" priority="45" operator="equal">
      <formula>"GOOD"</formula>
    </cfRule>
  </conditionalFormatting>
  <conditionalFormatting sqref="BE9:BE22">
    <cfRule type="cellIs" dxfId="78" priority="42" operator="equal">
      <formula>"ERROR"</formula>
    </cfRule>
    <cfRule type="cellIs" dxfId="77" priority="43" operator="equal">
      <formula>"GOOD"</formula>
    </cfRule>
  </conditionalFormatting>
  <conditionalFormatting sqref="AC9">
    <cfRule type="cellIs" dxfId="76" priority="40" operator="equal">
      <formula>0</formula>
    </cfRule>
  </conditionalFormatting>
  <conditionalFormatting sqref="AE3">
    <cfRule type="cellIs" dxfId="75" priority="38" operator="equal">
      <formula>0</formula>
    </cfRule>
  </conditionalFormatting>
  <conditionalFormatting sqref="AG11">
    <cfRule type="cellIs" dxfId="74" priority="37" operator="equal">
      <formula>0</formula>
    </cfRule>
  </conditionalFormatting>
  <conditionalFormatting sqref="AH11">
    <cfRule type="cellIs" dxfId="73" priority="36" operator="equal">
      <formula>0</formula>
    </cfRule>
  </conditionalFormatting>
  <conditionalFormatting sqref="AI6">
    <cfRule type="cellIs" dxfId="72" priority="35" operator="equal">
      <formula>0</formula>
    </cfRule>
  </conditionalFormatting>
  <conditionalFormatting sqref="AE13">
    <cfRule type="cellIs" dxfId="71" priority="28" operator="equal">
      <formula>0</formula>
    </cfRule>
  </conditionalFormatting>
  <conditionalFormatting sqref="AG7">
    <cfRule type="cellIs" dxfId="70" priority="27" operator="equal">
      <formula>0</formula>
    </cfRule>
  </conditionalFormatting>
  <conditionalFormatting sqref="AH13">
    <cfRule type="cellIs" dxfId="69" priority="26" operator="equal">
      <formula>0</formula>
    </cfRule>
  </conditionalFormatting>
  <conditionalFormatting sqref="AI10">
    <cfRule type="cellIs" dxfId="68" priority="25" operator="equal">
      <formula>0</formula>
    </cfRule>
  </conditionalFormatting>
  <conditionalFormatting sqref="AJ13">
    <cfRule type="cellIs" dxfId="67" priority="23" operator="equal">
      <formula>0</formula>
    </cfRule>
  </conditionalFormatting>
  <conditionalFormatting sqref="V47:X48">
    <cfRule type="colorScale" priority="22">
      <colorScale>
        <cfvo type="min"/>
        <cfvo type="percentile" val="50"/>
        <cfvo type="max"/>
        <color rgb="FFF8696B"/>
        <color rgb="FFFFEB84"/>
        <color rgb="FF63BE7B"/>
      </colorScale>
    </cfRule>
  </conditionalFormatting>
  <conditionalFormatting sqref="AE3:AI7 Z3:Z12 V8:AJ22 V3:W14 X4:X14 Y3:Y15 V3:AB11">
    <cfRule type="expression" dxfId="66" priority="20">
      <formula>AND(V3=MAX(V$3:V$22),V3&gt;0)</formula>
    </cfRule>
  </conditionalFormatting>
  <conditionalFormatting sqref="V3:AB22">
    <cfRule type="expression" dxfId="65" priority="19">
      <formula>AND(V3=SMALL(V$3:V$22,21-COUNTA($B$3:$B$22)),V3&gt;0)</formula>
    </cfRule>
  </conditionalFormatting>
  <conditionalFormatting sqref="AC8:AJ22 AE3:AI7">
    <cfRule type="expression" dxfId="64" priority="18">
      <formula>AND(AC3=MIN(AC$3:AC$22),AC3&gt;0)</formula>
    </cfRule>
  </conditionalFormatting>
  <conditionalFormatting sqref="AD3">
    <cfRule type="cellIs" dxfId="63" priority="12" operator="equal">
      <formula>0</formula>
    </cfRule>
  </conditionalFormatting>
  <conditionalFormatting sqref="AC5">
    <cfRule type="cellIs" dxfId="62" priority="11" operator="equal">
      <formula>0</formula>
    </cfRule>
  </conditionalFormatting>
  <conditionalFormatting sqref="AD7">
    <cfRule type="cellIs" dxfId="61" priority="10" operator="equal">
      <formula>0</formula>
    </cfRule>
  </conditionalFormatting>
  <conditionalFormatting sqref="AC3:AD7">
    <cfRule type="expression" dxfId="60" priority="9">
      <formula>AND(AC3=MAX(AC$3:AC$22),AC3&gt;0)</formula>
    </cfRule>
  </conditionalFormatting>
  <conditionalFormatting sqref="AC3:AD7">
    <cfRule type="expression" dxfId="59" priority="8">
      <formula>AND(AC3=MIN(AC$3:AC$22),AC3&gt;0)</formula>
    </cfRule>
  </conditionalFormatting>
  <conditionalFormatting sqref="AJ6">
    <cfRule type="cellIs" dxfId="58" priority="7" operator="equal">
      <formula>0</formula>
    </cfRule>
  </conditionalFormatting>
  <conditionalFormatting sqref="AJ3:AJ7">
    <cfRule type="expression" dxfId="57" priority="6">
      <formula>AND(AJ3=MAX(AJ$3:AJ$22),AJ3&gt;0)</formula>
    </cfRule>
  </conditionalFormatting>
  <conditionalFormatting sqref="AJ3:AJ7">
    <cfRule type="expression" dxfId="56" priority="5">
      <formula>AND(AJ3=MIN(AJ$3:AJ$22),AJ3&gt;0)</formula>
    </cfRule>
  </conditionalFormatting>
  <conditionalFormatting sqref="AH37:AI37">
    <cfRule type="colorScale" priority="4">
      <colorScale>
        <cfvo type="min"/>
        <cfvo type="percentile" val="50"/>
        <cfvo type="max"/>
        <color rgb="FFF8696B"/>
        <color rgb="FFFFEB84"/>
        <color rgb="FF63BE7B"/>
      </colorScale>
    </cfRule>
  </conditionalFormatting>
  <conditionalFormatting sqref="J3:K22">
    <cfRule type="cellIs" dxfId="55" priority="3" operator="equal">
      <formula>0</formula>
    </cfRule>
  </conditionalFormatting>
  <conditionalFormatting sqref="R3:R22">
    <cfRule type="cellIs" dxfId="54" priority="2" operator="equal">
      <formula>0</formula>
    </cfRule>
  </conditionalFormatting>
  <conditionalFormatting sqref="O3:Q22">
    <cfRule type="cellIs" dxfId="53" priority="1" operator="equal">
      <formula>0</formula>
    </cfRule>
  </conditionalFormatting>
  <conditionalFormatting sqref="Z45:AB49 Z34:AB38">
    <cfRule type="colorScale" priority="168">
      <colorScale>
        <cfvo type="min"/>
        <cfvo type="percentile" val="50"/>
        <cfvo type="max"/>
        <color rgb="FFF8696B"/>
        <color rgb="FFFCFCFF"/>
        <color rgb="FF63BE7B"/>
      </colorScale>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H178"/>
  <sheetViews>
    <sheetView zoomScale="85" zoomScaleNormal="85" workbookViewId="0">
      <pane ySplit="1" topLeftCell="A2" activePane="bottomLeft" state="frozen"/>
      <selection pane="bottomLeft" activeCell="B55" sqref="B55"/>
    </sheetView>
  </sheetViews>
  <sheetFormatPr defaultColWidth="8.7109375" defaultRowHeight="15"/>
  <cols>
    <col min="1" max="1" width="4.42578125" style="69" customWidth="1" collapsed="1"/>
    <col min="2" max="2" width="16.85546875" style="69" customWidth="1" collapsed="1"/>
    <col min="3" max="22" width="8.7109375" style="69" collapsed="1"/>
    <col min="23" max="23" width="8.7109375" style="145" collapsed="1"/>
    <col min="24" max="16384" width="8.7109375" style="69" collapsed="1"/>
  </cols>
  <sheetData>
    <row r="1" spans="1:31">
      <c r="B1" s="69" t="s">
        <v>23</v>
      </c>
      <c r="C1" s="69" t="str">
        <f ca="1">IFERROR(INDEX('TESTING v1'!$C1:$V1,MATCH(C$25,$C$9:$V$9,0)),0)</f>
        <v>CPhI</v>
      </c>
      <c r="D1" s="69">
        <f ca="1">IFERROR(INDEX('TESTING v1'!$C1:$V1,MATCH(D$25,$C$9:$V$9,0)),0)</f>
        <v>0</v>
      </c>
      <c r="E1" s="69">
        <f ca="1">IFERROR(INDEX('TESTING v1'!$C1:$V1,MATCH(E$25,$C$9:$V$9,0)),0)</f>
        <v>0</v>
      </c>
      <c r="F1" s="69">
        <f ca="1">IFERROR(INDEX('TESTING v1'!$C1:$V1,MATCH(F$25,$C$9:$V$9,0)),0)</f>
        <v>0</v>
      </c>
      <c r="G1" s="69">
        <f ca="1">IFERROR(INDEX('TESTING v1'!$C1:$V1,MATCH(G$25,$C$9:$V$9,0)),0)</f>
        <v>0</v>
      </c>
      <c r="H1" s="69">
        <f ca="1">IFERROR(INDEX('TESTING v1'!$C1:$V1,MATCH(H$25,$C$9:$V$9,0)),0)</f>
        <v>0</v>
      </c>
      <c r="I1" s="69">
        <f ca="1">IFERROR(INDEX('TESTING v1'!$C1:$V1,MATCH(I$25,$C$9:$V$9,0)),0)</f>
        <v>0</v>
      </c>
      <c r="J1" s="69">
        <f ca="1">IFERROR(INDEX('TESTING v1'!$C1:$V1,MATCH(J$25,$C$9:$V$9,0)),0)</f>
        <v>0</v>
      </c>
      <c r="K1" s="69">
        <f ca="1">IFERROR(INDEX('TESTING v1'!$C1:$V1,MATCH(K$25,$C$9:$V$9,0)),0)</f>
        <v>0</v>
      </c>
      <c r="L1" s="69">
        <f ca="1">IFERROR(INDEX('TESTING v1'!$C1:$V1,MATCH(L$25,$C$9:$V$9,0)),0)</f>
        <v>0</v>
      </c>
      <c r="M1" s="69" t="str">
        <f ca="1">IFERROR(INDEX('TESTING v1'!$C1:$V1,MATCH(M$25,$C$9:$V$9,0)),0)</f>
        <v>Fi Global</v>
      </c>
      <c r="N1" s="69">
        <f ca="1">IFERROR(INDEX('TESTING v1'!$C1:$V1,MATCH(N$25,$C$9:$V$9,0)),0)</f>
        <v>0</v>
      </c>
      <c r="O1" s="69">
        <f ca="1">IFERROR(INDEX('TESTING v1'!$C1:$V1,MATCH(O$25,$C$9:$V$9,0)),0)</f>
        <v>0</v>
      </c>
      <c r="P1" s="69">
        <f ca="1">IFERROR(INDEX('TESTING v1'!$C1:$V1,MATCH(P$25,$C$9:$V$9,0)),0)</f>
        <v>0</v>
      </c>
      <c r="Q1" s="69">
        <f ca="1">IFERROR(INDEX('TESTING v1'!$C1:$V1,MATCH(Q$25,$C$9:$V$9,0)),0)</f>
        <v>0</v>
      </c>
      <c r="R1" s="69">
        <f ca="1">IFERROR(INDEX('TESTING v1'!$C1:$V1,MATCH(R$25,$C$9:$V$9,0)),0)</f>
        <v>0</v>
      </c>
      <c r="S1" s="69">
        <f ca="1">IFERROR(INDEX('TESTING v1'!$C1:$V1,MATCH(S$25,$C$9:$V$9,0)),0)</f>
        <v>0</v>
      </c>
      <c r="T1" s="69">
        <f ca="1">IFERROR(INDEX('TESTING v1'!$C1:$V1,MATCH(T$25,$C$9:$V$9,0)),0)</f>
        <v>0</v>
      </c>
      <c r="U1" s="69">
        <f ca="1">IFERROR(INDEX('TESTING v1'!$C1:$V1,MATCH(U$25,$C$9:$V$9,0)),0)</f>
        <v>0</v>
      </c>
      <c r="V1" s="69">
        <f ca="1">IFERROR(INDEX('TESTING v1'!$C1:$V1,MATCH(V$25,$C$9:$V$9,0)),0)</f>
        <v>0</v>
      </c>
      <c r="W1" s="98" t="s">
        <v>340</v>
      </c>
      <c r="X1" s="23" t="s">
        <v>341</v>
      </c>
      <c r="Y1" s="69" t="s">
        <v>342</v>
      </c>
      <c r="Z1" s="69" t="s">
        <v>343</v>
      </c>
      <c r="AA1" s="69" t="s">
        <v>340</v>
      </c>
    </row>
    <row r="2" spans="1:31">
      <c r="A2" s="9"/>
      <c r="B2" s="13" t="str">
        <f>IF('TESTING v1'!B2="McKinsey", "Initial Consideration", "Awareness Creation")</f>
        <v>Initial Consideration</v>
      </c>
      <c r="C2" s="99">
        <f ca="1">IFERROR(INDEX('TESTING v1'!$C2:$V2,MATCH(C$25,$C$9:$V$9,0)),0)</f>
        <v>0</v>
      </c>
      <c r="D2" s="99">
        <f ca="1">IFERROR(INDEX('TESTING v1'!$C2:$V2,MATCH(D$25,$C$9:$V$9,0)),0)</f>
        <v>0</v>
      </c>
      <c r="E2" s="99">
        <f ca="1">IFERROR(INDEX('TESTING v1'!$C2:$V2,MATCH(E$25,$C$9:$V$9,0)),0)</f>
        <v>0</v>
      </c>
      <c r="F2" s="99">
        <f ca="1">IFERROR(INDEX('TESTING v1'!$C2:$V2,MATCH(F$25,$C$9:$V$9,0)),0)</f>
        <v>0</v>
      </c>
      <c r="G2" s="99">
        <f ca="1">IFERROR(INDEX('TESTING v1'!$C2:$V2,MATCH(G$25,$C$9:$V$9,0)),0)</f>
        <v>0</v>
      </c>
      <c r="H2" s="99">
        <f ca="1">IFERROR(INDEX('TESTING v1'!$C2:$V2,MATCH(H$25,$C$9:$V$9,0)),0)</f>
        <v>0</v>
      </c>
      <c r="I2" s="99">
        <f ca="1">IFERROR(INDEX('TESTING v1'!$C2:$V2,MATCH(I$25,$C$9:$V$9,0)),0)</f>
        <v>0</v>
      </c>
      <c r="J2" s="99">
        <f ca="1">IFERROR(INDEX('TESTING v1'!$C2:$V2,MATCH(J$25,$C$9:$V$9,0)),0)</f>
        <v>0</v>
      </c>
      <c r="K2" s="99">
        <f ca="1">IFERROR(INDEX('TESTING v1'!$C2:$V2,MATCH(K$25,$C$9:$V$9,0)),0)</f>
        <v>0</v>
      </c>
      <c r="L2" s="99">
        <f ca="1">IFERROR(INDEX('TESTING v1'!$C2:$V2,MATCH(L$25,$C$9:$V$9,0)),0)</f>
        <v>0</v>
      </c>
      <c r="M2" s="99">
        <f ca="1">IFERROR(INDEX('TESTING v1'!$C2:$V2,MATCH(M$25,$C$9:$V$9,0)),0)</f>
        <v>0</v>
      </c>
      <c r="N2" s="99">
        <f ca="1">IFERROR(INDEX('TESTING v1'!$C2:$V2,MATCH(N$25,$C$9:$V$9,0)),0)</f>
        <v>0</v>
      </c>
      <c r="O2" s="99">
        <f ca="1">IFERROR(INDEX('TESTING v1'!$C2:$V2,MATCH(O$25,$C$9:$V$9,0)),0)</f>
        <v>0</v>
      </c>
      <c r="P2" s="99">
        <f ca="1">IFERROR(INDEX('TESTING v1'!$C2:$V2,MATCH(P$25,$C$9:$V$9,0)),0)</f>
        <v>0</v>
      </c>
      <c r="Q2" s="99">
        <f ca="1">IFERROR(INDEX('TESTING v1'!$C2:$V2,MATCH(Q$25,$C$9:$V$9,0)),0)</f>
        <v>0</v>
      </c>
      <c r="R2" s="99">
        <f ca="1">IFERROR(INDEX('TESTING v1'!$C2:$V2,MATCH(R$25,$C$9:$V$9,0)),0)</f>
        <v>0</v>
      </c>
      <c r="S2" s="99">
        <f ca="1">IFERROR(INDEX('TESTING v1'!$C2:$V2,MATCH(S$25,$C$9:$V$9,0)),0)</f>
        <v>0</v>
      </c>
      <c r="T2" s="99">
        <f ca="1">IFERROR(INDEX('TESTING v1'!$C2:$V2,MATCH(T$25,$C$9:$V$9,0)),0)</f>
        <v>0</v>
      </c>
      <c r="U2" s="99">
        <f ca="1">IFERROR(INDEX('TESTING v1'!$C2:$V2,MATCH(U$25,$C$9:$V$9,0)),0)</f>
        <v>0</v>
      </c>
      <c r="V2" s="99">
        <f ca="1">IFERROR(INDEX('TESTING v1'!$C2:$V2,MATCH(V$25,$C$9:$V$9,0)),0)</f>
        <v>0</v>
      </c>
      <c r="W2" s="100">
        <f ca="1">AA2</f>
        <v>0</v>
      </c>
      <c r="X2" s="21">
        <f ca="1">MAX(COUNTIF(C2:V2,"&gt;0")-1,0)</f>
        <v>0</v>
      </c>
      <c r="Y2" s="10">
        <f ca="1">SMALL(C2:V2,(20-X2))</f>
        <v>0</v>
      </c>
      <c r="Z2" s="10">
        <f ca="1">MAX(C2:V2)</f>
        <v>0</v>
      </c>
      <c r="AA2" s="10">
        <f ca="1">Z2-Y2</f>
        <v>0</v>
      </c>
      <c r="AC2" s="327" t="s">
        <v>672</v>
      </c>
      <c r="AD2" s="327"/>
    </row>
    <row r="3" spans="1:31">
      <c r="A3" s="9"/>
      <c r="B3" s="13" t="str">
        <f>IF('TESTING v1'!B2="McKinsey", "Active Evaluation", "Demand Generation")</f>
        <v>Active Evaluation</v>
      </c>
      <c r="C3" s="99">
        <f ca="1">IFERROR(INDEX('TESTING v1'!$C3:$V3,MATCH(C$25,$C$9:$V$9,0)),0)</f>
        <v>4.3520000000000003E-2</v>
      </c>
      <c r="D3" s="99">
        <f ca="1">IFERROR(INDEX('TESTING v1'!$C3:$V3,MATCH(D$25,$C$9:$V$9,0)),0)</f>
        <v>0</v>
      </c>
      <c r="E3" s="99">
        <f ca="1">IFERROR(INDEX('TESTING v1'!$C3:$V3,MATCH(E$25,$C$9:$V$9,0)),0)</f>
        <v>0</v>
      </c>
      <c r="F3" s="99">
        <f ca="1">IFERROR(INDEX('TESTING v1'!$C3:$V3,MATCH(F$25,$C$9:$V$9,0)),0)</f>
        <v>0</v>
      </c>
      <c r="G3" s="99">
        <f ca="1">IFERROR(INDEX('TESTING v1'!$C3:$V3,MATCH(G$25,$C$9:$V$9,0)),0)</f>
        <v>0</v>
      </c>
      <c r="H3" s="99">
        <f ca="1">IFERROR(INDEX('TESTING v1'!$C3:$V3,MATCH(H$25,$C$9:$V$9,0)),0)</f>
        <v>0</v>
      </c>
      <c r="I3" s="99">
        <f ca="1">IFERROR(INDEX('TESTING v1'!$C3:$V3,MATCH(I$25,$C$9:$V$9,0)),0)</f>
        <v>0</v>
      </c>
      <c r="J3" s="99">
        <f ca="1">IFERROR(INDEX('TESTING v1'!$C3:$V3,MATCH(J$25,$C$9:$V$9,0)),0)</f>
        <v>0</v>
      </c>
      <c r="K3" s="99">
        <f ca="1">IFERROR(INDEX('TESTING v1'!$C3:$V3,MATCH(K$25,$C$9:$V$9,0)),0)</f>
        <v>0</v>
      </c>
      <c r="L3" s="99">
        <f ca="1">IFERROR(INDEX('TESTING v1'!$C3:$V3,MATCH(L$25,$C$9:$V$9,0)),0)</f>
        <v>0</v>
      </c>
      <c r="M3" s="99">
        <f ca="1">IFERROR(INDEX('TESTING v1'!$C3:$V3,MATCH(M$25,$C$9:$V$9,0)),0)</f>
        <v>0</v>
      </c>
      <c r="N3" s="99">
        <f ca="1">IFERROR(INDEX('TESTING v1'!$C3:$V3,MATCH(N$25,$C$9:$V$9,0)),0)</f>
        <v>0</v>
      </c>
      <c r="O3" s="99">
        <f ca="1">IFERROR(INDEX('TESTING v1'!$C3:$V3,MATCH(O$25,$C$9:$V$9,0)),0)</f>
        <v>0</v>
      </c>
      <c r="P3" s="99">
        <f ca="1">IFERROR(INDEX('TESTING v1'!$C3:$V3,MATCH(P$25,$C$9:$V$9,0)),0)</f>
        <v>0</v>
      </c>
      <c r="Q3" s="99">
        <f ca="1">IFERROR(INDEX('TESTING v1'!$C3:$V3,MATCH(Q$25,$C$9:$V$9,0)),0)</f>
        <v>0</v>
      </c>
      <c r="R3" s="99">
        <f ca="1">IFERROR(INDEX('TESTING v1'!$C3:$V3,MATCH(R$25,$C$9:$V$9,0)),0)</f>
        <v>0</v>
      </c>
      <c r="S3" s="99">
        <f ca="1">IFERROR(INDEX('TESTING v1'!$C3:$V3,MATCH(S$25,$C$9:$V$9,0)),0)</f>
        <v>0</v>
      </c>
      <c r="T3" s="99">
        <f ca="1">IFERROR(INDEX('TESTING v1'!$C3:$V3,MATCH(T$25,$C$9:$V$9,0)),0)</f>
        <v>0</v>
      </c>
      <c r="U3" s="99">
        <f ca="1">IFERROR(INDEX('TESTING v1'!$C3:$V3,MATCH(U$25,$C$9:$V$9,0)),0)</f>
        <v>0</v>
      </c>
      <c r="V3" s="99">
        <f ca="1">IFERROR(INDEX('TESTING v1'!$C3:$V3,MATCH(V$25,$C$9:$V$9,0)),0)</f>
        <v>0</v>
      </c>
      <c r="W3" s="100">
        <f t="shared" ref="W3:W5" ca="1" si="0">AA3</f>
        <v>0</v>
      </c>
      <c r="X3" s="21">
        <f t="shared" ref="X3:X5" ca="1" si="1">MAX(COUNTIF(C3:V3,"&gt;0")-1,0)</f>
        <v>0</v>
      </c>
      <c r="Y3" s="10">
        <f t="shared" ref="Y3:Y5" ca="1" si="2">SMALL(C3:V3,(20-X3))</f>
        <v>4.3520000000000003E-2</v>
      </c>
      <c r="Z3" s="10">
        <f t="shared" ref="Z3:Z5" ca="1" si="3">MAX(C3:V3)</f>
        <v>4.3520000000000003E-2</v>
      </c>
      <c r="AA3" s="10">
        <f t="shared" ref="AA3:AA5" ca="1" si="4">Z3-Y3</f>
        <v>0</v>
      </c>
      <c r="AC3" s="214" t="s">
        <v>673</v>
      </c>
      <c r="AD3" s="1">
        <v>0.6</v>
      </c>
    </row>
    <row r="4" spans="1:31">
      <c r="A4" s="9"/>
      <c r="B4" s="13" t="str">
        <f>IF('TESTING v1'!B2="McKinsey", "Conversion", "Opportunity Conversion")</f>
        <v>Conversion</v>
      </c>
      <c r="C4" s="99">
        <f ca="1">IFERROR(INDEX('TESTING v1'!$C4:$V4,MATCH(C$25,$C$9:$V$9,0)),0)</f>
        <v>0</v>
      </c>
      <c r="D4" s="99">
        <f ca="1">IFERROR(INDEX('TESTING v1'!$C4:$V4,MATCH(D$25,$C$9:$V$9,0)),0)</f>
        <v>0</v>
      </c>
      <c r="E4" s="99">
        <f ca="1">IFERROR(INDEX('TESTING v1'!$C4:$V4,MATCH(E$25,$C$9:$V$9,0)),0)</f>
        <v>0</v>
      </c>
      <c r="F4" s="99">
        <f ca="1">IFERROR(INDEX('TESTING v1'!$C4:$V4,MATCH(F$25,$C$9:$V$9,0)),0)</f>
        <v>0</v>
      </c>
      <c r="G4" s="99">
        <f ca="1">IFERROR(INDEX('TESTING v1'!$C4:$V4,MATCH(G$25,$C$9:$V$9,0)),0)</f>
        <v>0</v>
      </c>
      <c r="H4" s="99">
        <f ca="1">IFERROR(INDEX('TESTING v1'!$C4:$V4,MATCH(H$25,$C$9:$V$9,0)),0)</f>
        <v>0</v>
      </c>
      <c r="I4" s="99">
        <f ca="1">IFERROR(INDEX('TESTING v1'!$C4:$V4,MATCH(I$25,$C$9:$V$9,0)),0)</f>
        <v>0</v>
      </c>
      <c r="J4" s="99">
        <f ca="1">IFERROR(INDEX('TESTING v1'!$C4:$V4,MATCH(J$25,$C$9:$V$9,0)),0)</f>
        <v>0</v>
      </c>
      <c r="K4" s="99">
        <f ca="1">IFERROR(INDEX('TESTING v1'!$C4:$V4,MATCH(K$25,$C$9:$V$9,0)),0)</f>
        <v>0</v>
      </c>
      <c r="L4" s="99">
        <f ca="1">IFERROR(INDEX('TESTING v1'!$C4:$V4,MATCH(L$25,$C$9:$V$9,0)),0)</f>
        <v>0</v>
      </c>
      <c r="M4" s="99">
        <f ca="1">IFERROR(INDEX('TESTING v1'!$C4:$V4,MATCH(M$25,$C$9:$V$9,0)),0)</f>
        <v>0</v>
      </c>
      <c r="N4" s="99">
        <f ca="1">IFERROR(INDEX('TESTING v1'!$C4:$V4,MATCH(N$25,$C$9:$V$9,0)),0)</f>
        <v>0</v>
      </c>
      <c r="O4" s="99">
        <f ca="1">IFERROR(INDEX('TESTING v1'!$C4:$V4,MATCH(O$25,$C$9:$V$9,0)),0)</f>
        <v>0</v>
      </c>
      <c r="P4" s="99">
        <f ca="1">IFERROR(INDEX('TESTING v1'!$C4:$V4,MATCH(P$25,$C$9:$V$9,0)),0)</f>
        <v>0</v>
      </c>
      <c r="Q4" s="99">
        <f ca="1">IFERROR(INDEX('TESTING v1'!$C4:$V4,MATCH(Q$25,$C$9:$V$9,0)),0)</f>
        <v>0</v>
      </c>
      <c r="R4" s="99">
        <f ca="1">IFERROR(INDEX('TESTING v1'!$C4:$V4,MATCH(R$25,$C$9:$V$9,0)),0)</f>
        <v>0</v>
      </c>
      <c r="S4" s="99">
        <f ca="1">IFERROR(INDEX('TESTING v1'!$C4:$V4,MATCH(S$25,$C$9:$V$9,0)),0)</f>
        <v>0</v>
      </c>
      <c r="T4" s="99">
        <f ca="1">IFERROR(INDEX('TESTING v1'!$C4:$V4,MATCH(T$25,$C$9:$V$9,0)),0)</f>
        <v>0</v>
      </c>
      <c r="U4" s="99">
        <f ca="1">IFERROR(INDEX('TESTING v1'!$C4:$V4,MATCH(U$25,$C$9:$V$9,0)),0)</f>
        <v>0</v>
      </c>
      <c r="V4" s="99">
        <f ca="1">IFERROR(INDEX('TESTING v1'!$C4:$V4,MATCH(V$25,$C$9:$V$9,0)),0)</f>
        <v>0</v>
      </c>
      <c r="W4" s="100">
        <f t="shared" ca="1" si="0"/>
        <v>0</v>
      </c>
      <c r="X4" s="21">
        <f t="shared" ca="1" si="1"/>
        <v>0</v>
      </c>
      <c r="Y4" s="10">
        <f t="shared" ca="1" si="2"/>
        <v>0</v>
      </c>
      <c r="Z4" s="10">
        <f t="shared" ca="1" si="3"/>
        <v>0</v>
      </c>
      <c r="AA4" s="10">
        <f t="shared" ca="1" si="4"/>
        <v>0</v>
      </c>
      <c r="AC4" s="214" t="s">
        <v>674</v>
      </c>
      <c r="AD4" s="1">
        <v>1</v>
      </c>
    </row>
    <row r="5" spans="1:31">
      <c r="A5" s="9"/>
      <c r="B5" s="13" t="str">
        <f>IF('TESTING v1'!B2="McKinsey", "Experience &amp; Loyalty", "Customer Engagement")</f>
        <v>Experience &amp; Loyalty</v>
      </c>
      <c r="C5" s="99">
        <f ca="1">IFERROR(INDEX('TESTING v1'!$C5:$V5,MATCH(C$25,$C$9:$V$9,0)),0)</f>
        <v>1.536E-2</v>
      </c>
      <c r="D5" s="99">
        <f ca="1">IFERROR(INDEX('TESTING v1'!$C5:$V5,MATCH(D$25,$C$9:$V$9,0)),0)</f>
        <v>0</v>
      </c>
      <c r="E5" s="99">
        <f ca="1">IFERROR(INDEX('TESTING v1'!$C5:$V5,MATCH(E$25,$C$9:$V$9,0)),0)</f>
        <v>0</v>
      </c>
      <c r="F5" s="99">
        <f ca="1">IFERROR(INDEX('TESTING v1'!$C5:$V5,MATCH(F$25,$C$9:$V$9,0)),0)</f>
        <v>0</v>
      </c>
      <c r="G5" s="99">
        <f ca="1">IFERROR(INDEX('TESTING v1'!$C5:$V5,MATCH(G$25,$C$9:$V$9,0)),0)</f>
        <v>0</v>
      </c>
      <c r="H5" s="99">
        <f ca="1">IFERROR(INDEX('TESTING v1'!$C5:$V5,MATCH(H$25,$C$9:$V$9,0)),0)</f>
        <v>0</v>
      </c>
      <c r="I5" s="99">
        <f ca="1">IFERROR(INDEX('TESTING v1'!$C5:$V5,MATCH(I$25,$C$9:$V$9,0)),0)</f>
        <v>0</v>
      </c>
      <c r="J5" s="99">
        <f ca="1">IFERROR(INDEX('TESTING v1'!$C5:$V5,MATCH(J$25,$C$9:$V$9,0)),0)</f>
        <v>0</v>
      </c>
      <c r="K5" s="99">
        <f ca="1">IFERROR(INDEX('TESTING v1'!$C5:$V5,MATCH(K$25,$C$9:$V$9,0)),0)</f>
        <v>0</v>
      </c>
      <c r="L5" s="99">
        <f ca="1">IFERROR(INDEX('TESTING v1'!$C5:$V5,MATCH(L$25,$C$9:$V$9,0)),0)</f>
        <v>0</v>
      </c>
      <c r="M5" s="99">
        <f ca="1">IFERROR(INDEX('TESTING v1'!$C5:$V5,MATCH(M$25,$C$9:$V$9,0)),0)</f>
        <v>0</v>
      </c>
      <c r="N5" s="99">
        <f ca="1">IFERROR(INDEX('TESTING v1'!$C5:$V5,MATCH(N$25,$C$9:$V$9,0)),0)</f>
        <v>0</v>
      </c>
      <c r="O5" s="99">
        <f ca="1">IFERROR(INDEX('TESTING v1'!$C5:$V5,MATCH(O$25,$C$9:$V$9,0)),0)</f>
        <v>0</v>
      </c>
      <c r="P5" s="99">
        <f ca="1">IFERROR(INDEX('TESTING v1'!$C5:$V5,MATCH(P$25,$C$9:$V$9,0)),0)</f>
        <v>0</v>
      </c>
      <c r="Q5" s="99">
        <f ca="1">IFERROR(INDEX('TESTING v1'!$C5:$V5,MATCH(Q$25,$C$9:$V$9,0)),0)</f>
        <v>0</v>
      </c>
      <c r="R5" s="99">
        <f ca="1">IFERROR(INDEX('TESTING v1'!$C5:$V5,MATCH(R$25,$C$9:$V$9,0)),0)</f>
        <v>0</v>
      </c>
      <c r="S5" s="99">
        <f ca="1">IFERROR(INDEX('TESTING v1'!$C5:$V5,MATCH(S$25,$C$9:$V$9,0)),0)</f>
        <v>0</v>
      </c>
      <c r="T5" s="99">
        <f ca="1">IFERROR(INDEX('TESTING v1'!$C5:$V5,MATCH(T$25,$C$9:$V$9,0)),0)</f>
        <v>0</v>
      </c>
      <c r="U5" s="99">
        <f ca="1">IFERROR(INDEX('TESTING v1'!$C5:$V5,MATCH(U$25,$C$9:$V$9,0)),0)</f>
        <v>0</v>
      </c>
      <c r="V5" s="99">
        <f ca="1">IFERROR(INDEX('TESTING v1'!$C5:$V5,MATCH(V$25,$C$9:$V$9,0)),0)</f>
        <v>0</v>
      </c>
      <c r="W5" s="100">
        <f t="shared" ca="1" si="0"/>
        <v>0</v>
      </c>
      <c r="X5" s="21">
        <f t="shared" ca="1" si="1"/>
        <v>0</v>
      </c>
      <c r="Y5" s="10">
        <f t="shared" ca="1" si="2"/>
        <v>1.536E-2</v>
      </c>
      <c r="Z5" s="10">
        <f t="shared" ca="1" si="3"/>
        <v>1.536E-2</v>
      </c>
      <c r="AA5" s="10">
        <f t="shared" ca="1" si="4"/>
        <v>0</v>
      </c>
      <c r="AC5" s="214" t="s">
        <v>675</v>
      </c>
      <c r="AD5" s="1">
        <v>0.8</v>
      </c>
    </row>
    <row r="6" spans="1:31">
      <c r="A6" s="9"/>
      <c r="C6" s="101"/>
      <c r="D6" s="101"/>
      <c r="E6" s="101"/>
      <c r="F6" s="101"/>
      <c r="G6" s="101"/>
      <c r="H6" s="101"/>
      <c r="I6" s="101"/>
      <c r="J6" s="101"/>
      <c r="K6" s="101"/>
      <c r="L6" s="101"/>
      <c r="M6" s="101"/>
      <c r="N6" s="101"/>
      <c r="O6" s="101"/>
      <c r="P6" s="101"/>
      <c r="Q6" s="101"/>
      <c r="R6" s="101"/>
      <c r="S6" s="101"/>
      <c r="T6" s="101"/>
      <c r="U6" s="101"/>
      <c r="V6" s="101"/>
      <c r="W6" s="100"/>
      <c r="X6" s="21"/>
      <c r="Y6" s="10"/>
      <c r="Z6" s="10"/>
      <c r="AA6" s="10"/>
      <c r="AC6" s="214" t="s">
        <v>10</v>
      </c>
      <c r="AD6" s="1">
        <v>0.4</v>
      </c>
    </row>
    <row r="7" spans="1:31" hidden="1">
      <c r="A7" s="9"/>
      <c r="B7" s="69" t="s">
        <v>344</v>
      </c>
      <c r="C7" s="101">
        <f ca="1">'TESTING v1'!C2*$AD$3+'TESTING v1'!C3*$AD$4+'TESTING v1'!C4*$AD$5+'TESTING v1'!C5*$AD$6</f>
        <v>4.9664E-2</v>
      </c>
      <c r="D7" s="101">
        <f ca="1">'TESTING v1'!D2*$AD$3+'TESTING v1'!D3*$AD$4+'TESTING v1'!D4*$AD$5+'TESTING v1'!D5*$AD$6</f>
        <v>0</v>
      </c>
      <c r="E7" s="101">
        <f ca="1">'TESTING v1'!E2*$AD$3+'TESTING v1'!E3*$AD$4+'TESTING v1'!E4*$AD$5+'TESTING v1'!E5*$AD$6</f>
        <v>0</v>
      </c>
      <c r="F7" s="101">
        <f ca="1">'TESTING v1'!F2*$AD$3+'TESTING v1'!F3*$AD$4+'TESTING v1'!F4*$AD$5+'TESTING v1'!F5*$AD$6</f>
        <v>0</v>
      </c>
      <c r="G7" s="101">
        <f ca="1">'TESTING v1'!G2*$AD$3+'TESTING v1'!G3*$AD$4+'TESTING v1'!G4*$AD$5+'TESTING v1'!G5*$AD$6</f>
        <v>0</v>
      </c>
      <c r="H7" s="101">
        <f ca="1">'TESTING v1'!H2*$AD$3+'TESTING v1'!H3*$AD$4+'TESTING v1'!H4*$AD$5+'TESTING v1'!H5*$AD$6</f>
        <v>0</v>
      </c>
      <c r="I7" s="101">
        <f ca="1">'TESTING v1'!I2*$AD$3+'TESTING v1'!I3*$AD$4+'TESTING v1'!I4*$AD$5+'TESTING v1'!I5*$AD$6</f>
        <v>0</v>
      </c>
      <c r="J7" s="101">
        <f ca="1">'TESTING v1'!J2*$AD$3+'TESTING v1'!J3*$AD$4+'TESTING v1'!J4*$AD$5+'TESTING v1'!J5*$AD$6</f>
        <v>0</v>
      </c>
      <c r="K7" s="101">
        <f ca="1">'TESTING v1'!K2*$AD$3+'TESTING v1'!K3*$AD$4+'TESTING v1'!K4*$AD$5+'TESTING v1'!K5*$AD$6</f>
        <v>0</v>
      </c>
      <c r="L7" s="101">
        <f ca="1">'TESTING v1'!L2*$AD$3+'TESTING v1'!L3*$AD$4+'TESTING v1'!L4*$AD$5+'TESTING v1'!L5*$AD$6</f>
        <v>0</v>
      </c>
      <c r="M7" s="101">
        <f ca="1">'TESTING v1'!M2*$AD$3+'TESTING v1'!M3*$AD$4+'TESTING v1'!M4*$AD$5+'TESTING v1'!M5*$AD$6</f>
        <v>0</v>
      </c>
      <c r="N7" s="101">
        <f ca="1">'TESTING v1'!N2*$AD$3+'TESTING v1'!N3*$AD$4+'TESTING v1'!N4*$AD$5+'TESTING v1'!N5*$AD$6</f>
        <v>0</v>
      </c>
      <c r="O7" s="101">
        <f ca="1">'TESTING v1'!O2*$AD$3+'TESTING v1'!O3*$AD$4+'TESTING v1'!O4*$AD$5+'TESTING v1'!O5*$AD$6</f>
        <v>0</v>
      </c>
      <c r="P7" s="101">
        <f ca="1">'TESTING v1'!P2*$AD$3+'TESTING v1'!P3*$AD$4+'TESTING v1'!P4*$AD$5+'TESTING v1'!P5*$AD$6</f>
        <v>0</v>
      </c>
      <c r="Q7" s="101">
        <f ca="1">'TESTING v1'!Q2*$AD$3+'TESTING v1'!Q3*$AD$4+'TESTING v1'!Q4*$AD$5+'TESTING v1'!Q5*$AD$6</f>
        <v>0</v>
      </c>
      <c r="R7" s="101">
        <f ca="1">'TESTING v1'!R2*$AD$3+'TESTING v1'!R3*$AD$4+'TESTING v1'!R4*$AD$5+'TESTING v1'!R5*$AD$6</f>
        <v>0</v>
      </c>
      <c r="S7" s="101">
        <f ca="1">'TESTING v1'!S2*$AD$3+'TESTING v1'!S3*$AD$4+'TESTING v1'!S4*$AD$5+'TESTING v1'!S5*$AD$6</f>
        <v>0</v>
      </c>
      <c r="T7" s="101">
        <f ca="1">'TESTING v1'!T2*$AD$3+'TESTING v1'!T3*$AD$4+'TESTING v1'!T4*$AD$5+'TESTING v1'!T5*$AD$6</f>
        <v>0</v>
      </c>
      <c r="U7" s="101">
        <f ca="1">'TESTING v1'!U2*$AD$3+'TESTING v1'!U3*$AD$4+'TESTING v1'!U4*$AD$5+'TESTING v1'!U5*$AD$6</f>
        <v>0</v>
      </c>
      <c r="V7" s="101">
        <f ca="1">'TESTING v1'!V2*$AD$3+'TESTING v1'!V3*$AD$4+'TESTING v1'!V4*$AD$5+'TESTING v1'!V5*$AD$6</f>
        <v>0</v>
      </c>
      <c r="W7" s="100"/>
      <c r="X7" s="21"/>
      <c r="Y7" s="10"/>
      <c r="Z7" s="10"/>
      <c r="AA7" s="10"/>
    </row>
    <row r="8" spans="1:31" hidden="1">
      <c r="A8" s="9"/>
      <c r="B8" s="69" t="s">
        <v>345</v>
      </c>
      <c r="C8" s="102">
        <f ca="1">_xlfn.RANK.AVG(C7,$C$7:$V$7,0)/COUNTIF($C$7:$V$7,"&gt;0")</f>
        <v>1</v>
      </c>
      <c r="D8" s="102">
        <f t="shared" ref="D8:V8" ca="1" si="5">_xlfn.RANK.AVG(D7,$C$7:$V$7,0)/COUNTIF($C$7:$V$7,"&gt;0")</f>
        <v>11</v>
      </c>
      <c r="E8" s="102">
        <f t="shared" ca="1" si="5"/>
        <v>11</v>
      </c>
      <c r="F8" s="102">
        <f t="shared" ca="1" si="5"/>
        <v>11</v>
      </c>
      <c r="G8" s="102">
        <f t="shared" ca="1" si="5"/>
        <v>11</v>
      </c>
      <c r="H8" s="102">
        <f t="shared" ca="1" si="5"/>
        <v>11</v>
      </c>
      <c r="I8" s="102">
        <f t="shared" ca="1" si="5"/>
        <v>11</v>
      </c>
      <c r="J8" s="102">
        <f t="shared" ca="1" si="5"/>
        <v>11</v>
      </c>
      <c r="K8" s="102">
        <f t="shared" ca="1" si="5"/>
        <v>11</v>
      </c>
      <c r="L8" s="102">
        <f t="shared" ca="1" si="5"/>
        <v>11</v>
      </c>
      <c r="M8" s="102">
        <f t="shared" ca="1" si="5"/>
        <v>11</v>
      </c>
      <c r="N8" s="102">
        <f t="shared" ca="1" si="5"/>
        <v>11</v>
      </c>
      <c r="O8" s="102">
        <f t="shared" ca="1" si="5"/>
        <v>11</v>
      </c>
      <c r="P8" s="102">
        <f t="shared" ca="1" si="5"/>
        <v>11</v>
      </c>
      <c r="Q8" s="102">
        <f t="shared" ca="1" si="5"/>
        <v>11</v>
      </c>
      <c r="R8" s="102">
        <f t="shared" ca="1" si="5"/>
        <v>11</v>
      </c>
      <c r="S8" s="102">
        <f t="shared" ca="1" si="5"/>
        <v>11</v>
      </c>
      <c r="T8" s="102">
        <f t="shared" ca="1" si="5"/>
        <v>11</v>
      </c>
      <c r="U8" s="102">
        <f t="shared" ca="1" si="5"/>
        <v>11</v>
      </c>
      <c r="V8" s="102">
        <f t="shared" ca="1" si="5"/>
        <v>11</v>
      </c>
      <c r="W8" s="100"/>
      <c r="X8" s="21"/>
      <c r="Y8" s="10"/>
      <c r="Z8" s="10"/>
      <c r="AA8" s="10"/>
    </row>
    <row r="9" spans="1:31" hidden="1">
      <c r="A9" s="9"/>
      <c r="B9" s="69" t="s">
        <v>676</v>
      </c>
      <c r="C9" s="215">
        <f ca="1">_xlfn.RANK.AVG(C7,$C7:$V7)</f>
        <v>1</v>
      </c>
      <c r="D9" s="215">
        <f t="shared" ref="D9:V9" ca="1" si="6">_xlfn.RANK.AVG(D7,$C7:$V7)</f>
        <v>11</v>
      </c>
      <c r="E9" s="215">
        <f t="shared" ca="1" si="6"/>
        <v>11</v>
      </c>
      <c r="F9" s="215">
        <f t="shared" ca="1" si="6"/>
        <v>11</v>
      </c>
      <c r="G9" s="215">
        <f t="shared" ca="1" si="6"/>
        <v>11</v>
      </c>
      <c r="H9" s="215">
        <f t="shared" ca="1" si="6"/>
        <v>11</v>
      </c>
      <c r="I9" s="215">
        <f t="shared" ca="1" si="6"/>
        <v>11</v>
      </c>
      <c r="J9" s="215">
        <f t="shared" ca="1" si="6"/>
        <v>11</v>
      </c>
      <c r="K9" s="215">
        <f t="shared" ca="1" si="6"/>
        <v>11</v>
      </c>
      <c r="L9" s="215">
        <f t="shared" ca="1" si="6"/>
        <v>11</v>
      </c>
      <c r="M9" s="215">
        <f t="shared" ca="1" si="6"/>
        <v>11</v>
      </c>
      <c r="N9" s="215">
        <f t="shared" ca="1" si="6"/>
        <v>11</v>
      </c>
      <c r="O9" s="215">
        <f t="shared" ca="1" si="6"/>
        <v>11</v>
      </c>
      <c r="P9" s="215">
        <f t="shared" ca="1" si="6"/>
        <v>11</v>
      </c>
      <c r="Q9" s="215">
        <f t="shared" ca="1" si="6"/>
        <v>11</v>
      </c>
      <c r="R9" s="215">
        <f t="shared" ca="1" si="6"/>
        <v>11</v>
      </c>
      <c r="S9" s="215">
        <f t="shared" ca="1" si="6"/>
        <v>11</v>
      </c>
      <c r="T9" s="215">
        <f t="shared" ca="1" si="6"/>
        <v>11</v>
      </c>
      <c r="U9" s="215">
        <f t="shared" ca="1" si="6"/>
        <v>11</v>
      </c>
      <c r="V9" s="215">
        <f t="shared" ca="1" si="6"/>
        <v>11</v>
      </c>
      <c r="W9" s="100"/>
      <c r="X9" s="21"/>
      <c r="Y9" s="10"/>
      <c r="Z9" s="10"/>
      <c r="AA9" s="10"/>
    </row>
    <row r="10" spans="1:31" hidden="1">
      <c r="A10" s="9"/>
      <c r="C10" s="102"/>
      <c r="D10" s="102"/>
      <c r="E10" s="102"/>
      <c r="F10" s="102"/>
      <c r="G10" s="102"/>
      <c r="H10" s="102"/>
      <c r="I10" s="102"/>
      <c r="J10" s="102"/>
      <c r="K10" s="102"/>
      <c r="L10" s="102"/>
      <c r="M10" s="102"/>
      <c r="N10" s="102"/>
      <c r="O10" s="102"/>
      <c r="P10" s="102"/>
      <c r="Q10" s="102"/>
      <c r="R10" s="102"/>
      <c r="S10" s="102"/>
      <c r="T10" s="102"/>
      <c r="U10" s="102"/>
      <c r="V10" s="102"/>
      <c r="W10" s="100"/>
      <c r="X10" s="21"/>
      <c r="Y10" s="10"/>
      <c r="Z10" s="10"/>
      <c r="AA10" s="10"/>
    </row>
    <row r="11" spans="1:31" hidden="1">
      <c r="A11" s="9"/>
      <c r="B11" s="69" t="s">
        <v>346</v>
      </c>
      <c r="C11" s="102">
        <f t="shared" ref="C11:V11" ca="1" si="7">(0.8*C2+1*C3)/1.8</f>
        <v>2.4177777777777777E-2</v>
      </c>
      <c r="D11" s="102">
        <f t="shared" ca="1" si="7"/>
        <v>0</v>
      </c>
      <c r="E11" s="102">
        <f t="shared" ca="1" si="7"/>
        <v>0</v>
      </c>
      <c r="F11" s="102">
        <f t="shared" ca="1" si="7"/>
        <v>0</v>
      </c>
      <c r="G11" s="102">
        <f t="shared" ca="1" si="7"/>
        <v>0</v>
      </c>
      <c r="H11" s="102">
        <f t="shared" ca="1" si="7"/>
        <v>0</v>
      </c>
      <c r="I11" s="102">
        <f t="shared" ca="1" si="7"/>
        <v>0</v>
      </c>
      <c r="J11" s="102">
        <f t="shared" ca="1" si="7"/>
        <v>0</v>
      </c>
      <c r="K11" s="102">
        <f t="shared" ca="1" si="7"/>
        <v>0</v>
      </c>
      <c r="L11" s="102">
        <f t="shared" ca="1" si="7"/>
        <v>0</v>
      </c>
      <c r="M11" s="102">
        <f t="shared" ca="1" si="7"/>
        <v>0</v>
      </c>
      <c r="N11" s="102">
        <f t="shared" ca="1" si="7"/>
        <v>0</v>
      </c>
      <c r="O11" s="102">
        <f t="shared" ca="1" si="7"/>
        <v>0</v>
      </c>
      <c r="P11" s="102">
        <f t="shared" ca="1" si="7"/>
        <v>0</v>
      </c>
      <c r="Q11" s="102">
        <f t="shared" ca="1" si="7"/>
        <v>0</v>
      </c>
      <c r="R11" s="102">
        <f t="shared" ca="1" si="7"/>
        <v>0</v>
      </c>
      <c r="S11" s="102">
        <f t="shared" ca="1" si="7"/>
        <v>0</v>
      </c>
      <c r="T11" s="102">
        <f t="shared" ca="1" si="7"/>
        <v>0</v>
      </c>
      <c r="U11" s="102">
        <f t="shared" ca="1" si="7"/>
        <v>0</v>
      </c>
      <c r="V11" s="102">
        <f t="shared" ca="1" si="7"/>
        <v>0</v>
      </c>
      <c r="W11" s="100"/>
      <c r="X11" s="21"/>
      <c r="Y11" s="10"/>
      <c r="Z11" s="10"/>
      <c r="AA11" s="10"/>
    </row>
    <row r="12" spans="1:31" hidden="1">
      <c r="A12" s="9"/>
      <c r="B12" s="69" t="s">
        <v>347</v>
      </c>
      <c r="C12" s="102">
        <f t="shared" ref="C12:V12" ca="1" si="8">(1*C4+0.3*C5)/1.3</f>
        <v>3.5446153846153848E-3</v>
      </c>
      <c r="D12" s="102">
        <f t="shared" ca="1" si="8"/>
        <v>0</v>
      </c>
      <c r="E12" s="102">
        <f t="shared" ca="1" si="8"/>
        <v>0</v>
      </c>
      <c r="F12" s="102">
        <f t="shared" ca="1" si="8"/>
        <v>0</v>
      </c>
      <c r="G12" s="102">
        <f t="shared" ca="1" si="8"/>
        <v>0</v>
      </c>
      <c r="H12" s="102">
        <f t="shared" ca="1" si="8"/>
        <v>0</v>
      </c>
      <c r="I12" s="102">
        <f t="shared" ca="1" si="8"/>
        <v>0</v>
      </c>
      <c r="J12" s="102">
        <f t="shared" ca="1" si="8"/>
        <v>0</v>
      </c>
      <c r="K12" s="102">
        <f t="shared" ca="1" si="8"/>
        <v>0</v>
      </c>
      <c r="L12" s="102">
        <f t="shared" ca="1" si="8"/>
        <v>0</v>
      </c>
      <c r="M12" s="102">
        <f t="shared" ca="1" si="8"/>
        <v>0</v>
      </c>
      <c r="N12" s="102">
        <f t="shared" ca="1" si="8"/>
        <v>0</v>
      </c>
      <c r="O12" s="102">
        <f t="shared" ca="1" si="8"/>
        <v>0</v>
      </c>
      <c r="P12" s="102">
        <f t="shared" ca="1" si="8"/>
        <v>0</v>
      </c>
      <c r="Q12" s="102">
        <f t="shared" ca="1" si="8"/>
        <v>0</v>
      </c>
      <c r="R12" s="102">
        <f t="shared" ca="1" si="8"/>
        <v>0</v>
      </c>
      <c r="S12" s="102">
        <f t="shared" ca="1" si="8"/>
        <v>0</v>
      </c>
      <c r="T12" s="102">
        <f t="shared" ca="1" si="8"/>
        <v>0</v>
      </c>
      <c r="U12" s="102">
        <f t="shared" ca="1" si="8"/>
        <v>0</v>
      </c>
      <c r="V12" s="102">
        <f t="shared" ca="1" si="8"/>
        <v>0</v>
      </c>
      <c r="W12" s="100"/>
      <c r="X12" s="21"/>
      <c r="Y12" s="10"/>
      <c r="Z12" s="10"/>
      <c r="AA12" s="10"/>
    </row>
    <row r="13" spans="1:31">
      <c r="A13" s="9"/>
      <c r="C13" s="324" t="s">
        <v>348</v>
      </c>
      <c r="D13" s="324"/>
      <c r="E13" s="324"/>
      <c r="F13" s="324"/>
      <c r="G13" s="324"/>
      <c r="H13" s="324"/>
      <c r="I13" s="324"/>
      <c r="J13" s="324"/>
      <c r="K13" s="324"/>
      <c r="L13" s="324"/>
      <c r="M13" s="324"/>
      <c r="N13" s="324"/>
      <c r="O13" s="324"/>
      <c r="P13" s="324"/>
      <c r="Q13" s="324"/>
      <c r="R13" s="324"/>
      <c r="S13" s="324"/>
      <c r="T13" s="324"/>
      <c r="U13" s="324"/>
      <c r="V13" s="324"/>
      <c r="W13" s="32"/>
    </row>
    <row r="14" spans="1:31">
      <c r="A14" s="9"/>
      <c r="B14" s="49" t="str">
        <f>'TESTING v1'!B11</f>
        <v>Search Engine Optimization</v>
      </c>
      <c r="C14" s="99">
        <f ca="1">IFERROR(INDEX('TESTING v1'!$C11:$V11,MATCH(C$25,$C$9:$V$9,0)),0)</f>
        <v>0</v>
      </c>
      <c r="D14" s="99">
        <f ca="1">IFERROR(INDEX('TESTING v1'!$C11:$V11,MATCH(D$25,$C$9:$V$9,0)),0)</f>
        <v>0</v>
      </c>
      <c r="E14" s="99">
        <f ca="1">IFERROR(INDEX('TESTING v1'!$C11:$V11,MATCH(E$25,$C$9:$V$9,0)),0)</f>
        <v>0</v>
      </c>
      <c r="F14" s="99">
        <f ca="1">IFERROR(INDEX('TESTING v1'!$C11:$V11,MATCH(F$25,$C$9:$V$9,0)),0)</f>
        <v>0</v>
      </c>
      <c r="G14" s="99">
        <f ca="1">IFERROR(INDEX('TESTING v1'!$C11:$V11,MATCH(G$25,$C$9:$V$9,0)),0)</f>
        <v>0</v>
      </c>
      <c r="H14" s="99">
        <f ca="1">IFERROR(INDEX('TESTING v1'!$C11:$V11,MATCH(H$25,$C$9:$V$9,0)),0)</f>
        <v>0</v>
      </c>
      <c r="I14" s="99">
        <f ca="1">IFERROR(INDEX('TESTING v1'!$C11:$V11,MATCH(I$25,$C$9:$V$9,0)),0)</f>
        <v>0</v>
      </c>
      <c r="J14" s="99">
        <f ca="1">IFERROR(INDEX('TESTING v1'!$C11:$V11,MATCH(J$25,$C$9:$V$9,0)),0)</f>
        <v>0</v>
      </c>
      <c r="K14" s="99">
        <f ca="1">IFERROR(INDEX('TESTING v1'!$C11:$V11,MATCH(K$25,$C$9:$V$9,0)),0)</f>
        <v>0</v>
      </c>
      <c r="L14" s="99">
        <f ca="1">IFERROR(INDEX('TESTING v1'!$C11:$V11,MATCH(L$25,$C$9:$V$9,0)),0)</f>
        <v>0</v>
      </c>
      <c r="M14" s="99">
        <f ca="1">IFERROR(INDEX('TESTING v1'!$C11:$V11,MATCH(M$25,$C$9:$V$9,0)),0)</f>
        <v>0</v>
      </c>
      <c r="N14" s="99">
        <f ca="1">IFERROR(INDEX('TESTING v1'!$C11:$V11,MATCH(N$25,$C$9:$V$9,0)),0)</f>
        <v>0</v>
      </c>
      <c r="O14" s="99">
        <f ca="1">IFERROR(INDEX('TESTING v1'!$C11:$V11,MATCH(O$25,$C$9:$V$9,0)),0)</f>
        <v>0</v>
      </c>
      <c r="P14" s="99">
        <f ca="1">IFERROR(INDEX('TESTING v1'!$C11:$V11,MATCH(P$25,$C$9:$V$9,0)),0)</f>
        <v>0</v>
      </c>
      <c r="Q14" s="99">
        <f ca="1">IFERROR(INDEX('TESTING v1'!$C11:$V11,MATCH(Q$25,$C$9:$V$9,0)),0)</f>
        <v>0</v>
      </c>
      <c r="R14" s="99">
        <f ca="1">IFERROR(INDEX('TESTING v1'!$C11:$V11,MATCH(R$25,$C$9:$V$9,0)),0)</f>
        <v>0</v>
      </c>
      <c r="S14" s="99">
        <f ca="1">IFERROR(INDEX('TESTING v1'!$C11:$V11,MATCH(S$25,$C$9:$V$9,0)),0)</f>
        <v>0</v>
      </c>
      <c r="T14" s="99">
        <f ca="1">IFERROR(INDEX('TESTING v1'!$C11:$V11,MATCH(T$25,$C$9:$V$9,0)),0)</f>
        <v>0</v>
      </c>
      <c r="U14" s="99">
        <f ca="1">IFERROR(INDEX('TESTING v1'!$C11:$V11,MATCH(U$25,$C$9:$V$9,0)),0)</f>
        <v>0</v>
      </c>
      <c r="V14" s="99">
        <f ca="1">IFERROR(INDEX('TESTING v1'!$C11:$V11,MATCH(V$25,$C$9:$V$9,0)),0)</f>
        <v>0</v>
      </c>
      <c r="W14" s="100">
        <f t="shared" ref="W14:W24" ca="1" si="9">AA14</f>
        <v>0</v>
      </c>
      <c r="X14" s="21">
        <f t="shared" ref="X14:X24" ca="1" si="10">MAX(COUNTIF(C14:V14,"&gt;0")-1,0)</f>
        <v>0</v>
      </c>
      <c r="Y14" s="10">
        <f t="shared" ref="Y14:Y24" ca="1" si="11">SMALL(C14:V14,(20-X14))</f>
        <v>0</v>
      </c>
      <c r="Z14" s="10">
        <f t="shared" ref="Z14:Z24" ca="1" si="12">MAX(C14:V14)</f>
        <v>0</v>
      </c>
      <c r="AA14" s="10">
        <f t="shared" ref="AA14:AA24" ca="1" si="13">Z14-Y14</f>
        <v>0</v>
      </c>
      <c r="AC14" s="69" t="s">
        <v>55</v>
      </c>
      <c r="AD14" s="69" t="s">
        <v>346</v>
      </c>
      <c r="AE14" s="69" t="s">
        <v>347</v>
      </c>
    </row>
    <row r="15" spans="1:31">
      <c r="A15" s="9"/>
      <c r="B15" s="49" t="str">
        <f>'TESTING v1'!B38</f>
        <v>Mobile Experience</v>
      </c>
      <c r="C15" s="99">
        <f ca="1">IFERROR(INDEX('TESTING v1'!$C38:$V38,MATCH(C$25,$C$9:$V$9,0)),0)</f>
        <v>0.25600000000000001</v>
      </c>
      <c r="D15" s="99">
        <f ca="1">IFERROR(INDEX('TESTING v1'!$C38:$V38,MATCH(D$25,$C$9:$V$9,0)),0)</f>
        <v>0</v>
      </c>
      <c r="E15" s="99">
        <f ca="1">IFERROR(INDEX('TESTING v1'!$C38:$V38,MATCH(E$25,$C$9:$V$9,0)),0)</f>
        <v>0</v>
      </c>
      <c r="F15" s="99">
        <f ca="1">IFERROR(INDEX('TESTING v1'!$C38:$V38,MATCH(F$25,$C$9:$V$9,0)),0)</f>
        <v>0</v>
      </c>
      <c r="G15" s="99">
        <f ca="1">IFERROR(INDEX('TESTING v1'!$C38:$V38,MATCH(G$25,$C$9:$V$9,0)),0)</f>
        <v>0</v>
      </c>
      <c r="H15" s="99">
        <f ca="1">IFERROR(INDEX('TESTING v1'!$C38:$V38,MATCH(H$25,$C$9:$V$9,0)),0)</f>
        <v>0</v>
      </c>
      <c r="I15" s="99">
        <f ca="1">IFERROR(INDEX('TESTING v1'!$C38:$V38,MATCH(I$25,$C$9:$V$9,0)),0)</f>
        <v>0</v>
      </c>
      <c r="J15" s="99">
        <f ca="1">IFERROR(INDEX('TESTING v1'!$C38:$V38,MATCH(J$25,$C$9:$V$9,0)),0)</f>
        <v>0</v>
      </c>
      <c r="K15" s="99">
        <f ca="1">IFERROR(INDEX('TESTING v1'!$C38:$V38,MATCH(K$25,$C$9:$V$9,0)),0)</f>
        <v>0</v>
      </c>
      <c r="L15" s="99">
        <f ca="1">IFERROR(INDEX('TESTING v1'!$C38:$V38,MATCH(L$25,$C$9:$V$9,0)),0)</f>
        <v>0</v>
      </c>
      <c r="M15" s="99">
        <f ca="1">IFERROR(INDEX('TESTING v1'!$C38:$V38,MATCH(M$25,$C$9:$V$9,0)),0)</f>
        <v>0</v>
      </c>
      <c r="N15" s="99">
        <f ca="1">IFERROR(INDEX('TESTING v1'!$C38:$V38,MATCH(N$25,$C$9:$V$9,0)),0)</f>
        <v>0</v>
      </c>
      <c r="O15" s="99">
        <f ca="1">IFERROR(INDEX('TESTING v1'!$C38:$V38,MATCH(O$25,$C$9:$V$9,0)),0)</f>
        <v>0</v>
      </c>
      <c r="P15" s="99">
        <f ca="1">IFERROR(INDEX('TESTING v1'!$C38:$V38,MATCH(P$25,$C$9:$V$9,0)),0)</f>
        <v>0</v>
      </c>
      <c r="Q15" s="99">
        <f ca="1">IFERROR(INDEX('TESTING v1'!$C38:$V38,MATCH(Q$25,$C$9:$V$9,0)),0)</f>
        <v>0</v>
      </c>
      <c r="R15" s="99">
        <f ca="1">IFERROR(INDEX('TESTING v1'!$C38:$V38,MATCH(R$25,$C$9:$V$9,0)),0)</f>
        <v>0</v>
      </c>
      <c r="S15" s="99">
        <f ca="1">IFERROR(INDEX('TESTING v1'!$C38:$V38,MATCH(S$25,$C$9:$V$9,0)),0)</f>
        <v>0</v>
      </c>
      <c r="T15" s="99">
        <f ca="1">IFERROR(INDEX('TESTING v1'!$C38:$V38,MATCH(T$25,$C$9:$V$9,0)),0)</f>
        <v>0</v>
      </c>
      <c r="U15" s="99">
        <f ca="1">IFERROR(INDEX('TESTING v1'!$C38:$V38,MATCH(U$25,$C$9:$V$9,0)),0)</f>
        <v>0</v>
      </c>
      <c r="V15" s="99">
        <f ca="1">IFERROR(INDEX('TESTING v1'!$C38:$V38,MATCH(V$25,$C$9:$V$9,0)),0)</f>
        <v>0</v>
      </c>
      <c r="W15" s="100">
        <f t="shared" ca="1" si="9"/>
        <v>0</v>
      </c>
      <c r="X15" s="21">
        <f t="shared" ca="1" si="10"/>
        <v>0</v>
      </c>
      <c r="Y15" s="10">
        <f t="shared" ca="1" si="11"/>
        <v>0.25600000000000001</v>
      </c>
      <c r="Z15" s="10">
        <f t="shared" ca="1" si="12"/>
        <v>0.25600000000000001</v>
      </c>
      <c r="AA15" s="10">
        <f t="shared" ca="1" si="13"/>
        <v>0</v>
      </c>
      <c r="AC15" s="69" t="str">
        <f ca="1">INDEX($C$1:$V$1,ROW($AC1:AC1))</f>
        <v>CPhI</v>
      </c>
      <c r="AD15" s="69">
        <f ca="1">INDEX($C$11:$V$11,ROW($AD1:AD1))</f>
        <v>2.4177777777777777E-2</v>
      </c>
      <c r="AE15" s="69">
        <f ca="1">INDEX($C$12:$V$12,ROW($AE1:AE1))</f>
        <v>3.5446153846153848E-3</v>
      </c>
    </row>
    <row r="16" spans="1:31">
      <c r="A16" s="9"/>
      <c r="B16" s="49" t="str">
        <f>'TESTING v1'!B72</f>
        <v>Website Technical &amp; Functional</v>
      </c>
      <c r="C16" s="99">
        <f ca="1">IFERROR(INDEX('TESTING v1'!$C72:$V72,MATCH(C$25,$C$9:$V$9,0)),0)</f>
        <v>0</v>
      </c>
      <c r="D16" s="99">
        <f ca="1">IFERROR(INDEX('TESTING v1'!$C72:$V72,MATCH(D$25,$C$9:$V$9,0)),0)</f>
        <v>0</v>
      </c>
      <c r="E16" s="99">
        <f ca="1">IFERROR(INDEX('TESTING v1'!$C72:$V72,MATCH(E$25,$C$9:$V$9,0)),0)</f>
        <v>0</v>
      </c>
      <c r="F16" s="99">
        <f ca="1">IFERROR(INDEX('TESTING v1'!$C72:$V72,MATCH(F$25,$C$9:$V$9,0)),0)</f>
        <v>0</v>
      </c>
      <c r="G16" s="99">
        <f ca="1">IFERROR(INDEX('TESTING v1'!$C72:$V72,MATCH(G$25,$C$9:$V$9,0)),0)</f>
        <v>0</v>
      </c>
      <c r="H16" s="99">
        <f ca="1">IFERROR(INDEX('TESTING v1'!$C72:$V72,MATCH(H$25,$C$9:$V$9,0)),0)</f>
        <v>0</v>
      </c>
      <c r="I16" s="99">
        <f ca="1">IFERROR(INDEX('TESTING v1'!$C72:$V72,MATCH(I$25,$C$9:$V$9,0)),0)</f>
        <v>0</v>
      </c>
      <c r="J16" s="99">
        <f ca="1">IFERROR(INDEX('TESTING v1'!$C72:$V72,MATCH(J$25,$C$9:$V$9,0)),0)</f>
        <v>0</v>
      </c>
      <c r="K16" s="99">
        <f ca="1">IFERROR(INDEX('TESTING v1'!$C72:$V72,MATCH(K$25,$C$9:$V$9,0)),0)</f>
        <v>0</v>
      </c>
      <c r="L16" s="99">
        <f ca="1">IFERROR(INDEX('TESTING v1'!$C72:$V72,MATCH(L$25,$C$9:$V$9,0)),0)</f>
        <v>0</v>
      </c>
      <c r="M16" s="99">
        <f ca="1">IFERROR(INDEX('TESTING v1'!$C72:$V72,MATCH(M$25,$C$9:$V$9,0)),0)</f>
        <v>0</v>
      </c>
      <c r="N16" s="99">
        <f ca="1">IFERROR(INDEX('TESTING v1'!$C72:$V72,MATCH(N$25,$C$9:$V$9,0)),0)</f>
        <v>0</v>
      </c>
      <c r="O16" s="99">
        <f ca="1">IFERROR(INDEX('TESTING v1'!$C72:$V72,MATCH(O$25,$C$9:$V$9,0)),0)</f>
        <v>0</v>
      </c>
      <c r="P16" s="99">
        <f ca="1">IFERROR(INDEX('TESTING v1'!$C72:$V72,MATCH(P$25,$C$9:$V$9,0)),0)</f>
        <v>0</v>
      </c>
      <c r="Q16" s="99">
        <f ca="1">IFERROR(INDEX('TESTING v1'!$C72:$V72,MATCH(Q$25,$C$9:$V$9,0)),0)</f>
        <v>0</v>
      </c>
      <c r="R16" s="99">
        <f ca="1">IFERROR(INDEX('TESTING v1'!$C72:$V72,MATCH(R$25,$C$9:$V$9,0)),0)</f>
        <v>0</v>
      </c>
      <c r="S16" s="99">
        <f ca="1">IFERROR(INDEX('TESTING v1'!$C72:$V72,MATCH(S$25,$C$9:$V$9,0)),0)</f>
        <v>0</v>
      </c>
      <c r="T16" s="99">
        <f ca="1">IFERROR(INDEX('TESTING v1'!$C72:$V72,MATCH(T$25,$C$9:$V$9,0)),0)</f>
        <v>0</v>
      </c>
      <c r="U16" s="99">
        <f ca="1">IFERROR(INDEX('TESTING v1'!$C72:$V72,MATCH(U$25,$C$9:$V$9,0)),0)</f>
        <v>0</v>
      </c>
      <c r="V16" s="99">
        <f ca="1">IFERROR(INDEX('TESTING v1'!$C72:$V72,MATCH(V$25,$C$9:$V$9,0)),0)</f>
        <v>0</v>
      </c>
      <c r="W16" s="100">
        <f t="shared" ca="1" si="9"/>
        <v>0</v>
      </c>
      <c r="X16" s="21">
        <f t="shared" ca="1" si="10"/>
        <v>0</v>
      </c>
      <c r="Y16" s="10">
        <f t="shared" ca="1" si="11"/>
        <v>0</v>
      </c>
      <c r="Z16" s="10">
        <f t="shared" ca="1" si="12"/>
        <v>0</v>
      </c>
      <c r="AA16" s="10">
        <f t="shared" ca="1" si="13"/>
        <v>0</v>
      </c>
      <c r="AC16" s="69">
        <f ca="1">INDEX($C$1:$V$1,ROW($AC2:AC2))</f>
        <v>0</v>
      </c>
      <c r="AD16" s="69">
        <f ca="1">INDEX($C$11:$V$11,ROW($AD2:AD2))</f>
        <v>0</v>
      </c>
      <c r="AE16" s="69">
        <f ca="1">INDEX($C$12:$V$12,ROW($AE2:AE2))</f>
        <v>0</v>
      </c>
    </row>
    <row r="17" spans="1:31">
      <c r="A17" s="9"/>
      <c r="B17" s="49" t="str">
        <f>'TESTING v1'!B107</f>
        <v xml:space="preserve">Content Marketing </v>
      </c>
      <c r="C17" s="99">
        <f ca="1">IFERROR(INDEX('TESTING v1'!$C107:$V107,MATCH(C$25,$C$9:$V$9,0)),0)</f>
        <v>0</v>
      </c>
      <c r="D17" s="99">
        <f ca="1">IFERROR(INDEX('TESTING v1'!$C107:$V107,MATCH(D$25,$C$9:$V$9,0)),0)</f>
        <v>0</v>
      </c>
      <c r="E17" s="99">
        <f ca="1">IFERROR(INDEX('TESTING v1'!$C107:$V107,MATCH(E$25,$C$9:$V$9,0)),0)</f>
        <v>0</v>
      </c>
      <c r="F17" s="99">
        <f ca="1">IFERROR(INDEX('TESTING v1'!$C107:$V107,MATCH(F$25,$C$9:$V$9,0)),0)</f>
        <v>0</v>
      </c>
      <c r="G17" s="99">
        <f ca="1">IFERROR(INDEX('TESTING v1'!$C107:$V107,MATCH(G$25,$C$9:$V$9,0)),0)</f>
        <v>0</v>
      </c>
      <c r="H17" s="99">
        <f ca="1">IFERROR(INDEX('TESTING v1'!$C107:$V107,MATCH(H$25,$C$9:$V$9,0)),0)</f>
        <v>0</v>
      </c>
      <c r="I17" s="99">
        <f ca="1">IFERROR(INDEX('TESTING v1'!$C107:$V107,MATCH(I$25,$C$9:$V$9,0)),0)</f>
        <v>0</v>
      </c>
      <c r="J17" s="99">
        <f ca="1">IFERROR(INDEX('TESTING v1'!$C107:$V107,MATCH(J$25,$C$9:$V$9,0)),0)</f>
        <v>0</v>
      </c>
      <c r="K17" s="99">
        <f ca="1">IFERROR(INDEX('TESTING v1'!$C107:$V107,MATCH(K$25,$C$9:$V$9,0)),0)</f>
        <v>0</v>
      </c>
      <c r="L17" s="99">
        <f ca="1">IFERROR(INDEX('TESTING v1'!$C107:$V107,MATCH(L$25,$C$9:$V$9,0)),0)</f>
        <v>0</v>
      </c>
      <c r="M17" s="99">
        <f ca="1">IFERROR(INDEX('TESTING v1'!$C107:$V107,MATCH(M$25,$C$9:$V$9,0)),0)</f>
        <v>0</v>
      </c>
      <c r="N17" s="99">
        <f ca="1">IFERROR(INDEX('TESTING v1'!$C107:$V107,MATCH(N$25,$C$9:$V$9,0)),0)</f>
        <v>0</v>
      </c>
      <c r="O17" s="99">
        <f ca="1">IFERROR(INDEX('TESTING v1'!$C107:$V107,MATCH(O$25,$C$9:$V$9,0)),0)</f>
        <v>0</v>
      </c>
      <c r="P17" s="99">
        <f ca="1">IFERROR(INDEX('TESTING v1'!$C107:$V107,MATCH(P$25,$C$9:$V$9,0)),0)</f>
        <v>0</v>
      </c>
      <c r="Q17" s="99">
        <f ca="1">IFERROR(INDEX('TESTING v1'!$C107:$V107,MATCH(Q$25,$C$9:$V$9,0)),0)</f>
        <v>0</v>
      </c>
      <c r="R17" s="99">
        <f ca="1">IFERROR(INDEX('TESTING v1'!$C107:$V107,MATCH(R$25,$C$9:$V$9,0)),0)</f>
        <v>0</v>
      </c>
      <c r="S17" s="99">
        <f ca="1">IFERROR(INDEX('TESTING v1'!$C107:$V107,MATCH(S$25,$C$9:$V$9,0)),0)</f>
        <v>0</v>
      </c>
      <c r="T17" s="99">
        <f ca="1">IFERROR(INDEX('TESTING v1'!$C107:$V107,MATCH(T$25,$C$9:$V$9,0)),0)</f>
        <v>0</v>
      </c>
      <c r="U17" s="99">
        <f ca="1">IFERROR(INDEX('TESTING v1'!$C107:$V107,MATCH(U$25,$C$9:$V$9,0)),0)</f>
        <v>0</v>
      </c>
      <c r="V17" s="99">
        <f ca="1">IFERROR(INDEX('TESTING v1'!$C107:$V107,MATCH(V$25,$C$9:$V$9,0)),0)</f>
        <v>0</v>
      </c>
      <c r="W17" s="100">
        <f t="shared" ca="1" si="9"/>
        <v>0</v>
      </c>
      <c r="X17" s="21">
        <f t="shared" ca="1" si="10"/>
        <v>0</v>
      </c>
      <c r="Y17" s="10">
        <f t="shared" ca="1" si="11"/>
        <v>0</v>
      </c>
      <c r="Z17" s="10">
        <f t="shared" ca="1" si="12"/>
        <v>0</v>
      </c>
      <c r="AA17" s="10">
        <f t="shared" ca="1" si="13"/>
        <v>0</v>
      </c>
      <c r="AC17" s="69">
        <f ca="1">INDEX($C$1:$V$1,ROW($AC3:AC3))</f>
        <v>0</v>
      </c>
      <c r="AD17" s="69">
        <f ca="1">INDEX($C$11:$V$11,ROW($AD3:AD3))</f>
        <v>0</v>
      </c>
      <c r="AE17" s="69">
        <f ca="1">INDEX($C$12:$V$12,ROW($AE3:AE3))</f>
        <v>0</v>
      </c>
    </row>
    <row r="18" spans="1:31">
      <c r="A18" s="9"/>
      <c r="B18" s="49" t="str">
        <f>'TESTING v1'!B89</f>
        <v>Product Discovery</v>
      </c>
      <c r="C18" s="99">
        <f ca="1">IFERROR(INDEX('TESTING v1'!$C89:$V89,MATCH(C$25,$C$9:$V$9,0)),0)</f>
        <v>0</v>
      </c>
      <c r="D18" s="99">
        <f ca="1">IFERROR(INDEX('TESTING v1'!$C89:$V89,MATCH(D$25,$C$9:$V$9,0)),0)</f>
        <v>0</v>
      </c>
      <c r="E18" s="99">
        <f ca="1">IFERROR(INDEX('TESTING v1'!$C89:$V89,MATCH(E$25,$C$9:$V$9,0)),0)</f>
        <v>0</v>
      </c>
      <c r="F18" s="99">
        <f ca="1">IFERROR(INDEX('TESTING v1'!$C89:$V89,MATCH(F$25,$C$9:$V$9,0)),0)</f>
        <v>0</v>
      </c>
      <c r="G18" s="99">
        <f ca="1">IFERROR(INDEX('TESTING v1'!$C89:$V89,MATCH(G$25,$C$9:$V$9,0)),0)</f>
        <v>0</v>
      </c>
      <c r="H18" s="99">
        <f ca="1">IFERROR(INDEX('TESTING v1'!$C89:$V89,MATCH(H$25,$C$9:$V$9,0)),0)</f>
        <v>0</v>
      </c>
      <c r="I18" s="99">
        <f ca="1">IFERROR(INDEX('TESTING v1'!$C89:$V89,MATCH(I$25,$C$9:$V$9,0)),0)</f>
        <v>0</v>
      </c>
      <c r="J18" s="99">
        <f ca="1">IFERROR(INDEX('TESTING v1'!$C89:$V89,MATCH(J$25,$C$9:$V$9,0)),0)</f>
        <v>0</v>
      </c>
      <c r="K18" s="99">
        <f ca="1">IFERROR(INDEX('TESTING v1'!$C89:$V89,MATCH(K$25,$C$9:$V$9,0)),0)</f>
        <v>0</v>
      </c>
      <c r="L18" s="99">
        <f ca="1">IFERROR(INDEX('TESTING v1'!$C89:$V89,MATCH(L$25,$C$9:$V$9,0)),0)</f>
        <v>0</v>
      </c>
      <c r="M18" s="99">
        <f ca="1">IFERROR(INDEX('TESTING v1'!$C89:$V89,MATCH(M$25,$C$9:$V$9,0)),0)</f>
        <v>0</v>
      </c>
      <c r="N18" s="99">
        <f ca="1">IFERROR(INDEX('TESTING v1'!$C89:$V89,MATCH(N$25,$C$9:$V$9,0)),0)</f>
        <v>0</v>
      </c>
      <c r="O18" s="99">
        <f ca="1">IFERROR(INDEX('TESTING v1'!$C89:$V89,MATCH(O$25,$C$9:$V$9,0)),0)</f>
        <v>0</v>
      </c>
      <c r="P18" s="99">
        <f ca="1">IFERROR(INDEX('TESTING v1'!$C89:$V89,MATCH(P$25,$C$9:$V$9,0)),0)</f>
        <v>0</v>
      </c>
      <c r="Q18" s="99">
        <f ca="1">IFERROR(INDEX('TESTING v1'!$C89:$V89,MATCH(Q$25,$C$9:$V$9,0)),0)</f>
        <v>0</v>
      </c>
      <c r="R18" s="99">
        <f ca="1">IFERROR(INDEX('TESTING v1'!$C89:$V89,MATCH(R$25,$C$9:$V$9,0)),0)</f>
        <v>0</v>
      </c>
      <c r="S18" s="99">
        <f ca="1">IFERROR(INDEX('TESTING v1'!$C89:$V89,MATCH(S$25,$C$9:$V$9,0)),0)</f>
        <v>0</v>
      </c>
      <c r="T18" s="99">
        <f ca="1">IFERROR(INDEX('TESTING v1'!$C89:$V89,MATCH(T$25,$C$9:$V$9,0)),0)</f>
        <v>0</v>
      </c>
      <c r="U18" s="99">
        <f ca="1">IFERROR(INDEX('TESTING v1'!$C89:$V89,MATCH(U$25,$C$9:$V$9,0)),0)</f>
        <v>0</v>
      </c>
      <c r="V18" s="99">
        <f ca="1">IFERROR(INDEX('TESTING v1'!$C89:$V89,MATCH(V$25,$C$9:$V$9,0)),0)</f>
        <v>0</v>
      </c>
      <c r="W18" s="100">
        <f t="shared" ca="1" si="9"/>
        <v>0</v>
      </c>
      <c r="X18" s="21">
        <f t="shared" ca="1" si="10"/>
        <v>0</v>
      </c>
      <c r="Y18" s="10">
        <f t="shared" ca="1" si="11"/>
        <v>0</v>
      </c>
      <c r="Z18" s="10">
        <f t="shared" ca="1" si="12"/>
        <v>0</v>
      </c>
      <c r="AA18" s="10">
        <f t="shared" ca="1" si="13"/>
        <v>0</v>
      </c>
      <c r="AC18" s="69">
        <f ca="1">INDEX($C$1:$V$1,ROW($AC4:AC4))</f>
        <v>0</v>
      </c>
      <c r="AD18" s="69">
        <f ca="1">INDEX($C$11:$V$11,ROW($AD4:AD4))</f>
        <v>0</v>
      </c>
      <c r="AE18" s="69">
        <f ca="1">INDEX($C$12:$V$12,ROW($AE4:AE4))</f>
        <v>0</v>
      </c>
    </row>
    <row r="19" spans="1:31">
      <c r="A19" s="9"/>
      <c r="B19" s="49" t="str">
        <f>'TESTING v1'!B128</f>
        <v xml:space="preserve">Product Merchandising </v>
      </c>
      <c r="C19" s="99">
        <f ca="1">IFERROR(INDEX('TESTING v1'!$C128:$V128,MATCH(C$25,$C$9:$V$9,0)),0)</f>
        <v>0</v>
      </c>
      <c r="D19" s="99">
        <f ca="1">IFERROR(INDEX('TESTING v1'!$C128:$V128,MATCH(D$25,$C$9:$V$9,0)),0)</f>
        <v>0</v>
      </c>
      <c r="E19" s="99">
        <f ca="1">IFERROR(INDEX('TESTING v1'!$C128:$V128,MATCH(E$25,$C$9:$V$9,0)),0)</f>
        <v>0</v>
      </c>
      <c r="F19" s="99">
        <f ca="1">IFERROR(INDEX('TESTING v1'!$C128:$V128,MATCH(F$25,$C$9:$V$9,0)),0)</f>
        <v>0</v>
      </c>
      <c r="G19" s="99">
        <f ca="1">IFERROR(INDEX('TESTING v1'!$C128:$V128,MATCH(G$25,$C$9:$V$9,0)),0)</f>
        <v>0</v>
      </c>
      <c r="H19" s="99">
        <f ca="1">IFERROR(INDEX('TESTING v1'!$C128:$V128,MATCH(H$25,$C$9:$V$9,0)),0)</f>
        <v>0</v>
      </c>
      <c r="I19" s="99">
        <f ca="1">IFERROR(INDEX('TESTING v1'!$C128:$V128,MATCH(I$25,$C$9:$V$9,0)),0)</f>
        <v>0</v>
      </c>
      <c r="J19" s="99">
        <f ca="1">IFERROR(INDEX('TESTING v1'!$C128:$V128,MATCH(J$25,$C$9:$V$9,0)),0)</f>
        <v>0</v>
      </c>
      <c r="K19" s="99">
        <f ca="1">IFERROR(INDEX('TESTING v1'!$C128:$V128,MATCH(K$25,$C$9:$V$9,0)),0)</f>
        <v>0</v>
      </c>
      <c r="L19" s="99">
        <f ca="1">IFERROR(INDEX('TESTING v1'!$C128:$V128,MATCH(L$25,$C$9:$V$9,0)),0)</f>
        <v>0</v>
      </c>
      <c r="M19" s="99">
        <f ca="1">IFERROR(INDEX('TESTING v1'!$C128:$V128,MATCH(M$25,$C$9:$V$9,0)),0)</f>
        <v>0</v>
      </c>
      <c r="N19" s="99">
        <f ca="1">IFERROR(INDEX('TESTING v1'!$C128:$V128,MATCH(N$25,$C$9:$V$9,0)),0)</f>
        <v>0</v>
      </c>
      <c r="O19" s="99">
        <f ca="1">IFERROR(INDEX('TESTING v1'!$C128:$V128,MATCH(O$25,$C$9:$V$9,0)),0)</f>
        <v>0</v>
      </c>
      <c r="P19" s="99">
        <f ca="1">IFERROR(INDEX('TESTING v1'!$C128:$V128,MATCH(P$25,$C$9:$V$9,0)),0)</f>
        <v>0</v>
      </c>
      <c r="Q19" s="99">
        <f ca="1">IFERROR(INDEX('TESTING v1'!$C128:$V128,MATCH(Q$25,$C$9:$V$9,0)),0)</f>
        <v>0</v>
      </c>
      <c r="R19" s="99">
        <f ca="1">IFERROR(INDEX('TESTING v1'!$C128:$V128,MATCH(R$25,$C$9:$V$9,0)),0)</f>
        <v>0</v>
      </c>
      <c r="S19" s="99">
        <f ca="1">IFERROR(INDEX('TESTING v1'!$C128:$V128,MATCH(S$25,$C$9:$V$9,0)),0)</f>
        <v>0</v>
      </c>
      <c r="T19" s="99">
        <f ca="1">IFERROR(INDEX('TESTING v1'!$C128:$V128,MATCH(T$25,$C$9:$V$9,0)),0)</f>
        <v>0</v>
      </c>
      <c r="U19" s="99">
        <f ca="1">IFERROR(INDEX('TESTING v1'!$C128:$V128,MATCH(U$25,$C$9:$V$9,0)),0)</f>
        <v>0</v>
      </c>
      <c r="V19" s="99">
        <f ca="1">IFERROR(INDEX('TESTING v1'!$C128:$V128,MATCH(V$25,$C$9:$V$9,0)),0)</f>
        <v>0</v>
      </c>
      <c r="W19" s="100">
        <f t="shared" ca="1" si="9"/>
        <v>0</v>
      </c>
      <c r="X19" s="21">
        <f t="shared" ca="1" si="10"/>
        <v>0</v>
      </c>
      <c r="Y19" s="10">
        <f t="shared" ca="1" si="11"/>
        <v>0</v>
      </c>
      <c r="Z19" s="10">
        <f t="shared" ca="1" si="12"/>
        <v>0</v>
      </c>
      <c r="AA19" s="10">
        <f t="shared" ca="1" si="13"/>
        <v>0</v>
      </c>
      <c r="AC19" s="69">
        <f ca="1">INDEX($C$1:$V$1,ROW($AC5:AC5))</f>
        <v>0</v>
      </c>
      <c r="AD19" s="69">
        <f ca="1">INDEX($C$11:$V$11,ROW($AD5:AD5))</f>
        <v>0</v>
      </c>
      <c r="AE19" s="69">
        <f ca="1">INDEX($C$12:$V$12,ROW($AE5:AE5))</f>
        <v>0</v>
      </c>
    </row>
    <row r="20" spans="1:31">
      <c r="A20" s="9"/>
      <c r="B20" s="49" t="str">
        <f>'TESTING v1'!B152</f>
        <v>E-Commerce Functionality</v>
      </c>
      <c r="C20" s="99">
        <f ca="1">IFERROR(INDEX('TESTING v1'!$C152:$V152,MATCH(C$25,$C$9:$V$9,0)),0)</f>
        <v>0</v>
      </c>
      <c r="D20" s="99">
        <f ca="1">IFERROR(INDEX('TESTING v1'!$C152:$V152,MATCH(D$25,$C$9:$V$9,0)),0)</f>
        <v>0</v>
      </c>
      <c r="E20" s="99">
        <f ca="1">IFERROR(INDEX('TESTING v1'!$C152:$V152,MATCH(E$25,$C$9:$V$9,0)),0)</f>
        <v>0</v>
      </c>
      <c r="F20" s="99">
        <f ca="1">IFERROR(INDEX('TESTING v1'!$C152:$V152,MATCH(F$25,$C$9:$V$9,0)),0)</f>
        <v>0</v>
      </c>
      <c r="G20" s="99">
        <f ca="1">IFERROR(INDEX('TESTING v1'!$C152:$V152,MATCH(G$25,$C$9:$V$9,0)),0)</f>
        <v>0</v>
      </c>
      <c r="H20" s="99">
        <f ca="1">IFERROR(INDEX('TESTING v1'!$C152:$V152,MATCH(H$25,$C$9:$V$9,0)),0)</f>
        <v>0</v>
      </c>
      <c r="I20" s="99">
        <f ca="1">IFERROR(INDEX('TESTING v1'!$C152:$V152,MATCH(I$25,$C$9:$V$9,0)),0)</f>
        <v>0</v>
      </c>
      <c r="J20" s="99">
        <f ca="1">IFERROR(INDEX('TESTING v1'!$C152:$V152,MATCH(J$25,$C$9:$V$9,0)),0)</f>
        <v>0</v>
      </c>
      <c r="K20" s="99">
        <f ca="1">IFERROR(INDEX('TESTING v1'!$C152:$V152,MATCH(K$25,$C$9:$V$9,0)),0)</f>
        <v>0</v>
      </c>
      <c r="L20" s="99">
        <f ca="1">IFERROR(INDEX('TESTING v1'!$C152:$V152,MATCH(L$25,$C$9:$V$9,0)),0)</f>
        <v>0</v>
      </c>
      <c r="M20" s="99">
        <f ca="1">IFERROR(INDEX('TESTING v1'!$C152:$V152,MATCH(M$25,$C$9:$V$9,0)),0)</f>
        <v>0</v>
      </c>
      <c r="N20" s="99">
        <f ca="1">IFERROR(INDEX('TESTING v1'!$C152:$V152,MATCH(N$25,$C$9:$V$9,0)),0)</f>
        <v>0</v>
      </c>
      <c r="O20" s="99">
        <f ca="1">IFERROR(INDEX('TESTING v1'!$C152:$V152,MATCH(O$25,$C$9:$V$9,0)),0)</f>
        <v>0</v>
      </c>
      <c r="P20" s="99">
        <f ca="1">IFERROR(INDEX('TESTING v1'!$C152:$V152,MATCH(P$25,$C$9:$V$9,0)),0)</f>
        <v>0</v>
      </c>
      <c r="Q20" s="99">
        <f ca="1">IFERROR(INDEX('TESTING v1'!$C152:$V152,MATCH(Q$25,$C$9:$V$9,0)),0)</f>
        <v>0</v>
      </c>
      <c r="R20" s="99">
        <f ca="1">IFERROR(INDEX('TESTING v1'!$C152:$V152,MATCH(R$25,$C$9:$V$9,0)),0)</f>
        <v>0</v>
      </c>
      <c r="S20" s="99">
        <f ca="1">IFERROR(INDEX('TESTING v1'!$C152:$V152,MATCH(S$25,$C$9:$V$9,0)),0)</f>
        <v>0</v>
      </c>
      <c r="T20" s="99">
        <f ca="1">IFERROR(INDEX('TESTING v1'!$C152:$V152,MATCH(T$25,$C$9:$V$9,0)),0)</f>
        <v>0</v>
      </c>
      <c r="U20" s="99">
        <f ca="1">IFERROR(INDEX('TESTING v1'!$C152:$V152,MATCH(U$25,$C$9:$V$9,0)),0)</f>
        <v>0</v>
      </c>
      <c r="V20" s="99">
        <f ca="1">IFERROR(INDEX('TESTING v1'!$C152:$V152,MATCH(V$25,$C$9:$V$9,0)),0)</f>
        <v>0</v>
      </c>
      <c r="W20" s="100">
        <f t="shared" ca="1" si="9"/>
        <v>0</v>
      </c>
      <c r="X20" s="21">
        <f t="shared" ca="1" si="10"/>
        <v>0</v>
      </c>
      <c r="Y20" s="10">
        <f t="shared" ca="1" si="11"/>
        <v>0</v>
      </c>
      <c r="Z20" s="10">
        <f t="shared" ca="1" si="12"/>
        <v>0</v>
      </c>
      <c r="AA20" s="10">
        <f t="shared" ca="1" si="13"/>
        <v>0</v>
      </c>
      <c r="AC20" s="69">
        <f ca="1">INDEX($C$1:$V$1,ROW($AC6:AC6))</f>
        <v>0</v>
      </c>
      <c r="AD20" s="69">
        <f ca="1">INDEX($C$11:$V$11,ROW($AD6:AD6))</f>
        <v>0</v>
      </c>
      <c r="AE20" s="69">
        <f ca="1">INDEX($C$12:$V$12,ROW($AE6:AE6))</f>
        <v>0</v>
      </c>
    </row>
    <row r="21" spans="1:31">
      <c r="A21" s="9"/>
      <c r="B21" s="49" t="str">
        <f>'TESTING v1'!B180</f>
        <v>User Registration</v>
      </c>
      <c r="C21" s="99">
        <f ca="1">IFERROR(INDEX('TESTING v1'!$C180:$V180,MATCH(C$25,$C$9:$V$9,0)),0)</f>
        <v>0</v>
      </c>
      <c r="D21" s="99">
        <f ca="1">IFERROR(INDEX('TESTING v1'!$C180:$V180,MATCH(D$25,$C$9:$V$9,0)),0)</f>
        <v>0</v>
      </c>
      <c r="E21" s="99">
        <f ca="1">IFERROR(INDEX('TESTING v1'!$C180:$V180,MATCH(E$25,$C$9:$V$9,0)),0)</f>
        <v>0</v>
      </c>
      <c r="F21" s="99">
        <f ca="1">IFERROR(INDEX('TESTING v1'!$C180:$V180,MATCH(F$25,$C$9:$V$9,0)),0)</f>
        <v>0</v>
      </c>
      <c r="G21" s="99">
        <f ca="1">IFERROR(INDEX('TESTING v1'!$C180:$V180,MATCH(G$25,$C$9:$V$9,0)),0)</f>
        <v>0</v>
      </c>
      <c r="H21" s="99">
        <f ca="1">IFERROR(INDEX('TESTING v1'!$C180:$V180,MATCH(H$25,$C$9:$V$9,0)),0)</f>
        <v>0</v>
      </c>
      <c r="I21" s="99">
        <f ca="1">IFERROR(INDEX('TESTING v1'!$C180:$V180,MATCH(I$25,$C$9:$V$9,0)),0)</f>
        <v>0</v>
      </c>
      <c r="J21" s="99">
        <f ca="1">IFERROR(INDEX('TESTING v1'!$C180:$V180,MATCH(J$25,$C$9:$V$9,0)),0)</f>
        <v>0</v>
      </c>
      <c r="K21" s="99">
        <f ca="1">IFERROR(INDEX('TESTING v1'!$C180:$V180,MATCH(K$25,$C$9:$V$9,0)),0)</f>
        <v>0</v>
      </c>
      <c r="L21" s="99">
        <f ca="1">IFERROR(INDEX('TESTING v1'!$C180:$V180,MATCH(L$25,$C$9:$V$9,0)),0)</f>
        <v>0</v>
      </c>
      <c r="M21" s="99">
        <f ca="1">IFERROR(INDEX('TESTING v1'!$C180:$V180,MATCH(M$25,$C$9:$V$9,0)),0)</f>
        <v>0</v>
      </c>
      <c r="N21" s="99">
        <f ca="1">IFERROR(INDEX('TESTING v1'!$C180:$V180,MATCH(N$25,$C$9:$V$9,0)),0)</f>
        <v>0</v>
      </c>
      <c r="O21" s="99">
        <f ca="1">IFERROR(INDEX('TESTING v1'!$C180:$V180,MATCH(O$25,$C$9:$V$9,0)),0)</f>
        <v>0</v>
      </c>
      <c r="P21" s="99">
        <f ca="1">IFERROR(INDEX('TESTING v1'!$C180:$V180,MATCH(P$25,$C$9:$V$9,0)),0)</f>
        <v>0</v>
      </c>
      <c r="Q21" s="99">
        <f ca="1">IFERROR(INDEX('TESTING v1'!$C180:$V180,MATCH(Q$25,$C$9:$V$9,0)),0)</f>
        <v>0</v>
      </c>
      <c r="R21" s="99">
        <f ca="1">IFERROR(INDEX('TESTING v1'!$C180:$V180,MATCH(R$25,$C$9:$V$9,0)),0)</f>
        <v>0</v>
      </c>
      <c r="S21" s="99">
        <f ca="1">IFERROR(INDEX('TESTING v1'!$C180:$V180,MATCH(S$25,$C$9:$V$9,0)),0)</f>
        <v>0</v>
      </c>
      <c r="T21" s="99">
        <f ca="1">IFERROR(INDEX('TESTING v1'!$C180:$V180,MATCH(T$25,$C$9:$V$9,0)),0)</f>
        <v>0</v>
      </c>
      <c r="U21" s="99">
        <f ca="1">IFERROR(INDEX('TESTING v1'!$C180:$V180,MATCH(U$25,$C$9:$V$9,0)),0)</f>
        <v>0</v>
      </c>
      <c r="V21" s="99">
        <f ca="1">IFERROR(INDEX('TESTING v1'!$C180:$V180,MATCH(V$25,$C$9:$V$9,0)),0)</f>
        <v>0</v>
      </c>
      <c r="W21" s="100">
        <f t="shared" ca="1" si="9"/>
        <v>0</v>
      </c>
      <c r="X21" s="21">
        <f t="shared" ca="1" si="10"/>
        <v>0</v>
      </c>
      <c r="Y21" s="10">
        <f t="shared" ca="1" si="11"/>
        <v>0</v>
      </c>
      <c r="Z21" s="10">
        <f t="shared" ca="1" si="12"/>
        <v>0</v>
      </c>
      <c r="AA21" s="10">
        <f t="shared" ca="1" si="13"/>
        <v>0</v>
      </c>
      <c r="AC21" s="69">
        <f ca="1">INDEX($C$1:$V$1,ROW($AC7:AC7))</f>
        <v>0</v>
      </c>
      <c r="AD21" s="69">
        <f ca="1">INDEX($C$11:$V$11,ROW($AD7:AD7))</f>
        <v>0</v>
      </c>
      <c r="AE21" s="69">
        <f ca="1">INDEX($C$12:$V$12,ROW($AE7:AE7))</f>
        <v>0</v>
      </c>
    </row>
    <row r="22" spans="1:31">
      <c r="A22" s="9"/>
      <c r="B22" s="49" t="str">
        <f>'TESTING v1'!B203</f>
        <v xml:space="preserve">E-Referral </v>
      </c>
      <c r="C22" s="99">
        <f ca="1">IFERROR(INDEX('TESTING v1'!$C203:$V203,MATCH(C$25,$C$9:$V$9,0)),0)</f>
        <v>0</v>
      </c>
      <c r="D22" s="99">
        <f ca="1">IFERROR(INDEX('TESTING v1'!$C203:$V203,MATCH(D$25,$C$9:$V$9,0)),0)</f>
        <v>0</v>
      </c>
      <c r="E22" s="99">
        <f ca="1">IFERROR(INDEX('TESTING v1'!$C203:$V203,MATCH(E$25,$C$9:$V$9,0)),0)</f>
        <v>0</v>
      </c>
      <c r="F22" s="99">
        <f ca="1">IFERROR(INDEX('TESTING v1'!$C203:$V203,MATCH(F$25,$C$9:$V$9,0)),0)</f>
        <v>0</v>
      </c>
      <c r="G22" s="99">
        <f ca="1">IFERROR(INDEX('TESTING v1'!$C203:$V203,MATCH(G$25,$C$9:$V$9,0)),0)</f>
        <v>0</v>
      </c>
      <c r="H22" s="99">
        <f ca="1">IFERROR(INDEX('TESTING v1'!$C203:$V203,MATCH(H$25,$C$9:$V$9,0)),0)</f>
        <v>0</v>
      </c>
      <c r="I22" s="99">
        <f ca="1">IFERROR(INDEX('TESTING v1'!$C203:$V203,MATCH(I$25,$C$9:$V$9,0)),0)</f>
        <v>0</v>
      </c>
      <c r="J22" s="99">
        <f ca="1">IFERROR(INDEX('TESTING v1'!$C203:$V203,MATCH(J$25,$C$9:$V$9,0)),0)</f>
        <v>0</v>
      </c>
      <c r="K22" s="99">
        <f ca="1">IFERROR(INDEX('TESTING v1'!$C203:$V203,MATCH(K$25,$C$9:$V$9,0)),0)</f>
        <v>0</v>
      </c>
      <c r="L22" s="99">
        <f ca="1">IFERROR(INDEX('TESTING v1'!$C203:$V203,MATCH(L$25,$C$9:$V$9,0)),0)</f>
        <v>0</v>
      </c>
      <c r="M22" s="99">
        <f ca="1">IFERROR(INDEX('TESTING v1'!$C203:$V203,MATCH(M$25,$C$9:$V$9,0)),0)</f>
        <v>0</v>
      </c>
      <c r="N22" s="99">
        <f ca="1">IFERROR(INDEX('TESTING v1'!$C203:$V203,MATCH(N$25,$C$9:$V$9,0)),0)</f>
        <v>0</v>
      </c>
      <c r="O22" s="99">
        <f ca="1">IFERROR(INDEX('TESTING v1'!$C203:$V203,MATCH(O$25,$C$9:$V$9,0)),0)</f>
        <v>0</v>
      </c>
      <c r="P22" s="99">
        <f ca="1">IFERROR(INDEX('TESTING v1'!$C203:$V203,MATCH(P$25,$C$9:$V$9,0)),0)</f>
        <v>0</v>
      </c>
      <c r="Q22" s="99">
        <f ca="1">IFERROR(INDEX('TESTING v1'!$C203:$V203,MATCH(Q$25,$C$9:$V$9,0)),0)</f>
        <v>0</v>
      </c>
      <c r="R22" s="99">
        <f ca="1">IFERROR(INDEX('TESTING v1'!$C203:$V203,MATCH(R$25,$C$9:$V$9,0)),0)</f>
        <v>0</v>
      </c>
      <c r="S22" s="99">
        <f ca="1">IFERROR(INDEX('TESTING v1'!$C203:$V203,MATCH(S$25,$C$9:$V$9,0)),0)</f>
        <v>0</v>
      </c>
      <c r="T22" s="99">
        <f ca="1">IFERROR(INDEX('TESTING v1'!$C203:$V203,MATCH(T$25,$C$9:$V$9,0)),0)</f>
        <v>0</v>
      </c>
      <c r="U22" s="99">
        <f ca="1">IFERROR(INDEX('TESTING v1'!$C203:$V203,MATCH(U$25,$C$9:$V$9,0)),0)</f>
        <v>0</v>
      </c>
      <c r="V22" s="99">
        <f ca="1">IFERROR(INDEX('TESTING v1'!$C203:$V203,MATCH(V$25,$C$9:$V$9,0)),0)</f>
        <v>0</v>
      </c>
      <c r="W22" s="100">
        <f t="shared" ca="1" si="9"/>
        <v>0</v>
      </c>
      <c r="X22" s="21">
        <f t="shared" ca="1" si="10"/>
        <v>0</v>
      </c>
      <c r="Y22" s="10">
        <f t="shared" ca="1" si="11"/>
        <v>0</v>
      </c>
      <c r="Z22" s="10">
        <f t="shared" ca="1" si="12"/>
        <v>0</v>
      </c>
      <c r="AA22" s="10">
        <f t="shared" ca="1" si="13"/>
        <v>0</v>
      </c>
      <c r="AC22" s="69">
        <f ca="1">INDEX($C$1:$V$1,ROW($AC8:AC8))</f>
        <v>0</v>
      </c>
      <c r="AD22" s="69">
        <f ca="1">INDEX($C$11:$V$11,ROW($AD8:AD8))</f>
        <v>0</v>
      </c>
      <c r="AE22" s="69">
        <f ca="1">INDEX($C$12:$V$12,ROW($AE8:AE8))</f>
        <v>0</v>
      </c>
    </row>
    <row r="23" spans="1:31">
      <c r="A23" s="9"/>
      <c r="B23" s="49" t="str">
        <f>'TESTING v1'!B219</f>
        <v xml:space="preserve">Online Support </v>
      </c>
      <c r="C23" s="99">
        <f ca="1">IFERROR(INDEX('TESTING v1'!$C219:$V219,MATCH(C$25,$C$9:$V$9,0)),0)</f>
        <v>0</v>
      </c>
      <c r="D23" s="99">
        <f ca="1">IFERROR(INDEX('TESTING v1'!$C219:$V219,MATCH(D$25,$C$9:$V$9,0)),0)</f>
        <v>0</v>
      </c>
      <c r="E23" s="99">
        <f ca="1">IFERROR(INDEX('TESTING v1'!$C219:$V219,MATCH(E$25,$C$9:$V$9,0)),0)</f>
        <v>0</v>
      </c>
      <c r="F23" s="99">
        <f ca="1">IFERROR(INDEX('TESTING v1'!$C219:$V219,MATCH(F$25,$C$9:$V$9,0)),0)</f>
        <v>0</v>
      </c>
      <c r="G23" s="99">
        <f ca="1">IFERROR(INDEX('TESTING v1'!$C219:$V219,MATCH(G$25,$C$9:$V$9,0)),0)</f>
        <v>0</v>
      </c>
      <c r="H23" s="99">
        <f ca="1">IFERROR(INDEX('TESTING v1'!$C219:$V219,MATCH(H$25,$C$9:$V$9,0)),0)</f>
        <v>0</v>
      </c>
      <c r="I23" s="99">
        <f ca="1">IFERROR(INDEX('TESTING v1'!$C219:$V219,MATCH(I$25,$C$9:$V$9,0)),0)</f>
        <v>0</v>
      </c>
      <c r="J23" s="99">
        <f ca="1">IFERROR(INDEX('TESTING v1'!$C219:$V219,MATCH(J$25,$C$9:$V$9,0)),0)</f>
        <v>0</v>
      </c>
      <c r="K23" s="99">
        <f ca="1">IFERROR(INDEX('TESTING v1'!$C219:$V219,MATCH(K$25,$C$9:$V$9,0)),0)</f>
        <v>0</v>
      </c>
      <c r="L23" s="99">
        <f ca="1">IFERROR(INDEX('TESTING v1'!$C219:$V219,MATCH(L$25,$C$9:$V$9,0)),0)</f>
        <v>0</v>
      </c>
      <c r="M23" s="99">
        <f ca="1">IFERROR(INDEX('TESTING v1'!$C219:$V219,MATCH(M$25,$C$9:$V$9,0)),0)</f>
        <v>0</v>
      </c>
      <c r="N23" s="99">
        <f ca="1">IFERROR(INDEX('TESTING v1'!$C219:$V219,MATCH(N$25,$C$9:$V$9,0)),0)</f>
        <v>0</v>
      </c>
      <c r="O23" s="99">
        <f ca="1">IFERROR(INDEX('TESTING v1'!$C219:$V219,MATCH(O$25,$C$9:$V$9,0)),0)</f>
        <v>0</v>
      </c>
      <c r="P23" s="99">
        <f ca="1">IFERROR(INDEX('TESTING v1'!$C219:$V219,MATCH(P$25,$C$9:$V$9,0)),0)</f>
        <v>0</v>
      </c>
      <c r="Q23" s="99">
        <f ca="1">IFERROR(INDEX('TESTING v1'!$C219:$V219,MATCH(Q$25,$C$9:$V$9,0)),0)</f>
        <v>0</v>
      </c>
      <c r="R23" s="99">
        <f ca="1">IFERROR(INDEX('TESTING v1'!$C219:$V219,MATCH(R$25,$C$9:$V$9,0)),0)</f>
        <v>0</v>
      </c>
      <c r="S23" s="99">
        <f ca="1">IFERROR(INDEX('TESTING v1'!$C219:$V219,MATCH(S$25,$C$9:$V$9,0)),0)</f>
        <v>0</v>
      </c>
      <c r="T23" s="99">
        <f ca="1">IFERROR(INDEX('TESTING v1'!$C219:$V219,MATCH(T$25,$C$9:$V$9,0)),0)</f>
        <v>0</v>
      </c>
      <c r="U23" s="99">
        <f ca="1">IFERROR(INDEX('TESTING v1'!$C219:$V219,MATCH(U$25,$C$9:$V$9,0)),0)</f>
        <v>0</v>
      </c>
      <c r="V23" s="99">
        <f ca="1">IFERROR(INDEX('TESTING v1'!$C219:$V219,MATCH(V$25,$C$9:$V$9,0)),0)</f>
        <v>0</v>
      </c>
      <c r="W23" s="100">
        <f t="shared" ca="1" si="9"/>
        <v>0</v>
      </c>
      <c r="X23" s="21">
        <f t="shared" ca="1" si="10"/>
        <v>0</v>
      </c>
      <c r="Y23" s="10">
        <f t="shared" ca="1" si="11"/>
        <v>0</v>
      </c>
      <c r="Z23" s="10">
        <f t="shared" ca="1" si="12"/>
        <v>0</v>
      </c>
      <c r="AA23" s="10">
        <f t="shared" ca="1" si="13"/>
        <v>0</v>
      </c>
      <c r="AC23" s="69">
        <f ca="1">INDEX($C$1:$V$1,ROW($AC10:AC10))</f>
        <v>0</v>
      </c>
      <c r="AD23" s="69">
        <f ca="1">INDEX($C$11:$V$11,ROW($AD10:AD10))</f>
        <v>0</v>
      </c>
      <c r="AE23" s="69">
        <f ca="1">INDEX($C$12:$V$12,ROW($AE10:AE10))</f>
        <v>0</v>
      </c>
    </row>
    <row r="24" spans="1:31">
      <c r="A24" s="9"/>
      <c r="B24" s="49" t="str">
        <f>'TESTING v1'!B58</f>
        <v>Social Media Deployment</v>
      </c>
      <c r="C24" s="99">
        <f ca="1">IFERROR(INDEX('TESTING v1'!$C58:$V58,MATCH(C$25,$C$9:$V$9,0)),0)</f>
        <v>0</v>
      </c>
      <c r="D24" s="99">
        <f ca="1">IFERROR(INDEX('TESTING v1'!$C58:$V58,MATCH(D$25,$C$9:$V$9,0)),0)</f>
        <v>0</v>
      </c>
      <c r="E24" s="99">
        <f ca="1">IFERROR(INDEX('TESTING v1'!$C58:$V58,MATCH(E$25,$C$9:$V$9,0)),0)</f>
        <v>0</v>
      </c>
      <c r="F24" s="99">
        <f ca="1">IFERROR(INDEX('TESTING v1'!$C58:$V58,MATCH(F$25,$C$9:$V$9,0)),0)</f>
        <v>0</v>
      </c>
      <c r="G24" s="99">
        <f ca="1">IFERROR(INDEX('TESTING v1'!$C58:$V58,MATCH(G$25,$C$9:$V$9,0)),0)</f>
        <v>0</v>
      </c>
      <c r="H24" s="99">
        <f ca="1">IFERROR(INDEX('TESTING v1'!$C58:$V58,MATCH(H$25,$C$9:$V$9,0)),0)</f>
        <v>0</v>
      </c>
      <c r="I24" s="99">
        <f ca="1">IFERROR(INDEX('TESTING v1'!$C58:$V58,MATCH(I$25,$C$9:$V$9,0)),0)</f>
        <v>0</v>
      </c>
      <c r="J24" s="99">
        <f ca="1">IFERROR(INDEX('TESTING v1'!$C58:$V58,MATCH(J$25,$C$9:$V$9,0)),0)</f>
        <v>0</v>
      </c>
      <c r="K24" s="99">
        <f ca="1">IFERROR(INDEX('TESTING v1'!$C58:$V58,MATCH(K$25,$C$9:$V$9,0)),0)</f>
        <v>0</v>
      </c>
      <c r="L24" s="99">
        <f ca="1">IFERROR(INDEX('TESTING v1'!$C58:$V58,MATCH(L$25,$C$9:$V$9,0)),0)</f>
        <v>0</v>
      </c>
      <c r="M24" s="99">
        <f ca="1">IFERROR(INDEX('TESTING v1'!$C58:$V58,MATCH(M$25,$C$9:$V$9,0)),0)</f>
        <v>0</v>
      </c>
      <c r="N24" s="99">
        <f ca="1">IFERROR(INDEX('TESTING v1'!$C58:$V58,MATCH(N$25,$C$9:$V$9,0)),0)</f>
        <v>0</v>
      </c>
      <c r="O24" s="99">
        <f ca="1">IFERROR(INDEX('TESTING v1'!$C58:$V58,MATCH(O$25,$C$9:$V$9,0)),0)</f>
        <v>0</v>
      </c>
      <c r="P24" s="99">
        <f ca="1">IFERROR(INDEX('TESTING v1'!$C58:$V58,MATCH(P$25,$C$9:$V$9,0)),0)</f>
        <v>0</v>
      </c>
      <c r="Q24" s="99">
        <f ca="1">IFERROR(INDEX('TESTING v1'!$C58:$V58,MATCH(Q$25,$C$9:$V$9,0)),0)</f>
        <v>0</v>
      </c>
      <c r="R24" s="99">
        <f ca="1">IFERROR(INDEX('TESTING v1'!$C58:$V58,MATCH(R$25,$C$9:$V$9,0)),0)</f>
        <v>0</v>
      </c>
      <c r="S24" s="99">
        <f ca="1">IFERROR(INDEX('TESTING v1'!$C58:$V58,MATCH(S$25,$C$9:$V$9,0)),0)</f>
        <v>0</v>
      </c>
      <c r="T24" s="99">
        <f ca="1">IFERROR(INDEX('TESTING v1'!$C58:$V58,MATCH(T$25,$C$9:$V$9,0)),0)</f>
        <v>0</v>
      </c>
      <c r="U24" s="99">
        <f ca="1">IFERROR(INDEX('TESTING v1'!$C58:$V58,MATCH(U$25,$C$9:$V$9,0)),0)</f>
        <v>0</v>
      </c>
      <c r="V24" s="99">
        <f ca="1">IFERROR(INDEX('TESTING v1'!$C58:$V58,MATCH(V$25,$C$9:$V$9,0)),0)</f>
        <v>0</v>
      </c>
      <c r="W24" s="100">
        <f t="shared" ca="1" si="9"/>
        <v>0</v>
      </c>
      <c r="X24" s="21">
        <f t="shared" ca="1" si="10"/>
        <v>0</v>
      </c>
      <c r="Y24" s="10">
        <f t="shared" ca="1" si="11"/>
        <v>0</v>
      </c>
      <c r="Z24" s="10">
        <f t="shared" ca="1" si="12"/>
        <v>0</v>
      </c>
      <c r="AA24" s="10">
        <f t="shared" ca="1" si="13"/>
        <v>0</v>
      </c>
      <c r="AC24" s="69" t="str">
        <f ca="1">INDEX($C$1:$V$1,ROW($AC11:AC11))</f>
        <v>Fi Global</v>
      </c>
      <c r="AD24" s="69">
        <f ca="1">INDEX($C$11:$V$11,ROW($AD11:AD11))</f>
        <v>0</v>
      </c>
      <c r="AE24" s="69">
        <f ca="1">INDEX($C$12:$V$12,ROW($AE11:AE11))</f>
        <v>0</v>
      </c>
    </row>
    <row r="25" spans="1:31">
      <c r="A25" s="9"/>
      <c r="C25" s="213">
        <v>1</v>
      </c>
      <c r="D25" s="213">
        <v>2</v>
      </c>
      <c r="E25" s="213">
        <v>3</v>
      </c>
      <c r="F25" s="213">
        <v>4</v>
      </c>
      <c r="G25" s="213">
        <v>5</v>
      </c>
      <c r="H25" s="213">
        <v>6</v>
      </c>
      <c r="I25" s="213">
        <v>7</v>
      </c>
      <c r="J25" s="213">
        <v>8</v>
      </c>
      <c r="K25" s="213">
        <v>9</v>
      </c>
      <c r="L25" s="213">
        <v>10</v>
      </c>
      <c r="M25" s="213">
        <v>11</v>
      </c>
      <c r="N25" s="213">
        <v>12</v>
      </c>
      <c r="O25" s="213">
        <v>13</v>
      </c>
      <c r="P25" s="213">
        <v>14</v>
      </c>
      <c r="Q25" s="213">
        <v>15</v>
      </c>
      <c r="R25" s="213">
        <v>16</v>
      </c>
      <c r="S25" s="213">
        <v>17</v>
      </c>
      <c r="T25" s="213">
        <v>18</v>
      </c>
      <c r="U25" s="213">
        <v>19</v>
      </c>
      <c r="V25" s="213">
        <v>20</v>
      </c>
      <c r="W25" s="32"/>
      <c r="AC25" s="69">
        <f ca="1">INDEX($C$1:$V$1,ROW($AC12:AC12))</f>
        <v>0</v>
      </c>
      <c r="AD25" s="69">
        <f ca="1">INDEX($C$11:$V$11,ROW($AD12:AD12))</f>
        <v>0</v>
      </c>
      <c r="AE25" s="69">
        <f ca="1">INDEX($C$12:$V$12,ROW($AE12:AE12))</f>
        <v>0</v>
      </c>
    </row>
    <row r="26" spans="1:31" ht="15.75">
      <c r="A26" s="9"/>
      <c r="B26" s="325" t="s">
        <v>351</v>
      </c>
      <c r="C26" s="325"/>
      <c r="D26" s="325"/>
      <c r="E26" s="325"/>
      <c r="F26" s="325"/>
      <c r="G26" s="325"/>
      <c r="H26" s="325"/>
      <c r="I26" s="325"/>
      <c r="J26" s="325"/>
      <c r="K26" s="325"/>
      <c r="L26" s="325"/>
      <c r="M26" s="325"/>
      <c r="N26" s="325"/>
      <c r="O26" s="325"/>
      <c r="P26" s="325"/>
      <c r="Q26" s="325"/>
      <c r="R26" s="325"/>
      <c r="S26" s="325"/>
      <c r="T26" s="325"/>
      <c r="U26" s="325"/>
      <c r="V26" s="325"/>
      <c r="W26" s="103"/>
      <c r="AC26" s="69">
        <f ca="1">INDEX($C$1:$V$1,ROW($AC13:AC13))</f>
        <v>0</v>
      </c>
      <c r="AD26" s="69">
        <f ca="1">INDEX($C$11:$V$11,ROW($AD13:AD13))</f>
        <v>0</v>
      </c>
      <c r="AE26" s="69">
        <f ca="1">INDEX($C$12:$V$12,ROW($AE13:AE13))</f>
        <v>0</v>
      </c>
    </row>
    <row r="27" spans="1:31" s="31" customFormat="1" ht="15.75">
      <c r="A27" s="9"/>
      <c r="B27" s="104"/>
      <c r="C27" s="104"/>
      <c r="D27" s="104"/>
      <c r="E27" s="104"/>
      <c r="F27" s="104"/>
      <c r="G27" s="104"/>
      <c r="H27" s="104"/>
      <c r="I27" s="104"/>
      <c r="J27" s="104"/>
      <c r="K27" s="104"/>
      <c r="L27" s="104"/>
      <c r="M27" s="104"/>
      <c r="N27" s="104"/>
      <c r="O27" s="104"/>
      <c r="P27" s="104"/>
      <c r="Q27" s="104"/>
      <c r="R27" s="104"/>
      <c r="S27" s="104"/>
      <c r="T27" s="104"/>
      <c r="U27" s="104"/>
      <c r="V27" s="104"/>
      <c r="W27" s="105"/>
      <c r="AC27" s="69">
        <f ca="1">INDEX($C$1:$V$1,ROW($AC14:AC14))</f>
        <v>0</v>
      </c>
      <c r="AD27" s="69">
        <f ca="1">INDEX($C$11:$V$11,ROW($AD14:AD14))</f>
        <v>0</v>
      </c>
      <c r="AE27" s="69">
        <f ca="1">INDEX($C$12:$V$12,ROW($AE14:AE14))</f>
        <v>0</v>
      </c>
    </row>
    <row r="28" spans="1:31">
      <c r="A28" s="9"/>
      <c r="C28" s="69" t="str">
        <f t="shared" ref="C28:V28" ca="1" si="14">C1</f>
        <v>CPhI</v>
      </c>
      <c r="D28" s="69">
        <f t="shared" ca="1" si="14"/>
        <v>0</v>
      </c>
      <c r="E28" s="69">
        <f t="shared" ca="1" si="14"/>
        <v>0</v>
      </c>
      <c r="F28" s="69">
        <f t="shared" ca="1" si="14"/>
        <v>0</v>
      </c>
      <c r="G28" s="69">
        <f t="shared" ca="1" si="14"/>
        <v>0</v>
      </c>
      <c r="H28" s="69">
        <f t="shared" ca="1" si="14"/>
        <v>0</v>
      </c>
      <c r="I28" s="69">
        <f t="shared" ca="1" si="14"/>
        <v>0</v>
      </c>
      <c r="J28" s="69">
        <f t="shared" ca="1" si="14"/>
        <v>0</v>
      </c>
      <c r="K28" s="69">
        <f t="shared" ca="1" si="14"/>
        <v>0</v>
      </c>
      <c r="L28" s="69">
        <f t="shared" ca="1" si="14"/>
        <v>0</v>
      </c>
      <c r="M28" s="69" t="str">
        <f t="shared" ca="1" si="14"/>
        <v>Fi Global</v>
      </c>
      <c r="N28" s="69">
        <f t="shared" ca="1" si="14"/>
        <v>0</v>
      </c>
      <c r="O28" s="69">
        <f t="shared" ca="1" si="14"/>
        <v>0</v>
      </c>
      <c r="P28" s="69">
        <f t="shared" ca="1" si="14"/>
        <v>0</v>
      </c>
      <c r="Q28" s="69">
        <f t="shared" ca="1" si="14"/>
        <v>0</v>
      </c>
      <c r="R28" s="69">
        <f t="shared" ca="1" si="14"/>
        <v>0</v>
      </c>
      <c r="S28" s="69">
        <f t="shared" ca="1" si="14"/>
        <v>0</v>
      </c>
      <c r="T28" s="69">
        <f t="shared" ca="1" si="14"/>
        <v>0</v>
      </c>
      <c r="U28" s="69">
        <f t="shared" ca="1" si="14"/>
        <v>0</v>
      </c>
      <c r="V28" s="69">
        <f t="shared" ca="1" si="14"/>
        <v>0</v>
      </c>
      <c r="W28" s="105"/>
      <c r="X28" s="106" t="s">
        <v>340</v>
      </c>
      <c r="AC28" s="69">
        <f ca="1">INDEX($C$1:$V$1,ROW($AC15:AC15))</f>
        <v>0</v>
      </c>
      <c r="AD28" s="69">
        <f ca="1">INDEX($C$11:$V$11,ROW($AD15:AD15))</f>
        <v>0</v>
      </c>
      <c r="AE28" s="69">
        <f ca="1">INDEX($C$12:$V$12,ROW($AE15:AE15))</f>
        <v>0</v>
      </c>
    </row>
    <row r="29" spans="1:31">
      <c r="A29" s="9"/>
      <c r="B29" s="69" t="str">
        <f>B2</f>
        <v>Initial Consideration</v>
      </c>
      <c r="C29" s="107">
        <f t="shared" ref="C29:V29" ca="1" si="15">_xlfn.RANK.AVG(C2,$C2:$V2,)</f>
        <v>10.5</v>
      </c>
      <c r="D29" s="107">
        <f t="shared" ca="1" si="15"/>
        <v>10.5</v>
      </c>
      <c r="E29" s="107">
        <f t="shared" ca="1" si="15"/>
        <v>10.5</v>
      </c>
      <c r="F29" s="107">
        <f t="shared" ca="1" si="15"/>
        <v>10.5</v>
      </c>
      <c r="G29" s="107">
        <f t="shared" ca="1" si="15"/>
        <v>10.5</v>
      </c>
      <c r="H29" s="107">
        <f t="shared" ca="1" si="15"/>
        <v>10.5</v>
      </c>
      <c r="I29" s="107">
        <f t="shared" ca="1" si="15"/>
        <v>10.5</v>
      </c>
      <c r="J29" s="107">
        <f t="shared" ca="1" si="15"/>
        <v>10.5</v>
      </c>
      <c r="K29" s="107">
        <f t="shared" ca="1" si="15"/>
        <v>10.5</v>
      </c>
      <c r="L29" s="107">
        <f t="shared" ca="1" si="15"/>
        <v>10.5</v>
      </c>
      <c r="M29" s="107">
        <f t="shared" ca="1" si="15"/>
        <v>10.5</v>
      </c>
      <c r="N29" s="107">
        <f t="shared" ca="1" si="15"/>
        <v>10.5</v>
      </c>
      <c r="O29" s="107">
        <f t="shared" ca="1" si="15"/>
        <v>10.5</v>
      </c>
      <c r="P29" s="107">
        <f t="shared" ca="1" si="15"/>
        <v>10.5</v>
      </c>
      <c r="Q29" s="107">
        <f t="shared" ca="1" si="15"/>
        <v>10.5</v>
      </c>
      <c r="R29" s="107">
        <f t="shared" ca="1" si="15"/>
        <v>10.5</v>
      </c>
      <c r="S29" s="107">
        <f t="shared" ca="1" si="15"/>
        <v>10.5</v>
      </c>
      <c r="T29" s="107">
        <f t="shared" ca="1" si="15"/>
        <v>10.5</v>
      </c>
      <c r="U29" s="107">
        <f t="shared" ca="1" si="15"/>
        <v>10.5</v>
      </c>
      <c r="V29" s="107">
        <f t="shared" ca="1" si="15"/>
        <v>10.5</v>
      </c>
      <c r="W29" s="105">
        <f ca="1">W2</f>
        <v>0</v>
      </c>
      <c r="X29" s="108" t="str">
        <f ca="1">IF(W29&gt;0.2, "HIGH", IF(W29&lt;0.1, "LOW", "MED"))</f>
        <v>LOW</v>
      </c>
      <c r="AC29" s="69">
        <f ca="1">INDEX($C$1:$V$1,ROW($AC16:AC16))</f>
        <v>0</v>
      </c>
      <c r="AD29" s="69">
        <f ca="1">INDEX($C$11:$V$11,ROW($AD16:AD16))</f>
        <v>0</v>
      </c>
      <c r="AE29" s="69">
        <f ca="1">INDEX($C$12:$V$12,ROW($AE16:AE16))</f>
        <v>0</v>
      </c>
    </row>
    <row r="30" spans="1:31">
      <c r="A30" s="9"/>
      <c r="B30" s="69" t="str">
        <f>B3</f>
        <v>Active Evaluation</v>
      </c>
      <c r="C30" s="107">
        <f t="shared" ref="C30:V30" ca="1" si="16">_xlfn.RANK.AVG(C3,$C3:$V3,)</f>
        <v>1</v>
      </c>
      <c r="D30" s="107">
        <f t="shared" ca="1" si="16"/>
        <v>11</v>
      </c>
      <c r="E30" s="107">
        <f t="shared" ca="1" si="16"/>
        <v>11</v>
      </c>
      <c r="F30" s="107">
        <f t="shared" ca="1" si="16"/>
        <v>11</v>
      </c>
      <c r="G30" s="107">
        <f t="shared" ca="1" si="16"/>
        <v>11</v>
      </c>
      <c r="H30" s="107">
        <f t="shared" ca="1" si="16"/>
        <v>11</v>
      </c>
      <c r="I30" s="107">
        <f t="shared" ca="1" si="16"/>
        <v>11</v>
      </c>
      <c r="J30" s="107">
        <f t="shared" ca="1" si="16"/>
        <v>11</v>
      </c>
      <c r="K30" s="107">
        <f t="shared" ca="1" si="16"/>
        <v>11</v>
      </c>
      <c r="L30" s="107">
        <f t="shared" ca="1" si="16"/>
        <v>11</v>
      </c>
      <c r="M30" s="107">
        <f t="shared" ca="1" si="16"/>
        <v>11</v>
      </c>
      <c r="N30" s="107">
        <f t="shared" ca="1" si="16"/>
        <v>11</v>
      </c>
      <c r="O30" s="107">
        <f t="shared" ca="1" si="16"/>
        <v>11</v>
      </c>
      <c r="P30" s="107">
        <f t="shared" ca="1" si="16"/>
        <v>11</v>
      </c>
      <c r="Q30" s="107">
        <f t="shared" ca="1" si="16"/>
        <v>11</v>
      </c>
      <c r="R30" s="107">
        <f t="shared" ca="1" si="16"/>
        <v>11</v>
      </c>
      <c r="S30" s="107">
        <f t="shared" ca="1" si="16"/>
        <v>11</v>
      </c>
      <c r="T30" s="107">
        <f t="shared" ca="1" si="16"/>
        <v>11</v>
      </c>
      <c r="U30" s="107">
        <f t="shared" ca="1" si="16"/>
        <v>11</v>
      </c>
      <c r="V30" s="107">
        <f t="shared" ca="1" si="16"/>
        <v>11</v>
      </c>
      <c r="W30" s="105">
        <f ca="1">W3</f>
        <v>0</v>
      </c>
      <c r="X30" s="108" t="str">
        <f t="shared" ref="X30:X44" ca="1" si="17">IF(W30&gt;0.2, "HIGH", IF(W30&lt;0.1, "LOW", "MED"))</f>
        <v>LOW</v>
      </c>
      <c r="AC30" s="69">
        <f ca="1">INDEX($C$1:$V$1,ROW($AC17:AC17))</f>
        <v>0</v>
      </c>
      <c r="AD30" s="69">
        <f ca="1">INDEX($C$11:$V$11,ROW($AD17:AD17))</f>
        <v>0</v>
      </c>
      <c r="AE30" s="69">
        <f ca="1">INDEX($C$12:$V$12,ROW($AE17:AE17))</f>
        <v>0</v>
      </c>
    </row>
    <row r="31" spans="1:31">
      <c r="A31" s="9"/>
      <c r="B31" s="69" t="str">
        <f>B4</f>
        <v>Conversion</v>
      </c>
      <c r="C31" s="107">
        <f t="shared" ref="C31:V31" ca="1" si="18">_xlfn.RANK.AVG(C4,$C4:$V4,)</f>
        <v>10.5</v>
      </c>
      <c r="D31" s="107">
        <f t="shared" ca="1" si="18"/>
        <v>10.5</v>
      </c>
      <c r="E31" s="107">
        <f t="shared" ca="1" si="18"/>
        <v>10.5</v>
      </c>
      <c r="F31" s="107">
        <f t="shared" ca="1" si="18"/>
        <v>10.5</v>
      </c>
      <c r="G31" s="107">
        <f t="shared" ca="1" si="18"/>
        <v>10.5</v>
      </c>
      <c r="H31" s="107">
        <f t="shared" ca="1" si="18"/>
        <v>10.5</v>
      </c>
      <c r="I31" s="107">
        <f t="shared" ca="1" si="18"/>
        <v>10.5</v>
      </c>
      <c r="J31" s="107">
        <f t="shared" ca="1" si="18"/>
        <v>10.5</v>
      </c>
      <c r="K31" s="107">
        <f t="shared" ca="1" si="18"/>
        <v>10.5</v>
      </c>
      <c r="L31" s="107">
        <f t="shared" ca="1" si="18"/>
        <v>10.5</v>
      </c>
      <c r="M31" s="107">
        <f t="shared" ca="1" si="18"/>
        <v>10.5</v>
      </c>
      <c r="N31" s="107">
        <f t="shared" ca="1" si="18"/>
        <v>10.5</v>
      </c>
      <c r="O31" s="107">
        <f t="shared" ca="1" si="18"/>
        <v>10.5</v>
      </c>
      <c r="P31" s="107">
        <f t="shared" ca="1" si="18"/>
        <v>10.5</v>
      </c>
      <c r="Q31" s="107">
        <f t="shared" ca="1" si="18"/>
        <v>10.5</v>
      </c>
      <c r="R31" s="107">
        <f t="shared" ca="1" si="18"/>
        <v>10.5</v>
      </c>
      <c r="S31" s="107">
        <f t="shared" ca="1" si="18"/>
        <v>10.5</v>
      </c>
      <c r="T31" s="107">
        <f t="shared" ca="1" si="18"/>
        <v>10.5</v>
      </c>
      <c r="U31" s="107">
        <f t="shared" ca="1" si="18"/>
        <v>10.5</v>
      </c>
      <c r="V31" s="107">
        <f t="shared" ca="1" si="18"/>
        <v>10.5</v>
      </c>
      <c r="W31" s="105">
        <f ca="1">W4</f>
        <v>0</v>
      </c>
      <c r="X31" s="108" t="str">
        <f t="shared" ca="1" si="17"/>
        <v>LOW</v>
      </c>
      <c r="AC31" s="69">
        <f ca="1">INDEX($C$1:$V$1,ROW($AC18:AC18))</f>
        <v>0</v>
      </c>
      <c r="AD31" s="69">
        <f ca="1">INDEX($C$11:$V$11,ROW($AD18:AD18))</f>
        <v>0</v>
      </c>
      <c r="AE31" s="69">
        <f ca="1">INDEX($C$12:$V$12,ROW($AE18:AE18))</f>
        <v>0</v>
      </c>
    </row>
    <row r="32" spans="1:31">
      <c r="A32" s="9"/>
      <c r="B32" s="69" t="str">
        <f>B5</f>
        <v>Experience &amp; Loyalty</v>
      </c>
      <c r="C32" s="107">
        <f t="shared" ref="C32:V32" ca="1" si="19">_xlfn.RANK.AVG(C5,$C5:$V5,)</f>
        <v>1</v>
      </c>
      <c r="D32" s="107">
        <f t="shared" ca="1" si="19"/>
        <v>11</v>
      </c>
      <c r="E32" s="107">
        <f t="shared" ca="1" si="19"/>
        <v>11</v>
      </c>
      <c r="F32" s="107">
        <f t="shared" ca="1" si="19"/>
        <v>11</v>
      </c>
      <c r="G32" s="107">
        <f t="shared" ca="1" si="19"/>
        <v>11</v>
      </c>
      <c r="H32" s="107">
        <f t="shared" ca="1" si="19"/>
        <v>11</v>
      </c>
      <c r="I32" s="107">
        <f t="shared" ca="1" si="19"/>
        <v>11</v>
      </c>
      <c r="J32" s="107">
        <f t="shared" ca="1" si="19"/>
        <v>11</v>
      </c>
      <c r="K32" s="107">
        <f t="shared" ca="1" si="19"/>
        <v>11</v>
      </c>
      <c r="L32" s="107">
        <f t="shared" ca="1" si="19"/>
        <v>11</v>
      </c>
      <c r="M32" s="107">
        <f t="shared" ca="1" si="19"/>
        <v>11</v>
      </c>
      <c r="N32" s="107">
        <f t="shared" ca="1" si="19"/>
        <v>11</v>
      </c>
      <c r="O32" s="107">
        <f t="shared" ca="1" si="19"/>
        <v>11</v>
      </c>
      <c r="P32" s="107">
        <f t="shared" ca="1" si="19"/>
        <v>11</v>
      </c>
      <c r="Q32" s="107">
        <f t="shared" ca="1" si="19"/>
        <v>11</v>
      </c>
      <c r="R32" s="107">
        <f t="shared" ca="1" si="19"/>
        <v>11</v>
      </c>
      <c r="S32" s="107">
        <f t="shared" ca="1" si="19"/>
        <v>11</v>
      </c>
      <c r="T32" s="107">
        <f t="shared" ca="1" si="19"/>
        <v>11</v>
      </c>
      <c r="U32" s="107">
        <f t="shared" ca="1" si="19"/>
        <v>11</v>
      </c>
      <c r="V32" s="107">
        <f t="shared" ca="1" si="19"/>
        <v>11</v>
      </c>
      <c r="W32" s="105">
        <f ca="1">W5</f>
        <v>0</v>
      </c>
      <c r="X32" s="108" t="str">
        <f t="shared" ca="1" si="17"/>
        <v>LOW</v>
      </c>
      <c r="AC32" s="69">
        <f ca="1">INDEX($C$1:$V$1,ROW($AC19:AC19))</f>
        <v>0</v>
      </c>
      <c r="AD32" s="69">
        <f ca="1">INDEX($C$11:$V$11,ROW($AD19:AD19))</f>
        <v>0</v>
      </c>
      <c r="AE32" s="69">
        <f ca="1">INDEX($C$12:$V$12,ROW($AE19:AE19))</f>
        <v>0</v>
      </c>
    </row>
    <row r="33" spans="1:31">
      <c r="A33" s="9"/>
      <c r="C33" s="33"/>
      <c r="D33" s="33"/>
      <c r="E33" s="33"/>
      <c r="F33" s="33"/>
      <c r="G33" s="33"/>
      <c r="H33" s="33"/>
      <c r="I33" s="33"/>
      <c r="J33" s="33"/>
      <c r="K33" s="33"/>
      <c r="L33" s="33"/>
      <c r="M33" s="33"/>
      <c r="N33" s="33"/>
      <c r="O33" s="33"/>
      <c r="P33" s="33"/>
      <c r="Q33" s="33"/>
      <c r="R33" s="33"/>
      <c r="S33" s="33"/>
      <c r="T33" s="33"/>
      <c r="U33" s="33"/>
      <c r="V33" s="33"/>
      <c r="W33" s="105"/>
      <c r="AC33" s="69">
        <f ca="1">INDEX($C$1:$V$1,ROW($AC20:AC20))</f>
        <v>0</v>
      </c>
      <c r="AD33" s="69">
        <f ca="1">INDEX($C$11:$V$11,ROW($AD20:AD20))</f>
        <v>0</v>
      </c>
      <c r="AE33" s="69">
        <f ca="1">INDEX($C$12:$V$12,ROW($AE20:AE20))</f>
        <v>0</v>
      </c>
    </row>
    <row r="34" spans="1:31">
      <c r="A34" s="9"/>
      <c r="B34" s="49" t="str">
        <f t="shared" ref="B34:B44" si="20">B14</f>
        <v>Search Engine Optimization</v>
      </c>
      <c r="C34" s="107">
        <f t="shared" ref="C34:V44" ca="1" si="21">_xlfn.RANK.AVG(C14,$C14:$V14,)</f>
        <v>10.5</v>
      </c>
      <c r="D34" s="107">
        <f t="shared" ca="1" si="21"/>
        <v>10.5</v>
      </c>
      <c r="E34" s="107">
        <f t="shared" ca="1" si="21"/>
        <v>10.5</v>
      </c>
      <c r="F34" s="107">
        <f t="shared" ca="1" si="21"/>
        <v>10.5</v>
      </c>
      <c r="G34" s="107">
        <f t="shared" ca="1" si="21"/>
        <v>10.5</v>
      </c>
      <c r="H34" s="107">
        <f t="shared" ca="1" si="21"/>
        <v>10.5</v>
      </c>
      <c r="I34" s="107">
        <f t="shared" ca="1" si="21"/>
        <v>10.5</v>
      </c>
      <c r="J34" s="107">
        <f t="shared" ca="1" si="21"/>
        <v>10.5</v>
      </c>
      <c r="K34" s="107">
        <f t="shared" ca="1" si="21"/>
        <v>10.5</v>
      </c>
      <c r="L34" s="107">
        <f t="shared" ca="1" si="21"/>
        <v>10.5</v>
      </c>
      <c r="M34" s="107">
        <f t="shared" ca="1" si="21"/>
        <v>10.5</v>
      </c>
      <c r="N34" s="107">
        <f t="shared" ca="1" si="21"/>
        <v>10.5</v>
      </c>
      <c r="O34" s="107">
        <f t="shared" ca="1" si="21"/>
        <v>10.5</v>
      </c>
      <c r="P34" s="107">
        <f t="shared" ca="1" si="21"/>
        <v>10.5</v>
      </c>
      <c r="Q34" s="107">
        <f t="shared" ca="1" si="21"/>
        <v>10.5</v>
      </c>
      <c r="R34" s="107">
        <f t="shared" ca="1" si="21"/>
        <v>10.5</v>
      </c>
      <c r="S34" s="107">
        <f t="shared" ca="1" si="21"/>
        <v>10.5</v>
      </c>
      <c r="T34" s="107">
        <f t="shared" ca="1" si="21"/>
        <v>10.5</v>
      </c>
      <c r="U34" s="107">
        <f t="shared" ca="1" si="21"/>
        <v>10.5</v>
      </c>
      <c r="V34" s="107">
        <f t="shared" ca="1" si="21"/>
        <v>10.5</v>
      </c>
      <c r="W34" s="105">
        <f ca="1">W14</f>
        <v>0</v>
      </c>
      <c r="X34" s="108" t="str">
        <f t="shared" ca="1" si="17"/>
        <v>LOW</v>
      </c>
      <c r="Z34" s="326" t="s">
        <v>352</v>
      </c>
      <c r="AA34" s="326"/>
      <c r="AC34" s="69" t="e">
        <f>INDEX($C$1:$V$1,ROW($AC21:AC21))</f>
        <v>#REF!</v>
      </c>
      <c r="AD34" s="69" t="e">
        <f>INDEX($C$11:$V$11,ROW($AD21:AD21))</f>
        <v>#REF!</v>
      </c>
      <c r="AE34" s="69" t="e">
        <f>INDEX($C$12:$V$12,ROW($AE21:AE21))</f>
        <v>#REF!</v>
      </c>
    </row>
    <row r="35" spans="1:31">
      <c r="A35" s="9"/>
      <c r="B35" s="49" t="str">
        <f t="shared" si="20"/>
        <v>Mobile Experience</v>
      </c>
      <c r="C35" s="107">
        <f t="shared" ca="1" si="21"/>
        <v>1</v>
      </c>
      <c r="D35" s="107">
        <f t="shared" ca="1" si="21"/>
        <v>11</v>
      </c>
      <c r="E35" s="107">
        <f t="shared" ca="1" si="21"/>
        <v>11</v>
      </c>
      <c r="F35" s="107">
        <f t="shared" ca="1" si="21"/>
        <v>11</v>
      </c>
      <c r="G35" s="107">
        <f t="shared" ca="1" si="21"/>
        <v>11</v>
      </c>
      <c r="H35" s="107">
        <f t="shared" ca="1" si="21"/>
        <v>11</v>
      </c>
      <c r="I35" s="107">
        <f t="shared" ca="1" si="21"/>
        <v>11</v>
      </c>
      <c r="J35" s="107">
        <f t="shared" ca="1" si="21"/>
        <v>11</v>
      </c>
      <c r="K35" s="107">
        <f t="shared" ca="1" si="21"/>
        <v>11</v>
      </c>
      <c r="L35" s="107">
        <f t="shared" ca="1" si="21"/>
        <v>11</v>
      </c>
      <c r="M35" s="107">
        <f t="shared" ca="1" si="21"/>
        <v>11</v>
      </c>
      <c r="N35" s="107">
        <f t="shared" ca="1" si="21"/>
        <v>11</v>
      </c>
      <c r="O35" s="107">
        <f t="shared" ca="1" si="21"/>
        <v>11</v>
      </c>
      <c r="P35" s="107">
        <f t="shared" ca="1" si="21"/>
        <v>11</v>
      </c>
      <c r="Q35" s="107">
        <f t="shared" ca="1" si="21"/>
        <v>11</v>
      </c>
      <c r="R35" s="107">
        <f t="shared" ca="1" si="21"/>
        <v>11</v>
      </c>
      <c r="S35" s="107">
        <f t="shared" ca="1" si="21"/>
        <v>11</v>
      </c>
      <c r="T35" s="107">
        <f t="shared" ca="1" si="21"/>
        <v>11</v>
      </c>
      <c r="U35" s="107">
        <f t="shared" ca="1" si="21"/>
        <v>11</v>
      </c>
      <c r="V35" s="107">
        <f t="shared" ca="1" si="21"/>
        <v>11</v>
      </c>
      <c r="W35" s="105">
        <f t="shared" ref="W35:W44" ca="1" si="22">W15</f>
        <v>0</v>
      </c>
      <c r="X35" s="108" t="str">
        <f t="shared" ca="1" si="17"/>
        <v>LOW</v>
      </c>
      <c r="Z35" s="109" t="s">
        <v>353</v>
      </c>
      <c r="AA35" s="110">
        <v>0.6</v>
      </c>
    </row>
    <row r="36" spans="1:31">
      <c r="A36" s="9"/>
      <c r="B36" s="49" t="str">
        <f t="shared" si="20"/>
        <v>Website Technical &amp; Functional</v>
      </c>
      <c r="C36" s="107">
        <f t="shared" ca="1" si="21"/>
        <v>10.5</v>
      </c>
      <c r="D36" s="107">
        <f t="shared" ca="1" si="21"/>
        <v>10.5</v>
      </c>
      <c r="E36" s="107">
        <f t="shared" ca="1" si="21"/>
        <v>10.5</v>
      </c>
      <c r="F36" s="107">
        <f t="shared" ca="1" si="21"/>
        <v>10.5</v>
      </c>
      <c r="G36" s="107">
        <f t="shared" ca="1" si="21"/>
        <v>10.5</v>
      </c>
      <c r="H36" s="107">
        <f t="shared" ca="1" si="21"/>
        <v>10.5</v>
      </c>
      <c r="I36" s="107">
        <f t="shared" ca="1" si="21"/>
        <v>10.5</v>
      </c>
      <c r="J36" s="107">
        <f t="shared" ca="1" si="21"/>
        <v>10.5</v>
      </c>
      <c r="K36" s="107">
        <f t="shared" ca="1" si="21"/>
        <v>10.5</v>
      </c>
      <c r="L36" s="107">
        <f t="shared" ca="1" si="21"/>
        <v>10.5</v>
      </c>
      <c r="M36" s="107">
        <f t="shared" ca="1" si="21"/>
        <v>10.5</v>
      </c>
      <c r="N36" s="107">
        <f t="shared" ca="1" si="21"/>
        <v>10.5</v>
      </c>
      <c r="O36" s="107">
        <f t="shared" ca="1" si="21"/>
        <v>10.5</v>
      </c>
      <c r="P36" s="107">
        <f t="shared" ca="1" si="21"/>
        <v>10.5</v>
      </c>
      <c r="Q36" s="107">
        <f t="shared" ca="1" si="21"/>
        <v>10.5</v>
      </c>
      <c r="R36" s="107">
        <f t="shared" ca="1" si="21"/>
        <v>10.5</v>
      </c>
      <c r="S36" s="107">
        <f t="shared" ca="1" si="21"/>
        <v>10.5</v>
      </c>
      <c r="T36" s="107">
        <f t="shared" ca="1" si="21"/>
        <v>10.5</v>
      </c>
      <c r="U36" s="107">
        <f t="shared" ca="1" si="21"/>
        <v>10.5</v>
      </c>
      <c r="V36" s="107">
        <f t="shared" ca="1" si="21"/>
        <v>10.5</v>
      </c>
      <c r="W36" s="105">
        <f t="shared" ca="1" si="22"/>
        <v>0</v>
      </c>
      <c r="X36" s="108" t="str">
        <f t="shared" ca="1" si="17"/>
        <v>LOW</v>
      </c>
      <c r="Z36" s="111" t="s">
        <v>354</v>
      </c>
      <c r="AA36" s="112">
        <v>0.75</v>
      </c>
    </row>
    <row r="37" spans="1:31">
      <c r="A37" s="9"/>
      <c r="B37" s="49" t="str">
        <f t="shared" si="20"/>
        <v xml:space="preserve">Content Marketing </v>
      </c>
      <c r="C37" s="107">
        <f t="shared" ca="1" si="21"/>
        <v>10.5</v>
      </c>
      <c r="D37" s="107">
        <f t="shared" ca="1" si="21"/>
        <v>10.5</v>
      </c>
      <c r="E37" s="107">
        <f t="shared" ca="1" si="21"/>
        <v>10.5</v>
      </c>
      <c r="F37" s="107">
        <f t="shared" ca="1" si="21"/>
        <v>10.5</v>
      </c>
      <c r="G37" s="107">
        <f t="shared" ca="1" si="21"/>
        <v>10.5</v>
      </c>
      <c r="H37" s="107">
        <f t="shared" ca="1" si="21"/>
        <v>10.5</v>
      </c>
      <c r="I37" s="107">
        <f t="shared" ca="1" si="21"/>
        <v>10.5</v>
      </c>
      <c r="J37" s="107">
        <f t="shared" ca="1" si="21"/>
        <v>10.5</v>
      </c>
      <c r="K37" s="107">
        <f t="shared" ca="1" si="21"/>
        <v>10.5</v>
      </c>
      <c r="L37" s="107">
        <f t="shared" ca="1" si="21"/>
        <v>10.5</v>
      </c>
      <c r="M37" s="107">
        <f t="shared" ca="1" si="21"/>
        <v>10.5</v>
      </c>
      <c r="N37" s="107">
        <f t="shared" ca="1" si="21"/>
        <v>10.5</v>
      </c>
      <c r="O37" s="107">
        <f t="shared" ca="1" si="21"/>
        <v>10.5</v>
      </c>
      <c r="P37" s="107">
        <f t="shared" ca="1" si="21"/>
        <v>10.5</v>
      </c>
      <c r="Q37" s="107">
        <f t="shared" ca="1" si="21"/>
        <v>10.5</v>
      </c>
      <c r="R37" s="107">
        <f t="shared" ca="1" si="21"/>
        <v>10.5</v>
      </c>
      <c r="S37" s="107">
        <f t="shared" ca="1" si="21"/>
        <v>10.5</v>
      </c>
      <c r="T37" s="107">
        <f t="shared" ca="1" si="21"/>
        <v>10.5</v>
      </c>
      <c r="U37" s="107">
        <f t="shared" ca="1" si="21"/>
        <v>10.5</v>
      </c>
      <c r="V37" s="107">
        <f t="shared" ca="1" si="21"/>
        <v>10.5</v>
      </c>
      <c r="W37" s="105">
        <f t="shared" ca="1" si="22"/>
        <v>0</v>
      </c>
      <c r="X37" s="108" t="str">
        <f t="shared" ca="1" si="17"/>
        <v>LOW</v>
      </c>
    </row>
    <row r="38" spans="1:31">
      <c r="A38" s="9"/>
      <c r="B38" s="49" t="str">
        <f t="shared" si="20"/>
        <v>Product Discovery</v>
      </c>
      <c r="C38" s="107">
        <f t="shared" ca="1" si="21"/>
        <v>10.5</v>
      </c>
      <c r="D38" s="107">
        <f t="shared" ca="1" si="21"/>
        <v>10.5</v>
      </c>
      <c r="E38" s="107">
        <f t="shared" ca="1" si="21"/>
        <v>10.5</v>
      </c>
      <c r="F38" s="107">
        <f t="shared" ca="1" si="21"/>
        <v>10.5</v>
      </c>
      <c r="G38" s="107">
        <f t="shared" ca="1" si="21"/>
        <v>10.5</v>
      </c>
      <c r="H38" s="107">
        <f t="shared" ca="1" si="21"/>
        <v>10.5</v>
      </c>
      <c r="I38" s="107">
        <f t="shared" ca="1" si="21"/>
        <v>10.5</v>
      </c>
      <c r="J38" s="107">
        <f t="shared" ca="1" si="21"/>
        <v>10.5</v>
      </c>
      <c r="K38" s="107">
        <f t="shared" ca="1" si="21"/>
        <v>10.5</v>
      </c>
      <c r="L38" s="107">
        <f t="shared" ca="1" si="21"/>
        <v>10.5</v>
      </c>
      <c r="M38" s="107">
        <f t="shared" ca="1" si="21"/>
        <v>10.5</v>
      </c>
      <c r="N38" s="107">
        <f t="shared" ca="1" si="21"/>
        <v>10.5</v>
      </c>
      <c r="O38" s="107">
        <f t="shared" ca="1" si="21"/>
        <v>10.5</v>
      </c>
      <c r="P38" s="107">
        <f t="shared" ca="1" si="21"/>
        <v>10.5</v>
      </c>
      <c r="Q38" s="107">
        <f t="shared" ca="1" si="21"/>
        <v>10.5</v>
      </c>
      <c r="R38" s="107">
        <f t="shared" ca="1" si="21"/>
        <v>10.5</v>
      </c>
      <c r="S38" s="107">
        <f t="shared" ca="1" si="21"/>
        <v>10.5</v>
      </c>
      <c r="T38" s="107">
        <f t="shared" ca="1" si="21"/>
        <v>10.5</v>
      </c>
      <c r="U38" s="107">
        <f t="shared" ca="1" si="21"/>
        <v>10.5</v>
      </c>
      <c r="V38" s="107">
        <f t="shared" ca="1" si="21"/>
        <v>10.5</v>
      </c>
      <c r="W38" s="105">
        <f t="shared" ca="1" si="22"/>
        <v>0</v>
      </c>
      <c r="X38" s="108" t="str">
        <f t="shared" ca="1" si="17"/>
        <v>LOW</v>
      </c>
    </row>
    <row r="39" spans="1:31">
      <c r="A39" s="9"/>
      <c r="B39" s="49" t="str">
        <f t="shared" si="20"/>
        <v xml:space="preserve">Product Merchandising </v>
      </c>
      <c r="C39" s="107">
        <f t="shared" ca="1" si="21"/>
        <v>10.5</v>
      </c>
      <c r="D39" s="107">
        <f t="shared" ca="1" si="21"/>
        <v>10.5</v>
      </c>
      <c r="E39" s="107">
        <f t="shared" ca="1" si="21"/>
        <v>10.5</v>
      </c>
      <c r="F39" s="107">
        <f t="shared" ca="1" si="21"/>
        <v>10.5</v>
      </c>
      <c r="G39" s="107">
        <f t="shared" ca="1" si="21"/>
        <v>10.5</v>
      </c>
      <c r="H39" s="107">
        <f t="shared" ca="1" si="21"/>
        <v>10.5</v>
      </c>
      <c r="I39" s="107">
        <f t="shared" ca="1" si="21"/>
        <v>10.5</v>
      </c>
      <c r="J39" s="107">
        <f t="shared" ca="1" si="21"/>
        <v>10.5</v>
      </c>
      <c r="K39" s="107">
        <f t="shared" ca="1" si="21"/>
        <v>10.5</v>
      </c>
      <c r="L39" s="107">
        <f t="shared" ca="1" si="21"/>
        <v>10.5</v>
      </c>
      <c r="M39" s="107">
        <f t="shared" ca="1" si="21"/>
        <v>10.5</v>
      </c>
      <c r="N39" s="107">
        <f t="shared" ca="1" si="21"/>
        <v>10.5</v>
      </c>
      <c r="O39" s="107">
        <f t="shared" ca="1" si="21"/>
        <v>10.5</v>
      </c>
      <c r="P39" s="107">
        <f t="shared" ca="1" si="21"/>
        <v>10.5</v>
      </c>
      <c r="Q39" s="107">
        <f t="shared" ca="1" si="21"/>
        <v>10.5</v>
      </c>
      <c r="R39" s="107">
        <f t="shared" ca="1" si="21"/>
        <v>10.5</v>
      </c>
      <c r="S39" s="107">
        <f t="shared" ca="1" si="21"/>
        <v>10.5</v>
      </c>
      <c r="T39" s="107">
        <f t="shared" ca="1" si="21"/>
        <v>10.5</v>
      </c>
      <c r="U39" s="107">
        <f t="shared" ca="1" si="21"/>
        <v>10.5</v>
      </c>
      <c r="V39" s="107">
        <f t="shared" ca="1" si="21"/>
        <v>10.5</v>
      </c>
      <c r="W39" s="105">
        <f t="shared" ca="1" si="22"/>
        <v>0</v>
      </c>
      <c r="X39" s="108" t="str">
        <f t="shared" ca="1" si="17"/>
        <v>LOW</v>
      </c>
    </row>
    <row r="40" spans="1:31">
      <c r="A40" s="9"/>
      <c r="B40" s="49" t="str">
        <f t="shared" si="20"/>
        <v>E-Commerce Functionality</v>
      </c>
      <c r="C40" s="107">
        <f t="shared" ca="1" si="21"/>
        <v>10.5</v>
      </c>
      <c r="D40" s="107">
        <f t="shared" ca="1" si="21"/>
        <v>10.5</v>
      </c>
      <c r="E40" s="107">
        <f t="shared" ca="1" si="21"/>
        <v>10.5</v>
      </c>
      <c r="F40" s="107">
        <f t="shared" ca="1" si="21"/>
        <v>10.5</v>
      </c>
      <c r="G40" s="107">
        <f t="shared" ca="1" si="21"/>
        <v>10.5</v>
      </c>
      <c r="H40" s="107">
        <f t="shared" ca="1" si="21"/>
        <v>10.5</v>
      </c>
      <c r="I40" s="107">
        <f t="shared" ca="1" si="21"/>
        <v>10.5</v>
      </c>
      <c r="J40" s="107">
        <f t="shared" ca="1" si="21"/>
        <v>10.5</v>
      </c>
      <c r="K40" s="107">
        <f t="shared" ca="1" si="21"/>
        <v>10.5</v>
      </c>
      <c r="L40" s="107">
        <f t="shared" ca="1" si="21"/>
        <v>10.5</v>
      </c>
      <c r="M40" s="107">
        <f t="shared" ca="1" si="21"/>
        <v>10.5</v>
      </c>
      <c r="N40" s="107">
        <f t="shared" ca="1" si="21"/>
        <v>10.5</v>
      </c>
      <c r="O40" s="107">
        <f t="shared" ca="1" si="21"/>
        <v>10.5</v>
      </c>
      <c r="P40" s="107">
        <f t="shared" ca="1" si="21"/>
        <v>10.5</v>
      </c>
      <c r="Q40" s="107">
        <f t="shared" ca="1" si="21"/>
        <v>10.5</v>
      </c>
      <c r="R40" s="107">
        <f t="shared" ca="1" si="21"/>
        <v>10.5</v>
      </c>
      <c r="S40" s="107">
        <f t="shared" ca="1" si="21"/>
        <v>10.5</v>
      </c>
      <c r="T40" s="107">
        <f t="shared" ca="1" si="21"/>
        <v>10.5</v>
      </c>
      <c r="U40" s="107">
        <f t="shared" ca="1" si="21"/>
        <v>10.5</v>
      </c>
      <c r="V40" s="107">
        <f t="shared" ca="1" si="21"/>
        <v>10.5</v>
      </c>
      <c r="W40" s="105">
        <f t="shared" ca="1" si="22"/>
        <v>0</v>
      </c>
      <c r="X40" s="108" t="str">
        <f t="shared" ca="1" si="17"/>
        <v>LOW</v>
      </c>
    </row>
    <row r="41" spans="1:31">
      <c r="A41" s="9"/>
      <c r="B41" s="49" t="str">
        <f t="shared" si="20"/>
        <v>User Registration</v>
      </c>
      <c r="C41" s="107">
        <f t="shared" ca="1" si="21"/>
        <v>10.5</v>
      </c>
      <c r="D41" s="107">
        <f t="shared" ca="1" si="21"/>
        <v>10.5</v>
      </c>
      <c r="E41" s="107">
        <f t="shared" ca="1" si="21"/>
        <v>10.5</v>
      </c>
      <c r="F41" s="107">
        <f t="shared" ca="1" si="21"/>
        <v>10.5</v>
      </c>
      <c r="G41" s="107">
        <f t="shared" ca="1" si="21"/>
        <v>10.5</v>
      </c>
      <c r="H41" s="107">
        <f t="shared" ca="1" si="21"/>
        <v>10.5</v>
      </c>
      <c r="I41" s="107">
        <f t="shared" ca="1" si="21"/>
        <v>10.5</v>
      </c>
      <c r="J41" s="107">
        <f t="shared" ca="1" si="21"/>
        <v>10.5</v>
      </c>
      <c r="K41" s="107">
        <f t="shared" ca="1" si="21"/>
        <v>10.5</v>
      </c>
      <c r="L41" s="107">
        <f t="shared" ca="1" si="21"/>
        <v>10.5</v>
      </c>
      <c r="M41" s="107">
        <f t="shared" ca="1" si="21"/>
        <v>10.5</v>
      </c>
      <c r="N41" s="107">
        <f t="shared" ca="1" si="21"/>
        <v>10.5</v>
      </c>
      <c r="O41" s="107">
        <f t="shared" ca="1" si="21"/>
        <v>10.5</v>
      </c>
      <c r="P41" s="107">
        <f t="shared" ca="1" si="21"/>
        <v>10.5</v>
      </c>
      <c r="Q41" s="107">
        <f t="shared" ca="1" si="21"/>
        <v>10.5</v>
      </c>
      <c r="R41" s="107">
        <f t="shared" ca="1" si="21"/>
        <v>10.5</v>
      </c>
      <c r="S41" s="107">
        <f t="shared" ca="1" si="21"/>
        <v>10.5</v>
      </c>
      <c r="T41" s="107">
        <f t="shared" ca="1" si="21"/>
        <v>10.5</v>
      </c>
      <c r="U41" s="107">
        <f t="shared" ca="1" si="21"/>
        <v>10.5</v>
      </c>
      <c r="V41" s="107">
        <f t="shared" ca="1" si="21"/>
        <v>10.5</v>
      </c>
      <c r="W41" s="105">
        <f t="shared" ca="1" si="22"/>
        <v>0</v>
      </c>
      <c r="X41" s="108" t="str">
        <f t="shared" ca="1" si="17"/>
        <v>LOW</v>
      </c>
    </row>
    <row r="42" spans="1:31">
      <c r="A42" s="9"/>
      <c r="B42" s="49" t="str">
        <f t="shared" si="20"/>
        <v xml:space="preserve">E-Referral </v>
      </c>
      <c r="C42" s="107">
        <f t="shared" ca="1" si="21"/>
        <v>10.5</v>
      </c>
      <c r="D42" s="107">
        <f t="shared" ca="1" si="21"/>
        <v>10.5</v>
      </c>
      <c r="E42" s="107">
        <f t="shared" ca="1" si="21"/>
        <v>10.5</v>
      </c>
      <c r="F42" s="107">
        <f t="shared" ca="1" si="21"/>
        <v>10.5</v>
      </c>
      <c r="G42" s="107">
        <f t="shared" ca="1" si="21"/>
        <v>10.5</v>
      </c>
      <c r="H42" s="107">
        <f t="shared" ca="1" si="21"/>
        <v>10.5</v>
      </c>
      <c r="I42" s="107">
        <f t="shared" ca="1" si="21"/>
        <v>10.5</v>
      </c>
      <c r="J42" s="107">
        <f t="shared" ca="1" si="21"/>
        <v>10.5</v>
      </c>
      <c r="K42" s="107">
        <f t="shared" ca="1" si="21"/>
        <v>10.5</v>
      </c>
      <c r="L42" s="107">
        <f t="shared" ca="1" si="21"/>
        <v>10.5</v>
      </c>
      <c r="M42" s="107">
        <f t="shared" ca="1" si="21"/>
        <v>10.5</v>
      </c>
      <c r="N42" s="107">
        <f t="shared" ca="1" si="21"/>
        <v>10.5</v>
      </c>
      <c r="O42" s="107">
        <f t="shared" ca="1" si="21"/>
        <v>10.5</v>
      </c>
      <c r="P42" s="107">
        <f t="shared" ca="1" si="21"/>
        <v>10.5</v>
      </c>
      <c r="Q42" s="107">
        <f t="shared" ca="1" si="21"/>
        <v>10.5</v>
      </c>
      <c r="R42" s="107">
        <f t="shared" ca="1" si="21"/>
        <v>10.5</v>
      </c>
      <c r="S42" s="107">
        <f t="shared" ca="1" si="21"/>
        <v>10.5</v>
      </c>
      <c r="T42" s="107">
        <f t="shared" ca="1" si="21"/>
        <v>10.5</v>
      </c>
      <c r="U42" s="107">
        <f t="shared" ca="1" si="21"/>
        <v>10.5</v>
      </c>
      <c r="V42" s="107">
        <f t="shared" ca="1" si="21"/>
        <v>10.5</v>
      </c>
      <c r="W42" s="105">
        <f t="shared" ca="1" si="22"/>
        <v>0</v>
      </c>
      <c r="X42" s="108" t="str">
        <f t="shared" ca="1" si="17"/>
        <v>LOW</v>
      </c>
    </row>
    <row r="43" spans="1:31">
      <c r="A43" s="9"/>
      <c r="B43" s="49" t="str">
        <f t="shared" si="20"/>
        <v xml:space="preserve">Online Support </v>
      </c>
      <c r="C43" s="107">
        <f ca="1">_xlfn.RANK.AVG(C23,$C23:$V23,)</f>
        <v>10.5</v>
      </c>
      <c r="D43" s="107">
        <f ca="1">_xlfn.RANK.AVG(D23,$C23:$V23,)</f>
        <v>10.5</v>
      </c>
      <c r="E43" s="107">
        <f ca="1">_xlfn.RANK.AVG(E23,$C23:$V23,)</f>
        <v>10.5</v>
      </c>
      <c r="F43" s="107">
        <f ca="1">_xlfn.RANK.AVG(F23,$C23:$V23,)</f>
        <v>10.5</v>
      </c>
      <c r="G43" s="107">
        <f ca="1">_xlfn.RANK.AVG(G23,$C23:$V23,)</f>
        <v>10.5</v>
      </c>
      <c r="H43" s="107">
        <f t="shared" ca="1" si="21"/>
        <v>10.5</v>
      </c>
      <c r="I43" s="107">
        <f t="shared" ca="1" si="21"/>
        <v>10.5</v>
      </c>
      <c r="J43" s="107">
        <f t="shared" ca="1" si="21"/>
        <v>10.5</v>
      </c>
      <c r="K43" s="107">
        <f t="shared" ca="1" si="21"/>
        <v>10.5</v>
      </c>
      <c r="L43" s="107">
        <f t="shared" ca="1" si="21"/>
        <v>10.5</v>
      </c>
      <c r="M43" s="107">
        <f t="shared" ca="1" si="21"/>
        <v>10.5</v>
      </c>
      <c r="N43" s="107">
        <f t="shared" ca="1" si="21"/>
        <v>10.5</v>
      </c>
      <c r="O43" s="107">
        <f t="shared" ca="1" si="21"/>
        <v>10.5</v>
      </c>
      <c r="P43" s="107">
        <f t="shared" ca="1" si="21"/>
        <v>10.5</v>
      </c>
      <c r="Q43" s="107">
        <f t="shared" ca="1" si="21"/>
        <v>10.5</v>
      </c>
      <c r="R43" s="107">
        <f t="shared" ca="1" si="21"/>
        <v>10.5</v>
      </c>
      <c r="S43" s="107">
        <f t="shared" ca="1" si="21"/>
        <v>10.5</v>
      </c>
      <c r="T43" s="107">
        <f t="shared" ca="1" si="21"/>
        <v>10.5</v>
      </c>
      <c r="U43" s="107">
        <f t="shared" ca="1" si="21"/>
        <v>10.5</v>
      </c>
      <c r="V43" s="107">
        <f t="shared" ca="1" si="21"/>
        <v>10.5</v>
      </c>
      <c r="W43" s="105">
        <f t="shared" ca="1" si="22"/>
        <v>0</v>
      </c>
      <c r="X43" s="108" t="str">
        <f t="shared" ca="1" si="17"/>
        <v>LOW</v>
      </c>
    </row>
    <row r="44" spans="1:31">
      <c r="A44" s="9"/>
      <c r="B44" s="49" t="str">
        <f t="shared" si="20"/>
        <v>Social Media Deployment</v>
      </c>
      <c r="C44" s="107">
        <f ca="1">_xlfn.RANK.AVG(C24,$C24:$V24,)</f>
        <v>10.5</v>
      </c>
      <c r="D44" s="107">
        <f t="shared" ca="1" si="21"/>
        <v>10.5</v>
      </c>
      <c r="E44" s="107">
        <f t="shared" ca="1" si="21"/>
        <v>10.5</v>
      </c>
      <c r="F44" s="107">
        <f t="shared" ca="1" si="21"/>
        <v>10.5</v>
      </c>
      <c r="G44" s="107">
        <f t="shared" ca="1" si="21"/>
        <v>10.5</v>
      </c>
      <c r="H44" s="107">
        <f t="shared" ca="1" si="21"/>
        <v>10.5</v>
      </c>
      <c r="I44" s="107">
        <f t="shared" ca="1" si="21"/>
        <v>10.5</v>
      </c>
      <c r="J44" s="107">
        <f t="shared" ca="1" si="21"/>
        <v>10.5</v>
      </c>
      <c r="K44" s="107">
        <f t="shared" ca="1" si="21"/>
        <v>10.5</v>
      </c>
      <c r="L44" s="107">
        <f t="shared" ca="1" si="21"/>
        <v>10.5</v>
      </c>
      <c r="M44" s="107">
        <f t="shared" ca="1" si="21"/>
        <v>10.5</v>
      </c>
      <c r="N44" s="107">
        <f t="shared" ca="1" si="21"/>
        <v>10.5</v>
      </c>
      <c r="O44" s="107">
        <f t="shared" ca="1" si="21"/>
        <v>10.5</v>
      </c>
      <c r="P44" s="107">
        <f t="shared" ca="1" si="21"/>
        <v>10.5</v>
      </c>
      <c r="Q44" s="107">
        <f t="shared" ca="1" si="21"/>
        <v>10.5</v>
      </c>
      <c r="R44" s="107">
        <f t="shared" ca="1" si="21"/>
        <v>10.5</v>
      </c>
      <c r="S44" s="107">
        <f t="shared" ca="1" si="21"/>
        <v>10.5</v>
      </c>
      <c r="T44" s="107">
        <f t="shared" ca="1" si="21"/>
        <v>10.5</v>
      </c>
      <c r="U44" s="107">
        <f t="shared" ca="1" si="21"/>
        <v>10.5</v>
      </c>
      <c r="V44" s="107">
        <f t="shared" ca="1" si="21"/>
        <v>10.5</v>
      </c>
      <c r="W44" s="105">
        <f t="shared" ca="1" si="22"/>
        <v>0</v>
      </c>
      <c r="X44" s="108" t="str">
        <f t="shared" ca="1" si="17"/>
        <v>LOW</v>
      </c>
    </row>
    <row r="45" spans="1:31">
      <c r="A45" s="9"/>
      <c r="C45" s="33"/>
      <c r="D45" s="33"/>
      <c r="E45" s="33"/>
      <c r="F45" s="33"/>
      <c r="G45" s="33"/>
      <c r="H45" s="33"/>
      <c r="I45" s="33"/>
      <c r="J45" s="33"/>
      <c r="K45" s="33"/>
      <c r="L45" s="33"/>
      <c r="M45" s="33"/>
      <c r="N45" s="33"/>
      <c r="O45" s="33"/>
      <c r="P45" s="33"/>
      <c r="Q45" s="33"/>
      <c r="R45" s="33"/>
      <c r="S45" s="33"/>
      <c r="T45" s="33"/>
      <c r="U45" s="33"/>
      <c r="V45" s="33"/>
      <c r="W45" s="105"/>
    </row>
    <row r="46" spans="1:31" ht="15.75">
      <c r="A46" s="9"/>
      <c r="B46" s="325" t="s">
        <v>355</v>
      </c>
      <c r="C46" s="325"/>
      <c r="D46" s="325"/>
      <c r="E46" s="325"/>
      <c r="F46" s="325"/>
      <c r="G46" s="325"/>
      <c r="H46" s="325"/>
      <c r="I46" s="325"/>
      <c r="J46" s="325"/>
      <c r="K46" s="325"/>
      <c r="L46" s="325"/>
      <c r="M46" s="325"/>
      <c r="N46" s="325"/>
      <c r="O46" s="325"/>
      <c r="P46" s="325"/>
      <c r="Q46" s="325"/>
      <c r="R46" s="325"/>
      <c r="S46" s="325"/>
      <c r="T46" s="325"/>
      <c r="U46" s="325"/>
      <c r="V46" s="325"/>
      <c r="W46" s="103"/>
    </row>
    <row r="47" spans="1:31">
      <c r="A47" s="9"/>
      <c r="B47" s="327" t="s">
        <v>356</v>
      </c>
      <c r="C47" s="327"/>
      <c r="D47" s="327"/>
      <c r="E47" s="327"/>
      <c r="F47" s="327"/>
      <c r="G47" s="327"/>
      <c r="H47" s="327"/>
      <c r="I47" s="327"/>
      <c r="J47" s="327"/>
      <c r="K47" s="327"/>
      <c r="L47" s="327"/>
      <c r="M47" s="327"/>
      <c r="N47" s="327"/>
      <c r="O47" s="327"/>
      <c r="P47" s="327"/>
      <c r="Q47" s="327"/>
      <c r="R47" s="327"/>
      <c r="S47" s="327"/>
      <c r="T47" s="327"/>
      <c r="U47" s="327"/>
      <c r="V47" s="327"/>
      <c r="W47" s="32"/>
    </row>
    <row r="48" spans="1:31">
      <c r="A48" s="9"/>
      <c r="C48" s="69" t="str">
        <f t="shared" ref="C48:V48" ca="1" si="23">C1</f>
        <v>CPhI</v>
      </c>
      <c r="D48" s="69">
        <f t="shared" ca="1" si="23"/>
        <v>0</v>
      </c>
      <c r="E48" s="69">
        <f t="shared" ca="1" si="23"/>
        <v>0</v>
      </c>
      <c r="F48" s="69">
        <f t="shared" ca="1" si="23"/>
        <v>0</v>
      </c>
      <c r="G48" s="69">
        <f t="shared" ca="1" si="23"/>
        <v>0</v>
      </c>
      <c r="H48" s="69">
        <f t="shared" ca="1" si="23"/>
        <v>0</v>
      </c>
      <c r="I48" s="69">
        <f t="shared" ca="1" si="23"/>
        <v>0</v>
      </c>
      <c r="J48" s="69">
        <f t="shared" ca="1" si="23"/>
        <v>0</v>
      </c>
      <c r="K48" s="69">
        <f t="shared" ca="1" si="23"/>
        <v>0</v>
      </c>
      <c r="L48" s="69">
        <f t="shared" ca="1" si="23"/>
        <v>0</v>
      </c>
      <c r="M48" s="69" t="str">
        <f t="shared" ca="1" si="23"/>
        <v>Fi Global</v>
      </c>
      <c r="N48" s="69">
        <f t="shared" ca="1" si="23"/>
        <v>0</v>
      </c>
      <c r="O48" s="69">
        <f t="shared" ca="1" si="23"/>
        <v>0</v>
      </c>
      <c r="P48" s="69">
        <f t="shared" ca="1" si="23"/>
        <v>0</v>
      </c>
      <c r="Q48" s="69">
        <f t="shared" ca="1" si="23"/>
        <v>0</v>
      </c>
      <c r="R48" s="69">
        <f t="shared" ca="1" si="23"/>
        <v>0</v>
      </c>
      <c r="S48" s="69">
        <f t="shared" ca="1" si="23"/>
        <v>0</v>
      </c>
      <c r="T48" s="69">
        <f t="shared" ca="1" si="23"/>
        <v>0</v>
      </c>
      <c r="U48" s="69">
        <f t="shared" ca="1" si="23"/>
        <v>0</v>
      </c>
      <c r="V48" s="69">
        <f t="shared" ca="1" si="23"/>
        <v>0</v>
      </c>
      <c r="W48" s="32"/>
    </row>
    <row r="49" spans="1:23">
      <c r="A49" s="9"/>
      <c r="B49" s="113" t="s">
        <v>357</v>
      </c>
      <c r="C49" s="114" t="str">
        <f ca="1">IF(MAX(C14:C24)=0,"N/A",INDEX($B$14:$B$24,MATCH(MAX(C14:C24),C14:C24,0)))</f>
        <v>Mobile Experience</v>
      </c>
      <c r="D49" s="114" t="str">
        <f t="shared" ref="D49:V49" ca="1" si="24">IF(MAX(D14:D24)=0,"N/A",INDEX($B$14:$B$24,MATCH(MAX(D14:D24),D14:D24,0)))</f>
        <v>N/A</v>
      </c>
      <c r="E49" s="114" t="str">
        <f t="shared" ca="1" si="24"/>
        <v>N/A</v>
      </c>
      <c r="F49" s="114" t="str">
        <f t="shared" ca="1" si="24"/>
        <v>N/A</v>
      </c>
      <c r="G49" s="114" t="str">
        <f t="shared" ca="1" si="24"/>
        <v>N/A</v>
      </c>
      <c r="H49" s="114" t="str">
        <f t="shared" ca="1" si="24"/>
        <v>N/A</v>
      </c>
      <c r="I49" s="114" t="str">
        <f t="shared" ca="1" si="24"/>
        <v>N/A</v>
      </c>
      <c r="J49" s="114" t="str">
        <f t="shared" ca="1" si="24"/>
        <v>N/A</v>
      </c>
      <c r="K49" s="114" t="str">
        <f t="shared" ca="1" si="24"/>
        <v>N/A</v>
      </c>
      <c r="L49" s="114" t="str">
        <f t="shared" ca="1" si="24"/>
        <v>N/A</v>
      </c>
      <c r="M49" s="114" t="str">
        <f t="shared" ca="1" si="24"/>
        <v>N/A</v>
      </c>
      <c r="N49" s="114" t="str">
        <f t="shared" ca="1" si="24"/>
        <v>N/A</v>
      </c>
      <c r="O49" s="114" t="str">
        <f t="shared" ca="1" si="24"/>
        <v>N/A</v>
      </c>
      <c r="P49" s="114" t="str">
        <f t="shared" ca="1" si="24"/>
        <v>N/A</v>
      </c>
      <c r="Q49" s="114" t="str">
        <f t="shared" ca="1" si="24"/>
        <v>N/A</v>
      </c>
      <c r="R49" s="114" t="str">
        <f t="shared" ca="1" si="24"/>
        <v>N/A</v>
      </c>
      <c r="S49" s="114" t="str">
        <f t="shared" ca="1" si="24"/>
        <v>N/A</v>
      </c>
      <c r="T49" s="114" t="str">
        <f t="shared" ca="1" si="24"/>
        <v>N/A</v>
      </c>
      <c r="U49" s="114" t="str">
        <f t="shared" ca="1" si="24"/>
        <v>N/A</v>
      </c>
      <c r="V49" s="114" t="str">
        <f t="shared" ca="1" si="24"/>
        <v>N/A</v>
      </c>
      <c r="W49" s="32"/>
    </row>
    <row r="50" spans="1:23">
      <c r="A50" s="9"/>
      <c r="B50" s="113" t="s">
        <v>358</v>
      </c>
      <c r="C50" s="115" t="str">
        <f ca="1">IF(MAX(C14:C24)=0,"N/A",INDEX($B$14:$B$24,MATCH(SMALL(C14:C24,COUNTIF(A14:A24,"=0")+1),C14:C24,0)))</f>
        <v>Search Engine Optimization</v>
      </c>
      <c r="D50" s="115" t="str">
        <f ca="1">IF(MAX(D14:D24)=0,"N/A",INDEX($B$14:$B$24,MATCH(SMALL(D14:D24,COUNTIF(#REF!,"=0")+1),D14:D24,0)))</f>
        <v>N/A</v>
      </c>
      <c r="E50" s="115" t="str">
        <f ca="1">IF(MAX(E14:E24)=0,"N/A",INDEX($B$14:$B$24,MATCH(SMALL(E14:E24,COUNTIF(#REF!,"=0")+1),E14:E24,0)))</f>
        <v>N/A</v>
      </c>
      <c r="F50" s="115" t="str">
        <f ca="1">IF(MAX(F14:F24)=0,"N/A",INDEX($B$14:$B$24,MATCH(SMALL(F14:F24,COUNTIF(#REF!,"=0")+1),F14:F24,0)))</f>
        <v>N/A</v>
      </c>
      <c r="G50" s="115" t="str">
        <f ca="1">IF(MAX(G14:G24)=0,"N/A",INDEX($B$14:$B$24,MATCH(SMALL(G14:G24,COUNTIF(#REF!,"=0")+1),G14:G24,0)))</f>
        <v>N/A</v>
      </c>
      <c r="H50" s="115" t="str">
        <f ca="1">IF(MAX(H14:H24)=0,"N/A",INDEX($B$14:$B$24,MATCH(SMALL(H14:H24,COUNTIF(#REF!,"=0")+1),H14:H24,0)))</f>
        <v>N/A</v>
      </c>
      <c r="I50" s="115" t="str">
        <f ca="1">IF(MAX(I14:I24)=0,"N/A",INDEX($B$14:$B$24,MATCH(SMALL(I14:I24,COUNTIF(#REF!,"=0")+1),I14:I24,0)))</f>
        <v>N/A</v>
      </c>
      <c r="J50" s="115" t="str">
        <f ca="1">IF(MAX(J14:J24)=0,"N/A",INDEX($B$14:$B$24,MATCH(SMALL(J14:J24,COUNTIF(#REF!,"=0")+1),J14:J24,0)))</f>
        <v>N/A</v>
      </c>
      <c r="K50" s="115" t="str">
        <f ca="1">IF(MAX(K14:K24)=0,"N/A",INDEX($B$14:$B$24,MATCH(SMALL(K14:K24,COUNTIF(#REF!,"=0")+1),K14:K24,0)))</f>
        <v>N/A</v>
      </c>
      <c r="L50" s="115" t="str">
        <f t="shared" ref="L50:V50" ca="1" si="25">IF(MAX(L14:L24)=0,"N/A",INDEX($B$14:$B$24,MATCH(SMALL(L14:L24,COUNTIF(B14:B24,"=0")+1),L14:L24,0)))</f>
        <v>N/A</v>
      </c>
      <c r="M50" s="115" t="str">
        <f t="shared" ca="1" si="25"/>
        <v>N/A</v>
      </c>
      <c r="N50" s="115" t="str">
        <f t="shared" ca="1" si="25"/>
        <v>N/A</v>
      </c>
      <c r="O50" s="115" t="str">
        <f t="shared" ca="1" si="25"/>
        <v>N/A</v>
      </c>
      <c r="P50" s="115" t="str">
        <f t="shared" ca="1" si="25"/>
        <v>N/A</v>
      </c>
      <c r="Q50" s="115" t="str">
        <f t="shared" ca="1" si="25"/>
        <v>N/A</v>
      </c>
      <c r="R50" s="115" t="str">
        <f t="shared" ca="1" si="25"/>
        <v>N/A</v>
      </c>
      <c r="S50" s="115" t="str">
        <f t="shared" ca="1" si="25"/>
        <v>N/A</v>
      </c>
      <c r="T50" s="115" t="str">
        <f t="shared" ca="1" si="25"/>
        <v>N/A</v>
      </c>
      <c r="U50" s="115" t="str">
        <f t="shared" ca="1" si="25"/>
        <v>N/A</v>
      </c>
      <c r="V50" s="115" t="str">
        <f t="shared" ca="1" si="25"/>
        <v>N/A</v>
      </c>
      <c r="W50" s="32"/>
    </row>
    <row r="51" spans="1:23">
      <c r="A51" s="9"/>
      <c r="W51" s="32"/>
    </row>
    <row r="52" spans="1:23">
      <c r="A52" s="9"/>
      <c r="W52" s="32"/>
    </row>
    <row r="53" spans="1:23">
      <c r="A53" s="9"/>
      <c r="B53" s="327" t="s">
        <v>359</v>
      </c>
      <c r="C53" s="327"/>
      <c r="E53" s="328" t="s">
        <v>360</v>
      </c>
      <c r="F53" s="329"/>
      <c r="G53" s="329"/>
      <c r="H53" s="329"/>
      <c r="I53" s="330" t="s">
        <v>361</v>
      </c>
      <c r="J53" s="330"/>
      <c r="K53" s="330"/>
      <c r="L53" s="330"/>
      <c r="M53" s="330"/>
      <c r="N53" s="330"/>
      <c r="O53" s="330"/>
      <c r="P53" s="330"/>
      <c r="Q53" s="330"/>
      <c r="R53" s="330"/>
      <c r="S53" s="330"/>
      <c r="T53" s="331"/>
      <c r="W53" s="32"/>
    </row>
    <row r="54" spans="1:23">
      <c r="A54" s="9"/>
      <c r="B54" s="69" t="str">
        <f ca="1">C1&amp;" is (a):"</f>
        <v>CPhI is (a):</v>
      </c>
      <c r="C54" s="69" t="str">
        <f ca="1">IF(C8&lt;=0.25,"Leader",IF(C8&gt;=0.75, "Laggard", "Mid-Pack"))</f>
        <v>Laggard</v>
      </c>
      <c r="E54" s="314" t="s">
        <v>362</v>
      </c>
      <c r="F54" s="316" t="s">
        <v>363</v>
      </c>
      <c r="G54" s="317"/>
      <c r="H54" s="314" t="s">
        <v>95</v>
      </c>
      <c r="I54" s="320" t="s">
        <v>364</v>
      </c>
      <c r="J54" s="321"/>
      <c r="K54" s="322"/>
      <c r="L54" s="323" t="s">
        <v>365</v>
      </c>
      <c r="M54" s="321"/>
      <c r="N54" s="322"/>
      <c r="O54" s="323" t="s">
        <v>366</v>
      </c>
      <c r="P54" s="321"/>
      <c r="Q54" s="322"/>
      <c r="R54" s="323" t="s">
        <v>367</v>
      </c>
      <c r="S54" s="321"/>
      <c r="T54" s="332"/>
      <c r="W54" s="32"/>
    </row>
    <row r="55" spans="1:23" ht="15.75" thickBot="1">
      <c r="A55" s="9"/>
      <c r="B55" s="69" t="s">
        <v>357</v>
      </c>
      <c r="C55" s="69" t="str">
        <f ca="1">C49</f>
        <v>Mobile Experience</v>
      </c>
      <c r="E55" s="315"/>
      <c r="F55" s="318"/>
      <c r="G55" s="319"/>
      <c r="H55" s="315"/>
      <c r="I55" s="333" t="s">
        <v>55</v>
      </c>
      <c r="J55" s="334"/>
      <c r="K55" s="116" t="s">
        <v>95</v>
      </c>
      <c r="L55" s="333" t="s">
        <v>55</v>
      </c>
      <c r="M55" s="334"/>
      <c r="N55" s="116" t="s">
        <v>95</v>
      </c>
      <c r="O55" s="333" t="s">
        <v>55</v>
      </c>
      <c r="P55" s="334"/>
      <c r="Q55" s="116" t="s">
        <v>95</v>
      </c>
      <c r="R55" s="333" t="s">
        <v>55</v>
      </c>
      <c r="S55" s="334"/>
      <c r="T55" s="117" t="s">
        <v>95</v>
      </c>
      <c r="W55" s="32"/>
    </row>
    <row r="56" spans="1:23">
      <c r="A56" s="9"/>
      <c r="B56" s="69" t="s">
        <v>358</v>
      </c>
      <c r="C56" s="69" t="str">
        <f ca="1">C50</f>
        <v>Search Engine Optimization</v>
      </c>
      <c r="E56" s="175" t="str">
        <f>B2&amp;":"</f>
        <v>Initial Consideration:</v>
      </c>
      <c r="F56" s="335" t="str">
        <f ca="1">INDEX($C$1:$V$1,MATCH(MAX(C2:V2),C2:V2,0))</f>
        <v>CPhI</v>
      </c>
      <c r="G56" s="336"/>
      <c r="H56" s="118">
        <f ca="1">MAX(C2:V2)</f>
        <v>0</v>
      </c>
      <c r="I56" s="337" t="s">
        <v>368</v>
      </c>
      <c r="J56" s="338"/>
      <c r="K56" s="101">
        <v>0.78800000000000003</v>
      </c>
      <c r="L56" s="337" t="s">
        <v>369</v>
      </c>
      <c r="M56" s="338"/>
      <c r="N56" s="101">
        <v>0.77500000000000002</v>
      </c>
      <c r="O56" s="337" t="s">
        <v>79</v>
      </c>
      <c r="P56" s="338"/>
      <c r="Q56" s="101">
        <v>0.75700000000000001</v>
      </c>
      <c r="R56" s="337" t="s">
        <v>370</v>
      </c>
      <c r="S56" s="338"/>
      <c r="T56" s="119">
        <v>0.751</v>
      </c>
      <c r="W56" s="32"/>
    </row>
    <row r="57" spans="1:23">
      <c r="A57" s="9"/>
      <c r="E57" s="176" t="str">
        <f>B3&amp;":"</f>
        <v>Active Evaluation:</v>
      </c>
      <c r="F57" s="339" t="str">
        <f ca="1">INDEX($C$1:$V$1,MATCH(MAX(C3:V3),C3:V3,0))</f>
        <v>CPhI</v>
      </c>
      <c r="G57" s="340"/>
      <c r="H57" s="120">
        <f ca="1">MAX(C3:V3)</f>
        <v>4.3520000000000003E-2</v>
      </c>
      <c r="I57" s="341" t="s">
        <v>368</v>
      </c>
      <c r="J57" s="342"/>
      <c r="K57" s="121">
        <v>0.753</v>
      </c>
      <c r="L57" s="341" t="s">
        <v>371</v>
      </c>
      <c r="M57" s="342"/>
      <c r="N57" s="121">
        <v>0.71699999999999997</v>
      </c>
      <c r="O57" s="341" t="s">
        <v>79</v>
      </c>
      <c r="P57" s="342"/>
      <c r="Q57" s="121">
        <v>0.7</v>
      </c>
      <c r="R57" s="341" t="s">
        <v>370</v>
      </c>
      <c r="S57" s="342"/>
      <c r="T57" s="122">
        <v>0.74399999999999999</v>
      </c>
      <c r="W57" s="32"/>
    </row>
    <row r="58" spans="1:23">
      <c r="A58" s="9"/>
      <c r="E58" s="175" t="str">
        <f>B4&amp;":"</f>
        <v>Conversion:</v>
      </c>
      <c r="F58" s="343" t="str">
        <f ca="1">INDEX($C$1:$V$1,MATCH(MAX(C4:V4),C4:V4,0))</f>
        <v>CPhI</v>
      </c>
      <c r="G58" s="344"/>
      <c r="H58" s="118">
        <f ca="1">MAX(C4:V4)</f>
        <v>0</v>
      </c>
      <c r="I58" s="345" t="s">
        <v>78</v>
      </c>
      <c r="J58" s="346"/>
      <c r="K58" s="101">
        <v>0.76500000000000001</v>
      </c>
      <c r="L58" s="345" t="s">
        <v>372</v>
      </c>
      <c r="M58" s="346"/>
      <c r="N58" s="101">
        <v>0.76800000000000002</v>
      </c>
      <c r="O58" s="345" t="s">
        <v>373</v>
      </c>
      <c r="P58" s="346"/>
      <c r="Q58" s="101">
        <v>0.72499999999999998</v>
      </c>
      <c r="R58" s="345" t="s">
        <v>374</v>
      </c>
      <c r="S58" s="346"/>
      <c r="T58" s="119">
        <v>0.73899999999999999</v>
      </c>
      <c r="W58" s="32"/>
    </row>
    <row r="59" spans="1:23">
      <c r="A59" s="9"/>
      <c r="B59" s="327" t="s">
        <v>375</v>
      </c>
      <c r="C59" s="327"/>
      <c r="E59" s="176" t="str">
        <f>B5&amp;":"</f>
        <v>Experience &amp; Loyalty:</v>
      </c>
      <c r="F59" s="339" t="str">
        <f ca="1">INDEX($C$1:$V$1,MATCH(MAX(C5:V5),C5:V5,0))</f>
        <v>CPhI</v>
      </c>
      <c r="G59" s="340"/>
      <c r="H59" s="120">
        <f ca="1">MAX(C5:V5)</f>
        <v>1.536E-2</v>
      </c>
      <c r="I59" s="341" t="s">
        <v>368</v>
      </c>
      <c r="J59" s="342"/>
      <c r="K59" s="121">
        <v>0.77600000000000002</v>
      </c>
      <c r="L59" s="341" t="s">
        <v>369</v>
      </c>
      <c r="M59" s="342"/>
      <c r="N59" s="121">
        <v>0.73599999999999999</v>
      </c>
      <c r="O59" s="341" t="s">
        <v>376</v>
      </c>
      <c r="P59" s="342"/>
      <c r="Q59" s="121">
        <v>0.749</v>
      </c>
      <c r="R59" s="341" t="s">
        <v>374</v>
      </c>
      <c r="S59" s="342"/>
      <c r="T59" s="122">
        <v>0.77400000000000002</v>
      </c>
      <c r="W59" s="32"/>
    </row>
    <row r="60" spans="1:23">
      <c r="A60" s="9"/>
      <c r="B60" s="69" t="s">
        <v>377</v>
      </c>
      <c r="C60" s="174" t="str">
        <f ca="1">INDEX(C1:V1,MATCH(MAX(C7:V7),C7:V7,0))</f>
        <v>CPhI</v>
      </c>
      <c r="D60" s="174"/>
      <c r="E60" s="177"/>
      <c r="F60" s="166"/>
      <c r="G60" s="167"/>
      <c r="H60" s="167"/>
      <c r="I60" s="347"/>
      <c r="J60" s="348"/>
      <c r="K60" s="123"/>
      <c r="L60" s="124"/>
      <c r="M60" s="125"/>
      <c r="N60" s="123"/>
      <c r="O60" s="124"/>
      <c r="P60" s="125"/>
      <c r="Q60" s="123"/>
      <c r="R60" s="124"/>
      <c r="S60" s="125"/>
      <c r="T60" s="126"/>
      <c r="W60" s="32"/>
    </row>
    <row r="61" spans="1:23">
      <c r="A61" s="9"/>
      <c r="B61" s="69" t="s">
        <v>378</v>
      </c>
      <c r="C61" s="174" t="str">
        <f ca="1">INDEX(C1:V1,MATCH(SMALL(C7:V7,(20-$X$2)),C7:V7,0))</f>
        <v>CPhI</v>
      </c>
      <c r="D61" s="174"/>
      <c r="E61" s="175" t="str">
        <f t="shared" ref="E61:E71" si="26">B14&amp;":"</f>
        <v>Search Engine Optimization:</v>
      </c>
      <c r="F61" s="343" t="str">
        <f t="shared" ref="F61:F71" ca="1" si="27">INDEX($C$1:$V$1,MATCH(MAX(C14:V14),C14:V14,0))</f>
        <v>CPhI</v>
      </c>
      <c r="G61" s="344"/>
      <c r="H61" s="118">
        <f t="shared" ref="H61:H71" ca="1" si="28">MAX(C14:V14)</f>
        <v>0</v>
      </c>
      <c r="I61" s="345" t="s">
        <v>368</v>
      </c>
      <c r="J61" s="346"/>
      <c r="K61" s="101">
        <v>0.81299999999999994</v>
      </c>
      <c r="L61" s="345" t="s">
        <v>379</v>
      </c>
      <c r="M61" s="346"/>
      <c r="N61" s="101">
        <v>0.8</v>
      </c>
      <c r="O61" s="345" t="s">
        <v>79</v>
      </c>
      <c r="P61" s="346"/>
      <c r="Q61" s="101">
        <v>0.81299999999999994</v>
      </c>
      <c r="R61" s="345" t="s">
        <v>380</v>
      </c>
      <c r="S61" s="346"/>
      <c r="T61" s="119">
        <v>0.745</v>
      </c>
      <c r="W61" s="32"/>
    </row>
    <row r="62" spans="1:23">
      <c r="A62" s="9"/>
      <c r="E62" s="176" t="str">
        <f t="shared" si="26"/>
        <v>Mobile Experience:</v>
      </c>
      <c r="F62" s="339" t="str">
        <f t="shared" ca="1" si="27"/>
        <v>CPhI</v>
      </c>
      <c r="G62" s="340"/>
      <c r="H62" s="120">
        <f t="shared" ca="1" si="28"/>
        <v>0.25600000000000001</v>
      </c>
      <c r="I62" s="341" t="s">
        <v>381</v>
      </c>
      <c r="J62" s="342"/>
      <c r="K62" s="121">
        <v>0.80900000000000005</v>
      </c>
      <c r="L62" s="341" t="s">
        <v>382</v>
      </c>
      <c r="M62" s="342"/>
      <c r="N62" s="121">
        <v>0.83</v>
      </c>
      <c r="O62" s="341" t="s">
        <v>383</v>
      </c>
      <c r="P62" s="342"/>
      <c r="Q62" s="121">
        <v>0.83</v>
      </c>
      <c r="R62" s="341" t="s">
        <v>370</v>
      </c>
      <c r="S62" s="342"/>
      <c r="T62" s="122">
        <v>0.78300000000000003</v>
      </c>
      <c r="W62" s="32"/>
    </row>
    <row r="63" spans="1:23">
      <c r="A63" s="9"/>
      <c r="E63" s="175" t="str">
        <f t="shared" si="26"/>
        <v>Website Technical &amp; Functional:</v>
      </c>
      <c r="F63" s="343" t="str">
        <f t="shared" ca="1" si="27"/>
        <v>CPhI</v>
      </c>
      <c r="G63" s="344"/>
      <c r="H63" s="118">
        <f t="shared" ca="1" si="28"/>
        <v>0</v>
      </c>
      <c r="I63" s="345" t="s">
        <v>368</v>
      </c>
      <c r="J63" s="346"/>
      <c r="K63" s="101">
        <v>0.75700000000000001</v>
      </c>
      <c r="L63" s="345" t="s">
        <v>384</v>
      </c>
      <c r="M63" s="346"/>
      <c r="N63" s="101">
        <v>0.73</v>
      </c>
      <c r="O63" s="345" t="s">
        <v>385</v>
      </c>
      <c r="P63" s="346"/>
      <c r="Q63" s="101">
        <v>0.72899999999999998</v>
      </c>
      <c r="R63" s="345" t="s">
        <v>370</v>
      </c>
      <c r="S63" s="346"/>
      <c r="T63" s="119">
        <v>0.72099999999999997</v>
      </c>
      <c r="W63" s="32"/>
    </row>
    <row r="64" spans="1:23">
      <c r="A64" s="9"/>
      <c r="E64" s="176" t="str">
        <f t="shared" si="26"/>
        <v>Content Marketing :</v>
      </c>
      <c r="F64" s="339" t="str">
        <f t="shared" ca="1" si="27"/>
        <v>CPhI</v>
      </c>
      <c r="G64" s="340"/>
      <c r="H64" s="120">
        <f t="shared" ca="1" si="28"/>
        <v>0</v>
      </c>
      <c r="I64" s="341" t="s">
        <v>368</v>
      </c>
      <c r="J64" s="342"/>
      <c r="K64" s="121">
        <v>0.80900000000000005</v>
      </c>
      <c r="L64" s="341" t="s">
        <v>386</v>
      </c>
      <c r="M64" s="342"/>
      <c r="N64" s="121">
        <v>0.77800000000000002</v>
      </c>
      <c r="O64" s="341" t="s">
        <v>79</v>
      </c>
      <c r="P64" s="342"/>
      <c r="Q64" s="121">
        <v>0.80500000000000005</v>
      </c>
      <c r="R64" s="341" t="s">
        <v>374</v>
      </c>
      <c r="S64" s="342"/>
      <c r="T64" s="122">
        <v>0.81899999999999995</v>
      </c>
      <c r="W64" s="32"/>
    </row>
    <row r="65" spans="1:23">
      <c r="A65" s="9"/>
      <c r="E65" s="175" t="str">
        <f t="shared" si="26"/>
        <v>Product Discovery:</v>
      </c>
      <c r="F65" s="343" t="str">
        <f t="shared" ca="1" si="27"/>
        <v>CPhI</v>
      </c>
      <c r="G65" s="344"/>
      <c r="H65" s="118">
        <f t="shared" ca="1" si="28"/>
        <v>0</v>
      </c>
      <c r="I65" s="345" t="s">
        <v>387</v>
      </c>
      <c r="J65" s="346"/>
      <c r="K65" s="101">
        <v>0.77200000000000002</v>
      </c>
      <c r="L65" s="345" t="s">
        <v>384</v>
      </c>
      <c r="M65" s="346"/>
      <c r="N65" s="101">
        <v>0.71299999999999997</v>
      </c>
      <c r="O65" s="345" t="s">
        <v>79</v>
      </c>
      <c r="P65" s="346"/>
      <c r="Q65" s="101">
        <v>0.67</v>
      </c>
      <c r="R65" s="349" t="s">
        <v>388</v>
      </c>
      <c r="S65" s="350"/>
      <c r="T65" s="127" t="s">
        <v>388</v>
      </c>
      <c r="W65" s="32"/>
    </row>
    <row r="66" spans="1:23">
      <c r="A66" s="9"/>
      <c r="E66" s="176" t="str">
        <f t="shared" si="26"/>
        <v>Product Merchandising :</v>
      </c>
      <c r="F66" s="339" t="str">
        <f t="shared" ca="1" si="27"/>
        <v>CPhI</v>
      </c>
      <c r="G66" s="340"/>
      <c r="H66" s="120">
        <f t="shared" ca="1" si="28"/>
        <v>0</v>
      </c>
      <c r="I66" s="341" t="s">
        <v>389</v>
      </c>
      <c r="J66" s="342"/>
      <c r="K66" s="121">
        <v>0.83</v>
      </c>
      <c r="L66" s="341" t="s">
        <v>372</v>
      </c>
      <c r="M66" s="342"/>
      <c r="N66" s="121">
        <v>0.79</v>
      </c>
      <c r="O66" s="341" t="s">
        <v>385</v>
      </c>
      <c r="P66" s="342"/>
      <c r="Q66" s="121">
        <v>0.755</v>
      </c>
      <c r="R66" s="341" t="s">
        <v>374</v>
      </c>
      <c r="S66" s="342"/>
      <c r="T66" s="122">
        <v>0.78700000000000003</v>
      </c>
      <c r="W66" s="32"/>
    </row>
    <row r="67" spans="1:23">
      <c r="A67" s="9"/>
      <c r="E67" s="175" t="str">
        <f t="shared" si="26"/>
        <v>E-Commerce Functionality:</v>
      </c>
      <c r="F67" s="343" t="str">
        <f t="shared" ca="1" si="27"/>
        <v>CPhI</v>
      </c>
      <c r="G67" s="344"/>
      <c r="H67" s="118">
        <f t="shared" ca="1" si="28"/>
        <v>0</v>
      </c>
      <c r="I67" s="345" t="s">
        <v>78</v>
      </c>
      <c r="J67" s="346"/>
      <c r="K67" s="101">
        <v>0.83</v>
      </c>
      <c r="L67" s="349" t="s">
        <v>74</v>
      </c>
      <c r="M67" s="350"/>
      <c r="N67" s="128" t="s">
        <v>74</v>
      </c>
      <c r="O67" s="345" t="s">
        <v>79</v>
      </c>
      <c r="P67" s="346"/>
      <c r="Q67" s="101">
        <v>0.73599999999999999</v>
      </c>
      <c r="R67" s="345" t="s">
        <v>374</v>
      </c>
      <c r="S67" s="346"/>
      <c r="T67" s="119">
        <v>0.754</v>
      </c>
      <c r="W67" s="32"/>
    </row>
    <row r="68" spans="1:23">
      <c r="A68" s="9"/>
      <c r="E68" s="176" t="str">
        <f t="shared" si="26"/>
        <v>User Registration:</v>
      </c>
      <c r="F68" s="339" t="str">
        <f t="shared" ca="1" si="27"/>
        <v>CPhI</v>
      </c>
      <c r="G68" s="340"/>
      <c r="H68" s="120">
        <f t="shared" ca="1" si="28"/>
        <v>0</v>
      </c>
      <c r="I68" s="341" t="s">
        <v>390</v>
      </c>
      <c r="J68" s="342"/>
      <c r="K68" s="121">
        <v>0.75</v>
      </c>
      <c r="L68" s="341" t="s">
        <v>391</v>
      </c>
      <c r="M68" s="342"/>
      <c r="N68" s="121">
        <v>0.8</v>
      </c>
      <c r="O68" s="341" t="s">
        <v>373</v>
      </c>
      <c r="P68" s="342"/>
      <c r="Q68" s="121">
        <v>0.76</v>
      </c>
      <c r="R68" s="341" t="s">
        <v>392</v>
      </c>
      <c r="S68" s="342"/>
      <c r="T68" s="122">
        <v>0.7</v>
      </c>
      <c r="W68" s="32"/>
    </row>
    <row r="69" spans="1:23">
      <c r="A69" s="9"/>
      <c r="E69" s="175" t="str">
        <f t="shared" si="26"/>
        <v>E-Referral :</v>
      </c>
      <c r="F69" s="343" t="str">
        <f t="shared" ca="1" si="27"/>
        <v>CPhI</v>
      </c>
      <c r="G69" s="344"/>
      <c r="H69" s="118">
        <f t="shared" ca="1" si="28"/>
        <v>0</v>
      </c>
      <c r="I69" s="345" t="s">
        <v>393</v>
      </c>
      <c r="J69" s="346"/>
      <c r="K69" s="101">
        <v>0.80500000000000005</v>
      </c>
      <c r="L69" s="345" t="s">
        <v>394</v>
      </c>
      <c r="M69" s="346"/>
      <c r="N69" s="101">
        <v>0.83899999999999997</v>
      </c>
      <c r="O69" s="345" t="s">
        <v>383</v>
      </c>
      <c r="P69" s="346"/>
      <c r="Q69" s="101">
        <v>0.78</v>
      </c>
      <c r="R69" s="349" t="s">
        <v>74</v>
      </c>
      <c r="S69" s="350"/>
      <c r="T69" s="127" t="s">
        <v>74</v>
      </c>
      <c r="W69" s="32"/>
    </row>
    <row r="70" spans="1:23">
      <c r="A70" s="9"/>
      <c r="E70" s="176" t="str">
        <f t="shared" si="26"/>
        <v>Online Support :</v>
      </c>
      <c r="F70" s="339" t="str">
        <f t="shared" ca="1" si="27"/>
        <v>CPhI</v>
      </c>
      <c r="G70" s="340"/>
      <c r="H70" s="120">
        <f t="shared" ca="1" si="28"/>
        <v>0</v>
      </c>
      <c r="I70" s="341" t="s">
        <v>389</v>
      </c>
      <c r="J70" s="342"/>
      <c r="K70" s="121">
        <v>0.83599999999999997</v>
      </c>
      <c r="L70" s="341" t="s">
        <v>372</v>
      </c>
      <c r="M70" s="342"/>
      <c r="N70" s="121">
        <v>0.85699999999999998</v>
      </c>
      <c r="O70" s="341" t="s">
        <v>395</v>
      </c>
      <c r="P70" s="342"/>
      <c r="Q70" s="121">
        <v>0.88900000000000001</v>
      </c>
      <c r="R70" s="341" t="s">
        <v>374</v>
      </c>
      <c r="S70" s="342"/>
      <c r="T70" s="122">
        <v>0.84</v>
      </c>
      <c r="W70" s="32"/>
    </row>
    <row r="71" spans="1:23">
      <c r="A71" s="9"/>
      <c r="E71" s="178" t="str">
        <f t="shared" si="26"/>
        <v>Social Media Deployment:</v>
      </c>
      <c r="F71" s="352" t="str">
        <f t="shared" ca="1" si="27"/>
        <v>CPhI</v>
      </c>
      <c r="G71" s="353"/>
      <c r="H71" s="129">
        <f t="shared" ca="1" si="28"/>
        <v>0</v>
      </c>
      <c r="I71" s="354" t="s">
        <v>393</v>
      </c>
      <c r="J71" s="355"/>
      <c r="K71" s="130">
        <v>0.78500000000000003</v>
      </c>
      <c r="L71" s="354" t="s">
        <v>396</v>
      </c>
      <c r="M71" s="355"/>
      <c r="N71" s="130">
        <v>0.85</v>
      </c>
      <c r="O71" s="354" t="s">
        <v>397</v>
      </c>
      <c r="P71" s="355"/>
      <c r="Q71" s="130">
        <v>0.81299999999999994</v>
      </c>
      <c r="R71" s="354" t="s">
        <v>370</v>
      </c>
      <c r="S71" s="355"/>
      <c r="T71" s="131">
        <v>0.73399999999999999</v>
      </c>
      <c r="W71" s="32"/>
    </row>
    <row r="72" spans="1:23">
      <c r="A72" s="9"/>
      <c r="W72" s="32"/>
    </row>
    <row r="73" spans="1:23">
      <c r="A73" s="9"/>
      <c r="B73" s="313" t="s">
        <v>398</v>
      </c>
      <c r="C73" s="313"/>
      <c r="D73" s="313"/>
      <c r="E73" s="313"/>
      <c r="F73" s="313"/>
      <c r="G73" s="313"/>
      <c r="H73" s="313"/>
      <c r="I73" s="313"/>
      <c r="J73" s="313"/>
      <c r="K73" s="313"/>
      <c r="L73" s="313"/>
      <c r="M73" s="313"/>
      <c r="N73" s="313"/>
      <c r="O73" s="313"/>
      <c r="P73" s="313"/>
      <c r="Q73" s="313"/>
      <c r="R73" s="313"/>
      <c r="S73" s="313"/>
      <c r="T73" s="313"/>
      <c r="U73" s="313"/>
      <c r="V73" s="313"/>
      <c r="W73" s="32"/>
    </row>
    <row r="74" spans="1:23">
      <c r="A74" s="9"/>
      <c r="W74" s="32"/>
    </row>
    <row r="75" spans="1:23">
      <c r="A75" s="9"/>
      <c r="B75" s="371" t="s">
        <v>399</v>
      </c>
      <c r="C75" s="371"/>
      <c r="D75" s="351" t="str">
        <f>'TESTING v1'!B3</f>
        <v>Hospitality</v>
      </c>
      <c r="E75" s="351"/>
      <c r="W75" s="32"/>
    </row>
    <row r="76" spans="1:23">
      <c r="A76" s="9"/>
      <c r="B76" s="13"/>
      <c r="C76" s="13"/>
      <c r="E76" s="195"/>
      <c r="F76" s="195"/>
      <c r="G76" s="151"/>
      <c r="W76" s="32"/>
    </row>
    <row r="77" spans="1:23">
      <c r="A77" s="9"/>
      <c r="E77" s="362" t="str">
        <f>INDEX('Industries v3'!$U$3:$U$27,MATCH(ANALYSIS!$D$75,'Industries v3'!$B$3:$B$27,0))</f>
        <v>Deploying a balanced program set is critical to digital marketing program success</v>
      </c>
      <c r="F77" s="363"/>
      <c r="G77" s="364"/>
      <c r="W77" s="32"/>
    </row>
    <row r="78" spans="1:23">
      <c r="A78" s="9"/>
      <c r="B78" s="132" t="s">
        <v>400</v>
      </c>
      <c r="C78" s="133" t="s">
        <v>401</v>
      </c>
      <c r="E78" s="365"/>
      <c r="F78" s="366"/>
      <c r="G78" s="367"/>
      <c r="W78" s="32"/>
    </row>
    <row r="79" spans="1:23">
      <c r="A79" s="9"/>
      <c r="B79" s="134" t="s">
        <v>0</v>
      </c>
      <c r="C79" s="196">
        <f>INDEX('Industries v3'!F$3:F$27,MATCH(ANALYSIS!$D$75,'Industries v3'!$B$3:$B$27,0))</f>
        <v>4</v>
      </c>
      <c r="E79" s="365"/>
      <c r="F79" s="366"/>
      <c r="G79" s="367"/>
      <c r="W79" s="32"/>
    </row>
    <row r="80" spans="1:23">
      <c r="A80" s="9"/>
      <c r="B80" s="134" t="s">
        <v>1</v>
      </c>
      <c r="C80" s="196">
        <f>INDEX('Industries v3'!G$3:G$27,MATCH(ANALYSIS!$D$75,'Industries v3'!$B$3:$B$27,0))</f>
        <v>5</v>
      </c>
      <c r="E80" s="368"/>
      <c r="F80" s="369"/>
      <c r="G80" s="370"/>
      <c r="W80" s="32"/>
    </row>
    <row r="81" spans="1:34">
      <c r="A81" s="9"/>
      <c r="B81" s="134" t="s">
        <v>2</v>
      </c>
      <c r="C81" s="196">
        <f>INDEX('Industries v3'!H$3:H$27,MATCH(ANALYSIS!$D$75,'Industries v3'!$B$3:$B$27,0))</f>
        <v>5</v>
      </c>
      <c r="E81" s="194"/>
      <c r="F81" s="194"/>
      <c r="G81" s="194"/>
      <c r="W81" s="32"/>
    </row>
    <row r="82" spans="1:34">
      <c r="A82" s="9"/>
      <c r="B82" s="134" t="s">
        <v>3</v>
      </c>
      <c r="C82" s="196">
        <f>INDEX('Industries v3'!I$3:I$27,MATCH(ANALYSIS!$D$75,'Industries v3'!$B$3:$B$27,0))</f>
        <v>3</v>
      </c>
      <c r="E82" s="362" t="str">
        <f>INDEX('Industries v3'!$V$3:$V$27,MATCH(ANALYSIS!$D$75,'Industries v3'!$B$3:$B$27,0))</f>
        <v>Opportunity Conversion is the most important Customer Digital Journey element for hospitality</v>
      </c>
      <c r="F82" s="363"/>
      <c r="G82" s="364"/>
      <c r="W82" s="32"/>
    </row>
    <row r="83" spans="1:34">
      <c r="A83" s="9"/>
      <c r="B83" s="134"/>
      <c r="C83" s="196"/>
      <c r="E83" s="365"/>
      <c r="F83" s="366"/>
      <c r="G83" s="367"/>
      <c r="W83" s="32"/>
    </row>
    <row r="84" spans="1:34">
      <c r="A84" s="9"/>
      <c r="B84" s="134" t="s">
        <v>11</v>
      </c>
      <c r="C84" s="196">
        <f>INDEX('Industries v3'!J$3:J$27,MATCH(ANALYSIS!$D$75,'Industries v3'!$B$3:$B$27,0))</f>
        <v>3</v>
      </c>
      <c r="E84" s="365"/>
      <c r="F84" s="366"/>
      <c r="G84" s="367"/>
      <c r="W84" s="32"/>
    </row>
    <row r="85" spans="1:34">
      <c r="A85" s="9"/>
      <c r="B85" s="134" t="s">
        <v>5</v>
      </c>
      <c r="C85" s="196">
        <f>INDEX('Industries v3'!K$3:K$27,MATCH(ANALYSIS!$D$75,'Industries v3'!$B$3:$B$27,0))</f>
        <v>5</v>
      </c>
      <c r="E85" s="368"/>
      <c r="F85" s="369"/>
      <c r="G85" s="370"/>
      <c r="W85" s="32"/>
    </row>
    <row r="86" spans="1:34">
      <c r="A86" s="9"/>
      <c r="B86" s="134" t="s">
        <v>4</v>
      </c>
      <c r="C86" s="196">
        <f>INDEX('Industries v3'!L$3:L$27,MATCH(ANALYSIS!$D$75,'Industries v3'!$B$3:$B$27,0))</f>
        <v>5</v>
      </c>
      <c r="E86" s="194"/>
      <c r="F86" s="194"/>
      <c r="G86" s="194"/>
      <c r="W86" s="32"/>
    </row>
    <row r="87" spans="1:34">
      <c r="A87" s="9"/>
      <c r="B87" s="134" t="s">
        <v>8</v>
      </c>
      <c r="C87" s="196">
        <f>INDEX('Industries v3'!M$3:M$27,MATCH(ANALYSIS!$D$75,'Industries v3'!$B$3:$B$27,0))</f>
        <v>4</v>
      </c>
      <c r="E87" s="362" t="str">
        <f>INDEX('Industries v3'!$W$3:$W$27,MATCH(ANALYSIS!$D$75,'Industries v3'!$B$3:$B$27,0))</f>
        <v>A successful digital marketing program set requires foundational capability and performance in SEO, mobile, website, product merchandising, hotel discovery, and E-commerce functionality</v>
      </c>
      <c r="F87" s="363"/>
      <c r="G87" s="364"/>
      <c r="W87" s="32"/>
    </row>
    <row r="88" spans="1:34">
      <c r="A88" s="9"/>
      <c r="B88" s="134" t="s">
        <v>539</v>
      </c>
      <c r="C88" s="196">
        <f>INDEX('Industries v3'!N$3:N$27,MATCH(ANALYSIS!$D$75,'Industries v3'!$B$3:$B$27,0))</f>
        <v>5</v>
      </c>
      <c r="E88" s="365"/>
      <c r="F88" s="366"/>
      <c r="G88" s="367"/>
      <c r="W88" s="32"/>
    </row>
    <row r="89" spans="1:34">
      <c r="A89" s="9"/>
      <c r="B89" s="134" t="s">
        <v>7</v>
      </c>
      <c r="C89" s="196">
        <f>INDEX('Industries v3'!O$3:O$27,MATCH(ANALYSIS!$D$75,'Industries v3'!$B$3:$B$27,0))</f>
        <v>5</v>
      </c>
      <c r="E89" s="365"/>
      <c r="F89" s="366"/>
      <c r="G89" s="367"/>
      <c r="W89" s="32"/>
    </row>
    <row r="90" spans="1:34">
      <c r="A90" s="9"/>
      <c r="B90" s="134" t="s">
        <v>12</v>
      </c>
      <c r="C90" s="196">
        <f>INDEX('Industries v3'!P$3:P$27,MATCH(ANALYSIS!$D$75,'Industries v3'!$B$3:$B$27,0))</f>
        <v>5</v>
      </c>
      <c r="E90" s="368"/>
      <c r="F90" s="369"/>
      <c r="G90" s="370"/>
      <c r="W90" s="32"/>
    </row>
    <row r="91" spans="1:34">
      <c r="A91" s="9"/>
      <c r="B91" s="134" t="s">
        <v>349</v>
      </c>
      <c r="C91" s="196" t="str">
        <f>INDEX('Industries v3'!Q$3:Q$27,MATCH(ANALYSIS!$D$75,'Industries v3'!$B$3:$B$27,0))</f>
        <v>N/A</v>
      </c>
      <c r="E91" s="194"/>
      <c r="F91" s="194"/>
      <c r="G91" s="194"/>
      <c r="W91" s="32"/>
    </row>
    <row r="92" spans="1:34">
      <c r="A92" s="9"/>
      <c r="B92" s="134" t="s">
        <v>350</v>
      </c>
      <c r="C92" s="196" t="str">
        <f>INDEX('Industries v3'!R$3:R$27,MATCH(ANALYSIS!$D$75,'Industries v3'!$B$3:$B$27,0))</f>
        <v>N/A</v>
      </c>
      <c r="E92" s="362">
        <f>INDEX('Industries v3'!$X$3:$X$27,MATCH(ANALYSIS!$D$75,'Industries v3'!$B$3:$B$27,0))</f>
        <v>0</v>
      </c>
      <c r="F92" s="363"/>
      <c r="G92" s="364"/>
      <c r="W92" s="32"/>
    </row>
    <row r="93" spans="1:34">
      <c r="A93" s="9"/>
      <c r="B93" s="134" t="s">
        <v>10</v>
      </c>
      <c r="C93" s="196">
        <f>INDEX('Industries v3'!S$3:S$27,MATCH(ANALYSIS!$D$75,'Industries v3'!$B$3:$B$27,0))</f>
        <v>2</v>
      </c>
      <c r="E93" s="365"/>
      <c r="F93" s="366"/>
      <c r="G93" s="367"/>
      <c r="W93" s="32"/>
    </row>
    <row r="94" spans="1:34">
      <c r="A94" s="9"/>
      <c r="B94" s="135" t="s">
        <v>6</v>
      </c>
      <c r="C94" s="197">
        <f>INDEX('Industries v3'!T$3:T$27,MATCH(ANALYSIS!$D$75,'Industries v3'!$B$3:$B$27,0))</f>
        <v>2</v>
      </c>
      <c r="E94" s="365"/>
      <c r="F94" s="366"/>
      <c r="G94" s="367"/>
      <c r="W94" s="32"/>
    </row>
    <row r="95" spans="1:34">
      <c r="A95" s="9"/>
      <c r="E95" s="368"/>
      <c r="F95" s="369"/>
      <c r="G95" s="370"/>
      <c r="W95" s="32"/>
    </row>
    <row r="96" spans="1:34">
      <c r="A96" s="9"/>
      <c r="B96" s="313" t="s">
        <v>402</v>
      </c>
      <c r="C96" s="313"/>
      <c r="D96" s="313"/>
      <c r="E96" s="313"/>
      <c r="F96" s="313"/>
      <c r="G96" s="313"/>
      <c r="H96" s="313"/>
      <c r="I96" s="313"/>
      <c r="J96" s="313"/>
      <c r="K96" s="313"/>
      <c r="L96" s="313"/>
      <c r="M96" s="313"/>
      <c r="N96" s="313"/>
      <c r="O96" s="313"/>
      <c r="P96" s="313"/>
      <c r="Q96" s="313"/>
      <c r="R96" s="313"/>
      <c r="S96" s="313"/>
      <c r="T96" s="313"/>
      <c r="U96" s="313"/>
      <c r="V96" s="313"/>
      <c r="W96" s="32"/>
      <c r="X96" s="313" t="s">
        <v>403</v>
      </c>
      <c r="Y96" s="313"/>
      <c r="Z96" s="313"/>
      <c r="AA96" s="313"/>
      <c r="AB96" s="313"/>
      <c r="AC96" s="313"/>
      <c r="AD96" s="313"/>
      <c r="AE96" s="313"/>
      <c r="AF96" s="313"/>
      <c r="AG96" s="313"/>
      <c r="AH96" s="313"/>
    </row>
    <row r="97" spans="1:34">
      <c r="A97" s="9"/>
      <c r="W97" s="32"/>
      <c r="AH97" s="9"/>
    </row>
    <row r="98" spans="1:34">
      <c r="A98" s="9"/>
      <c r="W98" s="32"/>
      <c r="AH98" s="9"/>
    </row>
    <row r="99" spans="1:34">
      <c r="A99" s="9"/>
      <c r="W99" s="32"/>
      <c r="Y99" s="356" t="str">
        <f ca="1">'Key Findings'!J53</f>
        <v>CPhI's digital marketing programs:</v>
      </c>
      <c r="Z99" s="357"/>
      <c r="AA99" s="357"/>
      <c r="AB99" s="357"/>
      <c r="AC99" s="357"/>
      <c r="AD99" s="357"/>
      <c r="AE99" s="357"/>
      <c r="AF99" s="358"/>
      <c r="AH99" s="9"/>
    </row>
    <row r="100" spans="1:34">
      <c r="A100" s="9"/>
      <c r="W100" s="32"/>
      <c r="Y100" s="136"/>
      <c r="Z100" s="137"/>
      <c r="AA100" s="137"/>
      <c r="AB100" s="137"/>
      <c r="AC100" s="137"/>
      <c r="AD100" s="137"/>
      <c r="AE100" s="137"/>
      <c r="AF100" s="138"/>
      <c r="AH100" s="9"/>
    </row>
    <row r="101" spans="1:34">
      <c r="A101" s="9"/>
      <c r="W101" s="32"/>
      <c r="Y101" s="359" t="str">
        <f ca="1">'Key Findings'!J55</f>
        <v>&gt; Are functional but lack refinement and perform at levels below those of key competitors</v>
      </c>
      <c r="Z101" s="360"/>
      <c r="AA101" s="360"/>
      <c r="AB101" s="360"/>
      <c r="AC101" s="360"/>
      <c r="AD101" s="360"/>
      <c r="AE101" s="360"/>
      <c r="AF101" s="361"/>
      <c r="AH101" s="9"/>
    </row>
    <row r="102" spans="1:34">
      <c r="A102" s="9"/>
      <c r="W102" s="32"/>
      <c r="Y102" s="359"/>
      <c r="Z102" s="360"/>
      <c r="AA102" s="360"/>
      <c r="AB102" s="360"/>
      <c r="AC102" s="360"/>
      <c r="AD102" s="360"/>
      <c r="AE102" s="360"/>
      <c r="AF102" s="361"/>
      <c r="AH102" s="9"/>
    </row>
    <row r="103" spans="1:34">
      <c r="A103" s="9"/>
      <c r="W103" s="32"/>
      <c r="Y103" s="136"/>
      <c r="Z103" s="137"/>
      <c r="AA103" s="137"/>
      <c r="AB103" s="137"/>
      <c r="AC103" s="137"/>
      <c r="AD103" s="137"/>
      <c r="AE103" s="137"/>
      <c r="AF103" s="138"/>
      <c r="AH103" s="9"/>
    </row>
    <row r="104" spans="1:34">
      <c r="A104" s="9"/>
      <c r="W104" s="32"/>
      <c r="Y104" s="359" t="str">
        <f ca="1">'Key Findings'!J56</f>
        <v>&gt; Have no areas of distinction or relative strength</v>
      </c>
      <c r="Z104" s="360"/>
      <c r="AA104" s="360"/>
      <c r="AB104" s="360"/>
      <c r="AC104" s="360"/>
      <c r="AD104" s="360"/>
      <c r="AE104" s="360"/>
      <c r="AF104" s="361"/>
      <c r="AH104" s="9"/>
    </row>
    <row r="105" spans="1:34">
      <c r="A105" s="9"/>
      <c r="W105" s="32"/>
      <c r="Y105" s="359"/>
      <c r="Z105" s="360"/>
      <c r="AA105" s="360"/>
      <c r="AB105" s="360"/>
      <c r="AC105" s="360"/>
      <c r="AD105" s="360"/>
      <c r="AE105" s="360"/>
      <c r="AF105" s="361"/>
      <c r="AH105" s="9"/>
    </row>
    <row r="106" spans="1:34">
      <c r="A106" s="9"/>
      <c r="W106" s="32"/>
      <c r="Y106" s="136"/>
      <c r="Z106" s="137"/>
      <c r="AA106" s="137"/>
      <c r="AB106" s="137"/>
      <c r="AC106" s="137"/>
      <c r="AD106" s="137"/>
      <c r="AE106" s="137"/>
      <c r="AF106" s="138"/>
      <c r="AH106" s="9"/>
    </row>
    <row r="107" spans="1:34">
      <c r="A107" s="9"/>
      <c r="W107" s="32"/>
      <c r="Y107" s="359" t="str">
        <f ca="1">'Key Findings'!J57</f>
        <v>&gt; Have opportunities in key areas including Search Engine Optimization, Search Engine Optimization, and Search Engine Optimization</v>
      </c>
      <c r="Z107" s="360"/>
      <c r="AA107" s="360"/>
      <c r="AB107" s="360"/>
      <c r="AC107" s="360"/>
      <c r="AD107" s="360"/>
      <c r="AE107" s="360"/>
      <c r="AF107" s="361"/>
      <c r="AH107" s="9"/>
    </row>
    <row r="108" spans="1:34">
      <c r="A108" s="9"/>
      <c r="W108" s="32"/>
      <c r="Y108" s="359"/>
      <c r="Z108" s="360"/>
      <c r="AA108" s="360"/>
      <c r="AB108" s="360"/>
      <c r="AC108" s="360"/>
      <c r="AD108" s="360"/>
      <c r="AE108" s="360"/>
      <c r="AF108" s="361"/>
      <c r="AH108" s="9"/>
    </row>
    <row r="109" spans="1:34">
      <c r="A109" s="9"/>
      <c r="W109" s="32"/>
      <c r="Y109" s="136"/>
      <c r="Z109" s="137"/>
      <c r="AA109" s="137"/>
      <c r="AB109" s="137"/>
      <c r="AC109" s="137"/>
      <c r="AD109" s="137"/>
      <c r="AE109" s="137"/>
      <c r="AF109" s="138"/>
      <c r="AH109" s="9"/>
    </row>
    <row r="110" spans="1:34">
      <c r="A110" s="9"/>
      <c r="W110" s="32"/>
      <c r="Y110" s="359" t="str">
        <f>'Key Findings'!J58</f>
        <v xml:space="preserve">&gt; Possess significant opportunities to increase KPI performance and financial impact </v>
      </c>
      <c r="Z110" s="360"/>
      <c r="AA110" s="360"/>
      <c r="AB110" s="360"/>
      <c r="AC110" s="360"/>
      <c r="AD110" s="360"/>
      <c r="AE110" s="360"/>
      <c r="AF110" s="361"/>
      <c r="AH110" s="9"/>
    </row>
    <row r="111" spans="1:34">
      <c r="A111" s="9"/>
      <c r="W111" s="32"/>
      <c r="Y111" s="359"/>
      <c r="Z111" s="360"/>
      <c r="AA111" s="360"/>
      <c r="AB111" s="360"/>
      <c r="AC111" s="360"/>
      <c r="AD111" s="360"/>
      <c r="AE111" s="360"/>
      <c r="AF111" s="361"/>
      <c r="AH111" s="9"/>
    </row>
    <row r="112" spans="1:34">
      <c r="A112" s="9"/>
      <c r="W112" s="32"/>
      <c r="Y112" s="139"/>
      <c r="Z112" s="140"/>
      <c r="AA112" s="140"/>
      <c r="AB112" s="140"/>
      <c r="AC112" s="140"/>
      <c r="AD112" s="140"/>
      <c r="AE112" s="140"/>
      <c r="AF112" s="141"/>
      <c r="AH112" s="9"/>
    </row>
    <row r="113" spans="1:34">
      <c r="A113" s="9"/>
      <c r="W113" s="32"/>
      <c r="AH113" s="9"/>
    </row>
    <row r="114" spans="1:34">
      <c r="A114" s="9"/>
      <c r="W114" s="32"/>
      <c r="X114" s="9"/>
      <c r="Y114" s="9"/>
      <c r="Z114" s="9"/>
      <c r="AA114" s="9"/>
      <c r="AB114" s="9"/>
      <c r="AC114" s="9"/>
      <c r="AD114" s="9"/>
      <c r="AE114" s="9"/>
      <c r="AF114" s="9"/>
      <c r="AG114" s="9"/>
      <c r="AH114" s="9"/>
    </row>
    <row r="115" spans="1:34">
      <c r="A115" s="9"/>
      <c r="W115" s="32"/>
      <c r="X115" s="9"/>
      <c r="Y115" s="9"/>
      <c r="Z115" s="9"/>
      <c r="AA115" s="9"/>
      <c r="AB115" s="9"/>
      <c r="AC115" s="9"/>
      <c r="AD115" s="9"/>
      <c r="AE115" s="9"/>
      <c r="AF115" s="9"/>
      <c r="AG115" s="9"/>
      <c r="AH115" s="9"/>
    </row>
    <row r="116" spans="1:34">
      <c r="A116" s="9"/>
      <c r="W116" s="32"/>
    </row>
    <row r="117" spans="1:34">
      <c r="A117" s="9"/>
      <c r="W117" s="32"/>
    </row>
    <row r="118" spans="1:34">
      <c r="A118" s="9"/>
      <c r="W118" s="32"/>
    </row>
    <row r="119" spans="1:34">
      <c r="A119" s="9"/>
      <c r="W119" s="32"/>
    </row>
    <row r="120" spans="1:34">
      <c r="A120" s="9"/>
      <c r="W120" s="32"/>
    </row>
    <row r="121" spans="1:34">
      <c r="A121" s="9"/>
      <c r="W121" s="32"/>
    </row>
    <row r="122" spans="1:34">
      <c r="A122" s="9"/>
      <c r="W122" s="32"/>
    </row>
    <row r="123" spans="1:34">
      <c r="A123" s="9"/>
      <c r="W123" s="32"/>
    </row>
    <row r="124" spans="1:34">
      <c r="A124" s="9"/>
      <c r="B124" s="313" t="s">
        <v>404</v>
      </c>
      <c r="C124" s="313"/>
      <c r="D124" s="313"/>
      <c r="E124" s="313"/>
      <c r="F124" s="313"/>
      <c r="G124" s="313"/>
      <c r="H124" s="313"/>
      <c r="I124" s="313"/>
      <c r="J124" s="313"/>
      <c r="K124" s="313"/>
      <c r="L124" s="313"/>
      <c r="M124" s="313"/>
      <c r="N124" s="313"/>
      <c r="O124" s="313"/>
      <c r="P124" s="313"/>
      <c r="Q124" s="313"/>
      <c r="R124" s="313"/>
      <c r="S124" s="313"/>
      <c r="T124" s="313"/>
      <c r="U124" s="313"/>
      <c r="V124" s="313"/>
      <c r="W124" s="32"/>
    </row>
    <row r="125" spans="1:34">
      <c r="A125" s="32"/>
      <c r="W125" s="32"/>
    </row>
    <row r="126" spans="1:34">
      <c r="A126" s="32"/>
      <c r="B126" s="69" t="str">
        <f t="shared" ref="B126:V126" si="29">B1</f>
        <v>Category</v>
      </c>
      <c r="C126" s="69" t="str">
        <f t="shared" ca="1" si="29"/>
        <v>CPhI</v>
      </c>
      <c r="D126" s="69">
        <f t="shared" ca="1" si="29"/>
        <v>0</v>
      </c>
      <c r="E126" s="69">
        <f t="shared" ca="1" si="29"/>
        <v>0</v>
      </c>
      <c r="F126" s="69">
        <f t="shared" ca="1" si="29"/>
        <v>0</v>
      </c>
      <c r="G126" s="69">
        <f t="shared" ca="1" si="29"/>
        <v>0</v>
      </c>
      <c r="H126" s="69">
        <f t="shared" ca="1" si="29"/>
        <v>0</v>
      </c>
      <c r="I126" s="69">
        <f t="shared" ca="1" si="29"/>
        <v>0</v>
      </c>
      <c r="J126" s="69">
        <f t="shared" ca="1" si="29"/>
        <v>0</v>
      </c>
      <c r="K126" s="69">
        <f t="shared" ca="1" si="29"/>
        <v>0</v>
      </c>
      <c r="L126" s="69">
        <f t="shared" ca="1" si="29"/>
        <v>0</v>
      </c>
      <c r="M126" s="69" t="str">
        <f t="shared" ca="1" si="29"/>
        <v>Fi Global</v>
      </c>
      <c r="N126" s="69">
        <f t="shared" ca="1" si="29"/>
        <v>0</v>
      </c>
      <c r="O126" s="69">
        <f t="shared" ca="1" si="29"/>
        <v>0</v>
      </c>
      <c r="P126" s="69">
        <f t="shared" ca="1" si="29"/>
        <v>0</v>
      </c>
      <c r="Q126" s="69">
        <f t="shared" ca="1" si="29"/>
        <v>0</v>
      </c>
      <c r="R126" s="69">
        <f t="shared" ca="1" si="29"/>
        <v>0</v>
      </c>
      <c r="S126" s="69">
        <f t="shared" ca="1" si="29"/>
        <v>0</v>
      </c>
      <c r="T126" s="69">
        <f t="shared" ca="1" si="29"/>
        <v>0</v>
      </c>
      <c r="U126" s="69">
        <f t="shared" ca="1" si="29"/>
        <v>0</v>
      </c>
      <c r="V126" s="69">
        <f t="shared" ca="1" si="29"/>
        <v>0</v>
      </c>
      <c r="W126" s="32"/>
    </row>
    <row r="127" spans="1:34">
      <c r="A127" s="32"/>
      <c r="B127" s="69" t="str">
        <f>B29</f>
        <v>Initial Consideration</v>
      </c>
      <c r="C127" s="142">
        <f ca="1">'[2]Past Q Scores'!K28-ANALYSIS!C29</f>
        <v>0</v>
      </c>
      <c r="D127" s="142">
        <f ca="1">'[2]Past Q Scores'!L28-ANALYSIS!D29</f>
        <v>0</v>
      </c>
      <c r="E127" s="142">
        <f ca="1">'[2]Past Q Scores'!M28-ANALYSIS!E29</f>
        <v>0</v>
      </c>
      <c r="F127" s="142">
        <f ca="1">'[2]Past Q Scores'!N28-ANALYSIS!F29</f>
        <v>0</v>
      </c>
      <c r="G127" s="142">
        <f ca="1">'[2]Past Q Scores'!O28-ANALYSIS!G29</f>
        <v>0</v>
      </c>
      <c r="H127" s="142">
        <f ca="1">'[2]Past Q Scores'!P28-ANALYSIS!H29</f>
        <v>0</v>
      </c>
      <c r="I127" s="142">
        <f ca="1">'[2]Past Q Scores'!Q28-ANALYSIS!I29</f>
        <v>0</v>
      </c>
      <c r="J127" s="142">
        <f ca="1">'[2]Past Q Scores'!R28-ANALYSIS!J29</f>
        <v>0</v>
      </c>
      <c r="K127" s="142">
        <f ca="1">'[2]Past Q Scores'!S28-ANALYSIS!K29</f>
        <v>0</v>
      </c>
      <c r="L127" s="142">
        <f ca="1">'[2]Past Q Scores'!T28-ANALYSIS!L29</f>
        <v>0</v>
      </c>
      <c r="M127" s="142">
        <f ca="1">'[2]Past Q Scores'!U28-ANALYSIS!M29</f>
        <v>0</v>
      </c>
      <c r="N127" s="142">
        <f ca="1">'[2]Past Q Scores'!V28-ANALYSIS!N29</f>
        <v>0</v>
      </c>
      <c r="O127" s="142">
        <f ca="1">'[2]Past Q Scores'!W28-ANALYSIS!O29</f>
        <v>0</v>
      </c>
      <c r="P127" s="142">
        <f ca="1">'[2]Past Q Scores'!X28-ANALYSIS!P29</f>
        <v>0</v>
      </c>
      <c r="Q127" s="142">
        <f ca="1">'[2]Past Q Scores'!Y28-ANALYSIS!Q29</f>
        <v>0</v>
      </c>
      <c r="R127" s="142">
        <f ca="1">'[2]Past Q Scores'!Z28-ANALYSIS!R29</f>
        <v>0</v>
      </c>
      <c r="S127" s="142">
        <f ca="1">'[2]Past Q Scores'!AA28-ANALYSIS!S29</f>
        <v>0</v>
      </c>
      <c r="T127" s="142">
        <f ca="1">'[2]Past Q Scores'!AB28-ANALYSIS!T29</f>
        <v>0</v>
      </c>
      <c r="U127" s="142">
        <f ca="1">'[2]Past Q Scores'!AC28-ANALYSIS!U29</f>
        <v>0</v>
      </c>
      <c r="V127" s="142">
        <f ca="1">'[2]Past Q Scores'!AD28-ANALYSIS!V29</f>
        <v>0</v>
      </c>
      <c r="W127" s="143">
        <f ca="1">SQRT(SUMSQ(C127:V127))</f>
        <v>0</v>
      </c>
    </row>
    <row r="128" spans="1:34">
      <c r="A128" s="32"/>
      <c r="B128" s="69" t="str">
        <f t="shared" ref="B128:B141" si="30">B30</f>
        <v>Active Evaluation</v>
      </c>
      <c r="C128" s="142">
        <f ca="1">'[2]Past Q Scores'!K29-ANALYSIS!C30</f>
        <v>9.5</v>
      </c>
      <c r="D128" s="142">
        <f ca="1">'[2]Past Q Scores'!L29-ANALYSIS!D30</f>
        <v>-0.5</v>
      </c>
      <c r="E128" s="142">
        <f ca="1">'[2]Past Q Scores'!M29-ANALYSIS!E30</f>
        <v>-0.5</v>
      </c>
      <c r="F128" s="142">
        <f ca="1">'[2]Past Q Scores'!N29-ANALYSIS!F30</f>
        <v>-0.5</v>
      </c>
      <c r="G128" s="142">
        <f ca="1">'[2]Past Q Scores'!O29-ANALYSIS!G30</f>
        <v>-0.5</v>
      </c>
      <c r="H128" s="142">
        <f ca="1">'[2]Past Q Scores'!P29-ANALYSIS!H30</f>
        <v>-0.5</v>
      </c>
      <c r="I128" s="142">
        <f ca="1">'[2]Past Q Scores'!Q29-ANALYSIS!I30</f>
        <v>-0.5</v>
      </c>
      <c r="J128" s="142">
        <f ca="1">'[2]Past Q Scores'!R29-ANALYSIS!J30</f>
        <v>-0.5</v>
      </c>
      <c r="K128" s="142">
        <f ca="1">'[2]Past Q Scores'!S29-ANALYSIS!K30</f>
        <v>-0.5</v>
      </c>
      <c r="L128" s="142">
        <f ca="1">'[2]Past Q Scores'!T29-ANALYSIS!L30</f>
        <v>-0.5</v>
      </c>
      <c r="M128" s="142">
        <f ca="1">'[2]Past Q Scores'!U29-ANALYSIS!M30</f>
        <v>-0.5</v>
      </c>
      <c r="N128" s="142">
        <f ca="1">'[2]Past Q Scores'!V29-ANALYSIS!N30</f>
        <v>-0.5</v>
      </c>
      <c r="O128" s="142">
        <f ca="1">'[2]Past Q Scores'!W29-ANALYSIS!O30</f>
        <v>-0.5</v>
      </c>
      <c r="P128" s="142">
        <f ca="1">'[2]Past Q Scores'!X29-ANALYSIS!P30</f>
        <v>-0.5</v>
      </c>
      <c r="Q128" s="142">
        <f ca="1">'[2]Past Q Scores'!Y29-ANALYSIS!Q30</f>
        <v>-0.5</v>
      </c>
      <c r="R128" s="142">
        <f ca="1">'[2]Past Q Scores'!Z29-ANALYSIS!R30</f>
        <v>-0.5</v>
      </c>
      <c r="S128" s="142">
        <f ca="1">'[2]Past Q Scores'!AA29-ANALYSIS!S30</f>
        <v>-0.5</v>
      </c>
      <c r="T128" s="142">
        <f ca="1">'[2]Past Q Scores'!AB29-ANALYSIS!T30</f>
        <v>-0.5</v>
      </c>
      <c r="U128" s="142">
        <f ca="1">'[2]Past Q Scores'!AC29-ANALYSIS!U30</f>
        <v>-0.5</v>
      </c>
      <c r="V128" s="142">
        <f ca="1">'[2]Past Q Scores'!AD29-ANALYSIS!V30</f>
        <v>-0.5</v>
      </c>
      <c r="W128" s="143">
        <f t="shared" ref="W128:W130" ca="1" si="31">SQRT(SUMSQ(C128:V128))</f>
        <v>9.7467943448089631</v>
      </c>
    </row>
    <row r="129" spans="1:23">
      <c r="A129" s="32"/>
      <c r="B129" s="69" t="str">
        <f t="shared" si="30"/>
        <v>Conversion</v>
      </c>
      <c r="C129" s="142">
        <f ca="1">'[2]Past Q Scores'!K30-ANALYSIS!C31</f>
        <v>0</v>
      </c>
      <c r="D129" s="142">
        <f ca="1">'[2]Past Q Scores'!L30-ANALYSIS!D31</f>
        <v>0</v>
      </c>
      <c r="E129" s="142">
        <f ca="1">'[2]Past Q Scores'!M30-ANALYSIS!E31</f>
        <v>0</v>
      </c>
      <c r="F129" s="142">
        <f ca="1">'[2]Past Q Scores'!N30-ANALYSIS!F31</f>
        <v>0</v>
      </c>
      <c r="G129" s="142">
        <f ca="1">'[2]Past Q Scores'!O30-ANALYSIS!G31</f>
        <v>0</v>
      </c>
      <c r="H129" s="142">
        <f ca="1">'[2]Past Q Scores'!P30-ANALYSIS!H31</f>
        <v>0</v>
      </c>
      <c r="I129" s="142">
        <f ca="1">'[2]Past Q Scores'!Q30-ANALYSIS!I31</f>
        <v>0</v>
      </c>
      <c r="J129" s="142">
        <f ca="1">'[2]Past Q Scores'!R30-ANALYSIS!J31</f>
        <v>0</v>
      </c>
      <c r="K129" s="142">
        <f ca="1">'[2]Past Q Scores'!S30-ANALYSIS!K31</f>
        <v>0</v>
      </c>
      <c r="L129" s="142">
        <f ca="1">'[2]Past Q Scores'!T30-ANALYSIS!L31</f>
        <v>0</v>
      </c>
      <c r="M129" s="142">
        <f ca="1">'[2]Past Q Scores'!U30-ANALYSIS!M31</f>
        <v>0</v>
      </c>
      <c r="N129" s="142">
        <f ca="1">'[2]Past Q Scores'!V30-ANALYSIS!N31</f>
        <v>0</v>
      </c>
      <c r="O129" s="142">
        <f ca="1">'[2]Past Q Scores'!W30-ANALYSIS!O31</f>
        <v>0</v>
      </c>
      <c r="P129" s="142">
        <f ca="1">'[2]Past Q Scores'!X30-ANALYSIS!P31</f>
        <v>0</v>
      </c>
      <c r="Q129" s="142">
        <f ca="1">'[2]Past Q Scores'!Y30-ANALYSIS!Q31</f>
        <v>0</v>
      </c>
      <c r="R129" s="142">
        <f ca="1">'[2]Past Q Scores'!Z30-ANALYSIS!R31</f>
        <v>0</v>
      </c>
      <c r="S129" s="142">
        <f ca="1">'[2]Past Q Scores'!AA30-ANALYSIS!S31</f>
        <v>0</v>
      </c>
      <c r="T129" s="142">
        <f ca="1">'[2]Past Q Scores'!AB30-ANALYSIS!T31</f>
        <v>0</v>
      </c>
      <c r="U129" s="142">
        <f ca="1">'[2]Past Q Scores'!AC30-ANALYSIS!U31</f>
        <v>0</v>
      </c>
      <c r="V129" s="142">
        <f ca="1">'[2]Past Q Scores'!AD30-ANALYSIS!V31</f>
        <v>0</v>
      </c>
      <c r="W129" s="143">
        <f t="shared" ca="1" si="31"/>
        <v>0</v>
      </c>
    </row>
    <row r="130" spans="1:23">
      <c r="A130" s="32"/>
      <c r="B130" s="69" t="str">
        <f t="shared" si="30"/>
        <v>Experience &amp; Loyalty</v>
      </c>
      <c r="C130" s="142">
        <f ca="1">'[2]Past Q Scores'!K31-ANALYSIS!C32</f>
        <v>9.5</v>
      </c>
      <c r="D130" s="142">
        <f ca="1">'[2]Past Q Scores'!L31-ANALYSIS!D32</f>
        <v>-0.5</v>
      </c>
      <c r="E130" s="142">
        <f ca="1">'[2]Past Q Scores'!M31-ANALYSIS!E32</f>
        <v>-0.5</v>
      </c>
      <c r="F130" s="142">
        <f ca="1">'[2]Past Q Scores'!N31-ANALYSIS!F32</f>
        <v>-0.5</v>
      </c>
      <c r="G130" s="142">
        <f ca="1">'[2]Past Q Scores'!O31-ANALYSIS!G32</f>
        <v>-0.5</v>
      </c>
      <c r="H130" s="142">
        <f ca="1">'[2]Past Q Scores'!P31-ANALYSIS!H32</f>
        <v>-0.5</v>
      </c>
      <c r="I130" s="142">
        <f ca="1">'[2]Past Q Scores'!Q31-ANALYSIS!I32</f>
        <v>-0.5</v>
      </c>
      <c r="J130" s="142">
        <f ca="1">'[2]Past Q Scores'!R31-ANALYSIS!J32</f>
        <v>-0.5</v>
      </c>
      <c r="K130" s="142">
        <f ca="1">'[2]Past Q Scores'!S31-ANALYSIS!K32</f>
        <v>-0.5</v>
      </c>
      <c r="L130" s="142">
        <f ca="1">'[2]Past Q Scores'!T31-ANALYSIS!L32</f>
        <v>-0.5</v>
      </c>
      <c r="M130" s="142">
        <f ca="1">'[2]Past Q Scores'!U31-ANALYSIS!M32</f>
        <v>-0.5</v>
      </c>
      <c r="N130" s="142">
        <f ca="1">'[2]Past Q Scores'!V31-ANALYSIS!N32</f>
        <v>-0.5</v>
      </c>
      <c r="O130" s="142">
        <f ca="1">'[2]Past Q Scores'!W31-ANALYSIS!O32</f>
        <v>-0.5</v>
      </c>
      <c r="P130" s="142">
        <f ca="1">'[2]Past Q Scores'!X31-ANALYSIS!P32</f>
        <v>-0.5</v>
      </c>
      <c r="Q130" s="142">
        <f ca="1">'[2]Past Q Scores'!Y31-ANALYSIS!Q32</f>
        <v>-0.5</v>
      </c>
      <c r="R130" s="142">
        <f ca="1">'[2]Past Q Scores'!Z31-ANALYSIS!R32</f>
        <v>-0.5</v>
      </c>
      <c r="S130" s="142">
        <f ca="1">'[2]Past Q Scores'!AA31-ANALYSIS!S32</f>
        <v>-0.5</v>
      </c>
      <c r="T130" s="142">
        <f ca="1">'[2]Past Q Scores'!AB31-ANALYSIS!T32</f>
        <v>-0.5</v>
      </c>
      <c r="U130" s="142">
        <f ca="1">'[2]Past Q Scores'!AC31-ANALYSIS!U32</f>
        <v>-0.5</v>
      </c>
      <c r="V130" s="142">
        <f ca="1">'[2]Past Q Scores'!AD31-ANALYSIS!V32</f>
        <v>-0.5</v>
      </c>
      <c r="W130" s="143">
        <f t="shared" ca="1" si="31"/>
        <v>9.7467943448089631</v>
      </c>
    </row>
    <row r="131" spans="1:23">
      <c r="A131" s="32"/>
      <c r="W131" s="143"/>
    </row>
    <row r="132" spans="1:23">
      <c r="A132" s="32"/>
      <c r="B132" s="69" t="str">
        <f t="shared" si="30"/>
        <v>Search Engine Optimization</v>
      </c>
      <c r="C132" s="142">
        <f ca="1">'[2]Past Q Scores'!K33-ANALYSIS!C34</f>
        <v>0</v>
      </c>
      <c r="D132" s="142">
        <f ca="1">'[2]Past Q Scores'!L33-ANALYSIS!D34</f>
        <v>0</v>
      </c>
      <c r="E132" s="142">
        <f ca="1">'[2]Past Q Scores'!M33-ANALYSIS!E34</f>
        <v>0</v>
      </c>
      <c r="F132" s="142">
        <f ca="1">'[2]Past Q Scores'!N33-ANALYSIS!F34</f>
        <v>0</v>
      </c>
      <c r="G132" s="142">
        <f ca="1">'[2]Past Q Scores'!O33-ANALYSIS!G34</f>
        <v>0</v>
      </c>
      <c r="H132" s="142">
        <f ca="1">'[2]Past Q Scores'!P33-ANALYSIS!H34</f>
        <v>0</v>
      </c>
      <c r="I132" s="142">
        <f ca="1">'[2]Past Q Scores'!Q33-ANALYSIS!I34</f>
        <v>0</v>
      </c>
      <c r="J132" s="142">
        <f ca="1">'[2]Past Q Scores'!R33-ANALYSIS!J34</f>
        <v>0</v>
      </c>
      <c r="K132" s="142">
        <f ca="1">'[2]Past Q Scores'!S33-ANALYSIS!K34</f>
        <v>0</v>
      </c>
      <c r="L132" s="142">
        <f ca="1">'[2]Past Q Scores'!T33-ANALYSIS!L34</f>
        <v>0</v>
      </c>
      <c r="M132" s="142">
        <f ca="1">'[2]Past Q Scores'!U33-ANALYSIS!M34</f>
        <v>0</v>
      </c>
      <c r="N132" s="142">
        <f ca="1">'[2]Past Q Scores'!V33-ANALYSIS!N34</f>
        <v>0</v>
      </c>
      <c r="O132" s="142">
        <f ca="1">'[2]Past Q Scores'!W33-ANALYSIS!O34</f>
        <v>0</v>
      </c>
      <c r="P132" s="142">
        <f ca="1">'[2]Past Q Scores'!X33-ANALYSIS!P34</f>
        <v>0</v>
      </c>
      <c r="Q132" s="142">
        <f ca="1">'[2]Past Q Scores'!Y33-ANALYSIS!Q34</f>
        <v>0</v>
      </c>
      <c r="R132" s="142">
        <f ca="1">'[2]Past Q Scores'!Z33-ANALYSIS!R34</f>
        <v>0</v>
      </c>
      <c r="S132" s="142">
        <f ca="1">'[2]Past Q Scores'!AA33-ANALYSIS!S34</f>
        <v>0</v>
      </c>
      <c r="T132" s="142">
        <f ca="1">'[2]Past Q Scores'!AB33-ANALYSIS!T34</f>
        <v>0</v>
      </c>
      <c r="U132" s="142">
        <f ca="1">'[2]Past Q Scores'!AC33-ANALYSIS!U34</f>
        <v>0</v>
      </c>
      <c r="V132" s="142">
        <f ca="1">'[2]Past Q Scores'!AD33-ANALYSIS!V34</f>
        <v>0</v>
      </c>
      <c r="W132" s="143">
        <f t="shared" ref="W132:W142" ca="1" si="32">SQRT(SUMSQ(C132:V132))</f>
        <v>0</v>
      </c>
    </row>
    <row r="133" spans="1:23">
      <c r="A133" s="32"/>
      <c r="B133" s="69" t="str">
        <f t="shared" si="30"/>
        <v>Mobile Experience</v>
      </c>
      <c r="C133" s="142">
        <f ca="1">'[2]Past Q Scores'!K34-ANALYSIS!C35</f>
        <v>9.5</v>
      </c>
      <c r="D133" s="142">
        <f ca="1">'[2]Past Q Scores'!L34-ANALYSIS!D35</f>
        <v>-0.5</v>
      </c>
      <c r="E133" s="142">
        <f ca="1">'[2]Past Q Scores'!M34-ANALYSIS!E35</f>
        <v>-0.5</v>
      </c>
      <c r="F133" s="142">
        <f ca="1">'[2]Past Q Scores'!N34-ANALYSIS!F35</f>
        <v>-0.5</v>
      </c>
      <c r="G133" s="142">
        <f ca="1">'[2]Past Q Scores'!O34-ANALYSIS!G35</f>
        <v>-0.5</v>
      </c>
      <c r="H133" s="142">
        <f ca="1">'[2]Past Q Scores'!P34-ANALYSIS!H35</f>
        <v>-0.5</v>
      </c>
      <c r="I133" s="142">
        <f ca="1">'[2]Past Q Scores'!Q34-ANALYSIS!I35</f>
        <v>-0.5</v>
      </c>
      <c r="J133" s="142">
        <f ca="1">'[2]Past Q Scores'!R34-ANALYSIS!J35</f>
        <v>-0.5</v>
      </c>
      <c r="K133" s="142">
        <f ca="1">'[2]Past Q Scores'!S34-ANALYSIS!K35</f>
        <v>-0.5</v>
      </c>
      <c r="L133" s="142">
        <f ca="1">'[2]Past Q Scores'!T34-ANALYSIS!L35</f>
        <v>-0.5</v>
      </c>
      <c r="M133" s="142">
        <f ca="1">'[2]Past Q Scores'!U34-ANALYSIS!M35</f>
        <v>-0.5</v>
      </c>
      <c r="N133" s="142">
        <f ca="1">'[2]Past Q Scores'!V34-ANALYSIS!N35</f>
        <v>-0.5</v>
      </c>
      <c r="O133" s="142">
        <f ca="1">'[2]Past Q Scores'!W34-ANALYSIS!O35</f>
        <v>-0.5</v>
      </c>
      <c r="P133" s="142">
        <f ca="1">'[2]Past Q Scores'!X34-ANALYSIS!P35</f>
        <v>-0.5</v>
      </c>
      <c r="Q133" s="142">
        <f ca="1">'[2]Past Q Scores'!Y34-ANALYSIS!Q35</f>
        <v>-0.5</v>
      </c>
      <c r="R133" s="142">
        <f ca="1">'[2]Past Q Scores'!Z34-ANALYSIS!R35</f>
        <v>-0.5</v>
      </c>
      <c r="S133" s="142">
        <f ca="1">'[2]Past Q Scores'!AA34-ANALYSIS!S35</f>
        <v>-0.5</v>
      </c>
      <c r="T133" s="142">
        <f ca="1">'[2]Past Q Scores'!AB34-ANALYSIS!T35</f>
        <v>-0.5</v>
      </c>
      <c r="U133" s="142">
        <f ca="1">'[2]Past Q Scores'!AC34-ANALYSIS!U35</f>
        <v>-0.5</v>
      </c>
      <c r="V133" s="142">
        <f ca="1">'[2]Past Q Scores'!AD34-ANALYSIS!V35</f>
        <v>-0.5</v>
      </c>
      <c r="W133" s="143">
        <f t="shared" ca="1" si="32"/>
        <v>9.7467943448089631</v>
      </c>
    </row>
    <row r="134" spans="1:23">
      <c r="A134" s="32"/>
      <c r="B134" s="69" t="str">
        <f t="shared" si="30"/>
        <v>Website Technical &amp; Functional</v>
      </c>
      <c r="C134" s="142">
        <f ca="1">'[2]Past Q Scores'!K35-ANALYSIS!C36</f>
        <v>0</v>
      </c>
      <c r="D134" s="142">
        <f ca="1">'[2]Past Q Scores'!L35-ANALYSIS!D36</f>
        <v>0</v>
      </c>
      <c r="E134" s="142">
        <f ca="1">'[2]Past Q Scores'!M35-ANALYSIS!E36</f>
        <v>0</v>
      </c>
      <c r="F134" s="142">
        <f ca="1">'[2]Past Q Scores'!N35-ANALYSIS!F36</f>
        <v>0</v>
      </c>
      <c r="G134" s="142">
        <f ca="1">'[2]Past Q Scores'!O35-ANALYSIS!G36</f>
        <v>0</v>
      </c>
      <c r="H134" s="142">
        <f ca="1">'[2]Past Q Scores'!P35-ANALYSIS!H36</f>
        <v>0</v>
      </c>
      <c r="I134" s="142">
        <f ca="1">'[2]Past Q Scores'!Q35-ANALYSIS!I36</f>
        <v>0</v>
      </c>
      <c r="J134" s="142">
        <f ca="1">'[2]Past Q Scores'!R35-ANALYSIS!J36</f>
        <v>0</v>
      </c>
      <c r="K134" s="142">
        <f ca="1">'[2]Past Q Scores'!S35-ANALYSIS!K36</f>
        <v>0</v>
      </c>
      <c r="L134" s="142">
        <f ca="1">'[2]Past Q Scores'!T35-ANALYSIS!L36</f>
        <v>0</v>
      </c>
      <c r="M134" s="142">
        <f ca="1">'[2]Past Q Scores'!U35-ANALYSIS!M36</f>
        <v>0</v>
      </c>
      <c r="N134" s="142">
        <f ca="1">'[2]Past Q Scores'!V35-ANALYSIS!N36</f>
        <v>0</v>
      </c>
      <c r="O134" s="142">
        <f ca="1">'[2]Past Q Scores'!W35-ANALYSIS!O36</f>
        <v>0</v>
      </c>
      <c r="P134" s="142">
        <f ca="1">'[2]Past Q Scores'!X35-ANALYSIS!P36</f>
        <v>0</v>
      </c>
      <c r="Q134" s="142">
        <f ca="1">'[2]Past Q Scores'!Y35-ANALYSIS!Q36</f>
        <v>0</v>
      </c>
      <c r="R134" s="142">
        <f ca="1">'[2]Past Q Scores'!Z35-ANALYSIS!R36</f>
        <v>0</v>
      </c>
      <c r="S134" s="142">
        <f ca="1">'[2]Past Q Scores'!AA35-ANALYSIS!S36</f>
        <v>0</v>
      </c>
      <c r="T134" s="142">
        <f ca="1">'[2]Past Q Scores'!AB35-ANALYSIS!T36</f>
        <v>0</v>
      </c>
      <c r="U134" s="142">
        <f ca="1">'[2]Past Q Scores'!AC35-ANALYSIS!U36</f>
        <v>0</v>
      </c>
      <c r="V134" s="142">
        <f ca="1">'[2]Past Q Scores'!AD35-ANALYSIS!V36</f>
        <v>0</v>
      </c>
      <c r="W134" s="143">
        <f t="shared" ca="1" si="32"/>
        <v>0</v>
      </c>
    </row>
    <row r="135" spans="1:23">
      <c r="A135" s="32"/>
      <c r="B135" s="69" t="str">
        <f t="shared" si="30"/>
        <v xml:space="preserve">Content Marketing </v>
      </c>
      <c r="C135" s="142">
        <f ca="1">'[2]Past Q Scores'!K36-ANALYSIS!C37</f>
        <v>0</v>
      </c>
      <c r="D135" s="142">
        <f ca="1">'[2]Past Q Scores'!L36-ANALYSIS!D37</f>
        <v>0</v>
      </c>
      <c r="E135" s="142">
        <f ca="1">'[2]Past Q Scores'!M36-ANALYSIS!E37</f>
        <v>0</v>
      </c>
      <c r="F135" s="142">
        <f ca="1">'[2]Past Q Scores'!N36-ANALYSIS!F37</f>
        <v>0</v>
      </c>
      <c r="G135" s="142">
        <f ca="1">'[2]Past Q Scores'!O36-ANALYSIS!G37</f>
        <v>0</v>
      </c>
      <c r="H135" s="142">
        <f ca="1">'[2]Past Q Scores'!P36-ANALYSIS!H37</f>
        <v>0</v>
      </c>
      <c r="I135" s="142">
        <f ca="1">'[2]Past Q Scores'!Q36-ANALYSIS!I37</f>
        <v>0</v>
      </c>
      <c r="J135" s="142">
        <f ca="1">'[2]Past Q Scores'!R36-ANALYSIS!J37</f>
        <v>0</v>
      </c>
      <c r="K135" s="142">
        <f ca="1">'[2]Past Q Scores'!S36-ANALYSIS!K37</f>
        <v>0</v>
      </c>
      <c r="L135" s="142">
        <f ca="1">'[2]Past Q Scores'!T36-ANALYSIS!L37</f>
        <v>0</v>
      </c>
      <c r="M135" s="142">
        <f ca="1">'[2]Past Q Scores'!U36-ANALYSIS!M37</f>
        <v>0</v>
      </c>
      <c r="N135" s="142">
        <f ca="1">'[2]Past Q Scores'!V36-ANALYSIS!N37</f>
        <v>0</v>
      </c>
      <c r="O135" s="142">
        <f ca="1">'[2]Past Q Scores'!W36-ANALYSIS!O37</f>
        <v>0</v>
      </c>
      <c r="P135" s="142">
        <f ca="1">'[2]Past Q Scores'!X36-ANALYSIS!P37</f>
        <v>0</v>
      </c>
      <c r="Q135" s="142">
        <f ca="1">'[2]Past Q Scores'!Y36-ANALYSIS!Q37</f>
        <v>0</v>
      </c>
      <c r="R135" s="142">
        <f ca="1">'[2]Past Q Scores'!Z36-ANALYSIS!R37</f>
        <v>0</v>
      </c>
      <c r="S135" s="142">
        <f ca="1">'[2]Past Q Scores'!AA36-ANALYSIS!S37</f>
        <v>0</v>
      </c>
      <c r="T135" s="142">
        <f ca="1">'[2]Past Q Scores'!AB36-ANALYSIS!T37</f>
        <v>0</v>
      </c>
      <c r="U135" s="142">
        <f ca="1">'[2]Past Q Scores'!AC36-ANALYSIS!U37</f>
        <v>0</v>
      </c>
      <c r="V135" s="142">
        <f ca="1">'[2]Past Q Scores'!AD36-ANALYSIS!V37</f>
        <v>0</v>
      </c>
      <c r="W135" s="143">
        <f t="shared" ca="1" si="32"/>
        <v>0</v>
      </c>
    </row>
    <row r="136" spans="1:23">
      <c r="A136" s="32"/>
      <c r="B136" s="69" t="str">
        <f t="shared" si="30"/>
        <v>Product Discovery</v>
      </c>
      <c r="C136" s="142">
        <f ca="1">'[2]Past Q Scores'!K37-ANALYSIS!C38</f>
        <v>0</v>
      </c>
      <c r="D136" s="142">
        <f ca="1">'[2]Past Q Scores'!L37-ANALYSIS!D38</f>
        <v>0</v>
      </c>
      <c r="E136" s="142">
        <f ca="1">'[2]Past Q Scores'!M37-ANALYSIS!E38</f>
        <v>0</v>
      </c>
      <c r="F136" s="142">
        <f ca="1">'[2]Past Q Scores'!N37-ANALYSIS!F38</f>
        <v>0</v>
      </c>
      <c r="G136" s="142">
        <f ca="1">'[2]Past Q Scores'!O37-ANALYSIS!G38</f>
        <v>0</v>
      </c>
      <c r="H136" s="142">
        <f ca="1">'[2]Past Q Scores'!P37-ANALYSIS!H38</f>
        <v>0</v>
      </c>
      <c r="I136" s="142">
        <f ca="1">'[2]Past Q Scores'!Q37-ANALYSIS!I38</f>
        <v>0</v>
      </c>
      <c r="J136" s="142">
        <f ca="1">'[2]Past Q Scores'!R37-ANALYSIS!J38</f>
        <v>0</v>
      </c>
      <c r="K136" s="142">
        <f ca="1">'[2]Past Q Scores'!S37-ANALYSIS!K38</f>
        <v>0</v>
      </c>
      <c r="L136" s="142">
        <f ca="1">'[2]Past Q Scores'!T37-ANALYSIS!L38</f>
        <v>0</v>
      </c>
      <c r="M136" s="142">
        <f ca="1">'[2]Past Q Scores'!U37-ANALYSIS!M38</f>
        <v>0</v>
      </c>
      <c r="N136" s="142">
        <f ca="1">'[2]Past Q Scores'!V37-ANALYSIS!N38</f>
        <v>0</v>
      </c>
      <c r="O136" s="142">
        <f ca="1">'[2]Past Q Scores'!W37-ANALYSIS!O38</f>
        <v>0</v>
      </c>
      <c r="P136" s="142">
        <f ca="1">'[2]Past Q Scores'!X37-ANALYSIS!P38</f>
        <v>0</v>
      </c>
      <c r="Q136" s="142">
        <f ca="1">'[2]Past Q Scores'!Y37-ANALYSIS!Q38</f>
        <v>0</v>
      </c>
      <c r="R136" s="142">
        <f ca="1">'[2]Past Q Scores'!Z37-ANALYSIS!R38</f>
        <v>0</v>
      </c>
      <c r="S136" s="142">
        <f ca="1">'[2]Past Q Scores'!AA37-ANALYSIS!S38</f>
        <v>0</v>
      </c>
      <c r="T136" s="142">
        <f ca="1">'[2]Past Q Scores'!AB37-ANALYSIS!T38</f>
        <v>0</v>
      </c>
      <c r="U136" s="142">
        <f ca="1">'[2]Past Q Scores'!AC37-ANALYSIS!U38</f>
        <v>0</v>
      </c>
      <c r="V136" s="142">
        <f ca="1">'[2]Past Q Scores'!AD37-ANALYSIS!V38</f>
        <v>0</v>
      </c>
      <c r="W136" s="143">
        <f t="shared" ca="1" si="32"/>
        <v>0</v>
      </c>
    </row>
    <row r="137" spans="1:23">
      <c r="A137" s="32"/>
      <c r="B137" s="69" t="str">
        <f t="shared" si="30"/>
        <v xml:space="preserve">Product Merchandising </v>
      </c>
      <c r="C137" s="142">
        <f ca="1">'[2]Past Q Scores'!K38-ANALYSIS!C39</f>
        <v>0</v>
      </c>
      <c r="D137" s="142">
        <f ca="1">'[2]Past Q Scores'!L38-ANALYSIS!D39</f>
        <v>0</v>
      </c>
      <c r="E137" s="142">
        <f ca="1">'[2]Past Q Scores'!M38-ANALYSIS!E39</f>
        <v>0</v>
      </c>
      <c r="F137" s="142">
        <f ca="1">'[2]Past Q Scores'!N38-ANALYSIS!F39</f>
        <v>0</v>
      </c>
      <c r="G137" s="142">
        <f ca="1">'[2]Past Q Scores'!O38-ANALYSIS!G39</f>
        <v>0</v>
      </c>
      <c r="H137" s="142">
        <f ca="1">'[2]Past Q Scores'!P38-ANALYSIS!H39</f>
        <v>0</v>
      </c>
      <c r="I137" s="142">
        <f ca="1">'[2]Past Q Scores'!Q38-ANALYSIS!I39</f>
        <v>0</v>
      </c>
      <c r="J137" s="142">
        <f ca="1">'[2]Past Q Scores'!R38-ANALYSIS!J39</f>
        <v>0</v>
      </c>
      <c r="K137" s="142">
        <f ca="1">'[2]Past Q Scores'!S38-ANALYSIS!K39</f>
        <v>0</v>
      </c>
      <c r="L137" s="142">
        <f ca="1">'[2]Past Q Scores'!T38-ANALYSIS!L39</f>
        <v>0</v>
      </c>
      <c r="M137" s="142">
        <f ca="1">'[2]Past Q Scores'!U38-ANALYSIS!M39</f>
        <v>0</v>
      </c>
      <c r="N137" s="142">
        <f ca="1">'[2]Past Q Scores'!V38-ANALYSIS!N39</f>
        <v>0</v>
      </c>
      <c r="O137" s="142">
        <f ca="1">'[2]Past Q Scores'!W38-ANALYSIS!O39</f>
        <v>0</v>
      </c>
      <c r="P137" s="142">
        <f ca="1">'[2]Past Q Scores'!X38-ANALYSIS!P39</f>
        <v>0</v>
      </c>
      <c r="Q137" s="142">
        <f ca="1">'[2]Past Q Scores'!Y38-ANALYSIS!Q39</f>
        <v>0</v>
      </c>
      <c r="R137" s="142">
        <f ca="1">'[2]Past Q Scores'!Z38-ANALYSIS!R39</f>
        <v>0</v>
      </c>
      <c r="S137" s="142">
        <f ca="1">'[2]Past Q Scores'!AA38-ANALYSIS!S39</f>
        <v>0</v>
      </c>
      <c r="T137" s="142">
        <f ca="1">'[2]Past Q Scores'!AB38-ANALYSIS!T39</f>
        <v>0</v>
      </c>
      <c r="U137" s="142">
        <f ca="1">'[2]Past Q Scores'!AC38-ANALYSIS!U39</f>
        <v>0</v>
      </c>
      <c r="V137" s="142">
        <f ca="1">'[2]Past Q Scores'!AD38-ANALYSIS!V39</f>
        <v>0</v>
      </c>
      <c r="W137" s="143">
        <f t="shared" ca="1" si="32"/>
        <v>0</v>
      </c>
    </row>
    <row r="138" spans="1:23">
      <c r="A138" s="32"/>
      <c r="B138" s="69" t="str">
        <f>B40</f>
        <v>E-Commerce Functionality</v>
      </c>
      <c r="C138" s="142">
        <f ca="1">'[2]Past Q Scores'!K39-ANALYSIS!C40</f>
        <v>0</v>
      </c>
      <c r="D138" s="142">
        <f ca="1">'[2]Past Q Scores'!L39-ANALYSIS!D40</f>
        <v>0</v>
      </c>
      <c r="E138" s="142">
        <f ca="1">'[2]Past Q Scores'!M39-ANALYSIS!E40</f>
        <v>0</v>
      </c>
      <c r="F138" s="142">
        <f ca="1">'[2]Past Q Scores'!N39-ANALYSIS!F40</f>
        <v>0</v>
      </c>
      <c r="G138" s="142">
        <f ca="1">'[2]Past Q Scores'!O39-ANALYSIS!G40</f>
        <v>0</v>
      </c>
      <c r="H138" s="142">
        <f ca="1">'[2]Past Q Scores'!P39-ANALYSIS!H40</f>
        <v>0</v>
      </c>
      <c r="I138" s="142">
        <f ca="1">'[2]Past Q Scores'!Q39-ANALYSIS!I40</f>
        <v>0</v>
      </c>
      <c r="J138" s="142">
        <f ca="1">'[2]Past Q Scores'!R39-ANALYSIS!J40</f>
        <v>0</v>
      </c>
      <c r="K138" s="142">
        <f ca="1">'[2]Past Q Scores'!S39-ANALYSIS!K40</f>
        <v>0</v>
      </c>
      <c r="L138" s="142">
        <f ca="1">'[2]Past Q Scores'!T39-ANALYSIS!L40</f>
        <v>0</v>
      </c>
      <c r="M138" s="142">
        <f ca="1">'[2]Past Q Scores'!U39-ANALYSIS!M40</f>
        <v>0</v>
      </c>
      <c r="N138" s="142">
        <f ca="1">'[2]Past Q Scores'!V39-ANALYSIS!N40</f>
        <v>0</v>
      </c>
      <c r="O138" s="142">
        <f ca="1">'[2]Past Q Scores'!W39-ANALYSIS!O40</f>
        <v>0</v>
      </c>
      <c r="P138" s="142">
        <f ca="1">'[2]Past Q Scores'!X39-ANALYSIS!P40</f>
        <v>0</v>
      </c>
      <c r="Q138" s="142">
        <f ca="1">'[2]Past Q Scores'!Y39-ANALYSIS!Q40</f>
        <v>0</v>
      </c>
      <c r="R138" s="142">
        <f ca="1">'[2]Past Q Scores'!Z39-ANALYSIS!R40</f>
        <v>0</v>
      </c>
      <c r="S138" s="142">
        <f ca="1">'[2]Past Q Scores'!AA39-ANALYSIS!S40</f>
        <v>0</v>
      </c>
      <c r="T138" s="142">
        <f ca="1">'[2]Past Q Scores'!AB39-ANALYSIS!T40</f>
        <v>0</v>
      </c>
      <c r="U138" s="142">
        <f ca="1">'[2]Past Q Scores'!AC39-ANALYSIS!U40</f>
        <v>0</v>
      </c>
      <c r="V138" s="142">
        <f ca="1">'[2]Past Q Scores'!AD39-ANALYSIS!V40</f>
        <v>0</v>
      </c>
      <c r="W138" s="143">
        <f t="shared" ca="1" si="32"/>
        <v>0</v>
      </c>
    </row>
    <row r="139" spans="1:23">
      <c r="A139" s="32"/>
      <c r="B139" s="69" t="str">
        <f t="shared" si="30"/>
        <v>User Registration</v>
      </c>
      <c r="C139" s="142">
        <f ca="1">'[2]Past Q Scores'!K40-ANALYSIS!C41</f>
        <v>0</v>
      </c>
      <c r="D139" s="142">
        <f ca="1">'[2]Past Q Scores'!L40-ANALYSIS!D41</f>
        <v>0</v>
      </c>
      <c r="E139" s="142">
        <f ca="1">'[2]Past Q Scores'!M40-ANALYSIS!E41</f>
        <v>0</v>
      </c>
      <c r="F139" s="142">
        <f ca="1">'[2]Past Q Scores'!N40-ANALYSIS!F41</f>
        <v>0</v>
      </c>
      <c r="G139" s="142">
        <f ca="1">'[2]Past Q Scores'!O40-ANALYSIS!G41</f>
        <v>0</v>
      </c>
      <c r="H139" s="142">
        <f ca="1">'[2]Past Q Scores'!P40-ANALYSIS!H41</f>
        <v>0</v>
      </c>
      <c r="I139" s="142">
        <f ca="1">'[2]Past Q Scores'!Q40-ANALYSIS!I41</f>
        <v>0</v>
      </c>
      <c r="J139" s="142">
        <f ca="1">'[2]Past Q Scores'!R40-ANALYSIS!J41</f>
        <v>0</v>
      </c>
      <c r="K139" s="142">
        <f ca="1">'[2]Past Q Scores'!S40-ANALYSIS!K41</f>
        <v>0</v>
      </c>
      <c r="L139" s="142">
        <f ca="1">'[2]Past Q Scores'!T40-ANALYSIS!L41</f>
        <v>0</v>
      </c>
      <c r="M139" s="142">
        <f ca="1">'[2]Past Q Scores'!U40-ANALYSIS!M41</f>
        <v>0</v>
      </c>
      <c r="N139" s="142">
        <f ca="1">'[2]Past Q Scores'!V40-ANALYSIS!N41</f>
        <v>0</v>
      </c>
      <c r="O139" s="142">
        <f ca="1">'[2]Past Q Scores'!W40-ANALYSIS!O41</f>
        <v>0</v>
      </c>
      <c r="P139" s="142">
        <f ca="1">'[2]Past Q Scores'!X40-ANALYSIS!P41</f>
        <v>0</v>
      </c>
      <c r="Q139" s="142">
        <f ca="1">'[2]Past Q Scores'!Y40-ANALYSIS!Q41</f>
        <v>0</v>
      </c>
      <c r="R139" s="142">
        <f ca="1">'[2]Past Q Scores'!Z40-ANALYSIS!R41</f>
        <v>0</v>
      </c>
      <c r="S139" s="142">
        <f ca="1">'[2]Past Q Scores'!AA40-ANALYSIS!S41</f>
        <v>0</v>
      </c>
      <c r="T139" s="142">
        <f ca="1">'[2]Past Q Scores'!AB40-ANALYSIS!T41</f>
        <v>0</v>
      </c>
      <c r="U139" s="142">
        <f ca="1">'[2]Past Q Scores'!AC40-ANALYSIS!U41</f>
        <v>0</v>
      </c>
      <c r="V139" s="142">
        <f ca="1">'[2]Past Q Scores'!AD40-ANALYSIS!V41</f>
        <v>0</v>
      </c>
      <c r="W139" s="143">
        <f t="shared" ca="1" si="32"/>
        <v>0</v>
      </c>
    </row>
    <row r="140" spans="1:23">
      <c r="A140" s="32"/>
      <c r="B140" s="69" t="str">
        <f t="shared" si="30"/>
        <v xml:space="preserve">E-Referral </v>
      </c>
      <c r="C140" s="142">
        <f ca="1">'[2]Past Q Scores'!K41-ANALYSIS!C42</f>
        <v>0</v>
      </c>
      <c r="D140" s="142">
        <f ca="1">'[2]Past Q Scores'!L41-ANALYSIS!D42</f>
        <v>0</v>
      </c>
      <c r="E140" s="142">
        <f ca="1">'[2]Past Q Scores'!M41-ANALYSIS!E42</f>
        <v>0</v>
      </c>
      <c r="F140" s="142">
        <f ca="1">'[2]Past Q Scores'!N41-ANALYSIS!F42</f>
        <v>0</v>
      </c>
      <c r="G140" s="142">
        <f ca="1">'[2]Past Q Scores'!O41-ANALYSIS!G42</f>
        <v>0</v>
      </c>
      <c r="H140" s="142">
        <f ca="1">'[2]Past Q Scores'!P41-ANALYSIS!H42</f>
        <v>0</v>
      </c>
      <c r="I140" s="142">
        <f ca="1">'[2]Past Q Scores'!Q41-ANALYSIS!I42</f>
        <v>0</v>
      </c>
      <c r="J140" s="142">
        <f ca="1">'[2]Past Q Scores'!R41-ANALYSIS!J42</f>
        <v>0</v>
      </c>
      <c r="K140" s="142">
        <f ca="1">'[2]Past Q Scores'!S41-ANALYSIS!K42</f>
        <v>0</v>
      </c>
      <c r="L140" s="142">
        <f ca="1">'[2]Past Q Scores'!T41-ANALYSIS!L42</f>
        <v>0</v>
      </c>
      <c r="M140" s="142">
        <f ca="1">'[2]Past Q Scores'!U41-ANALYSIS!M42</f>
        <v>0</v>
      </c>
      <c r="N140" s="142">
        <f ca="1">'[2]Past Q Scores'!V41-ANALYSIS!N42</f>
        <v>0</v>
      </c>
      <c r="O140" s="142">
        <f ca="1">'[2]Past Q Scores'!W41-ANALYSIS!O42</f>
        <v>0</v>
      </c>
      <c r="P140" s="142">
        <f ca="1">'[2]Past Q Scores'!X41-ANALYSIS!P42</f>
        <v>0</v>
      </c>
      <c r="Q140" s="142">
        <f ca="1">'[2]Past Q Scores'!Y41-ANALYSIS!Q42</f>
        <v>0</v>
      </c>
      <c r="R140" s="142">
        <f ca="1">'[2]Past Q Scores'!Z41-ANALYSIS!R42</f>
        <v>0</v>
      </c>
      <c r="S140" s="142">
        <f ca="1">'[2]Past Q Scores'!AA41-ANALYSIS!S42</f>
        <v>0</v>
      </c>
      <c r="T140" s="142">
        <f ca="1">'[2]Past Q Scores'!AB41-ANALYSIS!T42</f>
        <v>0</v>
      </c>
      <c r="U140" s="142">
        <f ca="1">'[2]Past Q Scores'!AC41-ANALYSIS!U42</f>
        <v>0</v>
      </c>
      <c r="V140" s="142">
        <f ca="1">'[2]Past Q Scores'!AD41-ANALYSIS!V42</f>
        <v>0</v>
      </c>
      <c r="W140" s="143">
        <f t="shared" ca="1" si="32"/>
        <v>0</v>
      </c>
    </row>
    <row r="141" spans="1:23">
      <c r="A141" s="32"/>
      <c r="B141" s="69" t="str">
        <f t="shared" si="30"/>
        <v xml:space="preserve">Online Support </v>
      </c>
      <c r="C141" s="142">
        <f ca="1">'[2]Past Q Scores'!K42-ANALYSIS!C43</f>
        <v>0</v>
      </c>
      <c r="D141" s="142">
        <f ca="1">'[2]Past Q Scores'!L42-ANALYSIS!D43</f>
        <v>0</v>
      </c>
      <c r="E141" s="142">
        <f ca="1">'[2]Past Q Scores'!M42-ANALYSIS!E43</f>
        <v>0</v>
      </c>
      <c r="F141" s="142">
        <f ca="1">'[2]Past Q Scores'!N42-ANALYSIS!F43</f>
        <v>0</v>
      </c>
      <c r="G141" s="142">
        <f ca="1">'[2]Past Q Scores'!O42-ANALYSIS!G43</f>
        <v>0</v>
      </c>
      <c r="H141" s="142">
        <f ca="1">'[2]Past Q Scores'!P42-ANALYSIS!H43</f>
        <v>0</v>
      </c>
      <c r="I141" s="142">
        <f ca="1">'[2]Past Q Scores'!Q42-ANALYSIS!I43</f>
        <v>0</v>
      </c>
      <c r="J141" s="142">
        <f ca="1">'[2]Past Q Scores'!R42-ANALYSIS!J43</f>
        <v>0</v>
      </c>
      <c r="K141" s="142">
        <f ca="1">'[2]Past Q Scores'!S42-ANALYSIS!K43</f>
        <v>0</v>
      </c>
      <c r="L141" s="142">
        <f ca="1">'[2]Past Q Scores'!T42-ANALYSIS!L43</f>
        <v>0</v>
      </c>
      <c r="M141" s="142">
        <f ca="1">'[2]Past Q Scores'!U42-ANALYSIS!M43</f>
        <v>0</v>
      </c>
      <c r="N141" s="142">
        <f ca="1">'[2]Past Q Scores'!V42-ANALYSIS!N43</f>
        <v>0</v>
      </c>
      <c r="O141" s="142">
        <f ca="1">'[2]Past Q Scores'!W42-ANALYSIS!O43</f>
        <v>0</v>
      </c>
      <c r="P141" s="142">
        <f ca="1">'[2]Past Q Scores'!X42-ANALYSIS!P43</f>
        <v>0</v>
      </c>
      <c r="Q141" s="142">
        <f ca="1">'[2]Past Q Scores'!Y42-ANALYSIS!Q43</f>
        <v>0</v>
      </c>
      <c r="R141" s="142">
        <f ca="1">'[2]Past Q Scores'!Z42-ANALYSIS!R43</f>
        <v>0</v>
      </c>
      <c r="S141" s="142">
        <f ca="1">'[2]Past Q Scores'!AA42-ANALYSIS!S43</f>
        <v>0</v>
      </c>
      <c r="T141" s="142">
        <f ca="1">'[2]Past Q Scores'!AB42-ANALYSIS!T43</f>
        <v>0</v>
      </c>
      <c r="U141" s="142">
        <f ca="1">'[2]Past Q Scores'!AC42-ANALYSIS!U43</f>
        <v>0</v>
      </c>
      <c r="V141" s="142">
        <f ca="1">'[2]Past Q Scores'!AD42-ANALYSIS!V43</f>
        <v>0</v>
      </c>
      <c r="W141" s="143">
        <f t="shared" ca="1" si="32"/>
        <v>0</v>
      </c>
    </row>
    <row r="142" spans="1:23">
      <c r="A142" s="32"/>
      <c r="B142" s="69" t="str">
        <f>B44</f>
        <v>Social Media Deployment</v>
      </c>
      <c r="C142" s="142">
        <f ca="1">'[2]Past Q Scores'!K43-ANALYSIS!C44</f>
        <v>0</v>
      </c>
      <c r="D142" s="142">
        <f ca="1">'[2]Past Q Scores'!L43-ANALYSIS!D44</f>
        <v>0</v>
      </c>
      <c r="E142" s="142">
        <f ca="1">'[2]Past Q Scores'!M43-ANALYSIS!E44</f>
        <v>0</v>
      </c>
      <c r="F142" s="142">
        <f ca="1">'[2]Past Q Scores'!N43-ANALYSIS!F44</f>
        <v>0</v>
      </c>
      <c r="G142" s="142">
        <f ca="1">'[2]Past Q Scores'!O43-ANALYSIS!G44</f>
        <v>0</v>
      </c>
      <c r="H142" s="142">
        <f ca="1">'[2]Past Q Scores'!P43-ANALYSIS!H44</f>
        <v>0</v>
      </c>
      <c r="I142" s="142">
        <f ca="1">'[2]Past Q Scores'!Q43-ANALYSIS!I44</f>
        <v>0</v>
      </c>
      <c r="J142" s="142">
        <f ca="1">'[2]Past Q Scores'!R43-ANALYSIS!J44</f>
        <v>0</v>
      </c>
      <c r="K142" s="142">
        <f ca="1">'[2]Past Q Scores'!S43-ANALYSIS!K44</f>
        <v>0</v>
      </c>
      <c r="L142" s="142">
        <f ca="1">'[2]Past Q Scores'!T43-ANALYSIS!L44</f>
        <v>0</v>
      </c>
      <c r="M142" s="142">
        <f ca="1">'[2]Past Q Scores'!U43-ANALYSIS!M44</f>
        <v>0</v>
      </c>
      <c r="N142" s="142">
        <f ca="1">'[2]Past Q Scores'!V43-ANALYSIS!N44</f>
        <v>0</v>
      </c>
      <c r="O142" s="142">
        <f ca="1">'[2]Past Q Scores'!W43-ANALYSIS!O44</f>
        <v>0</v>
      </c>
      <c r="P142" s="142">
        <f ca="1">'[2]Past Q Scores'!X43-ANALYSIS!P44</f>
        <v>0</v>
      </c>
      <c r="Q142" s="142">
        <f ca="1">'[2]Past Q Scores'!Y43-ANALYSIS!Q44</f>
        <v>0</v>
      </c>
      <c r="R142" s="142">
        <f ca="1">'[2]Past Q Scores'!Z43-ANALYSIS!R44</f>
        <v>0</v>
      </c>
      <c r="S142" s="142">
        <f ca="1">'[2]Past Q Scores'!AA43-ANALYSIS!S44</f>
        <v>0</v>
      </c>
      <c r="T142" s="142">
        <f ca="1">'[2]Past Q Scores'!AB43-ANALYSIS!T44</f>
        <v>0</v>
      </c>
      <c r="U142" s="142">
        <f ca="1">'[2]Past Q Scores'!AC43-ANALYSIS!U44</f>
        <v>0</v>
      </c>
      <c r="V142" s="142">
        <f ca="1">'[2]Past Q Scores'!AD43-ANALYSIS!V44</f>
        <v>0</v>
      </c>
      <c r="W142" s="143">
        <f t="shared" ca="1" si="32"/>
        <v>0</v>
      </c>
    </row>
    <row r="143" spans="1:23">
      <c r="A143" s="32"/>
      <c r="W143" s="32"/>
    </row>
    <row r="144" spans="1:23" ht="15.95" customHeight="1">
      <c r="A144" s="32"/>
      <c r="B144" s="69" t="s">
        <v>405</v>
      </c>
      <c r="C144" s="69">
        <f ca="1">AVERAGE(C127:C142)</f>
        <v>1.9</v>
      </c>
      <c r="D144" s="69">
        <f t="shared" ref="D144:V144" ca="1" si="33">AVERAGE(D127:D142)</f>
        <v>-0.1</v>
      </c>
      <c r="E144" s="69">
        <f t="shared" ca="1" si="33"/>
        <v>-0.1</v>
      </c>
      <c r="F144" s="69">
        <f t="shared" ca="1" si="33"/>
        <v>-0.1</v>
      </c>
      <c r="G144" s="69">
        <f t="shared" ca="1" si="33"/>
        <v>-0.1</v>
      </c>
      <c r="H144" s="69">
        <f t="shared" ca="1" si="33"/>
        <v>-0.1</v>
      </c>
      <c r="I144" s="69">
        <f t="shared" ca="1" si="33"/>
        <v>-0.1</v>
      </c>
      <c r="J144" s="69">
        <f t="shared" ca="1" si="33"/>
        <v>-0.1</v>
      </c>
      <c r="K144" s="69">
        <f t="shared" ca="1" si="33"/>
        <v>-0.1</v>
      </c>
      <c r="L144" s="69">
        <f t="shared" ca="1" si="33"/>
        <v>-0.1</v>
      </c>
      <c r="M144" s="69">
        <f t="shared" ca="1" si="33"/>
        <v>-0.1</v>
      </c>
      <c r="N144" s="69">
        <f t="shared" ca="1" si="33"/>
        <v>-0.1</v>
      </c>
      <c r="O144" s="69">
        <f t="shared" ca="1" si="33"/>
        <v>-0.1</v>
      </c>
      <c r="P144" s="69">
        <f t="shared" ca="1" si="33"/>
        <v>-0.1</v>
      </c>
      <c r="Q144" s="69">
        <f t="shared" ca="1" si="33"/>
        <v>-0.1</v>
      </c>
      <c r="R144" s="69">
        <f t="shared" ca="1" si="33"/>
        <v>-0.1</v>
      </c>
      <c r="S144" s="69">
        <f t="shared" ca="1" si="33"/>
        <v>-0.1</v>
      </c>
      <c r="T144" s="69">
        <f t="shared" ca="1" si="33"/>
        <v>-0.1</v>
      </c>
      <c r="U144" s="69">
        <f t="shared" ca="1" si="33"/>
        <v>-0.1</v>
      </c>
      <c r="V144" s="69">
        <f t="shared" ca="1" si="33"/>
        <v>-0.1</v>
      </c>
      <c r="W144" s="32"/>
    </row>
    <row r="145" spans="1:23">
      <c r="A145" s="32"/>
      <c r="W145" s="32"/>
    </row>
    <row r="146" spans="1:23">
      <c r="A146" s="32"/>
      <c r="B146" s="327" t="s">
        <v>406</v>
      </c>
      <c r="C146" s="327"/>
      <c r="D146" s="327"/>
      <c r="E146" s="327"/>
      <c r="F146" s="327"/>
      <c r="G146" s="327"/>
      <c r="W146" s="32"/>
    </row>
    <row r="147" spans="1:23">
      <c r="A147" s="32"/>
      <c r="B147" s="24" t="s">
        <v>407</v>
      </c>
      <c r="C147" s="69" t="str">
        <f ca="1">INDEX(C126:V126,MATCH(MAX(C144:V144),C144:V144,0))</f>
        <v>CPhI</v>
      </c>
      <c r="E147" s="24" t="s">
        <v>408</v>
      </c>
      <c r="G147" s="69" t="str">
        <f ca="1">INDEX(B127:B142,MATCH(MAX(W127:W142),W127:W142,0))</f>
        <v>Active Evaluation</v>
      </c>
      <c r="W147" s="32"/>
    </row>
    <row r="148" spans="1:23">
      <c r="A148" s="32"/>
      <c r="B148" s="24" t="s">
        <v>409</v>
      </c>
      <c r="C148" s="69">
        <f ca="1">INDEX(C126:V126,MATCH(MIN(C144:V144),C144:V144,0))</f>
        <v>0</v>
      </c>
      <c r="E148" s="24" t="s">
        <v>410</v>
      </c>
      <c r="G148" s="69" t="str">
        <f ca="1">INDEX(B127:B142,MATCH(LARGE(W127:W142,2),W127:W142,0))</f>
        <v>Active Evaluation</v>
      </c>
      <c r="W148" s="32"/>
    </row>
    <row r="149" spans="1:23">
      <c r="A149" s="32"/>
      <c r="E149" s="24" t="s">
        <v>411</v>
      </c>
      <c r="G149" s="69" t="str">
        <f ca="1">INDEX(B127:B142,MATCH(LARGE(W127:W142,3),W127:W142,0))</f>
        <v>Active Evaluation</v>
      </c>
      <c r="W149" s="32"/>
    </row>
    <row r="150" spans="1:23">
      <c r="A150" s="32"/>
      <c r="W150" s="32"/>
    </row>
    <row r="151" spans="1:23">
      <c r="A151" s="32"/>
      <c r="W151" s="32"/>
    </row>
    <row r="152" spans="1:23">
      <c r="A152" s="32"/>
      <c r="W152" s="32"/>
    </row>
    <row r="153" spans="1:23">
      <c r="A153" s="32"/>
      <c r="W153" s="32"/>
    </row>
    <row r="154" spans="1:23">
      <c r="A154" s="32"/>
      <c r="W154" s="32"/>
    </row>
    <row r="155" spans="1:23">
      <c r="A155" s="32"/>
      <c r="B155" s="144" t="s">
        <v>412</v>
      </c>
      <c r="C155" s="144"/>
      <c r="D155" s="144"/>
      <c r="E155" s="144"/>
      <c r="F155" s="144"/>
      <c r="G155" s="144"/>
      <c r="W155" s="32"/>
    </row>
    <row r="156" spans="1:23">
      <c r="A156" s="32"/>
      <c r="B156" s="313" t="s">
        <v>413</v>
      </c>
      <c r="C156" s="313"/>
      <c r="D156" s="313"/>
      <c r="E156" s="313"/>
      <c r="F156" s="313"/>
      <c r="G156" s="313"/>
      <c r="H156" s="313"/>
      <c r="I156" s="313"/>
      <c r="J156" s="313"/>
      <c r="K156" s="313"/>
      <c r="L156" s="313"/>
      <c r="M156" s="313"/>
      <c r="N156" s="313"/>
      <c r="O156" s="313"/>
      <c r="P156" s="313"/>
      <c r="Q156" s="313"/>
      <c r="R156" s="313"/>
      <c r="S156" s="313"/>
      <c r="T156" s="313"/>
      <c r="U156" s="313"/>
      <c r="V156" s="313"/>
      <c r="W156" s="32"/>
    </row>
    <row r="157" spans="1:23">
      <c r="A157" s="32"/>
      <c r="W157" s="32"/>
    </row>
    <row r="158" spans="1:23">
      <c r="A158" s="32"/>
      <c r="W158" s="32"/>
    </row>
    <row r="159" spans="1:23">
      <c r="A159" s="143" t="e">
        <f>SQRT(SUMSQ(#REF!))</f>
        <v>#REF!</v>
      </c>
      <c r="W159" s="143">
        <f>SQRT(SUMSQ(C159:V159))</f>
        <v>0</v>
      </c>
    </row>
    <row r="160" spans="1:23">
      <c r="A160" s="143" t="e">
        <f t="shared" ref="A160:A161" si="34">SQRT(SUMSQ(#REF!))</f>
        <v>#REF!</v>
      </c>
      <c r="W160" s="143">
        <f t="shared" ref="W160:W162" si="35">SQRT(SUMSQ(C160:V160))</f>
        <v>0</v>
      </c>
    </row>
    <row r="161" spans="1:23">
      <c r="A161" s="143" t="e">
        <f t="shared" si="34"/>
        <v>#REF!</v>
      </c>
      <c r="W161" s="143">
        <f t="shared" si="35"/>
        <v>0</v>
      </c>
    </row>
    <row r="162" spans="1:23">
      <c r="A162" s="143" t="e">
        <f t="shared" ref="A162" si="36">SQRT(SUMSQ(#REF!))</f>
        <v>#REF!</v>
      </c>
      <c r="W162" s="143">
        <f t="shared" si="35"/>
        <v>0</v>
      </c>
    </row>
    <row r="163" spans="1:23">
      <c r="A163" s="143"/>
      <c r="W163" s="143"/>
    </row>
    <row r="164" spans="1:23">
      <c r="A164" s="143" t="e">
        <f t="shared" ref="A164" si="37">SQRT(SUMSQ(#REF!))</f>
        <v>#REF!</v>
      </c>
      <c r="W164" s="143">
        <f t="shared" ref="W164:W174" si="38">SQRT(SUMSQ(C164:V164))</f>
        <v>0</v>
      </c>
    </row>
    <row r="165" spans="1:23">
      <c r="A165" s="143" t="e">
        <f t="shared" ref="A165" si="39">SQRT(SUMSQ(#REF!))</f>
        <v>#REF!</v>
      </c>
      <c r="W165" s="143">
        <f t="shared" si="38"/>
        <v>0</v>
      </c>
    </row>
    <row r="166" spans="1:23">
      <c r="A166" s="143" t="e">
        <f t="shared" ref="A166:A174" si="40">SQRT(SUMSQ(#REF!))</f>
        <v>#REF!</v>
      </c>
      <c r="W166" s="143">
        <f t="shared" si="38"/>
        <v>0</v>
      </c>
    </row>
    <row r="167" spans="1:23">
      <c r="A167" s="143" t="e">
        <f t="shared" si="40"/>
        <v>#REF!</v>
      </c>
      <c r="W167" s="143">
        <f t="shared" si="38"/>
        <v>0</v>
      </c>
    </row>
    <row r="168" spans="1:23">
      <c r="A168" s="143" t="e">
        <f t="shared" si="40"/>
        <v>#REF!</v>
      </c>
      <c r="W168" s="143">
        <f t="shared" si="38"/>
        <v>0</v>
      </c>
    </row>
    <row r="169" spans="1:23">
      <c r="A169" s="143" t="e">
        <f t="shared" si="40"/>
        <v>#REF!</v>
      </c>
      <c r="W169" s="143">
        <f t="shared" si="38"/>
        <v>0</v>
      </c>
    </row>
    <row r="170" spans="1:23">
      <c r="A170" s="143" t="e">
        <f t="shared" si="40"/>
        <v>#REF!</v>
      </c>
      <c r="W170" s="143">
        <f t="shared" si="38"/>
        <v>0</v>
      </c>
    </row>
    <row r="171" spans="1:23">
      <c r="A171" s="143" t="e">
        <f t="shared" si="40"/>
        <v>#REF!</v>
      </c>
      <c r="W171" s="143">
        <f t="shared" si="38"/>
        <v>0</v>
      </c>
    </row>
    <row r="172" spans="1:23">
      <c r="A172" s="143" t="e">
        <f t="shared" si="40"/>
        <v>#REF!</v>
      </c>
      <c r="W172" s="143">
        <f t="shared" si="38"/>
        <v>0</v>
      </c>
    </row>
    <row r="173" spans="1:23">
      <c r="A173" s="143" t="e">
        <f t="shared" si="40"/>
        <v>#REF!</v>
      </c>
      <c r="W173" s="143">
        <f t="shared" si="38"/>
        <v>0</v>
      </c>
    </row>
    <row r="174" spans="1:23">
      <c r="A174" s="143" t="e">
        <f t="shared" si="40"/>
        <v>#REF!</v>
      </c>
      <c r="W174" s="143">
        <f t="shared" si="38"/>
        <v>0</v>
      </c>
    </row>
    <row r="175" spans="1:23">
      <c r="A175" s="32"/>
      <c r="W175" s="32"/>
    </row>
    <row r="176" spans="1:23">
      <c r="A176" s="32"/>
      <c r="W176" s="32"/>
    </row>
    <row r="177" spans="1:23">
      <c r="A177" s="32"/>
      <c r="W177" s="32"/>
    </row>
    <row r="178" spans="1:23">
      <c r="A178" s="32"/>
      <c r="W178" s="32"/>
    </row>
  </sheetData>
  <mergeCells count="114">
    <mergeCell ref="AC2:AD2"/>
    <mergeCell ref="B156:V156"/>
    <mergeCell ref="B96:V96"/>
    <mergeCell ref="X96:AH96"/>
    <mergeCell ref="Y99:AF99"/>
    <mergeCell ref="Y101:AF102"/>
    <mergeCell ref="Y104:AF105"/>
    <mergeCell ref="Y107:AF108"/>
    <mergeCell ref="Y110:AF111"/>
    <mergeCell ref="E77:G80"/>
    <mergeCell ref="E82:G85"/>
    <mergeCell ref="E87:G90"/>
    <mergeCell ref="E92:G95"/>
    <mergeCell ref="B124:V124"/>
    <mergeCell ref="B146:G146"/>
    <mergeCell ref="F69:G69"/>
    <mergeCell ref="I69:J69"/>
    <mergeCell ref="L69:M69"/>
    <mergeCell ref="O69:P69"/>
    <mergeCell ref="R69:S69"/>
    <mergeCell ref="B73:V73"/>
    <mergeCell ref="B75:C75"/>
    <mergeCell ref="R70:S70"/>
    <mergeCell ref="O70:P70"/>
    <mergeCell ref="L70:M70"/>
    <mergeCell ref="I70:J70"/>
    <mergeCell ref="F70:G70"/>
    <mergeCell ref="D75:E75"/>
    <mergeCell ref="F71:G71"/>
    <mergeCell ref="I71:J71"/>
    <mergeCell ref="L71:M71"/>
    <mergeCell ref="O71:P71"/>
    <mergeCell ref="R71:S71"/>
    <mergeCell ref="F67:G67"/>
    <mergeCell ref="I67:J67"/>
    <mergeCell ref="L67:M67"/>
    <mergeCell ref="O67:P67"/>
    <mergeCell ref="R67:S67"/>
    <mergeCell ref="F68:G68"/>
    <mergeCell ref="I68:J68"/>
    <mergeCell ref="L68:M68"/>
    <mergeCell ref="O68:P68"/>
    <mergeCell ref="R68:S68"/>
    <mergeCell ref="F65:G65"/>
    <mergeCell ref="I65:J65"/>
    <mergeCell ref="L65:M65"/>
    <mergeCell ref="O65:P65"/>
    <mergeCell ref="R65:S65"/>
    <mergeCell ref="F66:G66"/>
    <mergeCell ref="I66:J66"/>
    <mergeCell ref="L66:M66"/>
    <mergeCell ref="O66:P66"/>
    <mergeCell ref="R66:S66"/>
    <mergeCell ref="B59:C59"/>
    <mergeCell ref="F63:G63"/>
    <mergeCell ref="I63:J63"/>
    <mergeCell ref="L63:M63"/>
    <mergeCell ref="O63:P63"/>
    <mergeCell ref="R63:S63"/>
    <mergeCell ref="F64:G64"/>
    <mergeCell ref="I64:J64"/>
    <mergeCell ref="L64:M64"/>
    <mergeCell ref="O64:P64"/>
    <mergeCell ref="R64:S64"/>
    <mergeCell ref="R62:S62"/>
    <mergeCell ref="O62:P62"/>
    <mergeCell ref="L62:M62"/>
    <mergeCell ref="I62:J62"/>
    <mergeCell ref="F62:G62"/>
    <mergeCell ref="F58:G58"/>
    <mergeCell ref="I58:J58"/>
    <mergeCell ref="L58:M58"/>
    <mergeCell ref="O58:P58"/>
    <mergeCell ref="R58:S58"/>
    <mergeCell ref="I60:J60"/>
    <mergeCell ref="F61:G61"/>
    <mergeCell ref="I61:J61"/>
    <mergeCell ref="L61:M61"/>
    <mergeCell ref="O61:P61"/>
    <mergeCell ref="R61:S61"/>
    <mergeCell ref="R59:S59"/>
    <mergeCell ref="O59:P59"/>
    <mergeCell ref="L59:M59"/>
    <mergeCell ref="I59:J59"/>
    <mergeCell ref="F59:G59"/>
    <mergeCell ref="F56:G56"/>
    <mergeCell ref="I56:J56"/>
    <mergeCell ref="L56:M56"/>
    <mergeCell ref="O56:P56"/>
    <mergeCell ref="R56:S56"/>
    <mergeCell ref="F57:G57"/>
    <mergeCell ref="I57:J57"/>
    <mergeCell ref="L57:M57"/>
    <mergeCell ref="O57:P57"/>
    <mergeCell ref="R57:S57"/>
    <mergeCell ref="E54:E55"/>
    <mergeCell ref="F54:G55"/>
    <mergeCell ref="H54:H55"/>
    <mergeCell ref="I54:K54"/>
    <mergeCell ref="L54:N54"/>
    <mergeCell ref="O54:Q54"/>
    <mergeCell ref="C13:V13"/>
    <mergeCell ref="B26:V26"/>
    <mergeCell ref="Z34:AA34"/>
    <mergeCell ref="B46:V46"/>
    <mergeCell ref="B47:V47"/>
    <mergeCell ref="B53:C53"/>
    <mergeCell ref="E53:H53"/>
    <mergeCell ref="I53:T53"/>
    <mergeCell ref="R54:T54"/>
    <mergeCell ref="I55:J55"/>
    <mergeCell ref="L55:M55"/>
    <mergeCell ref="O55:P55"/>
    <mergeCell ref="R55:S55"/>
  </mergeCells>
  <conditionalFormatting sqref="C13 C14:V24 C2:V12">
    <cfRule type="cellIs" dxfId="52" priority="6" operator="equal">
      <formula>0</formula>
    </cfRule>
  </conditionalFormatting>
  <conditionalFormatting sqref="C127:V142">
    <cfRule type="colorScale" priority="4">
      <colorScale>
        <cfvo type="min"/>
        <cfvo type="percentile" val="50"/>
        <cfvo type="max"/>
        <color rgb="FFF8696B"/>
        <color rgb="FFFCFCFF"/>
        <color rgb="FF63BE7B"/>
      </colorScale>
    </cfRule>
    <cfRule type="cellIs" dxfId="51" priority="5" operator="equal">
      <formula>0</formula>
    </cfRule>
  </conditionalFormatting>
  <conditionalFormatting sqref="C34:V44 D33:V33">
    <cfRule type="expression" dxfId="50" priority="8">
      <formula>C13=0</formula>
    </cfRule>
    <cfRule type="expression" dxfId="49" priority="9">
      <formula>C13&gt;=$AA$36</formula>
    </cfRule>
    <cfRule type="expression" dxfId="48" priority="10">
      <formula>C13&lt;$AA$35</formula>
    </cfRule>
  </conditionalFormatting>
  <conditionalFormatting sqref="C29:V32">
    <cfRule type="expression" dxfId="47" priority="11">
      <formula>C2=0</formula>
    </cfRule>
    <cfRule type="expression" dxfId="46" priority="12">
      <formula>C2&gt;=$AA$36</formula>
    </cfRule>
    <cfRule type="expression" dxfId="45" priority="13">
      <formula>C2&lt;$AA$35</formula>
    </cfRule>
  </conditionalFormatting>
  <conditionalFormatting sqref="X29:X44">
    <cfRule type="cellIs" dxfId="44" priority="2" operator="equal">
      <formula>"LOW"</formula>
    </cfRule>
    <cfRule type="cellIs" dxfId="43" priority="3" operator="equal">
      <formula>"HIGH"</formula>
    </cfRule>
  </conditionalFormatting>
  <conditionalFormatting sqref="C29:V44">
    <cfRule type="cellIs" dxfId="42" priority="1" operator="equal">
      <formula>1</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K63"/>
  <sheetViews>
    <sheetView zoomScale="115" zoomScaleNormal="115" workbookViewId="0">
      <pane xSplit="1" ySplit="1" topLeftCell="B15" activePane="bottomRight" state="frozen"/>
      <selection pane="topRight" activeCell="B1" sqref="B1"/>
      <selection pane="bottomLeft" activeCell="A2" sqref="A2"/>
      <selection pane="bottomRight" activeCell="B30" sqref="B30"/>
    </sheetView>
  </sheetViews>
  <sheetFormatPr defaultColWidth="8.7109375" defaultRowHeight="15"/>
  <cols>
    <col min="1" max="1" width="16.85546875" style="69" customWidth="1" collapsed="1"/>
    <col min="2" max="2" width="8.7109375" style="69" customWidth="1" collapsed="1"/>
    <col min="3" max="5" width="8.7109375" style="69" collapsed="1"/>
    <col min="6" max="6" width="11.42578125" style="69" customWidth="1" collapsed="1"/>
    <col min="7" max="7" width="11.5703125" style="69" customWidth="1" collapsed="1"/>
    <col min="8" max="21" width="8.7109375" style="69" collapsed="1"/>
    <col min="22" max="22" width="8.7109375" style="145" collapsed="1"/>
    <col min="23" max="16384" width="8.7109375" style="69" collapsed="1"/>
  </cols>
  <sheetData>
    <row r="1" spans="1:37">
      <c r="A1" s="69" t="s">
        <v>23</v>
      </c>
      <c r="B1" s="69" t="str">
        <f ca="1">'TESTING v1'!C1</f>
        <v>CPhI</v>
      </c>
      <c r="C1" s="69" t="str">
        <f ca="1">'TESTING v1'!D1</f>
        <v>Fi Global</v>
      </c>
      <c r="D1" s="69" t="str">
        <f ca="1">'TESTING v1'!E1</f>
        <v>Sleep and Eat</v>
      </c>
      <c r="E1" s="69" t="str">
        <f ca="1">'TESTING v1'!F1</f>
        <v>Decorex</v>
      </c>
      <c r="F1" s="69" t="str">
        <f ca="1">'TESTING v1'!G1</f>
        <v>Slas Europe</v>
      </c>
      <c r="G1" s="69" t="str">
        <f ca="1">'TESTING v1'!H1</f>
        <v>Africa's Big</v>
      </c>
      <c r="H1" s="69" t="str">
        <f ca="1">'TESTING v1'!I1</f>
        <v>BLLA</v>
      </c>
      <c r="I1" s="69" t="str">
        <f ca="1">'TESTING v1'!J1</f>
        <v>AIA</v>
      </c>
      <c r="J1" s="69">
        <f ca="1">'TESTING v1'!K1</f>
        <v>0</v>
      </c>
      <c r="K1" s="69">
        <f ca="1">'TESTING v1'!L1</f>
        <v>0</v>
      </c>
      <c r="L1" s="69">
        <f ca="1">'TESTING v1'!M1</f>
        <v>0</v>
      </c>
      <c r="M1" s="69">
        <f ca="1">'TESTING v1'!N1</f>
        <v>0</v>
      </c>
      <c r="N1" s="69">
        <f ca="1">'TESTING v1'!O1</f>
        <v>0</v>
      </c>
      <c r="O1" s="69">
        <f ca="1">'TESTING v1'!P1</f>
        <v>0</v>
      </c>
      <c r="P1" s="69">
        <f ca="1">'TESTING v1'!Q1</f>
        <v>0</v>
      </c>
      <c r="Q1" s="69">
        <f ca="1">'TESTING v1'!R1</f>
        <v>0</v>
      </c>
      <c r="R1" s="69">
        <f ca="1">'TESTING v1'!S1</f>
        <v>0</v>
      </c>
      <c r="S1" s="69">
        <f ca="1">'TESTING v1'!T1</f>
        <v>0</v>
      </c>
      <c r="T1" s="69">
        <f ca="1">'TESTING v1'!U1</f>
        <v>0</v>
      </c>
      <c r="U1" s="69">
        <f ca="1">'TESTING v1'!V1</f>
        <v>0</v>
      </c>
      <c r="V1" s="98" t="s">
        <v>340</v>
      </c>
      <c r="W1" s="23" t="s">
        <v>341</v>
      </c>
      <c r="X1" s="69" t="s">
        <v>342</v>
      </c>
      <c r="Y1" s="69" t="s">
        <v>343</v>
      </c>
      <c r="Z1" s="69" t="s">
        <v>340</v>
      </c>
      <c r="AA1" s="69" t="s">
        <v>55</v>
      </c>
      <c r="AB1" s="17" t="s">
        <v>31</v>
      </c>
      <c r="AC1" s="17" t="s">
        <v>624</v>
      </c>
      <c r="AD1" s="13" t="s">
        <v>32</v>
      </c>
      <c r="AE1" s="13" t="s">
        <v>33</v>
      </c>
      <c r="AF1" s="13" t="s">
        <v>34</v>
      </c>
      <c r="AG1" s="13" t="s">
        <v>35</v>
      </c>
      <c r="AH1" s="13" t="s">
        <v>36</v>
      </c>
      <c r="AI1" s="13" t="s">
        <v>37</v>
      </c>
      <c r="AJ1" s="69" t="s">
        <v>38</v>
      </c>
    </row>
    <row r="2" spans="1:37">
      <c r="A2" s="69" t="str">
        <f>ANALYSIS!B2</f>
        <v>Initial Consideration</v>
      </c>
      <c r="B2" s="205">
        <f ca="1">'TESTING v1'!C2</f>
        <v>0</v>
      </c>
      <c r="C2" s="205">
        <f ca="1">'TESTING v1'!D2</f>
        <v>0</v>
      </c>
      <c r="D2" s="205">
        <f ca="1">'TESTING v1'!E2</f>
        <v>0</v>
      </c>
      <c r="E2" s="205">
        <f ca="1">'TESTING v1'!F2</f>
        <v>0</v>
      </c>
      <c r="F2" s="205">
        <f ca="1">'TESTING v1'!G2</f>
        <v>0</v>
      </c>
      <c r="G2" s="205">
        <f ca="1">'TESTING v1'!H2</f>
        <v>0</v>
      </c>
      <c r="H2" s="205">
        <f ca="1">'TESTING v1'!I2</f>
        <v>0</v>
      </c>
      <c r="I2" s="205">
        <f ca="1">'TESTING v1'!J2</f>
        <v>0</v>
      </c>
      <c r="J2" s="205">
        <f ca="1">'TESTING v1'!K2</f>
        <v>0</v>
      </c>
      <c r="K2" s="205">
        <f ca="1">'TESTING v1'!L2</f>
        <v>0</v>
      </c>
      <c r="L2" s="205">
        <f ca="1">'TESTING v1'!M2</f>
        <v>0</v>
      </c>
      <c r="M2" s="205">
        <f ca="1">'TESTING v1'!N2</f>
        <v>0</v>
      </c>
      <c r="N2" s="205">
        <f ca="1">'TESTING v1'!O2</f>
        <v>0</v>
      </c>
      <c r="O2" s="205">
        <f ca="1">'TESTING v1'!P2</f>
        <v>0</v>
      </c>
      <c r="P2" s="205">
        <f ca="1">'TESTING v1'!Q2</f>
        <v>0</v>
      </c>
      <c r="Q2" s="205">
        <f ca="1">'TESTING v1'!R2</f>
        <v>0</v>
      </c>
      <c r="R2" s="205">
        <f ca="1">'TESTING v1'!S2</f>
        <v>0</v>
      </c>
      <c r="S2" s="205">
        <f ca="1">'TESTING v1'!T2</f>
        <v>0</v>
      </c>
      <c r="T2" s="205">
        <f ca="1">'TESTING v1'!U2</f>
        <v>0</v>
      </c>
      <c r="U2" s="205">
        <f ca="1">'TESTING v1'!V2</f>
        <v>0</v>
      </c>
      <c r="V2" s="100">
        <f ca="1">Z2</f>
        <v>0</v>
      </c>
      <c r="W2" s="21">
        <f ca="1">MAX(COUNTIF(B2:U2,"&gt;0")-1,0)</f>
        <v>0</v>
      </c>
      <c r="X2" s="10">
        <f ca="1">SMALL(B2:U2,(20-W2))</f>
        <v>0</v>
      </c>
      <c r="Y2" s="10">
        <f ca="1">MAX(B2:U2)</f>
        <v>0</v>
      </c>
      <c r="Z2" s="10">
        <f ca="1">Y2-X2</f>
        <v>0</v>
      </c>
      <c r="AA2" s="10">
        <f ca="1">B27</f>
        <v>0</v>
      </c>
      <c r="AB2" s="10" t="e">
        <f ca="1">AVERAGEIF(B2:U2, "&gt;0")</f>
        <v>#DIV/0!</v>
      </c>
      <c r="AC2" s="10" t="e">
        <f ca="1">AB2</f>
        <v>#DIV/0!</v>
      </c>
      <c r="AD2" s="69" t="e">
        <f ca="1">IF(AA2&gt;AC2,3,0)</f>
        <v>#DIV/0!</v>
      </c>
      <c r="AE2" s="69">
        <f ca="1">IF(AA2&gt;=0.6,1,0)</f>
        <v>0</v>
      </c>
      <c r="AF2" s="21">
        <f ca="1">MAX((COUNTIF(B2:U2,"&lt;" &amp; AA2) - (19-$X$25)),0)</f>
        <v>0</v>
      </c>
      <c r="AG2" s="21">
        <f ca="1">$X$25</f>
        <v>-1</v>
      </c>
      <c r="AH2" s="10">
        <f ca="1">AF2/AG2</f>
        <v>0</v>
      </c>
      <c r="AI2" s="69">
        <f ca="1">IF(AH2&gt;0.5,1,0)</f>
        <v>0</v>
      </c>
      <c r="AJ2" s="69" t="e">
        <f t="shared" ref="AJ2:AJ5" ca="1" si="0">AD2+AE2+AI2</f>
        <v>#DIV/0!</v>
      </c>
    </row>
    <row r="3" spans="1:37">
      <c r="A3" s="69" t="str">
        <f>ANALYSIS!B3</f>
        <v>Active Evaluation</v>
      </c>
      <c r="B3" s="205">
        <f ca="1">'TESTING v1'!C3</f>
        <v>4.3520000000000003E-2</v>
      </c>
      <c r="C3" s="205">
        <f ca="1">'TESTING v1'!D3</f>
        <v>0</v>
      </c>
      <c r="D3" s="205">
        <f ca="1">'TESTING v1'!E3</f>
        <v>0</v>
      </c>
      <c r="E3" s="205">
        <f ca="1">'TESTING v1'!F3</f>
        <v>0</v>
      </c>
      <c r="F3" s="205">
        <f ca="1">'TESTING v1'!G3</f>
        <v>0</v>
      </c>
      <c r="G3" s="205">
        <f ca="1">'TESTING v1'!H3</f>
        <v>0</v>
      </c>
      <c r="H3" s="205">
        <f ca="1">'TESTING v1'!I3</f>
        <v>0</v>
      </c>
      <c r="I3" s="205">
        <f ca="1">'TESTING v1'!J3</f>
        <v>0</v>
      </c>
      <c r="J3" s="205">
        <f ca="1">'TESTING v1'!K3</f>
        <v>0</v>
      </c>
      <c r="K3" s="205">
        <f ca="1">'TESTING v1'!L3</f>
        <v>0</v>
      </c>
      <c r="L3" s="205">
        <f ca="1">'TESTING v1'!M3</f>
        <v>0</v>
      </c>
      <c r="M3" s="205">
        <f ca="1">'TESTING v1'!N3</f>
        <v>0</v>
      </c>
      <c r="N3" s="205">
        <f ca="1">'TESTING v1'!O3</f>
        <v>0</v>
      </c>
      <c r="O3" s="205">
        <f ca="1">'TESTING v1'!P3</f>
        <v>0</v>
      </c>
      <c r="P3" s="205">
        <f ca="1">'TESTING v1'!Q3</f>
        <v>0</v>
      </c>
      <c r="Q3" s="205">
        <f ca="1">'TESTING v1'!R3</f>
        <v>0</v>
      </c>
      <c r="R3" s="205">
        <f ca="1">'TESTING v1'!S3</f>
        <v>0</v>
      </c>
      <c r="S3" s="205">
        <f ca="1">'TESTING v1'!T3</f>
        <v>0</v>
      </c>
      <c r="T3" s="205">
        <f ca="1">'TESTING v1'!U3</f>
        <v>0</v>
      </c>
      <c r="U3" s="205">
        <f ca="1">'TESTING v1'!V3</f>
        <v>0</v>
      </c>
      <c r="V3" s="100">
        <f t="shared" ref="V3:V5" ca="1" si="1">Z3</f>
        <v>0</v>
      </c>
      <c r="W3" s="21">
        <f t="shared" ref="W3:W5" ca="1" si="2">MAX(COUNTIF(B3:U3,"&gt;0")-1,0)</f>
        <v>0</v>
      </c>
      <c r="X3" s="10">
        <f t="shared" ref="X3:X5" ca="1" si="3">SMALL(B3:U3,(20-W3))</f>
        <v>4.3520000000000003E-2</v>
      </c>
      <c r="Y3" s="10">
        <f t="shared" ref="Y3:Y5" ca="1" si="4">MAX(B3:U3)</f>
        <v>4.3520000000000003E-2</v>
      </c>
      <c r="Z3" s="10">
        <f t="shared" ref="Z3:Z5" ca="1" si="5">Y3-X3</f>
        <v>0</v>
      </c>
      <c r="AA3" s="10">
        <f t="shared" ref="AA3:AA5" ca="1" si="6">B28</f>
        <v>4.3520000000000003E-2</v>
      </c>
      <c r="AB3" s="10">
        <f t="shared" ref="AB3:AB5" ca="1" si="7">AVERAGEIF(B3:U3, "&gt;0")</f>
        <v>4.3520000000000003E-2</v>
      </c>
      <c r="AC3" s="10">
        <f t="shared" ref="AC3:AC5" ca="1" si="8">AB3</f>
        <v>4.3520000000000003E-2</v>
      </c>
      <c r="AD3" s="69">
        <f t="shared" ref="AD3:AD5" ca="1" si="9">IF(AA3&gt;AC3,3,0)</f>
        <v>0</v>
      </c>
      <c r="AE3" s="69">
        <f t="shared" ref="AE3:AE5" ca="1" si="10">IF(AA3&gt;=0.6,1,0)</f>
        <v>0</v>
      </c>
      <c r="AF3" s="21">
        <f t="shared" ref="AF3:AF5" ca="1" si="11">MAX((COUNTIF(B3:U3,"&lt;" &amp; AA3) - (19-$X$25)),0)</f>
        <v>0</v>
      </c>
      <c r="AG3" s="21">
        <f t="shared" ref="AG3:AG5" ca="1" si="12">$X$25</f>
        <v>-1</v>
      </c>
      <c r="AH3" s="10">
        <f t="shared" ref="AH3:AH5" ca="1" si="13">AF3/AG3</f>
        <v>0</v>
      </c>
      <c r="AI3" s="69">
        <f t="shared" ref="AI3:AI5" ca="1" si="14">IF(AH3&gt;0.5,1,0)</f>
        <v>0</v>
      </c>
      <c r="AJ3" s="69">
        <f t="shared" ca="1" si="0"/>
        <v>0</v>
      </c>
    </row>
    <row r="4" spans="1:37">
      <c r="A4" s="69" t="str">
        <f>ANALYSIS!B4</f>
        <v>Conversion</v>
      </c>
      <c r="B4" s="205">
        <f ca="1">'TESTING v1'!C4</f>
        <v>0</v>
      </c>
      <c r="C4" s="205">
        <f ca="1">'TESTING v1'!D4</f>
        <v>0</v>
      </c>
      <c r="D4" s="205">
        <f ca="1">'TESTING v1'!E4</f>
        <v>0</v>
      </c>
      <c r="E4" s="205">
        <f ca="1">'TESTING v1'!F4</f>
        <v>0</v>
      </c>
      <c r="F4" s="205">
        <f ca="1">'TESTING v1'!G4</f>
        <v>0</v>
      </c>
      <c r="G4" s="205">
        <f ca="1">'TESTING v1'!H4</f>
        <v>0</v>
      </c>
      <c r="H4" s="205">
        <f ca="1">'TESTING v1'!I4</f>
        <v>0</v>
      </c>
      <c r="I4" s="205">
        <f ca="1">'TESTING v1'!J4</f>
        <v>0</v>
      </c>
      <c r="J4" s="205">
        <f ca="1">'TESTING v1'!K4</f>
        <v>0</v>
      </c>
      <c r="K4" s="205">
        <f ca="1">'TESTING v1'!L4</f>
        <v>0</v>
      </c>
      <c r="L4" s="205">
        <f ca="1">'TESTING v1'!M4</f>
        <v>0</v>
      </c>
      <c r="M4" s="205">
        <f ca="1">'TESTING v1'!N4</f>
        <v>0</v>
      </c>
      <c r="N4" s="205">
        <f ca="1">'TESTING v1'!O4</f>
        <v>0</v>
      </c>
      <c r="O4" s="205">
        <f ca="1">'TESTING v1'!P4</f>
        <v>0</v>
      </c>
      <c r="P4" s="205">
        <f ca="1">'TESTING v1'!Q4</f>
        <v>0</v>
      </c>
      <c r="Q4" s="205">
        <f ca="1">'TESTING v1'!R4</f>
        <v>0</v>
      </c>
      <c r="R4" s="205">
        <f ca="1">'TESTING v1'!S4</f>
        <v>0</v>
      </c>
      <c r="S4" s="205">
        <f ca="1">'TESTING v1'!T4</f>
        <v>0</v>
      </c>
      <c r="T4" s="205">
        <f ca="1">'TESTING v1'!U4</f>
        <v>0</v>
      </c>
      <c r="U4" s="205">
        <f ca="1">'TESTING v1'!V4</f>
        <v>0</v>
      </c>
      <c r="V4" s="100">
        <f t="shared" ca="1" si="1"/>
        <v>0</v>
      </c>
      <c r="W4" s="21">
        <f t="shared" ca="1" si="2"/>
        <v>0</v>
      </c>
      <c r="X4" s="10">
        <f t="shared" ca="1" si="3"/>
        <v>0</v>
      </c>
      <c r="Y4" s="10">
        <f t="shared" ca="1" si="4"/>
        <v>0</v>
      </c>
      <c r="Z4" s="10">
        <f t="shared" ca="1" si="5"/>
        <v>0</v>
      </c>
      <c r="AA4" s="10">
        <f t="shared" ca="1" si="6"/>
        <v>0</v>
      </c>
      <c r="AB4" s="10" t="e">
        <f t="shared" ca="1" si="7"/>
        <v>#DIV/0!</v>
      </c>
      <c r="AC4" s="10" t="e">
        <f t="shared" ca="1" si="8"/>
        <v>#DIV/0!</v>
      </c>
      <c r="AD4" s="69" t="e">
        <f t="shared" ca="1" si="9"/>
        <v>#DIV/0!</v>
      </c>
      <c r="AE4" s="69">
        <f t="shared" ca="1" si="10"/>
        <v>0</v>
      </c>
      <c r="AF4" s="21">
        <f t="shared" ca="1" si="11"/>
        <v>0</v>
      </c>
      <c r="AG4" s="21">
        <f t="shared" ca="1" si="12"/>
        <v>-1</v>
      </c>
      <c r="AH4" s="10">
        <f t="shared" ca="1" si="13"/>
        <v>0</v>
      </c>
      <c r="AI4" s="69">
        <f t="shared" ca="1" si="14"/>
        <v>0</v>
      </c>
      <c r="AJ4" s="69" t="e">
        <f t="shared" ca="1" si="0"/>
        <v>#DIV/0!</v>
      </c>
    </row>
    <row r="5" spans="1:37">
      <c r="A5" s="69" t="str">
        <f>ANALYSIS!B5</f>
        <v>Experience &amp; Loyalty</v>
      </c>
      <c r="B5" s="205">
        <f ca="1">'TESTING v1'!C5</f>
        <v>1.536E-2</v>
      </c>
      <c r="C5" s="205">
        <f ca="1">'TESTING v1'!D5</f>
        <v>0</v>
      </c>
      <c r="D5" s="205">
        <f ca="1">'TESTING v1'!E5</f>
        <v>0</v>
      </c>
      <c r="E5" s="205">
        <f ca="1">'TESTING v1'!F5</f>
        <v>0</v>
      </c>
      <c r="F5" s="205">
        <f ca="1">'TESTING v1'!G5</f>
        <v>0</v>
      </c>
      <c r="G5" s="205">
        <f ca="1">'TESTING v1'!H5</f>
        <v>0</v>
      </c>
      <c r="H5" s="205">
        <f ca="1">'TESTING v1'!I5</f>
        <v>0</v>
      </c>
      <c r="I5" s="205">
        <f ca="1">'TESTING v1'!J5</f>
        <v>0</v>
      </c>
      <c r="J5" s="205">
        <f ca="1">'TESTING v1'!K5</f>
        <v>0</v>
      </c>
      <c r="K5" s="205">
        <f ca="1">'TESTING v1'!L5</f>
        <v>0</v>
      </c>
      <c r="L5" s="205">
        <f ca="1">'TESTING v1'!M5</f>
        <v>0</v>
      </c>
      <c r="M5" s="205">
        <f ca="1">'TESTING v1'!N5</f>
        <v>0</v>
      </c>
      <c r="N5" s="205">
        <f ca="1">'TESTING v1'!O5</f>
        <v>0</v>
      </c>
      <c r="O5" s="205">
        <f ca="1">'TESTING v1'!P5</f>
        <v>0</v>
      </c>
      <c r="P5" s="205">
        <f ca="1">'TESTING v1'!Q5</f>
        <v>0</v>
      </c>
      <c r="Q5" s="205">
        <f ca="1">'TESTING v1'!R5</f>
        <v>0</v>
      </c>
      <c r="R5" s="205">
        <f ca="1">'TESTING v1'!S5</f>
        <v>0</v>
      </c>
      <c r="S5" s="205">
        <f ca="1">'TESTING v1'!T5</f>
        <v>0</v>
      </c>
      <c r="T5" s="205">
        <f ca="1">'TESTING v1'!U5</f>
        <v>0</v>
      </c>
      <c r="U5" s="205">
        <f ca="1">'TESTING v1'!V5</f>
        <v>0</v>
      </c>
      <c r="V5" s="100">
        <f t="shared" ca="1" si="1"/>
        <v>0</v>
      </c>
      <c r="W5" s="21">
        <f t="shared" ca="1" si="2"/>
        <v>0</v>
      </c>
      <c r="X5" s="10">
        <f t="shared" ca="1" si="3"/>
        <v>1.536E-2</v>
      </c>
      <c r="Y5" s="10">
        <f t="shared" ca="1" si="4"/>
        <v>1.536E-2</v>
      </c>
      <c r="Z5" s="10">
        <f t="shared" ca="1" si="5"/>
        <v>0</v>
      </c>
      <c r="AA5" s="10">
        <f t="shared" ca="1" si="6"/>
        <v>1.536E-2</v>
      </c>
      <c r="AB5" s="10">
        <f t="shared" ca="1" si="7"/>
        <v>1.536E-2</v>
      </c>
      <c r="AC5" s="10">
        <f t="shared" ca="1" si="8"/>
        <v>1.536E-2</v>
      </c>
      <c r="AD5" s="69">
        <f t="shared" ca="1" si="9"/>
        <v>0</v>
      </c>
      <c r="AE5" s="69">
        <f t="shared" ca="1" si="10"/>
        <v>0</v>
      </c>
      <c r="AF5" s="21">
        <f t="shared" ca="1" si="11"/>
        <v>0</v>
      </c>
      <c r="AG5" s="21">
        <f t="shared" ca="1" si="12"/>
        <v>-1</v>
      </c>
      <c r="AH5" s="10">
        <f t="shared" ca="1" si="13"/>
        <v>0</v>
      </c>
      <c r="AI5" s="69">
        <f t="shared" ca="1" si="14"/>
        <v>0</v>
      </c>
      <c r="AJ5" s="69">
        <f t="shared" ca="1" si="0"/>
        <v>0</v>
      </c>
    </row>
    <row r="6" spans="1:37" hidden="1">
      <c r="A6" s="69">
        <f>ANALYSIS!B6</f>
        <v>0</v>
      </c>
      <c r="B6" s="101"/>
      <c r="C6" s="101"/>
      <c r="D6" s="101"/>
      <c r="E6" s="101"/>
      <c r="F6" s="101"/>
      <c r="G6" s="101"/>
      <c r="H6" s="101"/>
      <c r="I6" s="101"/>
      <c r="J6" s="101"/>
      <c r="K6" s="101"/>
      <c r="L6" s="101"/>
      <c r="M6" s="101"/>
      <c r="N6" s="101"/>
      <c r="O6" s="101"/>
      <c r="P6" s="101"/>
      <c r="Q6" s="101"/>
      <c r="R6" s="101"/>
      <c r="S6" s="101"/>
      <c r="T6" s="101"/>
      <c r="U6" s="101"/>
      <c r="V6" s="100"/>
      <c r="W6" s="21"/>
      <c r="X6" s="10"/>
      <c r="Y6" s="10"/>
      <c r="Z6" s="10"/>
    </row>
    <row r="7" spans="1:37" hidden="1">
      <c r="A7" s="69" t="str">
        <f>ANALYSIS!B7</f>
        <v>CDJ INDEX</v>
      </c>
      <c r="B7" s="101">
        <f ca="1">(B2*0.8+B3+B4+B5*0.3)/3.1</f>
        <v>1.5525161290322581E-2</v>
      </c>
      <c r="C7" s="101">
        <f t="shared" ref="C7:U7" ca="1" si="15">(C2*0.8+C3+C4+C5*0.3)/3.1</f>
        <v>0</v>
      </c>
      <c r="D7" s="101">
        <f t="shared" ca="1" si="15"/>
        <v>0</v>
      </c>
      <c r="E7" s="101">
        <f t="shared" ca="1" si="15"/>
        <v>0</v>
      </c>
      <c r="F7" s="101">
        <f t="shared" ca="1" si="15"/>
        <v>0</v>
      </c>
      <c r="G7" s="101">
        <f t="shared" ca="1" si="15"/>
        <v>0</v>
      </c>
      <c r="H7" s="101">
        <f t="shared" ca="1" si="15"/>
        <v>0</v>
      </c>
      <c r="I7" s="101">
        <f t="shared" ca="1" si="15"/>
        <v>0</v>
      </c>
      <c r="J7" s="101">
        <f t="shared" ca="1" si="15"/>
        <v>0</v>
      </c>
      <c r="K7" s="101">
        <f t="shared" ca="1" si="15"/>
        <v>0</v>
      </c>
      <c r="L7" s="101">
        <f t="shared" ca="1" si="15"/>
        <v>0</v>
      </c>
      <c r="M7" s="101">
        <f t="shared" ca="1" si="15"/>
        <v>0</v>
      </c>
      <c r="N7" s="101">
        <f t="shared" ca="1" si="15"/>
        <v>0</v>
      </c>
      <c r="O7" s="101">
        <f t="shared" ca="1" si="15"/>
        <v>0</v>
      </c>
      <c r="P7" s="101">
        <f t="shared" ca="1" si="15"/>
        <v>0</v>
      </c>
      <c r="Q7" s="101">
        <f t="shared" ca="1" si="15"/>
        <v>0</v>
      </c>
      <c r="R7" s="101">
        <f t="shared" ca="1" si="15"/>
        <v>0</v>
      </c>
      <c r="S7" s="101">
        <f t="shared" ca="1" si="15"/>
        <v>0</v>
      </c>
      <c r="T7" s="101">
        <f t="shared" ca="1" si="15"/>
        <v>0</v>
      </c>
      <c r="U7" s="101">
        <f t="shared" ca="1" si="15"/>
        <v>0</v>
      </c>
      <c r="V7" s="100"/>
      <c r="W7" s="21"/>
      <c r="X7" s="10"/>
      <c r="Y7" s="10"/>
      <c r="Z7" s="10"/>
    </row>
    <row r="8" spans="1:37" hidden="1">
      <c r="A8" s="69" t="str">
        <f>ANALYSIS!B8</f>
        <v>CDJ INDEX PCTNTLE</v>
      </c>
      <c r="B8" s="102">
        <f ca="1">_xlfn.RANK.AVG(B7,$B$7:$U$7,0)/COUNTIF($B$7:$U$7,"&gt;0")</f>
        <v>1</v>
      </c>
      <c r="C8" s="102">
        <f t="shared" ref="C8:U8" ca="1" si="16">_xlfn.RANK.AVG(C7,$B$7:$U$7,0)/COUNTIF($B$7:$U$7,"&gt;0")</f>
        <v>11</v>
      </c>
      <c r="D8" s="102">
        <f t="shared" ca="1" si="16"/>
        <v>11</v>
      </c>
      <c r="E8" s="102">
        <f t="shared" ca="1" si="16"/>
        <v>11</v>
      </c>
      <c r="F8" s="102">
        <f t="shared" ca="1" si="16"/>
        <v>11</v>
      </c>
      <c r="G8" s="102">
        <f t="shared" ca="1" si="16"/>
        <v>11</v>
      </c>
      <c r="H8" s="102">
        <f t="shared" ca="1" si="16"/>
        <v>11</v>
      </c>
      <c r="I8" s="102">
        <f t="shared" ca="1" si="16"/>
        <v>11</v>
      </c>
      <c r="J8" s="102">
        <f t="shared" ca="1" si="16"/>
        <v>11</v>
      </c>
      <c r="K8" s="102">
        <f t="shared" ca="1" si="16"/>
        <v>11</v>
      </c>
      <c r="L8" s="102">
        <f t="shared" ca="1" si="16"/>
        <v>11</v>
      </c>
      <c r="M8" s="102">
        <f t="shared" ca="1" si="16"/>
        <v>11</v>
      </c>
      <c r="N8" s="102">
        <f t="shared" ca="1" si="16"/>
        <v>11</v>
      </c>
      <c r="O8" s="102">
        <f t="shared" ca="1" si="16"/>
        <v>11</v>
      </c>
      <c r="P8" s="102">
        <f t="shared" ca="1" si="16"/>
        <v>11</v>
      </c>
      <c r="Q8" s="102">
        <f t="shared" ca="1" si="16"/>
        <v>11</v>
      </c>
      <c r="R8" s="102">
        <f t="shared" ca="1" si="16"/>
        <v>11</v>
      </c>
      <c r="S8" s="102">
        <f t="shared" ca="1" si="16"/>
        <v>11</v>
      </c>
      <c r="T8" s="102">
        <f t="shared" ca="1" si="16"/>
        <v>11</v>
      </c>
      <c r="U8" s="102">
        <f t="shared" ca="1" si="16"/>
        <v>11</v>
      </c>
      <c r="V8" s="100"/>
      <c r="W8" s="21"/>
      <c r="X8" s="10"/>
      <c r="Y8" s="10"/>
      <c r="Z8" s="10"/>
    </row>
    <row r="9" spans="1:37" hidden="1">
      <c r="A9" s="69">
        <f>ANALYSIS!B10</f>
        <v>0</v>
      </c>
      <c r="B9" s="102"/>
      <c r="C9" s="102"/>
      <c r="D9" s="102"/>
      <c r="E9" s="102"/>
      <c r="F9" s="102"/>
      <c r="G9" s="102"/>
      <c r="H9" s="102"/>
      <c r="I9" s="102"/>
      <c r="J9" s="102"/>
      <c r="K9" s="102"/>
      <c r="L9" s="102"/>
      <c r="M9" s="102"/>
      <c r="N9" s="102"/>
      <c r="O9" s="102"/>
      <c r="P9" s="102"/>
      <c r="Q9" s="102"/>
      <c r="R9" s="102"/>
      <c r="S9" s="102"/>
      <c r="T9" s="102"/>
      <c r="U9" s="102"/>
      <c r="V9" s="100"/>
      <c r="W9" s="21"/>
      <c r="X9" s="10"/>
      <c r="Y9" s="10"/>
      <c r="Z9" s="10"/>
    </row>
    <row r="10" spans="1:37" hidden="1">
      <c r="A10" s="69" t="str">
        <f>ANALYSIS!B11</f>
        <v>Gartner - Front</v>
      </c>
      <c r="B10" s="102">
        <f ca="1">(0.8*B2+1*B3)/1.8</f>
        <v>2.4177777777777777E-2</v>
      </c>
      <c r="C10" s="102">
        <f t="shared" ref="C10:U10" ca="1" si="17">(0.8*C2+1*C3)/1.8</f>
        <v>0</v>
      </c>
      <c r="D10" s="102">
        <f t="shared" ca="1" si="17"/>
        <v>0</v>
      </c>
      <c r="E10" s="102">
        <f t="shared" ca="1" si="17"/>
        <v>0</v>
      </c>
      <c r="F10" s="102">
        <f t="shared" ca="1" si="17"/>
        <v>0</v>
      </c>
      <c r="G10" s="102">
        <f t="shared" ca="1" si="17"/>
        <v>0</v>
      </c>
      <c r="H10" s="102">
        <f t="shared" ca="1" si="17"/>
        <v>0</v>
      </c>
      <c r="I10" s="102">
        <f t="shared" ca="1" si="17"/>
        <v>0</v>
      </c>
      <c r="J10" s="102">
        <f t="shared" ca="1" si="17"/>
        <v>0</v>
      </c>
      <c r="K10" s="102">
        <f t="shared" ca="1" si="17"/>
        <v>0</v>
      </c>
      <c r="L10" s="102">
        <f t="shared" ca="1" si="17"/>
        <v>0</v>
      </c>
      <c r="M10" s="102">
        <f t="shared" ca="1" si="17"/>
        <v>0</v>
      </c>
      <c r="N10" s="102">
        <f t="shared" ca="1" si="17"/>
        <v>0</v>
      </c>
      <c r="O10" s="102">
        <f t="shared" ca="1" si="17"/>
        <v>0</v>
      </c>
      <c r="P10" s="102">
        <f t="shared" ca="1" si="17"/>
        <v>0</v>
      </c>
      <c r="Q10" s="102">
        <f t="shared" ca="1" si="17"/>
        <v>0</v>
      </c>
      <c r="R10" s="102">
        <f t="shared" ca="1" si="17"/>
        <v>0</v>
      </c>
      <c r="S10" s="102">
        <f t="shared" ca="1" si="17"/>
        <v>0</v>
      </c>
      <c r="T10" s="102">
        <f t="shared" ca="1" si="17"/>
        <v>0</v>
      </c>
      <c r="U10" s="102">
        <f t="shared" ca="1" si="17"/>
        <v>0</v>
      </c>
      <c r="V10" s="100"/>
      <c r="W10" s="21"/>
      <c r="X10" s="10"/>
      <c r="Y10" s="10"/>
      <c r="Z10" s="10"/>
    </row>
    <row r="11" spans="1:37" hidden="1">
      <c r="A11" s="69" t="str">
        <f>ANALYSIS!B12</f>
        <v>Gartner - Back</v>
      </c>
      <c r="B11" s="102">
        <f ca="1">(1*B4+0.3*B5)/1.3</f>
        <v>3.5446153846153848E-3</v>
      </c>
      <c r="C11" s="102">
        <f t="shared" ref="C11:U11" ca="1" si="18">(1*C4+0.3*C5)/1.3</f>
        <v>0</v>
      </c>
      <c r="D11" s="102">
        <f t="shared" ca="1" si="18"/>
        <v>0</v>
      </c>
      <c r="E11" s="102">
        <f t="shared" ca="1" si="18"/>
        <v>0</v>
      </c>
      <c r="F11" s="102">
        <f t="shared" ca="1" si="18"/>
        <v>0</v>
      </c>
      <c r="G11" s="102">
        <f t="shared" ca="1" si="18"/>
        <v>0</v>
      </c>
      <c r="H11" s="102">
        <f t="shared" ca="1" si="18"/>
        <v>0</v>
      </c>
      <c r="I11" s="102">
        <f t="shared" ca="1" si="18"/>
        <v>0</v>
      </c>
      <c r="J11" s="102">
        <f t="shared" ca="1" si="18"/>
        <v>0</v>
      </c>
      <c r="K11" s="102">
        <f t="shared" ca="1" si="18"/>
        <v>0</v>
      </c>
      <c r="L11" s="102">
        <f t="shared" ca="1" si="18"/>
        <v>0</v>
      </c>
      <c r="M11" s="102">
        <f t="shared" ca="1" si="18"/>
        <v>0</v>
      </c>
      <c r="N11" s="102">
        <f t="shared" ca="1" si="18"/>
        <v>0</v>
      </c>
      <c r="O11" s="102">
        <f t="shared" ca="1" si="18"/>
        <v>0</v>
      </c>
      <c r="P11" s="102">
        <f t="shared" ca="1" si="18"/>
        <v>0</v>
      </c>
      <c r="Q11" s="102">
        <f t="shared" ca="1" si="18"/>
        <v>0</v>
      </c>
      <c r="R11" s="102">
        <f t="shared" ca="1" si="18"/>
        <v>0</v>
      </c>
      <c r="S11" s="102">
        <f t="shared" ca="1" si="18"/>
        <v>0</v>
      </c>
      <c r="T11" s="102">
        <f t="shared" ca="1" si="18"/>
        <v>0</v>
      </c>
      <c r="U11" s="102">
        <f t="shared" ca="1" si="18"/>
        <v>0</v>
      </c>
      <c r="V11" s="100"/>
      <c r="W11" s="21"/>
      <c r="X11" s="10"/>
      <c r="Y11" s="10"/>
      <c r="Z11" s="10"/>
    </row>
    <row r="12" spans="1:37">
      <c r="B12" s="324" t="s">
        <v>414</v>
      </c>
      <c r="C12" s="324"/>
      <c r="D12" s="324"/>
      <c r="E12" s="324"/>
      <c r="F12" s="324"/>
      <c r="G12" s="324"/>
      <c r="H12" s="324"/>
      <c r="I12" s="324"/>
      <c r="J12" s="324"/>
      <c r="K12" s="324"/>
      <c r="L12" s="324"/>
      <c r="M12" s="324"/>
      <c r="N12" s="324"/>
      <c r="O12" s="324"/>
      <c r="P12" s="324"/>
      <c r="Q12" s="324"/>
      <c r="R12" s="324"/>
      <c r="S12" s="324"/>
      <c r="T12" s="324"/>
      <c r="U12" s="324"/>
      <c r="V12" s="32"/>
    </row>
    <row r="13" spans="1:37">
      <c r="A13" s="49" t="str">
        <f>ANALYSIS!B14</f>
        <v>Search Engine Optimization</v>
      </c>
      <c r="B13" s="205">
        <f ca="1">'TESTING v1'!C11</f>
        <v>0</v>
      </c>
      <c r="C13" s="205">
        <f ca="1">'TESTING v1'!D11</f>
        <v>0</v>
      </c>
      <c r="D13" s="205">
        <f ca="1">'TESTING v1'!E11</f>
        <v>0</v>
      </c>
      <c r="E13" s="205">
        <f ca="1">'TESTING v1'!F11</f>
        <v>0</v>
      </c>
      <c r="F13" s="205">
        <f ca="1">'TESTING v1'!G11</f>
        <v>0</v>
      </c>
      <c r="G13" s="205">
        <f ca="1">'TESTING v1'!H11</f>
        <v>0</v>
      </c>
      <c r="H13" s="205">
        <f ca="1">'TESTING v1'!I11</f>
        <v>0</v>
      </c>
      <c r="I13" s="205">
        <f ca="1">'TESTING v1'!J11</f>
        <v>0</v>
      </c>
      <c r="J13" s="205">
        <f ca="1">'TESTING v1'!K11</f>
        <v>0</v>
      </c>
      <c r="K13" s="205">
        <f ca="1">'TESTING v1'!L11</f>
        <v>0</v>
      </c>
      <c r="L13" s="205">
        <f ca="1">'TESTING v1'!M11</f>
        <v>0</v>
      </c>
      <c r="M13" s="205">
        <f ca="1">'TESTING v1'!N11</f>
        <v>0</v>
      </c>
      <c r="N13" s="205">
        <f ca="1">'TESTING v1'!O11</f>
        <v>0</v>
      </c>
      <c r="O13" s="205">
        <f ca="1">'TESTING v1'!P11</f>
        <v>0</v>
      </c>
      <c r="P13" s="205">
        <f ca="1">'TESTING v1'!Q11</f>
        <v>0</v>
      </c>
      <c r="Q13" s="205">
        <f ca="1">'TESTING v1'!R11</f>
        <v>0</v>
      </c>
      <c r="R13" s="205">
        <f ca="1">'TESTING v1'!S11</f>
        <v>0</v>
      </c>
      <c r="S13" s="205">
        <f ca="1">'TESTING v1'!T11</f>
        <v>0</v>
      </c>
      <c r="T13" s="205">
        <f ca="1">'TESTING v1'!U11</f>
        <v>0</v>
      </c>
      <c r="U13" s="205">
        <f ca="1">'TESTING v1'!V11</f>
        <v>0</v>
      </c>
      <c r="V13" s="100">
        <f t="shared" ref="V13:V23" ca="1" si="19">Z13</f>
        <v>0</v>
      </c>
      <c r="W13" s="21">
        <f t="shared" ref="W13:W23" ca="1" si="20">MAX(COUNTIF(B13:U13,"&gt;0")-1,0)</f>
        <v>0</v>
      </c>
      <c r="X13" s="10">
        <f t="shared" ref="X13:X23" ca="1" si="21">SMALL(B13:U13,(20-W13))</f>
        <v>0</v>
      </c>
      <c r="Y13" s="10">
        <f t="shared" ref="Y13:Y23" ca="1" si="22">MAX(B13:U13)</f>
        <v>0</v>
      </c>
      <c r="Z13" s="10">
        <f t="shared" ref="Z13:Z23" ca="1" si="23">Y13-X13</f>
        <v>0</v>
      </c>
      <c r="AA13" s="10">
        <f ca="1">B32</f>
        <v>0</v>
      </c>
      <c r="AB13" s="10" t="e">
        <f t="shared" ref="AB13:AB23" ca="1" si="24">AVERAGEIF(B13:U13, "&gt;0")</f>
        <v>#DIV/0!</v>
      </c>
      <c r="AC13" s="10" t="e">
        <f t="shared" ref="AC13:AC23" ca="1" si="25">AB13</f>
        <v>#DIV/0!</v>
      </c>
      <c r="AD13" s="69" t="e">
        <f ca="1">IF(AA13&gt;AC13,3,0)</f>
        <v>#DIV/0!</v>
      </c>
      <c r="AE13" s="69">
        <f t="shared" ref="AE13:AE23" ca="1" si="26">IF(AA13&gt;=0.6,1,0)</f>
        <v>0</v>
      </c>
      <c r="AF13" s="21">
        <f t="shared" ref="AF13:AF23" ca="1" si="27">MAX((COUNTIF(B13:U13,"&lt;" &amp; AA13) - (19-$X$25)),0)</f>
        <v>0</v>
      </c>
      <c r="AG13" s="21">
        <f t="shared" ref="AG13:AG23" ca="1" si="28">$X$25</f>
        <v>-1</v>
      </c>
      <c r="AH13" s="10">
        <f t="shared" ref="AH13:AH23" ca="1" si="29">AF13/AG13</f>
        <v>0</v>
      </c>
      <c r="AI13" s="69">
        <f t="shared" ref="AI13:AI23" ca="1" si="30">IF(AH13&gt;0.5,1,0)</f>
        <v>0</v>
      </c>
      <c r="AJ13" s="69" t="e">
        <f t="shared" ref="AJ13:AJ23" ca="1" si="31">AD13+AE13+AI13</f>
        <v>#DIV/0!</v>
      </c>
      <c r="AK13" s="22" t="s">
        <v>39</v>
      </c>
    </row>
    <row r="14" spans="1:37">
      <c r="A14" s="16" t="str">
        <f>ANALYSIS!B15</f>
        <v>Mobile Experience</v>
      </c>
      <c r="B14" s="205">
        <f ca="1">'TESTING v1'!C38</f>
        <v>0.25600000000000001</v>
      </c>
      <c r="C14" s="205">
        <f ca="1">'TESTING v1'!D38</f>
        <v>0</v>
      </c>
      <c r="D14" s="205">
        <f ca="1">'TESTING v1'!E38</f>
        <v>0</v>
      </c>
      <c r="E14" s="205">
        <f ca="1">'TESTING v1'!F38</f>
        <v>0</v>
      </c>
      <c r="F14" s="205">
        <f ca="1">'TESTING v1'!G38</f>
        <v>0</v>
      </c>
      <c r="G14" s="205">
        <f ca="1">'TESTING v1'!H38</f>
        <v>0</v>
      </c>
      <c r="H14" s="205">
        <f ca="1">'TESTING v1'!I38</f>
        <v>0</v>
      </c>
      <c r="I14" s="205">
        <f ca="1">'TESTING v1'!J38</f>
        <v>0</v>
      </c>
      <c r="J14" s="205">
        <f ca="1">'TESTING v1'!K38</f>
        <v>0</v>
      </c>
      <c r="K14" s="205">
        <f ca="1">'TESTING v1'!L38</f>
        <v>0</v>
      </c>
      <c r="L14" s="205">
        <f ca="1">'TESTING v1'!M38</f>
        <v>0</v>
      </c>
      <c r="M14" s="205">
        <f ca="1">'TESTING v1'!N38</f>
        <v>0</v>
      </c>
      <c r="N14" s="205">
        <f ca="1">'TESTING v1'!O38</f>
        <v>0</v>
      </c>
      <c r="O14" s="205">
        <f ca="1">'TESTING v1'!P38</f>
        <v>0</v>
      </c>
      <c r="P14" s="205">
        <f ca="1">'TESTING v1'!Q38</f>
        <v>0</v>
      </c>
      <c r="Q14" s="205">
        <f ca="1">'TESTING v1'!R38</f>
        <v>0</v>
      </c>
      <c r="R14" s="205">
        <f ca="1">'TESTING v1'!S38</f>
        <v>0</v>
      </c>
      <c r="S14" s="205">
        <f ca="1">'TESTING v1'!T38</f>
        <v>0</v>
      </c>
      <c r="T14" s="205">
        <f ca="1">'TESTING v1'!U38</f>
        <v>0</v>
      </c>
      <c r="U14" s="205">
        <f ca="1">'TESTING v1'!V38</f>
        <v>0</v>
      </c>
      <c r="V14" s="100">
        <f t="shared" ca="1" si="19"/>
        <v>0</v>
      </c>
      <c r="W14" s="21">
        <f t="shared" ca="1" si="20"/>
        <v>0</v>
      </c>
      <c r="X14" s="10">
        <f t="shared" ca="1" si="21"/>
        <v>0.25600000000000001</v>
      </c>
      <c r="Y14" s="10">
        <f t="shared" ca="1" si="22"/>
        <v>0.25600000000000001</v>
      </c>
      <c r="Z14" s="10">
        <f t="shared" ca="1" si="23"/>
        <v>0</v>
      </c>
      <c r="AA14" s="10">
        <f t="shared" ref="AA14:AA23" ca="1" si="32">B33</f>
        <v>0.25600000000000001</v>
      </c>
      <c r="AB14" s="10">
        <f t="shared" ca="1" si="24"/>
        <v>0.25600000000000001</v>
      </c>
      <c r="AC14" s="10">
        <f t="shared" ca="1" si="25"/>
        <v>0.25600000000000001</v>
      </c>
      <c r="AD14" s="69">
        <f t="shared" ref="AD14:AD23" ca="1" si="33">IF(AA14&gt;AC14,3,0)</f>
        <v>0</v>
      </c>
      <c r="AE14" s="69">
        <f t="shared" ca="1" si="26"/>
        <v>0</v>
      </c>
      <c r="AF14" s="21">
        <f t="shared" ca="1" si="27"/>
        <v>0</v>
      </c>
      <c r="AG14" s="21">
        <f t="shared" ca="1" si="28"/>
        <v>-1</v>
      </c>
      <c r="AH14" s="10">
        <f t="shared" ca="1" si="29"/>
        <v>0</v>
      </c>
      <c r="AI14" s="69">
        <f t="shared" ca="1" si="30"/>
        <v>0</v>
      </c>
      <c r="AJ14" s="69">
        <f t="shared" ca="1" si="31"/>
        <v>0</v>
      </c>
      <c r="AK14" s="22" t="s">
        <v>40</v>
      </c>
    </row>
    <row r="15" spans="1:37">
      <c r="A15" s="16" t="str">
        <f>ANALYSIS!B16</f>
        <v>Website Technical &amp; Functional</v>
      </c>
      <c r="B15" s="205">
        <f ca="1">'TESTING v1'!C72</f>
        <v>0</v>
      </c>
      <c r="C15" s="205">
        <f ca="1">'TESTING v1'!D72</f>
        <v>0</v>
      </c>
      <c r="D15" s="205">
        <f ca="1">'TESTING v1'!E72</f>
        <v>0</v>
      </c>
      <c r="E15" s="205">
        <f ca="1">'TESTING v1'!F72</f>
        <v>0</v>
      </c>
      <c r="F15" s="205">
        <f ca="1">'TESTING v1'!G72</f>
        <v>0</v>
      </c>
      <c r="G15" s="205">
        <f ca="1">'TESTING v1'!H72</f>
        <v>0</v>
      </c>
      <c r="H15" s="205">
        <f ca="1">'TESTING v1'!I72</f>
        <v>0</v>
      </c>
      <c r="I15" s="205">
        <f ca="1">'TESTING v1'!J72</f>
        <v>0</v>
      </c>
      <c r="J15" s="205">
        <f ca="1">'TESTING v1'!K72</f>
        <v>0</v>
      </c>
      <c r="K15" s="205">
        <f ca="1">'TESTING v1'!L72</f>
        <v>0</v>
      </c>
      <c r="L15" s="205">
        <f ca="1">'TESTING v1'!M72</f>
        <v>0</v>
      </c>
      <c r="M15" s="205">
        <f ca="1">'TESTING v1'!N72</f>
        <v>0</v>
      </c>
      <c r="N15" s="205">
        <f ca="1">'TESTING v1'!O72</f>
        <v>0</v>
      </c>
      <c r="O15" s="205">
        <f ca="1">'TESTING v1'!P72</f>
        <v>0</v>
      </c>
      <c r="P15" s="205">
        <f ca="1">'TESTING v1'!Q72</f>
        <v>0</v>
      </c>
      <c r="Q15" s="205">
        <f ca="1">'TESTING v1'!R72</f>
        <v>0</v>
      </c>
      <c r="R15" s="205">
        <f ca="1">'TESTING v1'!S72</f>
        <v>0</v>
      </c>
      <c r="S15" s="205">
        <f ca="1">'TESTING v1'!T72</f>
        <v>0</v>
      </c>
      <c r="T15" s="205">
        <f ca="1">'TESTING v1'!U72</f>
        <v>0</v>
      </c>
      <c r="U15" s="205">
        <f ca="1">'TESTING v1'!V72</f>
        <v>0</v>
      </c>
      <c r="V15" s="100">
        <f t="shared" ca="1" si="19"/>
        <v>0</v>
      </c>
      <c r="W15" s="21">
        <f t="shared" ca="1" si="20"/>
        <v>0</v>
      </c>
      <c r="X15" s="10">
        <f t="shared" ca="1" si="21"/>
        <v>0</v>
      </c>
      <c r="Y15" s="10">
        <f t="shared" ca="1" si="22"/>
        <v>0</v>
      </c>
      <c r="Z15" s="10">
        <f t="shared" ca="1" si="23"/>
        <v>0</v>
      </c>
      <c r="AA15" s="10">
        <f t="shared" ca="1" si="32"/>
        <v>0</v>
      </c>
      <c r="AB15" s="10" t="e">
        <f t="shared" ca="1" si="24"/>
        <v>#DIV/0!</v>
      </c>
      <c r="AC15" s="10" t="e">
        <f t="shared" ca="1" si="25"/>
        <v>#DIV/0!</v>
      </c>
      <c r="AD15" s="69" t="e">
        <f t="shared" ca="1" si="33"/>
        <v>#DIV/0!</v>
      </c>
      <c r="AE15" s="69">
        <f t="shared" ca="1" si="26"/>
        <v>0</v>
      </c>
      <c r="AF15" s="21">
        <f t="shared" ca="1" si="27"/>
        <v>0</v>
      </c>
      <c r="AG15" s="21">
        <f t="shared" ca="1" si="28"/>
        <v>-1</v>
      </c>
      <c r="AH15" s="10">
        <f t="shared" ca="1" si="29"/>
        <v>0</v>
      </c>
      <c r="AI15" s="69">
        <f t="shared" ca="1" si="30"/>
        <v>0</v>
      </c>
      <c r="AJ15" s="69" t="e">
        <f t="shared" ca="1" si="31"/>
        <v>#DIV/0!</v>
      </c>
      <c r="AK15" s="22" t="s">
        <v>41</v>
      </c>
    </row>
    <row r="16" spans="1:37">
      <c r="A16" s="49" t="str">
        <f>ANALYSIS!B17</f>
        <v xml:space="preserve">Content Marketing </v>
      </c>
      <c r="B16" s="205">
        <f ca="1">'TESTING v1'!C107</f>
        <v>0</v>
      </c>
      <c r="C16" s="205">
        <f ca="1">'TESTING v1'!D107</f>
        <v>0</v>
      </c>
      <c r="D16" s="205">
        <f ca="1">'TESTING v1'!E107</f>
        <v>0</v>
      </c>
      <c r="E16" s="205">
        <f ca="1">'TESTING v1'!F107</f>
        <v>0</v>
      </c>
      <c r="F16" s="205">
        <f ca="1">'TESTING v1'!G107</f>
        <v>0</v>
      </c>
      <c r="G16" s="205">
        <f ca="1">'TESTING v1'!H107</f>
        <v>0</v>
      </c>
      <c r="H16" s="205">
        <f ca="1">'TESTING v1'!I107</f>
        <v>0</v>
      </c>
      <c r="I16" s="205">
        <f ca="1">'TESTING v1'!J107</f>
        <v>0</v>
      </c>
      <c r="J16" s="205">
        <f ca="1">'TESTING v1'!K107</f>
        <v>0</v>
      </c>
      <c r="K16" s="205">
        <f ca="1">'TESTING v1'!L107</f>
        <v>0</v>
      </c>
      <c r="L16" s="205">
        <f ca="1">'TESTING v1'!M107</f>
        <v>0</v>
      </c>
      <c r="M16" s="205">
        <f ca="1">'TESTING v1'!N107</f>
        <v>0</v>
      </c>
      <c r="N16" s="205">
        <f ca="1">'TESTING v1'!O107</f>
        <v>0</v>
      </c>
      <c r="O16" s="205">
        <f ca="1">'TESTING v1'!P107</f>
        <v>0</v>
      </c>
      <c r="P16" s="205">
        <f ca="1">'TESTING v1'!Q107</f>
        <v>0</v>
      </c>
      <c r="Q16" s="205">
        <f ca="1">'TESTING v1'!R107</f>
        <v>0</v>
      </c>
      <c r="R16" s="205">
        <f ca="1">'TESTING v1'!S107</f>
        <v>0</v>
      </c>
      <c r="S16" s="205">
        <f ca="1">'TESTING v1'!T107</f>
        <v>0</v>
      </c>
      <c r="T16" s="205">
        <f ca="1">'TESTING v1'!U107</f>
        <v>0</v>
      </c>
      <c r="U16" s="205">
        <f ca="1">'TESTING v1'!V107</f>
        <v>0</v>
      </c>
      <c r="V16" s="100">
        <f t="shared" ca="1" si="19"/>
        <v>0</v>
      </c>
      <c r="W16" s="21">
        <f t="shared" ca="1" si="20"/>
        <v>0</v>
      </c>
      <c r="X16" s="10">
        <f t="shared" ca="1" si="21"/>
        <v>0</v>
      </c>
      <c r="Y16" s="10">
        <f t="shared" ca="1" si="22"/>
        <v>0</v>
      </c>
      <c r="Z16" s="10">
        <f t="shared" ca="1" si="23"/>
        <v>0</v>
      </c>
      <c r="AA16" s="10">
        <f t="shared" ca="1" si="32"/>
        <v>0</v>
      </c>
      <c r="AB16" s="10" t="e">
        <f t="shared" ca="1" si="24"/>
        <v>#DIV/0!</v>
      </c>
      <c r="AC16" s="10" t="e">
        <f t="shared" ca="1" si="25"/>
        <v>#DIV/0!</v>
      </c>
      <c r="AD16" s="69" t="e">
        <f t="shared" ca="1" si="33"/>
        <v>#DIV/0!</v>
      </c>
      <c r="AE16" s="69">
        <f t="shared" ca="1" si="26"/>
        <v>0</v>
      </c>
      <c r="AF16" s="21">
        <f t="shared" ca="1" si="27"/>
        <v>0</v>
      </c>
      <c r="AG16" s="21">
        <f t="shared" ca="1" si="28"/>
        <v>-1</v>
      </c>
      <c r="AH16" s="10">
        <f t="shared" ca="1" si="29"/>
        <v>0</v>
      </c>
      <c r="AI16" s="69">
        <f t="shared" ca="1" si="30"/>
        <v>0</v>
      </c>
      <c r="AJ16" s="69" t="e">
        <f t="shared" ca="1" si="31"/>
        <v>#DIV/0!</v>
      </c>
      <c r="AK16" s="22" t="s">
        <v>42</v>
      </c>
    </row>
    <row r="17" spans="1:36">
      <c r="A17" s="16" t="str">
        <f>ANALYSIS!B18</f>
        <v>Product Discovery</v>
      </c>
      <c r="B17" s="205">
        <f ca="1">'TESTING v1'!C89</f>
        <v>0</v>
      </c>
      <c r="C17" s="205">
        <f ca="1">'TESTING v1'!D89</f>
        <v>0</v>
      </c>
      <c r="D17" s="205">
        <f ca="1">'TESTING v1'!E89</f>
        <v>0</v>
      </c>
      <c r="E17" s="205">
        <f ca="1">'TESTING v1'!F89</f>
        <v>0</v>
      </c>
      <c r="F17" s="205">
        <f ca="1">'TESTING v1'!G89</f>
        <v>0</v>
      </c>
      <c r="G17" s="205">
        <f ca="1">'TESTING v1'!H89</f>
        <v>0</v>
      </c>
      <c r="H17" s="205">
        <f ca="1">'TESTING v1'!I89</f>
        <v>0</v>
      </c>
      <c r="I17" s="205">
        <f ca="1">'TESTING v1'!J89</f>
        <v>0</v>
      </c>
      <c r="J17" s="205">
        <f ca="1">'TESTING v1'!K89</f>
        <v>0</v>
      </c>
      <c r="K17" s="205">
        <f ca="1">'TESTING v1'!L89</f>
        <v>0</v>
      </c>
      <c r="L17" s="205">
        <f ca="1">'TESTING v1'!M89</f>
        <v>0</v>
      </c>
      <c r="M17" s="205">
        <f ca="1">'TESTING v1'!N89</f>
        <v>0</v>
      </c>
      <c r="N17" s="205">
        <f ca="1">'TESTING v1'!O89</f>
        <v>0</v>
      </c>
      <c r="O17" s="205">
        <f ca="1">'TESTING v1'!P89</f>
        <v>0</v>
      </c>
      <c r="P17" s="205">
        <f ca="1">'TESTING v1'!Q89</f>
        <v>0</v>
      </c>
      <c r="Q17" s="205">
        <f ca="1">'TESTING v1'!R89</f>
        <v>0</v>
      </c>
      <c r="R17" s="205">
        <f ca="1">'TESTING v1'!S89</f>
        <v>0</v>
      </c>
      <c r="S17" s="205">
        <f ca="1">'TESTING v1'!T89</f>
        <v>0</v>
      </c>
      <c r="T17" s="205">
        <f ca="1">'TESTING v1'!U89</f>
        <v>0</v>
      </c>
      <c r="U17" s="205">
        <f ca="1">'TESTING v1'!V89</f>
        <v>0</v>
      </c>
      <c r="V17" s="100">
        <f t="shared" ca="1" si="19"/>
        <v>0</v>
      </c>
      <c r="W17" s="21">
        <f t="shared" ca="1" si="20"/>
        <v>0</v>
      </c>
      <c r="X17" s="10">
        <f t="shared" ca="1" si="21"/>
        <v>0</v>
      </c>
      <c r="Y17" s="10">
        <f t="shared" ca="1" si="22"/>
        <v>0</v>
      </c>
      <c r="Z17" s="10">
        <f t="shared" ca="1" si="23"/>
        <v>0</v>
      </c>
      <c r="AA17" s="10">
        <f t="shared" ca="1" si="32"/>
        <v>0</v>
      </c>
      <c r="AB17" s="10" t="e">
        <f t="shared" ca="1" si="24"/>
        <v>#DIV/0!</v>
      </c>
      <c r="AC17" s="10" t="e">
        <f t="shared" ca="1" si="25"/>
        <v>#DIV/0!</v>
      </c>
      <c r="AD17" s="69" t="e">
        <f t="shared" ca="1" si="33"/>
        <v>#DIV/0!</v>
      </c>
      <c r="AE17" s="69">
        <f t="shared" ca="1" si="26"/>
        <v>0</v>
      </c>
      <c r="AF17" s="21">
        <f t="shared" ca="1" si="27"/>
        <v>0</v>
      </c>
      <c r="AG17" s="21">
        <f t="shared" ca="1" si="28"/>
        <v>-1</v>
      </c>
      <c r="AH17" s="10">
        <f t="shared" ca="1" si="29"/>
        <v>0</v>
      </c>
      <c r="AI17" s="69">
        <f t="shared" ca="1" si="30"/>
        <v>0</v>
      </c>
      <c r="AJ17" s="69" t="e">
        <f t="shared" ca="1" si="31"/>
        <v>#DIV/0!</v>
      </c>
    </row>
    <row r="18" spans="1:36">
      <c r="A18" s="49" t="str">
        <f>ANALYSIS!B19</f>
        <v xml:space="preserve">Product Merchandising </v>
      </c>
      <c r="B18" s="205">
        <f ca="1">'TESTING v1'!C128</f>
        <v>0</v>
      </c>
      <c r="C18" s="205">
        <f ca="1">'TESTING v1'!D128</f>
        <v>0</v>
      </c>
      <c r="D18" s="205">
        <f ca="1">'TESTING v1'!E128</f>
        <v>0</v>
      </c>
      <c r="E18" s="205">
        <f ca="1">'TESTING v1'!F128</f>
        <v>0</v>
      </c>
      <c r="F18" s="205">
        <f ca="1">'TESTING v1'!G128</f>
        <v>0</v>
      </c>
      <c r="G18" s="205">
        <f ca="1">'TESTING v1'!H128</f>
        <v>0</v>
      </c>
      <c r="H18" s="205">
        <f ca="1">'TESTING v1'!I128</f>
        <v>0</v>
      </c>
      <c r="I18" s="205">
        <f ca="1">'TESTING v1'!J128</f>
        <v>0</v>
      </c>
      <c r="J18" s="205">
        <f ca="1">'TESTING v1'!K128</f>
        <v>0</v>
      </c>
      <c r="K18" s="205">
        <f ca="1">'TESTING v1'!L128</f>
        <v>0</v>
      </c>
      <c r="L18" s="205">
        <f ca="1">'TESTING v1'!M128</f>
        <v>0</v>
      </c>
      <c r="M18" s="205">
        <f ca="1">'TESTING v1'!N128</f>
        <v>0</v>
      </c>
      <c r="N18" s="205">
        <f ca="1">'TESTING v1'!O128</f>
        <v>0</v>
      </c>
      <c r="O18" s="205">
        <f ca="1">'TESTING v1'!P128</f>
        <v>0</v>
      </c>
      <c r="P18" s="205">
        <f ca="1">'TESTING v1'!Q128</f>
        <v>0</v>
      </c>
      <c r="Q18" s="205">
        <f ca="1">'TESTING v1'!R128</f>
        <v>0</v>
      </c>
      <c r="R18" s="205">
        <f ca="1">'TESTING v1'!S128</f>
        <v>0</v>
      </c>
      <c r="S18" s="205">
        <f ca="1">'TESTING v1'!T128</f>
        <v>0</v>
      </c>
      <c r="T18" s="205">
        <f ca="1">'TESTING v1'!U128</f>
        <v>0</v>
      </c>
      <c r="U18" s="205">
        <f ca="1">'TESTING v1'!V128</f>
        <v>0</v>
      </c>
      <c r="V18" s="100">
        <f t="shared" ca="1" si="19"/>
        <v>0</v>
      </c>
      <c r="W18" s="21">
        <f t="shared" ca="1" si="20"/>
        <v>0</v>
      </c>
      <c r="X18" s="10">
        <f t="shared" ca="1" si="21"/>
        <v>0</v>
      </c>
      <c r="Y18" s="10">
        <f t="shared" ca="1" si="22"/>
        <v>0</v>
      </c>
      <c r="Z18" s="10">
        <f t="shared" ca="1" si="23"/>
        <v>0</v>
      </c>
      <c r="AA18" s="10">
        <f t="shared" ca="1" si="32"/>
        <v>0</v>
      </c>
      <c r="AB18" s="10" t="e">
        <f t="shared" ca="1" si="24"/>
        <v>#DIV/0!</v>
      </c>
      <c r="AC18" s="10" t="e">
        <f t="shared" ca="1" si="25"/>
        <v>#DIV/0!</v>
      </c>
      <c r="AD18" s="69" t="e">
        <f t="shared" ca="1" si="33"/>
        <v>#DIV/0!</v>
      </c>
      <c r="AE18" s="69">
        <f t="shared" ca="1" si="26"/>
        <v>0</v>
      </c>
      <c r="AF18" s="21">
        <f t="shared" ca="1" si="27"/>
        <v>0</v>
      </c>
      <c r="AG18" s="21">
        <f t="shared" ca="1" si="28"/>
        <v>-1</v>
      </c>
      <c r="AH18" s="10">
        <f t="shared" ca="1" si="29"/>
        <v>0</v>
      </c>
      <c r="AI18" s="69">
        <f t="shared" ca="1" si="30"/>
        <v>0</v>
      </c>
      <c r="AJ18" s="69" t="e">
        <f t="shared" ca="1" si="31"/>
        <v>#DIV/0!</v>
      </c>
    </row>
    <row r="19" spans="1:36">
      <c r="A19" s="49" t="str">
        <f>ANALYSIS!B20</f>
        <v>E-Commerce Functionality</v>
      </c>
      <c r="B19" s="205">
        <f ca="1">'TESTING v1'!C152</f>
        <v>0</v>
      </c>
      <c r="C19" s="205">
        <f ca="1">'TESTING v1'!D152</f>
        <v>0</v>
      </c>
      <c r="D19" s="205">
        <f ca="1">'TESTING v1'!E152</f>
        <v>0</v>
      </c>
      <c r="E19" s="205">
        <f ca="1">'TESTING v1'!F152</f>
        <v>0</v>
      </c>
      <c r="F19" s="205">
        <f ca="1">'TESTING v1'!G152</f>
        <v>0</v>
      </c>
      <c r="G19" s="205">
        <f ca="1">'TESTING v1'!H152</f>
        <v>0</v>
      </c>
      <c r="H19" s="205">
        <f ca="1">'TESTING v1'!I152</f>
        <v>0</v>
      </c>
      <c r="I19" s="205">
        <f ca="1">'TESTING v1'!J152</f>
        <v>0</v>
      </c>
      <c r="J19" s="205">
        <f ca="1">'TESTING v1'!K152</f>
        <v>0</v>
      </c>
      <c r="K19" s="205">
        <f ca="1">'TESTING v1'!L152</f>
        <v>0</v>
      </c>
      <c r="L19" s="205">
        <f ca="1">'TESTING v1'!M152</f>
        <v>0</v>
      </c>
      <c r="M19" s="205">
        <f ca="1">'TESTING v1'!N152</f>
        <v>0</v>
      </c>
      <c r="N19" s="205">
        <f ca="1">'TESTING v1'!O152</f>
        <v>0</v>
      </c>
      <c r="O19" s="205">
        <f ca="1">'TESTING v1'!P152</f>
        <v>0</v>
      </c>
      <c r="P19" s="205">
        <f ca="1">'TESTING v1'!Q152</f>
        <v>0</v>
      </c>
      <c r="Q19" s="205">
        <f ca="1">'TESTING v1'!R152</f>
        <v>0</v>
      </c>
      <c r="R19" s="205">
        <f ca="1">'TESTING v1'!S152</f>
        <v>0</v>
      </c>
      <c r="S19" s="205">
        <f ca="1">'TESTING v1'!T152</f>
        <v>0</v>
      </c>
      <c r="T19" s="205">
        <f ca="1">'TESTING v1'!U152</f>
        <v>0</v>
      </c>
      <c r="U19" s="205">
        <f ca="1">'TESTING v1'!V152</f>
        <v>0</v>
      </c>
      <c r="V19" s="100">
        <f t="shared" ca="1" si="19"/>
        <v>0</v>
      </c>
      <c r="W19" s="21">
        <f t="shared" ca="1" si="20"/>
        <v>0</v>
      </c>
      <c r="X19" s="10">
        <f t="shared" ca="1" si="21"/>
        <v>0</v>
      </c>
      <c r="Y19" s="10">
        <f t="shared" ca="1" si="22"/>
        <v>0</v>
      </c>
      <c r="Z19" s="10">
        <f t="shared" ca="1" si="23"/>
        <v>0</v>
      </c>
      <c r="AA19" s="10">
        <f t="shared" ca="1" si="32"/>
        <v>0</v>
      </c>
      <c r="AB19" s="10" t="e">
        <f t="shared" ca="1" si="24"/>
        <v>#DIV/0!</v>
      </c>
      <c r="AC19" s="10" t="e">
        <f t="shared" ca="1" si="25"/>
        <v>#DIV/0!</v>
      </c>
      <c r="AD19" s="69" t="e">
        <f t="shared" ca="1" si="33"/>
        <v>#DIV/0!</v>
      </c>
      <c r="AE19" s="69">
        <f t="shared" ca="1" si="26"/>
        <v>0</v>
      </c>
      <c r="AF19" s="21">
        <f t="shared" ca="1" si="27"/>
        <v>0</v>
      </c>
      <c r="AG19" s="21">
        <f t="shared" ca="1" si="28"/>
        <v>-1</v>
      </c>
      <c r="AH19" s="10">
        <f t="shared" ca="1" si="29"/>
        <v>0</v>
      </c>
      <c r="AI19" s="69">
        <f t="shared" ca="1" si="30"/>
        <v>0</v>
      </c>
      <c r="AJ19" s="69" t="e">
        <f t="shared" ca="1" si="31"/>
        <v>#DIV/0!</v>
      </c>
    </row>
    <row r="20" spans="1:36">
      <c r="A20" s="49" t="str">
        <f>ANALYSIS!B21</f>
        <v>User Registration</v>
      </c>
      <c r="B20" s="205">
        <f ca="1">'TESTING v1'!C180</f>
        <v>0</v>
      </c>
      <c r="C20" s="205">
        <f ca="1">'TESTING v1'!D180</f>
        <v>0</v>
      </c>
      <c r="D20" s="205">
        <f ca="1">'TESTING v1'!E180</f>
        <v>0</v>
      </c>
      <c r="E20" s="205">
        <f ca="1">'TESTING v1'!F180</f>
        <v>0</v>
      </c>
      <c r="F20" s="205">
        <f ca="1">'TESTING v1'!G180</f>
        <v>0</v>
      </c>
      <c r="G20" s="205">
        <f ca="1">'TESTING v1'!H180</f>
        <v>0</v>
      </c>
      <c r="H20" s="205">
        <f ca="1">'TESTING v1'!I180</f>
        <v>0</v>
      </c>
      <c r="I20" s="205">
        <f ca="1">'TESTING v1'!J180</f>
        <v>0</v>
      </c>
      <c r="J20" s="205">
        <f ca="1">'TESTING v1'!K180</f>
        <v>0</v>
      </c>
      <c r="K20" s="205">
        <f ca="1">'TESTING v1'!L180</f>
        <v>0</v>
      </c>
      <c r="L20" s="205">
        <f ca="1">'TESTING v1'!M180</f>
        <v>0</v>
      </c>
      <c r="M20" s="205">
        <f ca="1">'TESTING v1'!N180</f>
        <v>0</v>
      </c>
      <c r="N20" s="205">
        <f ca="1">'TESTING v1'!O180</f>
        <v>0</v>
      </c>
      <c r="O20" s="205">
        <f ca="1">'TESTING v1'!P180</f>
        <v>0</v>
      </c>
      <c r="P20" s="205">
        <f ca="1">'TESTING v1'!Q180</f>
        <v>0</v>
      </c>
      <c r="Q20" s="205">
        <f ca="1">'TESTING v1'!R180</f>
        <v>0</v>
      </c>
      <c r="R20" s="205">
        <f ca="1">'TESTING v1'!S180</f>
        <v>0</v>
      </c>
      <c r="S20" s="205">
        <f ca="1">'TESTING v1'!T180</f>
        <v>0</v>
      </c>
      <c r="T20" s="205">
        <f ca="1">'TESTING v1'!U180</f>
        <v>0</v>
      </c>
      <c r="U20" s="205">
        <f ca="1">'TESTING v1'!V180</f>
        <v>0</v>
      </c>
      <c r="V20" s="100">
        <f t="shared" ca="1" si="19"/>
        <v>0</v>
      </c>
      <c r="W20" s="21">
        <f t="shared" ca="1" si="20"/>
        <v>0</v>
      </c>
      <c r="X20" s="10">
        <f t="shared" ca="1" si="21"/>
        <v>0</v>
      </c>
      <c r="Y20" s="10">
        <f t="shared" ca="1" si="22"/>
        <v>0</v>
      </c>
      <c r="Z20" s="10">
        <f t="shared" ca="1" si="23"/>
        <v>0</v>
      </c>
      <c r="AA20" s="10">
        <f t="shared" ca="1" si="32"/>
        <v>0</v>
      </c>
      <c r="AB20" s="10" t="e">
        <f t="shared" ca="1" si="24"/>
        <v>#DIV/0!</v>
      </c>
      <c r="AC20" s="10" t="e">
        <f t="shared" ca="1" si="25"/>
        <v>#DIV/0!</v>
      </c>
      <c r="AD20" s="69" t="e">
        <f t="shared" ca="1" si="33"/>
        <v>#DIV/0!</v>
      </c>
      <c r="AE20" s="69">
        <f t="shared" ca="1" si="26"/>
        <v>0</v>
      </c>
      <c r="AF20" s="21">
        <f t="shared" ca="1" si="27"/>
        <v>0</v>
      </c>
      <c r="AG20" s="21">
        <f t="shared" ca="1" si="28"/>
        <v>-1</v>
      </c>
      <c r="AH20" s="10">
        <f t="shared" ca="1" si="29"/>
        <v>0</v>
      </c>
      <c r="AI20" s="69">
        <f t="shared" ca="1" si="30"/>
        <v>0</v>
      </c>
      <c r="AJ20" s="69" t="e">
        <f t="shared" ca="1" si="31"/>
        <v>#DIV/0!</v>
      </c>
    </row>
    <row r="21" spans="1:36">
      <c r="A21" s="49" t="str">
        <f>ANALYSIS!B22</f>
        <v xml:space="preserve">E-Referral </v>
      </c>
      <c r="B21" s="205">
        <f ca="1">'TESTING v1'!C203</f>
        <v>0</v>
      </c>
      <c r="C21" s="205">
        <f ca="1">'TESTING v1'!D203</f>
        <v>0</v>
      </c>
      <c r="D21" s="205">
        <f ca="1">'TESTING v1'!E203</f>
        <v>0</v>
      </c>
      <c r="E21" s="205">
        <f ca="1">'TESTING v1'!F203</f>
        <v>0</v>
      </c>
      <c r="F21" s="205">
        <f ca="1">'TESTING v1'!G203</f>
        <v>0</v>
      </c>
      <c r="G21" s="205">
        <f ca="1">'TESTING v1'!H203</f>
        <v>0</v>
      </c>
      <c r="H21" s="205">
        <f ca="1">'TESTING v1'!I203</f>
        <v>0</v>
      </c>
      <c r="I21" s="205">
        <f ca="1">'TESTING v1'!J203</f>
        <v>0</v>
      </c>
      <c r="J21" s="205">
        <f ca="1">'TESTING v1'!K203</f>
        <v>0</v>
      </c>
      <c r="K21" s="205">
        <f ca="1">'TESTING v1'!L203</f>
        <v>0</v>
      </c>
      <c r="L21" s="205">
        <f ca="1">'TESTING v1'!M203</f>
        <v>0</v>
      </c>
      <c r="M21" s="205">
        <f ca="1">'TESTING v1'!N203</f>
        <v>0</v>
      </c>
      <c r="N21" s="205">
        <f ca="1">'TESTING v1'!O203</f>
        <v>0</v>
      </c>
      <c r="O21" s="205">
        <f ca="1">'TESTING v1'!P203</f>
        <v>0</v>
      </c>
      <c r="P21" s="205">
        <f ca="1">'TESTING v1'!Q203</f>
        <v>0</v>
      </c>
      <c r="Q21" s="205">
        <f ca="1">'TESTING v1'!R203</f>
        <v>0</v>
      </c>
      <c r="R21" s="205">
        <f ca="1">'TESTING v1'!S203</f>
        <v>0</v>
      </c>
      <c r="S21" s="205">
        <f ca="1">'TESTING v1'!T203</f>
        <v>0</v>
      </c>
      <c r="T21" s="205">
        <f ca="1">'TESTING v1'!U203</f>
        <v>0</v>
      </c>
      <c r="U21" s="205">
        <f ca="1">'TESTING v1'!V203</f>
        <v>0</v>
      </c>
      <c r="V21" s="100">
        <f t="shared" ca="1" si="19"/>
        <v>0</v>
      </c>
      <c r="W21" s="21">
        <f t="shared" ca="1" si="20"/>
        <v>0</v>
      </c>
      <c r="X21" s="10">
        <f t="shared" ca="1" si="21"/>
        <v>0</v>
      </c>
      <c r="Y21" s="10">
        <f t="shared" ca="1" si="22"/>
        <v>0</v>
      </c>
      <c r="Z21" s="10">
        <f t="shared" ca="1" si="23"/>
        <v>0</v>
      </c>
      <c r="AA21" s="10">
        <f t="shared" ca="1" si="32"/>
        <v>0</v>
      </c>
      <c r="AB21" s="10" t="e">
        <f t="shared" ca="1" si="24"/>
        <v>#DIV/0!</v>
      </c>
      <c r="AC21" s="10" t="e">
        <f t="shared" ca="1" si="25"/>
        <v>#DIV/0!</v>
      </c>
      <c r="AD21" s="69" t="e">
        <f t="shared" ca="1" si="33"/>
        <v>#DIV/0!</v>
      </c>
      <c r="AE21" s="69">
        <f t="shared" ca="1" si="26"/>
        <v>0</v>
      </c>
      <c r="AF21" s="21">
        <f t="shared" ca="1" si="27"/>
        <v>0</v>
      </c>
      <c r="AG21" s="21">
        <f t="shared" ca="1" si="28"/>
        <v>-1</v>
      </c>
      <c r="AH21" s="10">
        <f t="shared" ca="1" si="29"/>
        <v>0</v>
      </c>
      <c r="AI21" s="69">
        <f t="shared" ca="1" si="30"/>
        <v>0</v>
      </c>
      <c r="AJ21" s="69" t="e">
        <f t="shared" ca="1" si="31"/>
        <v>#DIV/0!</v>
      </c>
    </row>
    <row r="22" spans="1:36">
      <c r="A22" s="49" t="str">
        <f>ANALYSIS!B23</f>
        <v xml:space="preserve">Online Support </v>
      </c>
      <c r="B22" s="205">
        <f ca="1">'TESTING v1'!C219</f>
        <v>0</v>
      </c>
      <c r="C22" s="205">
        <f ca="1">'TESTING v1'!D219</f>
        <v>0</v>
      </c>
      <c r="D22" s="205">
        <f ca="1">'TESTING v1'!E219</f>
        <v>0</v>
      </c>
      <c r="E22" s="205">
        <f ca="1">'TESTING v1'!F219</f>
        <v>0</v>
      </c>
      <c r="F22" s="205">
        <f ca="1">'TESTING v1'!G219</f>
        <v>0</v>
      </c>
      <c r="G22" s="205">
        <f ca="1">'TESTING v1'!H219</f>
        <v>0</v>
      </c>
      <c r="H22" s="205">
        <f ca="1">'TESTING v1'!I219</f>
        <v>0</v>
      </c>
      <c r="I22" s="205">
        <f ca="1">'TESTING v1'!J219</f>
        <v>0</v>
      </c>
      <c r="J22" s="205">
        <f ca="1">'TESTING v1'!K219</f>
        <v>0</v>
      </c>
      <c r="K22" s="205">
        <f ca="1">'TESTING v1'!L219</f>
        <v>0</v>
      </c>
      <c r="L22" s="205">
        <f ca="1">'TESTING v1'!M219</f>
        <v>0</v>
      </c>
      <c r="M22" s="205">
        <f ca="1">'TESTING v1'!N219</f>
        <v>0</v>
      </c>
      <c r="N22" s="205">
        <f ca="1">'TESTING v1'!O219</f>
        <v>0</v>
      </c>
      <c r="O22" s="205">
        <f ca="1">'TESTING v1'!P219</f>
        <v>0</v>
      </c>
      <c r="P22" s="205">
        <f ca="1">'TESTING v1'!Q219</f>
        <v>0</v>
      </c>
      <c r="Q22" s="205">
        <f ca="1">'TESTING v1'!R219</f>
        <v>0</v>
      </c>
      <c r="R22" s="205">
        <f ca="1">'TESTING v1'!S219</f>
        <v>0</v>
      </c>
      <c r="S22" s="205">
        <f ca="1">'TESTING v1'!T219</f>
        <v>0</v>
      </c>
      <c r="T22" s="205">
        <f ca="1">'TESTING v1'!U219</f>
        <v>0</v>
      </c>
      <c r="U22" s="205">
        <f ca="1">'TESTING v1'!V219</f>
        <v>0</v>
      </c>
      <c r="V22" s="100">
        <f t="shared" ca="1" si="19"/>
        <v>0</v>
      </c>
      <c r="W22" s="21">
        <f t="shared" ca="1" si="20"/>
        <v>0</v>
      </c>
      <c r="X22" s="10">
        <f t="shared" ca="1" si="21"/>
        <v>0</v>
      </c>
      <c r="Y22" s="10">
        <f t="shared" ca="1" si="22"/>
        <v>0</v>
      </c>
      <c r="Z22" s="10">
        <f t="shared" ca="1" si="23"/>
        <v>0</v>
      </c>
      <c r="AA22" s="10">
        <f t="shared" ca="1" si="32"/>
        <v>0</v>
      </c>
      <c r="AB22" s="10" t="e">
        <f t="shared" ca="1" si="24"/>
        <v>#DIV/0!</v>
      </c>
      <c r="AC22" s="10" t="e">
        <f t="shared" ca="1" si="25"/>
        <v>#DIV/0!</v>
      </c>
      <c r="AD22" s="69" t="e">
        <f t="shared" ca="1" si="33"/>
        <v>#DIV/0!</v>
      </c>
      <c r="AE22" s="69">
        <f t="shared" ca="1" si="26"/>
        <v>0</v>
      </c>
      <c r="AF22" s="21">
        <f t="shared" ca="1" si="27"/>
        <v>0</v>
      </c>
      <c r="AG22" s="21">
        <f t="shared" ca="1" si="28"/>
        <v>-1</v>
      </c>
      <c r="AH22" s="10">
        <f t="shared" ca="1" si="29"/>
        <v>0</v>
      </c>
      <c r="AI22" s="69">
        <f t="shared" ca="1" si="30"/>
        <v>0</v>
      </c>
      <c r="AJ22" s="69" t="e">
        <f t="shared" ca="1" si="31"/>
        <v>#DIV/0!</v>
      </c>
    </row>
    <row r="23" spans="1:36">
      <c r="A23" s="49" t="str">
        <f>ANALYSIS!B24</f>
        <v>Social Media Deployment</v>
      </c>
      <c r="B23" s="205">
        <f ca="1">'TESTING v1'!C58</f>
        <v>0</v>
      </c>
      <c r="C23" s="205">
        <f ca="1">'TESTING v1'!D58</f>
        <v>0</v>
      </c>
      <c r="D23" s="205">
        <f ca="1">'TESTING v1'!E58</f>
        <v>0</v>
      </c>
      <c r="E23" s="205">
        <f ca="1">'TESTING v1'!F58</f>
        <v>0</v>
      </c>
      <c r="F23" s="205">
        <f ca="1">'TESTING v1'!G58</f>
        <v>0</v>
      </c>
      <c r="G23" s="205">
        <f ca="1">'TESTING v1'!H58</f>
        <v>0</v>
      </c>
      <c r="H23" s="205">
        <f ca="1">'TESTING v1'!I58</f>
        <v>0</v>
      </c>
      <c r="I23" s="205">
        <f ca="1">'TESTING v1'!J58</f>
        <v>0</v>
      </c>
      <c r="J23" s="205">
        <f ca="1">'TESTING v1'!K58</f>
        <v>0</v>
      </c>
      <c r="K23" s="205">
        <f ca="1">'TESTING v1'!L58</f>
        <v>0</v>
      </c>
      <c r="L23" s="205">
        <f ca="1">'TESTING v1'!M58</f>
        <v>0</v>
      </c>
      <c r="M23" s="205">
        <f ca="1">'TESTING v1'!N58</f>
        <v>0</v>
      </c>
      <c r="N23" s="205">
        <f ca="1">'TESTING v1'!O58</f>
        <v>0</v>
      </c>
      <c r="O23" s="205">
        <f ca="1">'TESTING v1'!P58</f>
        <v>0</v>
      </c>
      <c r="P23" s="205">
        <f ca="1">'TESTING v1'!Q58</f>
        <v>0</v>
      </c>
      <c r="Q23" s="205">
        <f ca="1">'TESTING v1'!R58</f>
        <v>0</v>
      </c>
      <c r="R23" s="205">
        <f ca="1">'TESTING v1'!S58</f>
        <v>0</v>
      </c>
      <c r="S23" s="205">
        <f ca="1">'TESTING v1'!T58</f>
        <v>0</v>
      </c>
      <c r="T23" s="205">
        <f ca="1">'TESTING v1'!U58</f>
        <v>0</v>
      </c>
      <c r="U23" s="205">
        <f ca="1">'TESTING v1'!V58</f>
        <v>0</v>
      </c>
      <c r="V23" s="100">
        <f t="shared" ca="1" si="19"/>
        <v>0</v>
      </c>
      <c r="W23" s="21">
        <f t="shared" ca="1" si="20"/>
        <v>0</v>
      </c>
      <c r="X23" s="10">
        <f t="shared" ca="1" si="21"/>
        <v>0</v>
      </c>
      <c r="Y23" s="10">
        <f t="shared" ca="1" si="22"/>
        <v>0</v>
      </c>
      <c r="Z23" s="10">
        <f t="shared" ca="1" si="23"/>
        <v>0</v>
      </c>
      <c r="AA23" s="10">
        <f t="shared" ca="1" si="32"/>
        <v>0</v>
      </c>
      <c r="AB23" s="10" t="e">
        <f t="shared" ca="1" si="24"/>
        <v>#DIV/0!</v>
      </c>
      <c r="AC23" s="10" t="e">
        <f t="shared" ca="1" si="25"/>
        <v>#DIV/0!</v>
      </c>
      <c r="AD23" s="69" t="e">
        <f t="shared" ca="1" si="33"/>
        <v>#DIV/0!</v>
      </c>
      <c r="AE23" s="69">
        <f t="shared" ca="1" si="26"/>
        <v>0</v>
      </c>
      <c r="AF23" s="21">
        <f t="shared" ca="1" si="27"/>
        <v>0</v>
      </c>
      <c r="AG23" s="21">
        <f t="shared" ca="1" si="28"/>
        <v>-1</v>
      </c>
      <c r="AH23" s="10">
        <f t="shared" ca="1" si="29"/>
        <v>0</v>
      </c>
      <c r="AI23" s="69">
        <f t="shared" ca="1" si="30"/>
        <v>0</v>
      </c>
      <c r="AJ23" s="69" t="e">
        <f t="shared" ca="1" si="31"/>
        <v>#DIV/0!</v>
      </c>
    </row>
    <row r="24" spans="1:36">
      <c r="A24" s="217" t="s">
        <v>677</v>
      </c>
      <c r="B24" s="216">
        <v>1</v>
      </c>
      <c r="C24" s="33"/>
      <c r="D24" s="33"/>
      <c r="E24" s="33"/>
      <c r="F24" s="33"/>
      <c r="G24" s="33">
        <v>1</v>
      </c>
      <c r="H24" s="33"/>
      <c r="I24" s="33"/>
      <c r="J24" s="33"/>
      <c r="K24" s="33"/>
      <c r="L24" s="33"/>
      <c r="M24" s="33"/>
      <c r="N24" s="33"/>
      <c r="O24" s="33"/>
      <c r="P24" s="33"/>
      <c r="Q24" s="33"/>
      <c r="R24" s="33"/>
      <c r="S24" s="33"/>
      <c r="T24" s="33"/>
      <c r="U24" s="33"/>
    </row>
    <row r="25" spans="1:36">
      <c r="W25" s="113" t="s">
        <v>415</v>
      </c>
      <c r="X25" s="21">
        <f ca="1">COUNTIF(B2:U2, "&gt;0")-1</f>
        <v>-1</v>
      </c>
    </row>
    <row r="26" spans="1:36">
      <c r="A26" s="69" t="s">
        <v>416</v>
      </c>
      <c r="B26" s="69" t="s">
        <v>359</v>
      </c>
      <c r="C26" s="146" t="s">
        <v>417</v>
      </c>
      <c r="D26" s="147" t="s">
        <v>418</v>
      </c>
      <c r="F26" s="69" t="s">
        <v>419</v>
      </c>
      <c r="G26" s="69" t="s">
        <v>420</v>
      </c>
      <c r="I26" s="69" t="s">
        <v>416</v>
      </c>
    </row>
    <row r="27" spans="1:36">
      <c r="A27" s="69" t="str">
        <f>A2</f>
        <v>Initial Consideration</v>
      </c>
      <c r="B27" s="207">
        <f ca="1">IFERROR(INDEX($B2:$U2,MATCH(1,$B$24:$U$24,0)),0)</f>
        <v>0</v>
      </c>
      <c r="C27" s="204">
        <f ca="1">X2</f>
        <v>0</v>
      </c>
      <c r="D27" s="206">
        <f ca="1">Y2</f>
        <v>0</v>
      </c>
      <c r="F27" s="69" t="str">
        <f ca="1">IFERROR(AJ2, "")</f>
        <v/>
      </c>
      <c r="G27" s="108" t="str">
        <f ca="1">IF(Z2=0,"",IF(Z2&gt;0.2, "HIGH", IF(Z2&lt;0.1, "LOW", "MED")))</f>
        <v/>
      </c>
      <c r="I27" s="69" t="str">
        <f>A27</f>
        <v>Initial Consideration</v>
      </c>
    </row>
    <row r="28" spans="1:36">
      <c r="A28" s="69" t="str">
        <f t="shared" ref="A28:A30" si="34">A3</f>
        <v>Active Evaluation</v>
      </c>
      <c r="B28" s="207">
        <f t="shared" ref="B28:B30" ca="1" si="35">IFERROR(INDEX($B3:$U3,MATCH(1,$B$24:$U$24,0)),0)</f>
        <v>4.3520000000000003E-2</v>
      </c>
      <c r="C28" s="204">
        <f t="shared" ref="C28:C30" ca="1" si="36">X3</f>
        <v>4.3520000000000003E-2</v>
      </c>
      <c r="D28" s="206">
        <f t="shared" ref="D28:D30" ca="1" si="37">Y3</f>
        <v>4.3520000000000003E-2</v>
      </c>
      <c r="F28" s="69">
        <f t="shared" ref="F28:F30" ca="1" si="38">IFERROR(AJ3, "")</f>
        <v>0</v>
      </c>
      <c r="G28" s="108" t="str">
        <f t="shared" ref="G28:G30" ca="1" si="39">IF(Z3=0,"",IF(Z3&gt;0.2, "HIGH", IF(Z3&lt;0.1, "LOW", "MED")))</f>
        <v/>
      </c>
      <c r="I28" s="69" t="str">
        <f t="shared" ref="I28:I42" si="40">A28</f>
        <v>Active Evaluation</v>
      </c>
    </row>
    <row r="29" spans="1:36">
      <c r="A29" s="69" t="str">
        <f t="shared" si="34"/>
        <v>Conversion</v>
      </c>
      <c r="B29" s="207">
        <f t="shared" ca="1" si="35"/>
        <v>0</v>
      </c>
      <c r="C29" s="204">
        <f t="shared" ca="1" si="36"/>
        <v>0</v>
      </c>
      <c r="D29" s="206">
        <f t="shared" ca="1" si="37"/>
        <v>0</v>
      </c>
      <c r="F29" s="69" t="str">
        <f t="shared" ca="1" si="38"/>
        <v/>
      </c>
      <c r="G29" s="108" t="str">
        <f t="shared" ca="1" si="39"/>
        <v/>
      </c>
      <c r="I29" s="69" t="str">
        <f t="shared" si="40"/>
        <v>Conversion</v>
      </c>
    </row>
    <row r="30" spans="1:36">
      <c r="A30" s="69" t="str">
        <f t="shared" si="34"/>
        <v>Experience &amp; Loyalty</v>
      </c>
      <c r="B30" s="207">
        <f t="shared" ca="1" si="35"/>
        <v>1.536E-2</v>
      </c>
      <c r="C30" s="204">
        <f t="shared" ca="1" si="36"/>
        <v>1.536E-2</v>
      </c>
      <c r="D30" s="206">
        <f t="shared" ca="1" si="37"/>
        <v>1.536E-2</v>
      </c>
      <c r="F30" s="69">
        <f t="shared" ca="1" si="38"/>
        <v>0</v>
      </c>
      <c r="G30" s="108" t="str">
        <f t="shared" ca="1" si="39"/>
        <v/>
      </c>
      <c r="I30" s="69" t="str">
        <f t="shared" si="40"/>
        <v>Experience &amp; Loyalty</v>
      </c>
    </row>
    <row r="31" spans="1:36">
      <c r="B31" s="207"/>
      <c r="C31" s="204"/>
      <c r="D31" s="206"/>
    </row>
    <row r="32" spans="1:36">
      <c r="A32" s="49" t="str">
        <f>A13</f>
        <v>Search Engine Optimization</v>
      </c>
      <c r="B32" s="207">
        <f ca="1">IFERROR(INDEX($B13:$U13,MATCH(1,$B$24:$U$24,0)),0)</f>
        <v>0</v>
      </c>
      <c r="C32" s="204">
        <f ca="1">X13</f>
        <v>0</v>
      </c>
      <c r="D32" s="206">
        <f ca="1">Y13</f>
        <v>0</v>
      </c>
      <c r="F32" s="69" t="str">
        <f ca="1">IFERROR(AJ13,"")</f>
        <v/>
      </c>
      <c r="G32" s="108" t="str">
        <f ca="1">IF(Z13=0,"",IF(Z13&gt;0.2, "HIGH", IF(Z13&lt;0.1, "LOW", "MED")))</f>
        <v/>
      </c>
      <c r="I32" s="69" t="str">
        <f t="shared" si="40"/>
        <v>Search Engine Optimization</v>
      </c>
      <c r="J32" s="10"/>
    </row>
    <row r="33" spans="1:12">
      <c r="A33" s="49" t="str">
        <f t="shared" ref="A33:A42" si="41">A14</f>
        <v>Mobile Experience</v>
      </c>
      <c r="B33" s="207">
        <f t="shared" ref="B33:B42" ca="1" si="42">IFERROR(INDEX($B14:$U14,MATCH(1,$B$24:$U$24,0)),0)</f>
        <v>0.25600000000000001</v>
      </c>
      <c r="C33" s="204">
        <f t="shared" ref="C33:C42" ca="1" si="43">X14</f>
        <v>0.25600000000000001</v>
      </c>
      <c r="D33" s="206">
        <f t="shared" ref="D33:D42" ca="1" si="44">Y14</f>
        <v>0.25600000000000001</v>
      </c>
      <c r="F33" s="69">
        <f t="shared" ref="F33:F42" ca="1" si="45">IFERROR(AJ14,"")</f>
        <v>0</v>
      </c>
      <c r="G33" s="108" t="str">
        <f t="shared" ref="G33:G42" ca="1" si="46">IF(Z14=0,"",IF(Z14&gt;0.2, "HIGH", IF(Z14&lt;0.1, "LOW", "MED")))</f>
        <v/>
      </c>
      <c r="I33" s="69" t="str">
        <f t="shared" si="40"/>
        <v>Mobile Experience</v>
      </c>
      <c r="J33" s="10"/>
    </row>
    <row r="34" spans="1:12">
      <c r="A34" s="49" t="str">
        <f t="shared" si="41"/>
        <v>Website Technical &amp; Functional</v>
      </c>
      <c r="B34" s="207">
        <f t="shared" ca="1" si="42"/>
        <v>0</v>
      </c>
      <c r="C34" s="204">
        <f t="shared" ca="1" si="43"/>
        <v>0</v>
      </c>
      <c r="D34" s="206">
        <f t="shared" ca="1" si="44"/>
        <v>0</v>
      </c>
      <c r="F34" s="69" t="str">
        <f t="shared" ca="1" si="45"/>
        <v/>
      </c>
      <c r="G34" s="108" t="str">
        <f t="shared" ca="1" si="46"/>
        <v/>
      </c>
      <c r="I34" s="69" t="str">
        <f t="shared" si="40"/>
        <v>Website Technical &amp; Functional</v>
      </c>
      <c r="J34" s="10"/>
    </row>
    <row r="35" spans="1:12">
      <c r="A35" s="49" t="str">
        <f t="shared" si="41"/>
        <v xml:space="preserve">Content Marketing </v>
      </c>
      <c r="B35" s="207">
        <f t="shared" ca="1" si="42"/>
        <v>0</v>
      </c>
      <c r="C35" s="204">
        <f t="shared" ca="1" si="43"/>
        <v>0</v>
      </c>
      <c r="D35" s="206">
        <f t="shared" ca="1" si="44"/>
        <v>0</v>
      </c>
      <c r="F35" s="69" t="str">
        <f t="shared" ca="1" si="45"/>
        <v/>
      </c>
      <c r="G35" s="108" t="str">
        <f t="shared" ca="1" si="46"/>
        <v/>
      </c>
      <c r="H35" s="10"/>
      <c r="I35" s="69" t="str">
        <f t="shared" si="40"/>
        <v xml:space="preserve">Content Marketing </v>
      </c>
      <c r="J35" s="10"/>
    </row>
    <row r="36" spans="1:12">
      <c r="A36" s="49" t="str">
        <f t="shared" si="41"/>
        <v>Product Discovery</v>
      </c>
      <c r="B36" s="207">
        <f t="shared" ca="1" si="42"/>
        <v>0</v>
      </c>
      <c r="C36" s="204">
        <f t="shared" ca="1" si="43"/>
        <v>0</v>
      </c>
      <c r="D36" s="206">
        <f t="shared" ca="1" si="44"/>
        <v>0</v>
      </c>
      <c r="F36" s="69" t="str">
        <f t="shared" ca="1" si="45"/>
        <v/>
      </c>
      <c r="G36" s="108" t="str">
        <f t="shared" ca="1" si="46"/>
        <v/>
      </c>
      <c r="I36" s="69" t="str">
        <f t="shared" si="40"/>
        <v>Product Discovery</v>
      </c>
      <c r="J36" s="10"/>
    </row>
    <row r="37" spans="1:12">
      <c r="A37" s="49" t="str">
        <f t="shared" si="41"/>
        <v xml:space="preserve">Product Merchandising </v>
      </c>
      <c r="B37" s="207">
        <f t="shared" ca="1" si="42"/>
        <v>0</v>
      </c>
      <c r="C37" s="204">
        <f t="shared" ca="1" si="43"/>
        <v>0</v>
      </c>
      <c r="D37" s="206">
        <f t="shared" ca="1" si="44"/>
        <v>0</v>
      </c>
      <c r="F37" s="69" t="str">
        <f t="shared" ca="1" si="45"/>
        <v/>
      </c>
      <c r="G37" s="108" t="str">
        <f t="shared" ca="1" si="46"/>
        <v/>
      </c>
      <c r="I37" s="69" t="str">
        <f t="shared" si="40"/>
        <v xml:space="preserve">Product Merchandising </v>
      </c>
      <c r="J37" s="10"/>
    </row>
    <row r="38" spans="1:12">
      <c r="A38" s="49" t="str">
        <f t="shared" si="41"/>
        <v>E-Commerce Functionality</v>
      </c>
      <c r="B38" s="207">
        <f t="shared" ca="1" si="42"/>
        <v>0</v>
      </c>
      <c r="C38" s="204">
        <f t="shared" ca="1" si="43"/>
        <v>0</v>
      </c>
      <c r="D38" s="206">
        <f t="shared" ca="1" si="44"/>
        <v>0</v>
      </c>
      <c r="F38" s="69" t="str">
        <f t="shared" ca="1" si="45"/>
        <v/>
      </c>
      <c r="G38" s="108" t="str">
        <f t="shared" ca="1" si="46"/>
        <v/>
      </c>
      <c r="I38" s="69" t="str">
        <f t="shared" si="40"/>
        <v>E-Commerce Functionality</v>
      </c>
      <c r="J38" s="10"/>
    </row>
    <row r="39" spans="1:12">
      <c r="A39" s="49" t="str">
        <f t="shared" si="41"/>
        <v>User Registration</v>
      </c>
      <c r="B39" s="207">
        <f t="shared" ca="1" si="42"/>
        <v>0</v>
      </c>
      <c r="C39" s="204">
        <f t="shared" ca="1" si="43"/>
        <v>0</v>
      </c>
      <c r="D39" s="206">
        <f t="shared" ca="1" si="44"/>
        <v>0</v>
      </c>
      <c r="F39" s="69" t="str">
        <f t="shared" ca="1" si="45"/>
        <v/>
      </c>
      <c r="G39" s="108" t="str">
        <f t="shared" ca="1" si="46"/>
        <v/>
      </c>
      <c r="I39" s="69" t="str">
        <f t="shared" si="40"/>
        <v>User Registration</v>
      </c>
      <c r="J39" s="10"/>
    </row>
    <row r="40" spans="1:12">
      <c r="A40" s="49" t="str">
        <f>A21</f>
        <v xml:space="preserve">E-Referral </v>
      </c>
      <c r="B40" s="207">
        <f t="shared" ca="1" si="42"/>
        <v>0</v>
      </c>
      <c r="C40" s="204">
        <f t="shared" ca="1" si="43"/>
        <v>0</v>
      </c>
      <c r="D40" s="206">
        <f t="shared" ca="1" si="44"/>
        <v>0</v>
      </c>
      <c r="F40" s="69" t="str">
        <f t="shared" ca="1" si="45"/>
        <v/>
      </c>
      <c r="G40" s="108" t="str">
        <f t="shared" ca="1" si="46"/>
        <v/>
      </c>
      <c r="I40" s="69" t="str">
        <f t="shared" si="40"/>
        <v xml:space="preserve">E-Referral </v>
      </c>
      <c r="J40" s="10"/>
    </row>
    <row r="41" spans="1:12">
      <c r="A41" s="49" t="str">
        <f t="shared" si="41"/>
        <v xml:space="preserve">Online Support </v>
      </c>
      <c r="B41" s="207">
        <f t="shared" ca="1" si="42"/>
        <v>0</v>
      </c>
      <c r="C41" s="204">
        <f t="shared" ca="1" si="43"/>
        <v>0</v>
      </c>
      <c r="D41" s="206">
        <f t="shared" ca="1" si="44"/>
        <v>0</v>
      </c>
      <c r="F41" s="69" t="str">
        <f t="shared" ca="1" si="45"/>
        <v/>
      </c>
      <c r="G41" s="108" t="str">
        <f t="shared" ca="1" si="46"/>
        <v/>
      </c>
      <c r="I41" s="69" t="str">
        <f t="shared" si="40"/>
        <v xml:space="preserve">Online Support </v>
      </c>
      <c r="J41" s="10"/>
    </row>
    <row r="42" spans="1:12">
      <c r="A42" s="49" t="str">
        <f t="shared" si="41"/>
        <v>Social Media Deployment</v>
      </c>
      <c r="B42" s="207">
        <f t="shared" ca="1" si="42"/>
        <v>0</v>
      </c>
      <c r="C42" s="204">
        <f t="shared" ca="1" si="43"/>
        <v>0</v>
      </c>
      <c r="D42" s="206">
        <f t="shared" ca="1" si="44"/>
        <v>0</v>
      </c>
      <c r="F42" s="69" t="str">
        <f t="shared" ca="1" si="45"/>
        <v/>
      </c>
      <c r="G42" s="108" t="str">
        <f t="shared" ca="1" si="46"/>
        <v/>
      </c>
      <c r="I42" s="69" t="str">
        <f t="shared" si="40"/>
        <v>Social Media Deployment</v>
      </c>
      <c r="J42" s="10"/>
    </row>
    <row r="45" spans="1:12">
      <c r="B45" s="372" t="s">
        <v>664</v>
      </c>
      <c r="C45" s="372"/>
      <c r="D45" s="372"/>
      <c r="E45" s="372"/>
      <c r="F45" s="372"/>
      <c r="G45" s="372"/>
      <c r="H45" s="372"/>
      <c r="I45" s="373" t="s">
        <v>668</v>
      </c>
      <c r="J45" s="373"/>
      <c r="K45" s="373"/>
      <c r="L45" s="373"/>
    </row>
    <row r="46" spans="1:12">
      <c r="B46" s="69" t="s">
        <v>78</v>
      </c>
      <c r="C46" s="69" t="s">
        <v>389</v>
      </c>
      <c r="D46" s="69" t="s">
        <v>654</v>
      </c>
      <c r="E46" s="69" t="s">
        <v>394</v>
      </c>
      <c r="F46" s="69" t="s">
        <v>665</v>
      </c>
      <c r="G46" s="69" t="s">
        <v>666</v>
      </c>
      <c r="H46" s="69" t="s">
        <v>667</v>
      </c>
      <c r="I46" s="212" t="s">
        <v>669</v>
      </c>
      <c r="J46" s="212" t="s">
        <v>393</v>
      </c>
      <c r="K46" s="212" t="s">
        <v>55</v>
      </c>
      <c r="L46" s="69" t="s">
        <v>648</v>
      </c>
    </row>
    <row r="47" spans="1:12">
      <c r="A47" s="69" t="s">
        <v>659</v>
      </c>
      <c r="B47" s="208">
        <v>0.63249999999999995</v>
      </c>
      <c r="C47" s="209">
        <v>0.70201678321678318</v>
      </c>
      <c r="D47" s="208">
        <v>0.67255832167832152</v>
      </c>
      <c r="E47" s="208">
        <v>0.72984895104895098</v>
      </c>
      <c r="F47" s="208">
        <v>0.6217454545454546</v>
      </c>
      <c r="G47" s="208">
        <v>0.63048391608391607</v>
      </c>
      <c r="H47" s="208">
        <v>0.71184895104895107</v>
      </c>
      <c r="I47" s="208">
        <v>0.66184615384615397</v>
      </c>
      <c r="J47" s="208">
        <v>0.68992167832167839</v>
      </c>
      <c r="K47" s="208">
        <v>0.67129230769230774</v>
      </c>
      <c r="L47" s="208">
        <v>0.6434265734265735</v>
      </c>
    </row>
    <row r="48" spans="1:12">
      <c r="A48" s="69" t="s">
        <v>660</v>
      </c>
      <c r="B48" s="208">
        <v>0.68300000000000005</v>
      </c>
      <c r="C48" s="208">
        <v>0.71763871731705042</v>
      </c>
      <c r="D48" s="209">
        <v>0.74450000000000005</v>
      </c>
      <c r="E48" s="208">
        <v>0.65628205065064438</v>
      </c>
      <c r="F48" s="208">
        <v>0.66025839483504078</v>
      </c>
      <c r="G48" s="208">
        <v>0.64920117614211914</v>
      </c>
      <c r="H48" s="208">
        <v>0.71387641489728326</v>
      </c>
      <c r="I48" s="208">
        <v>0.69678303474088199</v>
      </c>
      <c r="J48" s="208">
        <v>0.65838357351456078</v>
      </c>
      <c r="K48" s="208">
        <v>0.66276952361394958</v>
      </c>
      <c r="L48" s="208">
        <v>0.64973731310264626</v>
      </c>
    </row>
    <row r="49" spans="1:12">
      <c r="A49" s="69" t="s">
        <v>136</v>
      </c>
      <c r="B49" s="209">
        <v>0.73899999999999999</v>
      </c>
      <c r="C49" s="208">
        <v>0.6819004524886878</v>
      </c>
      <c r="D49" s="208">
        <v>0.69259999999999999</v>
      </c>
      <c r="E49" s="208">
        <v>0.69809106334841631</v>
      </c>
      <c r="F49" s="208">
        <v>0.62494896348521511</v>
      </c>
      <c r="G49" s="208">
        <v>0.71904872145638221</v>
      </c>
      <c r="H49" s="210">
        <v>0.76875000000000004</v>
      </c>
      <c r="I49" s="208">
        <v>0.69719141323792477</v>
      </c>
      <c r="J49" s="208">
        <v>0.67842786488477314</v>
      </c>
      <c r="K49" s="208">
        <v>0.68429864253393669</v>
      </c>
      <c r="L49" s="208">
        <v>0.60007892244554362</v>
      </c>
    </row>
    <row r="50" spans="1:12">
      <c r="A50" s="69" t="s">
        <v>661</v>
      </c>
      <c r="B50" s="208">
        <v>0.626</v>
      </c>
      <c r="C50" s="209">
        <v>0.74039999999999995</v>
      </c>
      <c r="D50" s="208">
        <v>0.65048155515063044</v>
      </c>
      <c r="E50" s="208">
        <v>0.64288011370721942</v>
      </c>
      <c r="F50" s="208">
        <v>0.61839264947077199</v>
      </c>
      <c r="G50" s="208">
        <v>0.62629881187599612</v>
      </c>
      <c r="H50" s="208">
        <v>0.71045498706151722</v>
      </c>
      <c r="I50" s="208">
        <v>0.66434848764277687</v>
      </c>
      <c r="J50" s="208">
        <v>0.61487401604188197</v>
      </c>
      <c r="K50" s="208">
        <v>0.60336718081753815</v>
      </c>
      <c r="L50" s="208">
        <v>0.61688609252248261</v>
      </c>
    </row>
    <row r="51" spans="1:12">
      <c r="B51" s="208"/>
      <c r="C51" s="208"/>
      <c r="D51" s="208"/>
      <c r="E51" s="208"/>
      <c r="F51" s="208"/>
      <c r="G51" s="208"/>
      <c r="H51" s="208"/>
      <c r="I51" s="208"/>
      <c r="J51" s="208"/>
      <c r="K51" s="208"/>
    </row>
    <row r="52" spans="1:12">
      <c r="B52" s="208"/>
      <c r="C52" s="208"/>
      <c r="D52" s="208"/>
      <c r="E52" s="208"/>
      <c r="F52" s="208"/>
      <c r="G52" s="208"/>
      <c r="H52" s="208"/>
      <c r="I52" s="208"/>
      <c r="J52" s="208"/>
      <c r="K52" s="208"/>
    </row>
    <row r="53" spans="1:12">
      <c r="A53" s="69" t="s">
        <v>495</v>
      </c>
      <c r="B53" s="208">
        <v>0.623</v>
      </c>
      <c r="C53" s="209">
        <v>0.74963636363636399</v>
      </c>
      <c r="D53" s="208">
        <v>0.67545454545454497</v>
      </c>
      <c r="E53" s="208">
        <v>0.7332727272727273</v>
      </c>
      <c r="F53" s="208">
        <v>0.62218181818181828</v>
      </c>
      <c r="G53" s="208">
        <v>0.63618181818181818</v>
      </c>
      <c r="H53" s="208">
        <v>0.70327272727272727</v>
      </c>
      <c r="I53" s="208">
        <v>0.66000000000000014</v>
      </c>
      <c r="J53" s="208">
        <v>0.6883636363636364</v>
      </c>
      <c r="K53" s="208">
        <v>0.68200000000000005</v>
      </c>
      <c r="L53" s="208">
        <v>0.62909090909090915</v>
      </c>
    </row>
    <row r="54" spans="1:12">
      <c r="A54" s="69" t="s">
        <v>662</v>
      </c>
      <c r="B54" s="208">
        <v>0.67849999999999999</v>
      </c>
      <c r="C54" s="208">
        <v>0.70337837837837802</v>
      </c>
      <c r="D54" s="208">
        <v>0.70121621621621599</v>
      </c>
      <c r="E54" s="208">
        <v>0.60689189189189197</v>
      </c>
      <c r="F54" s="209">
        <v>0.753</v>
      </c>
      <c r="G54" s="208">
        <v>0.68108108108108112</v>
      </c>
      <c r="H54" s="208">
        <v>0.71647727272727257</v>
      </c>
      <c r="I54" s="208">
        <v>0.68067567567567577</v>
      </c>
      <c r="J54" s="208">
        <v>0.623648648648649</v>
      </c>
      <c r="K54" s="208">
        <v>0.62581081081081102</v>
      </c>
      <c r="L54" s="208">
        <v>0.606756756756757</v>
      </c>
    </row>
    <row r="55" spans="1:12">
      <c r="A55" s="69" t="s">
        <v>83</v>
      </c>
      <c r="B55" s="208">
        <v>0.71499999999999997</v>
      </c>
      <c r="C55" s="208">
        <v>0.69621921359642802</v>
      </c>
      <c r="D55" s="209">
        <v>0.77159999999999995</v>
      </c>
      <c r="E55" s="208">
        <v>0.62308309915696514</v>
      </c>
      <c r="F55" s="208">
        <v>0.65922799942388022</v>
      </c>
      <c r="G55" s="208">
        <v>0.67272072591098997</v>
      </c>
      <c r="H55" s="208">
        <v>0.66434470767224507</v>
      </c>
      <c r="I55" s="208">
        <v>0.70251332277113598</v>
      </c>
      <c r="J55" s="208">
        <v>0.64326515915310389</v>
      </c>
      <c r="K55" s="208">
        <v>0.6643381823419271</v>
      </c>
      <c r="L55" s="208">
        <v>0.60383839838686448</v>
      </c>
    </row>
    <row r="56" spans="1:12">
      <c r="A56" s="69" t="s">
        <v>68</v>
      </c>
      <c r="B56" s="208">
        <v>0.65149999999999997</v>
      </c>
      <c r="C56" s="209">
        <v>0.78773584905660377</v>
      </c>
      <c r="D56" s="208">
        <v>0.68820754716981136</v>
      </c>
      <c r="E56" s="208">
        <v>0.76372549019607849</v>
      </c>
      <c r="F56" s="208">
        <v>0.63603773584905665</v>
      </c>
      <c r="G56" s="208">
        <v>0.60518867924528297</v>
      </c>
      <c r="H56" s="208">
        <v>0.7702970297029702</v>
      </c>
      <c r="I56" s="208">
        <v>0.66874999999999984</v>
      </c>
      <c r="J56" s="208">
        <v>0.60150943396226397</v>
      </c>
      <c r="K56" s="208">
        <v>0.62924528301886795</v>
      </c>
      <c r="L56" s="208">
        <v>0.65990566037735854</v>
      </c>
    </row>
    <row r="57" spans="1:12">
      <c r="A57" s="69" t="s">
        <v>506</v>
      </c>
      <c r="B57" s="208">
        <v>0.70669999999999999</v>
      </c>
      <c r="C57" s="208">
        <v>0.61832061068702293</v>
      </c>
      <c r="D57" s="209">
        <v>0.78580000000000005</v>
      </c>
      <c r="E57" s="208">
        <v>0.63244680851063828</v>
      </c>
      <c r="F57" s="208">
        <v>0.63396946564885492</v>
      </c>
      <c r="G57" s="208">
        <v>0.64847328244274816</v>
      </c>
      <c r="H57" s="208">
        <v>0.67558139534883699</v>
      </c>
      <c r="I57" s="208">
        <v>0.70610687022900764</v>
      </c>
      <c r="J57" s="208">
        <v>0.70343511450381679</v>
      </c>
      <c r="K57" s="208">
        <v>0.67366412213740456</v>
      </c>
      <c r="L57" s="208">
        <v>0.68511450381679384</v>
      </c>
    </row>
    <row r="58" spans="1:12">
      <c r="A58" s="69" t="s">
        <v>69</v>
      </c>
      <c r="B58" s="208">
        <v>0.65</v>
      </c>
      <c r="C58" s="209">
        <v>0.8364197530864198</v>
      </c>
      <c r="D58" s="208">
        <v>0.76242798353909469</v>
      </c>
      <c r="E58" s="208">
        <v>0.63339080459770114</v>
      </c>
      <c r="F58" s="208">
        <v>0.67037037037037039</v>
      </c>
      <c r="G58" s="208">
        <v>0.6524279835390947</v>
      </c>
      <c r="H58" s="208">
        <v>0.72625698324022303</v>
      </c>
      <c r="I58" s="208">
        <v>0.73179166666666662</v>
      </c>
      <c r="J58" s="208">
        <v>0.70465020576131687</v>
      </c>
      <c r="K58" s="208">
        <v>0.72477366255144005</v>
      </c>
      <c r="L58" s="208">
        <v>0.68024691358024691</v>
      </c>
    </row>
    <row r="59" spans="1:12">
      <c r="A59" s="69" t="s">
        <v>538</v>
      </c>
      <c r="B59" s="209">
        <v>0.73670000000000002</v>
      </c>
      <c r="C59" s="208">
        <v>0.67999999999999994</v>
      </c>
      <c r="D59" s="208">
        <v>0.69255813953488377</v>
      </c>
      <c r="E59" s="208"/>
      <c r="F59" s="208">
        <v>0.6541395348837209</v>
      </c>
      <c r="G59" s="208">
        <v>0.69511627906976736</v>
      </c>
      <c r="H59" s="208">
        <v>0</v>
      </c>
      <c r="I59" s="208">
        <v>0.7053488372093023</v>
      </c>
      <c r="J59" s="208">
        <v>0.65572093023255806</v>
      </c>
      <c r="K59" s="208">
        <v>0.69</v>
      </c>
      <c r="L59" s="208">
        <v>0.60627906976744195</v>
      </c>
    </row>
    <row r="60" spans="1:12">
      <c r="A60" s="69" t="s">
        <v>9</v>
      </c>
      <c r="B60" s="208"/>
      <c r="C60" s="208"/>
      <c r="D60" s="208"/>
      <c r="E60" s="208">
        <v>0.67281250000000004</v>
      </c>
      <c r="F60" s="208"/>
      <c r="G60" s="208"/>
      <c r="H60" s="210">
        <v>0.76875000000000004</v>
      </c>
      <c r="I60" s="208"/>
      <c r="J60" s="208"/>
      <c r="K60" s="208"/>
      <c r="L60" s="208"/>
    </row>
    <row r="61" spans="1:12">
      <c r="A61" s="69" t="s">
        <v>663</v>
      </c>
      <c r="B61" s="208">
        <v>0.72670000000000001</v>
      </c>
      <c r="C61" s="208">
        <v>0.68823529411764706</v>
      </c>
      <c r="D61" s="208">
        <v>0.69255813953488377</v>
      </c>
      <c r="E61" s="208">
        <v>0.78235294117647058</v>
      </c>
      <c r="F61" s="208">
        <v>0.52764705882352936</v>
      </c>
      <c r="G61" s="209">
        <v>0.79882352941176482</v>
      </c>
      <c r="H61" s="208"/>
      <c r="I61" s="208">
        <v>0.67</v>
      </c>
      <c r="J61" s="208">
        <v>0.75411764705882345</v>
      </c>
      <c r="K61" s="208">
        <v>0.66529411764705892</v>
      </c>
      <c r="L61" s="208">
        <v>0.5794117647058824</v>
      </c>
    </row>
    <row r="62" spans="1:12">
      <c r="A62" s="69" t="s">
        <v>71</v>
      </c>
      <c r="B62" s="208">
        <v>0.62780000000000002</v>
      </c>
      <c r="C62" s="209">
        <v>0.80289999999999995</v>
      </c>
      <c r="D62" s="208">
        <v>0.62239583333333337</v>
      </c>
      <c r="E62" s="208">
        <v>0.61637168141592924</v>
      </c>
      <c r="F62" s="208">
        <v>0.59852083333333328</v>
      </c>
      <c r="G62" s="208">
        <v>0.61922916666666672</v>
      </c>
      <c r="H62" s="208">
        <v>0.70238095238095222</v>
      </c>
      <c r="I62" s="208">
        <v>0.65317796610169498</v>
      </c>
      <c r="J62" s="208">
        <v>0.5852708333333333</v>
      </c>
      <c r="K62" s="208">
        <v>0.57881250000000006</v>
      </c>
      <c r="L62" s="208">
        <v>0.59104166666666669</v>
      </c>
    </row>
    <row r="63" spans="1:12">
      <c r="A63" s="69" t="s">
        <v>65</v>
      </c>
      <c r="B63" s="208">
        <v>0.64049999999999996</v>
      </c>
      <c r="C63" s="208">
        <v>0.5115384615384615</v>
      </c>
      <c r="D63" s="208">
        <v>0.63384615384615384</v>
      </c>
      <c r="E63" s="209">
        <v>0.71615384615384614</v>
      </c>
      <c r="F63" s="208">
        <v>0.62</v>
      </c>
      <c r="G63" s="208">
        <v>0.60769230769230764</v>
      </c>
      <c r="H63" s="211">
        <v>0.74615384615384595</v>
      </c>
      <c r="I63" s="208">
        <v>0.66923076923076918</v>
      </c>
      <c r="J63" s="208">
        <v>0.69615384615384612</v>
      </c>
      <c r="K63" s="208">
        <v>0.62846153846153852</v>
      </c>
      <c r="L63" s="208">
        <v>0.7208</v>
      </c>
    </row>
  </sheetData>
  <mergeCells count="3">
    <mergeCell ref="B12:U12"/>
    <mergeCell ref="B45:H45"/>
    <mergeCell ref="I45:L45"/>
  </mergeCells>
  <conditionalFormatting sqref="B12 B2:U11 B13:U23">
    <cfRule type="cellIs" dxfId="41" priority="13" operator="equal">
      <formula>0</formula>
    </cfRule>
  </conditionalFormatting>
  <conditionalFormatting sqref="B27:D42">
    <cfRule type="cellIs" dxfId="40" priority="12" operator="equal">
      <formula>0</formula>
    </cfRule>
  </conditionalFormatting>
  <conditionalFormatting sqref="AJ2:AJ5">
    <cfRule type="iconSet" priority="11">
      <iconSet>
        <cfvo type="percent" val="0"/>
        <cfvo type="num" val="3"/>
        <cfvo type="num" val="5"/>
      </iconSet>
    </cfRule>
  </conditionalFormatting>
  <conditionalFormatting sqref="AJ13:AJ23">
    <cfRule type="iconSet" priority="10">
      <iconSet>
        <cfvo type="percent" val="0"/>
        <cfvo type="num" val="3"/>
        <cfvo type="num" val="5"/>
      </iconSet>
    </cfRule>
  </conditionalFormatting>
  <conditionalFormatting sqref="F27:F30 F32:F42">
    <cfRule type="iconSet" priority="9">
      <iconSet>
        <cfvo type="percent" val="0"/>
        <cfvo type="num" val="3"/>
        <cfvo type="num" val="5"/>
      </iconSet>
    </cfRule>
  </conditionalFormatting>
  <conditionalFormatting sqref="G27:G30">
    <cfRule type="cellIs" dxfId="39" priority="7" operator="equal">
      <formula>"LOW"</formula>
    </cfRule>
    <cfRule type="cellIs" dxfId="38" priority="8" operator="equal">
      <formula>"HIGH"</formula>
    </cfRule>
  </conditionalFormatting>
  <conditionalFormatting sqref="G33:G42">
    <cfRule type="cellIs" dxfId="37" priority="5" operator="equal">
      <formula>"LOW"</formula>
    </cfRule>
    <cfRule type="cellIs" dxfId="36" priority="6" operator="equal">
      <formula>"HIGH"</formula>
    </cfRule>
  </conditionalFormatting>
  <conditionalFormatting sqref="G32:G42">
    <cfRule type="cellIs" dxfId="35" priority="1" operator="equal">
      <formula>"LOW"</formula>
    </cfRule>
    <cfRule type="cellIs" dxfId="34" priority="2" operator="equal">
      <formula>"HIGH"</formula>
    </cfRule>
  </conditionalFormatting>
  <conditionalFormatting sqref="G33:G42">
    <cfRule type="cellIs" dxfId="33" priority="3" operator="equal">
      <formula>"LOW"</formula>
    </cfRule>
    <cfRule type="cellIs" dxfId="32" priority="4" operator="equal">
      <formula>"HIGH"</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F28" sqref="F28"/>
    </sheetView>
  </sheetViews>
  <sheetFormatPr defaultRowHeight="15"/>
  <sheetData>
    <row r="1" spans="1:1">
      <c r="A1" t="s">
        <v>502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E3339"/>
  <sheetViews>
    <sheetView zoomScale="85" zoomScaleNormal="85" workbookViewId="0">
      <pane ySplit="1" topLeftCell="A432" activePane="bottomLeft" state="frozen"/>
      <selection pane="bottomLeft" activeCell="E453" sqref="E453"/>
    </sheetView>
  </sheetViews>
  <sheetFormatPr defaultColWidth="8.85546875" defaultRowHeight="15"/>
  <cols>
    <col min="1" max="1" width="8.85546875" style="33" collapsed="1"/>
    <col min="2" max="2" width="34.7109375" style="69" bestFit="1" customWidth="1" collapsed="1"/>
    <col min="3" max="3" width="24.7109375" style="69" bestFit="1" customWidth="1" collapsed="1"/>
    <col min="4" max="4" width="15.140625" style="56" bestFit="1" customWidth="1" collapsed="1"/>
    <col min="5" max="5" width="14.85546875" style="33" bestFit="1" customWidth="1" collapsed="1"/>
    <col min="6" max="6" width="9.42578125" style="69" bestFit="1" customWidth="1" collapsed="1"/>
    <col min="7" max="7" width="16.28515625" style="69" bestFit="1" customWidth="1" collapsed="1"/>
    <col min="8" max="8" width="38.140625" style="69" bestFit="1" customWidth="1" collapsed="1"/>
    <col min="9" max="9" width="29.28515625" style="69" bestFit="1" customWidth="1" collapsed="1"/>
    <col min="10" max="10" width="34.7109375" style="69" bestFit="1" customWidth="1" collapsed="1"/>
    <col min="11" max="11" width="38" style="69" bestFit="1" customWidth="1" collapsed="1"/>
    <col min="12" max="15" width="12.140625" style="69" bestFit="1" customWidth="1" collapsed="1"/>
    <col min="16" max="16" width="14.42578125" style="69" customWidth="1" collapsed="1"/>
    <col min="17" max="17" width="17.85546875" style="69" bestFit="1" customWidth="1" collapsed="1"/>
    <col min="18" max="18" width="18.140625" style="69" bestFit="1" customWidth="1" collapsed="1"/>
    <col min="19" max="20" width="12.140625" style="69" bestFit="1" customWidth="1" collapsed="1"/>
    <col min="21" max="21" width="15" style="69" bestFit="1" customWidth="1" collapsed="1"/>
    <col min="22" max="22" width="13.42578125" style="69" bestFit="1" customWidth="1" collapsed="1"/>
    <col min="23" max="23" width="13" style="69" bestFit="1" customWidth="1" collapsed="1"/>
    <col min="24" max="24" width="13.7109375" style="69" bestFit="1" customWidth="1" collapsed="1"/>
    <col min="25" max="25" width="12.140625" style="69" bestFit="1" customWidth="1" collapsed="1"/>
    <col min="26" max="26" width="13.42578125" style="69" bestFit="1" customWidth="1" collapsed="1"/>
    <col min="27" max="27" width="13.42578125" style="69" customWidth="1" collapsed="1"/>
    <col min="28" max="28" width="12.140625" style="69" bestFit="1" customWidth="1" collapsed="1"/>
    <col min="29" max="29" width="14.42578125" style="69" customWidth="1" collapsed="1"/>
    <col min="30" max="30" width="11.7109375" style="69" customWidth="1" collapsed="1"/>
    <col min="31" max="31" width="13.28515625" style="69" customWidth="1" collapsed="1"/>
    <col min="32" max="16384" width="8.85546875" style="69" collapsed="1"/>
  </cols>
  <sheetData>
    <row r="1" spans="1:31" ht="45">
      <c r="A1" s="286" t="s">
        <v>73</v>
      </c>
      <c r="B1" s="247" t="s">
        <v>704</v>
      </c>
      <c r="C1" s="247" t="s">
        <v>705</v>
      </c>
      <c r="D1" s="248" t="s">
        <v>706</v>
      </c>
      <c r="E1" s="249" t="s">
        <v>707</v>
      </c>
      <c r="F1" s="247" t="s">
        <v>708</v>
      </c>
      <c r="G1" s="247" t="s">
        <v>709</v>
      </c>
      <c r="H1" s="247" t="s">
        <v>710</v>
      </c>
      <c r="I1" s="247" t="s">
        <v>711</v>
      </c>
      <c r="J1" s="247" t="s">
        <v>712</v>
      </c>
      <c r="K1" s="247" t="s">
        <v>652</v>
      </c>
      <c r="L1" s="250" t="s">
        <v>673</v>
      </c>
      <c r="M1" s="250" t="s">
        <v>674</v>
      </c>
      <c r="N1" s="250" t="s">
        <v>675</v>
      </c>
      <c r="O1" s="250" t="s">
        <v>10</v>
      </c>
      <c r="P1" s="251" t="s">
        <v>495</v>
      </c>
      <c r="Q1" s="251" t="s">
        <v>671</v>
      </c>
      <c r="R1" s="251" t="s">
        <v>713</v>
      </c>
      <c r="S1" s="251" t="s">
        <v>714</v>
      </c>
      <c r="T1" s="251" t="s">
        <v>506</v>
      </c>
      <c r="U1" s="251" t="s">
        <v>715</v>
      </c>
      <c r="V1" s="251" t="s">
        <v>716</v>
      </c>
      <c r="W1" s="251" t="s">
        <v>9</v>
      </c>
      <c r="X1" s="251" t="s">
        <v>663</v>
      </c>
      <c r="Y1" s="251" t="s">
        <v>717</v>
      </c>
      <c r="Z1" s="251" t="s">
        <v>65</v>
      </c>
      <c r="AA1" s="252" t="s">
        <v>718</v>
      </c>
      <c r="AB1" s="251" t="s">
        <v>719</v>
      </c>
      <c r="AC1" s="251" t="s">
        <v>720</v>
      </c>
      <c r="AD1" s="251" t="s">
        <v>721</v>
      </c>
      <c r="AE1" s="251" t="s">
        <v>722</v>
      </c>
    </row>
    <row r="2" spans="1:31">
      <c r="A2" s="33">
        <v>1</v>
      </c>
      <c r="B2" s="69" t="s">
        <v>2510</v>
      </c>
      <c r="C2" s="69" t="s">
        <v>740</v>
      </c>
      <c r="D2" s="56">
        <v>41799</v>
      </c>
      <c r="G2" s="69" t="str">
        <f t="shared" ref="G2:G65" si="0">IF(V2&gt;0,IF(W2&gt;0,"Both","E-Commerce"),IF(W2=0, "ERROR","User Registration"))</f>
        <v>User Registration</v>
      </c>
      <c r="H2" s="69" t="s">
        <v>2496</v>
      </c>
      <c r="J2" s="69" t="s">
        <v>926</v>
      </c>
      <c r="K2" s="69" t="s">
        <v>379</v>
      </c>
      <c r="L2" s="253">
        <v>59.307472527472527</v>
      </c>
      <c r="M2" s="253">
        <v>48.975057283142384</v>
      </c>
      <c r="N2" s="253">
        <v>48.508965517241371</v>
      </c>
      <c r="O2" s="253">
        <v>43.469743589743594</v>
      </c>
      <c r="P2" s="253">
        <v>80</v>
      </c>
      <c r="Q2" s="253">
        <v>64.92</v>
      </c>
      <c r="R2" s="253">
        <v>52</v>
      </c>
      <c r="S2" s="253">
        <v>30</v>
      </c>
      <c r="T2" s="253"/>
      <c r="U2" s="253">
        <v>50</v>
      </c>
      <c r="V2" s="253"/>
      <c r="W2" s="253">
        <v>45</v>
      </c>
      <c r="X2" s="253"/>
      <c r="Y2" s="253"/>
      <c r="Z2" s="253">
        <v>38.46153846153846</v>
      </c>
      <c r="AA2" s="253"/>
      <c r="AB2" s="253"/>
      <c r="AC2" s="253"/>
      <c r="AD2" s="253"/>
      <c r="AE2" s="253"/>
    </row>
    <row r="3" spans="1:31">
      <c r="A3" s="33">
        <v>2</v>
      </c>
      <c r="B3" s="69" t="s">
        <v>2510</v>
      </c>
      <c r="C3" s="69" t="s">
        <v>740</v>
      </c>
      <c r="D3" s="56">
        <v>41799</v>
      </c>
      <c r="G3" s="69" t="str">
        <f t="shared" si="0"/>
        <v>User Registration</v>
      </c>
      <c r="H3" s="69" t="s">
        <v>2496</v>
      </c>
      <c r="J3" s="69" t="s">
        <v>926</v>
      </c>
      <c r="K3" s="254" t="s">
        <v>926</v>
      </c>
      <c r="L3" s="253">
        <v>56.700109890109886</v>
      </c>
      <c r="M3" s="253">
        <v>47.932111292962361</v>
      </c>
      <c r="N3" s="253">
        <v>53.483448275862067</v>
      </c>
      <c r="O3" s="253">
        <v>54.567692307692305</v>
      </c>
      <c r="P3" s="253">
        <v>55</v>
      </c>
      <c r="Q3" s="253">
        <v>60.34</v>
      </c>
      <c r="R3" s="253">
        <v>45</v>
      </c>
      <c r="S3" s="253">
        <v>60</v>
      </c>
      <c r="T3" s="253"/>
      <c r="U3" s="253">
        <v>35</v>
      </c>
      <c r="V3" s="253"/>
      <c r="W3" s="253">
        <v>55</v>
      </c>
      <c r="X3" s="253"/>
      <c r="Y3" s="253"/>
      <c r="Z3" s="253">
        <v>56.153846153846153</v>
      </c>
      <c r="AA3" s="253"/>
      <c r="AB3" s="253"/>
      <c r="AC3" s="253"/>
      <c r="AD3" s="253"/>
      <c r="AE3" s="253"/>
    </row>
    <row r="4" spans="1:31">
      <c r="A4" s="33">
        <v>3</v>
      </c>
      <c r="B4" s="69" t="s">
        <v>2510</v>
      </c>
      <c r="C4" s="69" t="s">
        <v>740</v>
      </c>
      <c r="D4" s="56">
        <v>41799</v>
      </c>
      <c r="G4" s="69" t="str">
        <f t="shared" si="0"/>
        <v>User Registration</v>
      </c>
      <c r="H4" s="69" t="s">
        <v>2496</v>
      </c>
      <c r="J4" s="69" t="s">
        <v>926</v>
      </c>
      <c r="K4" s="254" t="s">
        <v>391</v>
      </c>
      <c r="L4" s="253">
        <v>55.3589010989011</v>
      </c>
      <c r="M4" s="253">
        <v>62.130801963993456</v>
      </c>
      <c r="N4" s="253">
        <v>58.16965517241379</v>
      </c>
      <c r="O4" s="253">
        <v>49.771965811965813</v>
      </c>
      <c r="P4" s="253">
        <v>60</v>
      </c>
      <c r="Q4" s="253">
        <v>59.64</v>
      </c>
      <c r="R4" s="253">
        <v>68</v>
      </c>
      <c r="S4" s="253">
        <v>60</v>
      </c>
      <c r="T4" s="253"/>
      <c r="U4" s="253">
        <v>65</v>
      </c>
      <c r="V4" s="253"/>
      <c r="W4" s="253">
        <v>55</v>
      </c>
      <c r="X4" s="253"/>
      <c r="Y4" s="253"/>
      <c r="Z4" s="253">
        <v>38.46153846153846</v>
      </c>
      <c r="AA4" s="253"/>
      <c r="AB4" s="253"/>
      <c r="AC4" s="253"/>
      <c r="AD4" s="253"/>
      <c r="AE4" s="253"/>
    </row>
    <row r="5" spans="1:31">
      <c r="A5" s="33">
        <v>4</v>
      </c>
      <c r="B5" s="69" t="s">
        <v>2510</v>
      </c>
      <c r="C5" s="69" t="s">
        <v>740</v>
      </c>
      <c r="D5" s="56">
        <v>41799</v>
      </c>
      <c r="G5" s="69" t="str">
        <f t="shared" si="0"/>
        <v>User Registration</v>
      </c>
      <c r="H5" s="69" t="s">
        <v>2496</v>
      </c>
      <c r="J5" s="69" t="s">
        <v>926</v>
      </c>
      <c r="K5" s="254" t="s">
        <v>1447</v>
      </c>
      <c r="L5" s="253">
        <v>56.044285714285714</v>
      </c>
      <c r="M5" s="253">
        <v>68.249361702127658</v>
      </c>
      <c r="N5" s="253">
        <v>68.926206896551719</v>
      </c>
      <c r="O5" s="253">
        <v>58.291111111111114</v>
      </c>
      <c r="P5" s="253">
        <v>50</v>
      </c>
      <c r="Q5" s="253">
        <v>59.62</v>
      </c>
      <c r="R5" s="253">
        <v>70</v>
      </c>
      <c r="S5" s="253">
        <v>75</v>
      </c>
      <c r="T5" s="253"/>
      <c r="U5" s="253">
        <v>75</v>
      </c>
      <c r="V5" s="253"/>
      <c r="W5" s="253">
        <v>70</v>
      </c>
      <c r="X5" s="253"/>
      <c r="Y5" s="253"/>
      <c r="Z5" s="253">
        <v>50</v>
      </c>
      <c r="AA5" s="253"/>
      <c r="AB5" s="253"/>
      <c r="AC5" s="253"/>
      <c r="AD5" s="253"/>
      <c r="AE5" s="253"/>
    </row>
    <row r="6" spans="1:31">
      <c r="A6" s="33">
        <v>5</v>
      </c>
      <c r="B6" s="69" t="s">
        <v>2510</v>
      </c>
      <c r="C6" s="69" t="s">
        <v>740</v>
      </c>
      <c r="D6" s="56">
        <v>41799</v>
      </c>
      <c r="F6" s="56"/>
      <c r="G6" s="69" t="str">
        <f t="shared" si="0"/>
        <v>User Registration</v>
      </c>
      <c r="H6" s="69" t="s">
        <v>2496</v>
      </c>
      <c r="J6" s="69" t="s">
        <v>926</v>
      </c>
      <c r="K6" s="285" t="s">
        <v>1111</v>
      </c>
      <c r="L6" s="253">
        <v>37.511428571428567</v>
      </c>
      <c r="M6" s="253">
        <v>40.233191489361701</v>
      </c>
      <c r="N6" s="253">
        <v>38.464827586206894</v>
      </c>
      <c r="O6" s="253">
        <v>45.573333333333331</v>
      </c>
      <c r="P6" s="253">
        <v>25</v>
      </c>
      <c r="Q6" s="253">
        <v>35.159999999999997</v>
      </c>
      <c r="R6" s="253">
        <v>35</v>
      </c>
      <c r="S6" s="253">
        <v>55</v>
      </c>
      <c r="T6" s="253"/>
      <c r="U6" s="253">
        <v>40</v>
      </c>
      <c r="V6" s="253"/>
      <c r="W6" s="253">
        <v>40</v>
      </c>
      <c r="X6" s="253"/>
      <c r="Y6" s="253"/>
      <c r="Z6" s="253">
        <v>50</v>
      </c>
      <c r="AA6" s="253"/>
      <c r="AB6" s="253"/>
      <c r="AC6" s="253"/>
      <c r="AD6" s="253"/>
      <c r="AE6" s="253"/>
    </row>
    <row r="7" spans="1:31">
      <c r="A7" s="33">
        <v>6</v>
      </c>
      <c r="B7" s="69" t="s">
        <v>1006</v>
      </c>
      <c r="C7" s="69" t="s">
        <v>740</v>
      </c>
      <c r="D7" s="56">
        <v>41841</v>
      </c>
      <c r="G7" s="69" t="str">
        <f t="shared" si="0"/>
        <v>User Registration</v>
      </c>
      <c r="H7" s="69" t="s">
        <v>2507</v>
      </c>
      <c r="J7" s="69" t="s">
        <v>1006</v>
      </c>
      <c r="K7" s="69" t="s">
        <v>1371</v>
      </c>
      <c r="L7" s="253">
        <v>51.363636363636367</v>
      </c>
      <c r="M7" s="253">
        <v>52.659574468085104</v>
      </c>
      <c r="N7" s="253">
        <v>52.068965517241381</v>
      </c>
      <c r="O7" s="253">
        <v>47.142857142857139</v>
      </c>
      <c r="P7" s="253">
        <v>55</v>
      </c>
      <c r="Q7" s="253">
        <v>60</v>
      </c>
      <c r="R7" s="253">
        <v>55</v>
      </c>
      <c r="S7" s="253">
        <v>40</v>
      </c>
      <c r="T7" s="253"/>
      <c r="U7" s="253">
        <v>50</v>
      </c>
      <c r="V7" s="253"/>
      <c r="W7" s="253">
        <v>50</v>
      </c>
      <c r="X7" s="253"/>
      <c r="Y7" s="253">
        <v>45</v>
      </c>
      <c r="Z7" s="253"/>
      <c r="AA7" s="253"/>
      <c r="AB7" s="253"/>
      <c r="AC7" s="253"/>
      <c r="AD7" s="253"/>
      <c r="AE7" s="253"/>
    </row>
    <row r="8" spans="1:31">
      <c r="A8" s="33">
        <v>7</v>
      </c>
      <c r="B8" s="69" t="s">
        <v>1006</v>
      </c>
      <c r="C8" s="69" t="s">
        <v>740</v>
      </c>
      <c r="D8" s="56">
        <v>41841</v>
      </c>
      <c r="F8" s="56"/>
      <c r="G8" s="69" t="str">
        <f t="shared" si="0"/>
        <v>User Registration</v>
      </c>
      <c r="H8" s="69" t="s">
        <v>2507</v>
      </c>
      <c r="J8" s="69" t="s">
        <v>1006</v>
      </c>
      <c r="K8" s="278" t="s">
        <v>2508</v>
      </c>
      <c r="L8" s="253">
        <v>50.909090909090899</v>
      </c>
      <c r="M8" s="253">
        <v>68.40425531914893</v>
      </c>
      <c r="N8" s="253">
        <v>71.379310344827587</v>
      </c>
      <c r="O8" s="253">
        <v>64.642857142857139</v>
      </c>
      <c r="P8" s="253">
        <v>45</v>
      </c>
      <c r="Q8" s="253">
        <v>50</v>
      </c>
      <c r="R8" s="253">
        <v>70</v>
      </c>
      <c r="S8" s="253">
        <v>65</v>
      </c>
      <c r="T8" s="253"/>
      <c r="U8" s="253">
        <v>75</v>
      </c>
      <c r="V8" s="253"/>
      <c r="W8" s="253">
        <v>75</v>
      </c>
      <c r="X8" s="253"/>
      <c r="Y8" s="253">
        <v>65</v>
      </c>
      <c r="Z8" s="253"/>
      <c r="AA8" s="253"/>
      <c r="AB8" s="253"/>
      <c r="AC8" s="253"/>
      <c r="AD8" s="253"/>
      <c r="AE8" s="253"/>
    </row>
    <row r="9" spans="1:31">
      <c r="A9" s="33">
        <v>8</v>
      </c>
      <c r="B9" s="69" t="s">
        <v>1006</v>
      </c>
      <c r="C9" s="69" t="s">
        <v>740</v>
      </c>
      <c r="D9" s="56">
        <v>41841</v>
      </c>
      <c r="F9" s="56"/>
      <c r="G9" s="69" t="str">
        <f t="shared" si="0"/>
        <v>User Registration</v>
      </c>
      <c r="H9" s="69" t="s">
        <v>2507</v>
      </c>
      <c r="J9" s="69" t="s">
        <v>1006</v>
      </c>
      <c r="K9" s="278" t="s">
        <v>2509</v>
      </c>
      <c r="L9" s="253">
        <v>70.909090909090907</v>
      </c>
      <c r="M9" s="253">
        <v>67.340425531914889</v>
      </c>
      <c r="N9" s="253">
        <v>65</v>
      </c>
      <c r="O9" s="253">
        <v>68.928571428571431</v>
      </c>
      <c r="P9" s="253">
        <v>75</v>
      </c>
      <c r="Q9" s="253">
        <v>45</v>
      </c>
      <c r="R9" s="253">
        <v>75</v>
      </c>
      <c r="S9" s="253">
        <v>70</v>
      </c>
      <c r="T9" s="253"/>
      <c r="U9" s="253">
        <v>65</v>
      </c>
      <c r="V9" s="253"/>
      <c r="W9" s="253">
        <v>65</v>
      </c>
      <c r="X9" s="253"/>
      <c r="Y9" s="253">
        <v>70</v>
      </c>
      <c r="Z9" s="253"/>
      <c r="AA9" s="253"/>
      <c r="AB9" s="253"/>
      <c r="AC9" s="253"/>
      <c r="AD9" s="253"/>
      <c r="AE9" s="253"/>
    </row>
    <row r="10" spans="1:31">
      <c r="A10" s="33">
        <v>9</v>
      </c>
      <c r="B10" s="69" t="s">
        <v>1006</v>
      </c>
      <c r="C10" s="69" t="s">
        <v>740</v>
      </c>
      <c r="D10" s="56">
        <v>41841</v>
      </c>
      <c r="F10" s="56"/>
      <c r="G10" s="69" t="str">
        <f t="shared" si="0"/>
        <v>User Registration</v>
      </c>
      <c r="H10" s="69" t="s">
        <v>2507</v>
      </c>
      <c r="J10" s="69" t="s">
        <v>1006</v>
      </c>
      <c r="K10" s="278" t="s">
        <v>1369</v>
      </c>
      <c r="L10" s="253">
        <v>60.454545454545446</v>
      </c>
      <c r="M10" s="253">
        <v>50</v>
      </c>
      <c r="N10" s="253">
        <v>45</v>
      </c>
      <c r="O10" s="253">
        <v>56.071428571428569</v>
      </c>
      <c r="P10" s="253">
        <v>70</v>
      </c>
      <c r="Q10" s="253">
        <v>25</v>
      </c>
      <c r="R10" s="253">
        <v>55</v>
      </c>
      <c r="S10" s="253">
        <v>50</v>
      </c>
      <c r="T10" s="253"/>
      <c r="U10" s="253">
        <v>55</v>
      </c>
      <c r="V10" s="253"/>
      <c r="W10" s="253">
        <v>45</v>
      </c>
      <c r="X10" s="253"/>
      <c r="Y10" s="253">
        <v>60</v>
      </c>
      <c r="Z10" s="253"/>
      <c r="AA10" s="253"/>
      <c r="AB10" s="253"/>
      <c r="AC10" s="253"/>
      <c r="AD10" s="253"/>
      <c r="AE10" s="253"/>
    </row>
    <row r="11" spans="1:31">
      <c r="A11" s="33">
        <v>10</v>
      </c>
      <c r="B11" s="69" t="s">
        <v>1006</v>
      </c>
      <c r="C11" s="69" t="s">
        <v>740</v>
      </c>
      <c r="D11" s="56">
        <v>41841</v>
      </c>
      <c r="E11" s="266"/>
      <c r="F11" s="56"/>
      <c r="G11" s="69" t="str">
        <f t="shared" si="0"/>
        <v>ERROR</v>
      </c>
      <c r="H11" s="69" t="s">
        <v>2507</v>
      </c>
      <c r="J11" s="69" t="s">
        <v>1006</v>
      </c>
      <c r="K11" s="278" t="s">
        <v>1373</v>
      </c>
      <c r="L11" s="253">
        <v>67.72727272727272</v>
      </c>
      <c r="M11" s="253">
        <v>51.489361702127653</v>
      </c>
      <c r="N11" s="253"/>
      <c r="O11" s="253">
        <v>47.5</v>
      </c>
      <c r="P11" s="253">
        <v>80</v>
      </c>
      <c r="Q11" s="253">
        <v>50</v>
      </c>
      <c r="R11" s="253">
        <v>60</v>
      </c>
      <c r="S11" s="253">
        <v>45</v>
      </c>
      <c r="T11" s="253"/>
      <c r="U11" s="253">
        <v>45</v>
      </c>
      <c r="V11" s="253"/>
      <c r="W11" s="253">
        <v>0</v>
      </c>
      <c r="X11" s="253"/>
      <c r="Y11" s="253">
        <v>45</v>
      </c>
      <c r="Z11" s="253"/>
      <c r="AA11" s="253"/>
      <c r="AB11" s="253"/>
      <c r="AC11" s="253"/>
      <c r="AD11" s="253"/>
      <c r="AE11" s="253"/>
    </row>
    <row r="12" spans="1:31">
      <c r="A12" s="33">
        <v>11</v>
      </c>
      <c r="B12" s="69" t="s">
        <v>2501</v>
      </c>
      <c r="C12" s="69" t="s">
        <v>740</v>
      </c>
      <c r="D12" s="56">
        <v>41844</v>
      </c>
      <c r="G12" s="69" t="str">
        <f t="shared" si="0"/>
        <v>User Registration</v>
      </c>
      <c r="H12" s="69" t="s">
        <v>2502</v>
      </c>
      <c r="J12" s="69" t="s">
        <v>2501</v>
      </c>
      <c r="K12" s="69" t="s">
        <v>2503</v>
      </c>
      <c r="L12" s="253">
        <v>53.928571428571423</v>
      </c>
      <c r="M12" s="253">
        <v>58.269230769230774</v>
      </c>
      <c r="N12" s="253">
        <v>60.862068965517246</v>
      </c>
      <c r="O12" s="253">
        <v>63.333333333333329</v>
      </c>
      <c r="P12" s="253">
        <v>45</v>
      </c>
      <c r="Q12" s="253">
        <v>65</v>
      </c>
      <c r="R12" s="253">
        <v>45</v>
      </c>
      <c r="S12" s="253">
        <v>65</v>
      </c>
      <c r="T12" s="253"/>
      <c r="U12" s="253">
        <v>70</v>
      </c>
      <c r="V12" s="253"/>
      <c r="W12" s="253">
        <v>65</v>
      </c>
      <c r="X12" s="253"/>
      <c r="Y12" s="253">
        <v>70</v>
      </c>
      <c r="Z12" s="253">
        <v>60</v>
      </c>
      <c r="AA12" s="253"/>
      <c r="AB12" s="253"/>
      <c r="AC12" s="253"/>
      <c r="AD12" s="253"/>
      <c r="AE12" s="253"/>
    </row>
    <row r="13" spans="1:31">
      <c r="A13" s="33">
        <v>12</v>
      </c>
      <c r="B13" s="69" t="s">
        <v>2501</v>
      </c>
      <c r="C13" s="69" t="s">
        <v>740</v>
      </c>
      <c r="D13" s="56">
        <v>41844</v>
      </c>
      <c r="G13" s="69" t="str">
        <f t="shared" si="0"/>
        <v>User Registration</v>
      </c>
      <c r="H13" s="69" t="s">
        <v>2502</v>
      </c>
      <c r="J13" s="69" t="s">
        <v>2501</v>
      </c>
      <c r="K13" s="69" t="s">
        <v>2504</v>
      </c>
      <c r="L13" s="253">
        <v>55.357142857142861</v>
      </c>
      <c r="M13" s="253">
        <v>41.25</v>
      </c>
      <c r="N13" s="253">
        <v>59.310344827586199</v>
      </c>
      <c r="O13" s="253">
        <v>34.375</v>
      </c>
      <c r="P13" s="253">
        <v>70</v>
      </c>
      <c r="Q13" s="253">
        <v>60</v>
      </c>
      <c r="R13" s="253">
        <v>40</v>
      </c>
      <c r="S13" s="253">
        <v>35</v>
      </c>
      <c r="T13" s="253"/>
      <c r="U13" s="253">
        <v>40</v>
      </c>
      <c r="V13" s="253"/>
      <c r="W13" s="253">
        <v>65</v>
      </c>
      <c r="X13" s="253"/>
      <c r="Y13" s="253">
        <v>25</v>
      </c>
      <c r="Z13" s="253">
        <v>40</v>
      </c>
      <c r="AA13" s="253"/>
      <c r="AB13" s="253"/>
      <c r="AC13" s="253"/>
      <c r="AD13" s="253"/>
      <c r="AE13" s="253"/>
    </row>
    <row r="14" spans="1:31">
      <c r="A14" s="33">
        <v>13</v>
      </c>
      <c r="B14" s="69" t="s">
        <v>2501</v>
      </c>
      <c r="C14" s="69" t="s">
        <v>740</v>
      </c>
      <c r="D14" s="56">
        <v>41844</v>
      </c>
      <c r="G14" s="69" t="str">
        <f t="shared" si="0"/>
        <v>User Registration</v>
      </c>
      <c r="H14" s="69" t="s">
        <v>2502</v>
      </c>
      <c r="J14" s="69" t="s">
        <v>2501</v>
      </c>
      <c r="K14" s="69" t="s">
        <v>2505</v>
      </c>
      <c r="L14" s="253">
        <v>44.642857142857146</v>
      </c>
      <c r="M14" s="253">
        <v>38.942307692307693</v>
      </c>
      <c r="N14" s="253">
        <v>41.03448275862069</v>
      </c>
      <c r="O14" s="253">
        <v>50.833333333333329</v>
      </c>
      <c r="P14" s="253">
        <v>40</v>
      </c>
      <c r="Q14" s="253">
        <v>60</v>
      </c>
      <c r="R14" s="253">
        <v>35</v>
      </c>
      <c r="S14" s="253">
        <v>40</v>
      </c>
      <c r="T14" s="253"/>
      <c r="U14" s="253">
        <v>30</v>
      </c>
      <c r="V14" s="253"/>
      <c r="W14" s="253">
        <v>40</v>
      </c>
      <c r="X14" s="253"/>
      <c r="Y14" s="253">
        <v>50</v>
      </c>
      <c r="Z14" s="253">
        <v>55</v>
      </c>
      <c r="AA14" s="253"/>
      <c r="AB14" s="253"/>
      <c r="AC14" s="253"/>
      <c r="AD14" s="253"/>
      <c r="AE14" s="253"/>
    </row>
    <row r="15" spans="1:31">
      <c r="A15" s="33">
        <v>14</v>
      </c>
      <c r="B15" s="69" t="s">
        <v>2501</v>
      </c>
      <c r="C15" s="69" t="s">
        <v>740</v>
      </c>
      <c r="D15" s="56">
        <v>41844</v>
      </c>
      <c r="F15" s="56"/>
      <c r="G15" s="69" t="str">
        <f t="shared" si="0"/>
        <v>User Registration</v>
      </c>
      <c r="H15" s="69" t="s">
        <v>2502</v>
      </c>
      <c r="J15" s="69" t="s">
        <v>2501</v>
      </c>
      <c r="K15" s="278" t="s">
        <v>2506</v>
      </c>
      <c r="L15" s="253">
        <v>39.285714285714285</v>
      </c>
      <c r="M15" s="253">
        <v>44.807692307692307</v>
      </c>
      <c r="N15" s="253">
        <v>48.448275862068968</v>
      </c>
      <c r="O15" s="253">
        <v>42.5</v>
      </c>
      <c r="P15" s="253">
        <v>40</v>
      </c>
      <c r="Q15" s="253">
        <v>45</v>
      </c>
      <c r="R15" s="253">
        <v>45</v>
      </c>
      <c r="S15" s="253">
        <v>35</v>
      </c>
      <c r="T15" s="253"/>
      <c r="U15" s="253">
        <v>50</v>
      </c>
      <c r="V15" s="253"/>
      <c r="W15" s="253">
        <v>50</v>
      </c>
      <c r="X15" s="253"/>
      <c r="Y15" s="253">
        <v>45</v>
      </c>
      <c r="Z15" s="253">
        <v>40</v>
      </c>
      <c r="AA15" s="253"/>
      <c r="AB15" s="253"/>
      <c r="AC15" s="253"/>
      <c r="AD15" s="253"/>
      <c r="AE15" s="253"/>
    </row>
    <row r="16" spans="1:31">
      <c r="A16" s="33">
        <v>15</v>
      </c>
      <c r="B16" s="69" t="s">
        <v>2501</v>
      </c>
      <c r="C16" s="69" t="s">
        <v>740</v>
      </c>
      <c r="D16" s="56">
        <v>41844</v>
      </c>
      <c r="F16" s="56"/>
      <c r="G16" s="69" t="str">
        <f t="shared" si="0"/>
        <v>User Registration</v>
      </c>
      <c r="H16" s="69" t="s">
        <v>2502</v>
      </c>
      <c r="J16" s="69" t="s">
        <v>2501</v>
      </c>
      <c r="K16" s="13" t="s">
        <v>2501</v>
      </c>
      <c r="L16" s="253">
        <v>53.928571428571423</v>
      </c>
      <c r="M16" s="253">
        <v>59.903846153846153</v>
      </c>
      <c r="N16" s="253">
        <v>54.482758620689651</v>
      </c>
      <c r="O16" s="253">
        <v>45.208333333333336</v>
      </c>
      <c r="P16" s="253">
        <v>55</v>
      </c>
      <c r="Q16" s="253">
        <v>40</v>
      </c>
      <c r="R16" s="253">
        <v>60</v>
      </c>
      <c r="S16" s="253">
        <v>75</v>
      </c>
      <c r="T16" s="253"/>
      <c r="U16" s="253">
        <v>75</v>
      </c>
      <c r="V16" s="253"/>
      <c r="W16" s="253">
        <v>55</v>
      </c>
      <c r="X16" s="253"/>
      <c r="Y16" s="253">
        <v>50</v>
      </c>
      <c r="Z16" s="253">
        <v>35</v>
      </c>
      <c r="AA16" s="253"/>
      <c r="AB16" s="253"/>
      <c r="AC16" s="253"/>
      <c r="AD16" s="253"/>
      <c r="AE16" s="253"/>
    </row>
    <row r="17" spans="1:31">
      <c r="A17" s="33">
        <v>16</v>
      </c>
      <c r="B17" s="69" t="s">
        <v>2497</v>
      </c>
      <c r="C17" s="69" t="s">
        <v>740</v>
      </c>
      <c r="D17" s="56">
        <v>41858</v>
      </c>
      <c r="E17" s="266"/>
      <c r="F17" s="56"/>
      <c r="G17" s="69" t="str">
        <f t="shared" si="0"/>
        <v>E-Commerce</v>
      </c>
      <c r="H17" s="69" t="s">
        <v>2498</v>
      </c>
      <c r="J17" s="69" t="s">
        <v>2497</v>
      </c>
      <c r="K17" s="280" t="s">
        <v>2380</v>
      </c>
      <c r="L17" s="253">
        <v>63.928571428571423</v>
      </c>
      <c r="M17" s="253">
        <v>57.978723404255312</v>
      </c>
      <c r="N17" s="253">
        <v>76.482758620689665</v>
      </c>
      <c r="O17" s="253">
        <v>57.541666666666664</v>
      </c>
      <c r="P17" s="253">
        <v>64</v>
      </c>
      <c r="Q17" s="253">
        <v>70</v>
      </c>
      <c r="R17" s="253">
        <v>57.999999999999993</v>
      </c>
      <c r="S17" s="253">
        <v>45</v>
      </c>
      <c r="T17" s="253"/>
      <c r="U17" s="253">
        <v>60</v>
      </c>
      <c r="V17" s="253">
        <v>83</v>
      </c>
      <c r="W17" s="253"/>
      <c r="X17" s="253"/>
      <c r="Y17" s="253">
        <v>60</v>
      </c>
      <c r="Z17" s="253">
        <v>55</v>
      </c>
      <c r="AA17" s="253"/>
      <c r="AB17" s="253"/>
      <c r="AC17" s="253"/>
      <c r="AD17" s="253"/>
      <c r="AE17" s="253"/>
    </row>
    <row r="18" spans="1:31">
      <c r="A18" s="33">
        <v>17</v>
      </c>
      <c r="B18" s="69" t="s">
        <v>2497</v>
      </c>
      <c r="C18" s="69" t="s">
        <v>740</v>
      </c>
      <c r="D18" s="56">
        <v>41858</v>
      </c>
      <c r="E18" s="266"/>
      <c r="F18" s="56"/>
      <c r="G18" s="69" t="str">
        <f t="shared" si="0"/>
        <v>E-Commerce</v>
      </c>
      <c r="H18" s="69" t="s">
        <v>2498</v>
      </c>
      <c r="J18" s="69" t="s">
        <v>2497</v>
      </c>
      <c r="K18" s="280" t="s">
        <v>2497</v>
      </c>
      <c r="L18" s="253">
        <v>48.285714285714278</v>
      </c>
      <c r="M18" s="253">
        <v>60.021276595744688</v>
      </c>
      <c r="N18" s="253">
        <v>64.862068965517238</v>
      </c>
      <c r="O18" s="253">
        <v>64.166666666666686</v>
      </c>
      <c r="P18" s="253">
        <v>45</v>
      </c>
      <c r="Q18" s="253">
        <v>53</v>
      </c>
      <c r="R18" s="253">
        <v>56.999999999999993</v>
      </c>
      <c r="S18" s="253">
        <v>63</v>
      </c>
      <c r="T18" s="253"/>
      <c r="U18" s="253">
        <v>67</v>
      </c>
      <c r="V18" s="253">
        <v>69</v>
      </c>
      <c r="W18" s="253"/>
      <c r="X18" s="253"/>
      <c r="Y18" s="253">
        <v>68</v>
      </c>
      <c r="Z18" s="253">
        <v>63</v>
      </c>
      <c r="AA18" s="253"/>
      <c r="AB18" s="253"/>
      <c r="AC18" s="253"/>
      <c r="AD18" s="253"/>
      <c r="AE18" s="253"/>
    </row>
    <row r="19" spans="1:31">
      <c r="A19" s="33">
        <v>18</v>
      </c>
      <c r="B19" s="69" t="s">
        <v>2497</v>
      </c>
      <c r="C19" s="69" t="s">
        <v>740</v>
      </c>
      <c r="D19" s="56">
        <v>41858</v>
      </c>
      <c r="E19" s="266"/>
      <c r="F19" s="56"/>
      <c r="G19" s="69" t="str">
        <f t="shared" si="0"/>
        <v>E-Commerce</v>
      </c>
      <c r="H19" s="69" t="s">
        <v>2498</v>
      </c>
      <c r="J19" s="69" t="s">
        <v>2497</v>
      </c>
      <c r="K19" s="278" t="s">
        <v>2499</v>
      </c>
      <c r="L19" s="253">
        <v>61.214285714285722</v>
      </c>
      <c r="M19" s="253">
        <v>65.617021276595736</v>
      </c>
      <c r="N19" s="253">
        <v>64.034482758620683</v>
      </c>
      <c r="O19" s="253">
        <v>67.625</v>
      </c>
      <c r="P19" s="253">
        <v>62</v>
      </c>
      <c r="Q19" s="253">
        <v>75</v>
      </c>
      <c r="R19" s="253">
        <v>62</v>
      </c>
      <c r="S19" s="253">
        <v>74</v>
      </c>
      <c r="T19" s="253"/>
      <c r="U19" s="253">
        <v>60</v>
      </c>
      <c r="V19" s="253">
        <v>63</v>
      </c>
      <c r="W19" s="253"/>
      <c r="X19" s="253"/>
      <c r="Y19" s="253">
        <v>65</v>
      </c>
      <c r="Z19" s="253">
        <v>70</v>
      </c>
      <c r="AA19" s="253"/>
      <c r="AB19" s="253"/>
      <c r="AC19" s="253"/>
      <c r="AD19" s="253"/>
      <c r="AE19" s="253"/>
    </row>
    <row r="20" spans="1:31">
      <c r="A20" s="33">
        <v>19</v>
      </c>
      <c r="B20" s="69" t="s">
        <v>2497</v>
      </c>
      <c r="C20" s="69" t="s">
        <v>740</v>
      </c>
      <c r="D20" s="56">
        <v>41858</v>
      </c>
      <c r="E20" s="266"/>
      <c r="F20" s="56"/>
      <c r="G20" s="69" t="str">
        <f t="shared" si="0"/>
        <v>E-Commerce</v>
      </c>
      <c r="H20" s="69" t="s">
        <v>2498</v>
      </c>
      <c r="J20" s="69" t="s">
        <v>2497</v>
      </c>
      <c r="K20" s="278" t="s">
        <v>2500</v>
      </c>
      <c r="L20" s="253">
        <v>48.785714285714285</v>
      </c>
      <c r="M20" s="253">
        <v>63.531914893617021</v>
      </c>
      <c r="N20" s="253">
        <v>73.655172413793096</v>
      </c>
      <c r="O20" s="253">
        <v>70.124999999999986</v>
      </c>
      <c r="P20" s="253">
        <v>35</v>
      </c>
      <c r="Q20" s="253">
        <v>70</v>
      </c>
      <c r="R20" s="253">
        <v>71</v>
      </c>
      <c r="S20" s="253">
        <v>41</v>
      </c>
      <c r="T20" s="253"/>
      <c r="U20" s="253">
        <v>55</v>
      </c>
      <c r="V20" s="253">
        <v>75</v>
      </c>
      <c r="W20" s="253"/>
      <c r="X20" s="253"/>
      <c r="Y20" s="253">
        <v>73</v>
      </c>
      <c r="Z20" s="253">
        <v>70</v>
      </c>
      <c r="AA20" s="253"/>
      <c r="AB20" s="253"/>
      <c r="AC20" s="253"/>
      <c r="AD20" s="253"/>
      <c r="AE20" s="253"/>
    </row>
    <row r="21" spans="1:31">
      <c r="A21" s="33">
        <v>20</v>
      </c>
      <c r="B21" s="69" t="s">
        <v>2497</v>
      </c>
      <c r="C21" s="69" t="s">
        <v>740</v>
      </c>
      <c r="D21" s="56">
        <v>41858</v>
      </c>
      <c r="E21" s="266"/>
      <c r="F21" s="56"/>
      <c r="G21" s="69" t="str">
        <f t="shared" si="0"/>
        <v>E-Commerce</v>
      </c>
      <c r="H21" s="69" t="s">
        <v>2498</v>
      </c>
      <c r="J21" s="69" t="s">
        <v>2497</v>
      </c>
      <c r="K21" s="278" t="s">
        <v>2076</v>
      </c>
      <c r="L21" s="253">
        <v>50.642857142857132</v>
      </c>
      <c r="M21" s="253">
        <v>47.446808510638299</v>
      </c>
      <c r="N21" s="253">
        <v>53.655172413793103</v>
      </c>
      <c r="O21" s="253">
        <v>53.5</v>
      </c>
      <c r="P21" s="253">
        <v>45</v>
      </c>
      <c r="Q21" s="253">
        <v>48</v>
      </c>
      <c r="R21" s="253">
        <v>52</v>
      </c>
      <c r="S21" s="253">
        <v>32</v>
      </c>
      <c r="T21" s="253"/>
      <c r="U21" s="253">
        <v>41</v>
      </c>
      <c r="V21" s="253">
        <v>55</v>
      </c>
      <c r="W21" s="253"/>
      <c r="X21" s="253"/>
      <c r="Y21" s="253">
        <v>50</v>
      </c>
      <c r="Z21" s="253">
        <v>60</v>
      </c>
      <c r="AA21" s="253"/>
      <c r="AB21" s="253"/>
      <c r="AC21" s="253"/>
      <c r="AD21" s="253"/>
      <c r="AE21" s="253"/>
    </row>
    <row r="22" spans="1:31">
      <c r="A22" s="33">
        <v>21</v>
      </c>
      <c r="B22" s="69" t="s">
        <v>2495</v>
      </c>
      <c r="C22" s="69" t="s">
        <v>740</v>
      </c>
      <c r="D22" s="56">
        <v>41870</v>
      </c>
      <c r="E22" s="266"/>
      <c r="F22" s="56"/>
      <c r="G22" s="69" t="str">
        <f t="shared" si="0"/>
        <v>ERROR</v>
      </c>
      <c r="H22" s="69" t="s">
        <v>2496</v>
      </c>
      <c r="J22" s="69" t="s">
        <v>2495</v>
      </c>
      <c r="K22" s="280" t="s">
        <v>930</v>
      </c>
      <c r="L22" s="253">
        <v>62.142857142857146</v>
      </c>
      <c r="M22" s="253">
        <v>65.808510638297875</v>
      </c>
      <c r="N22" s="253">
        <v>62.793103448275858</v>
      </c>
      <c r="O22" s="253">
        <v>57.208333333333329</v>
      </c>
      <c r="P22" s="253">
        <v>60</v>
      </c>
      <c r="Q22" s="253">
        <v>75</v>
      </c>
      <c r="R22" s="253">
        <v>60</v>
      </c>
      <c r="S22" s="253">
        <v>70</v>
      </c>
      <c r="T22" s="253"/>
      <c r="U22" s="253">
        <v>70</v>
      </c>
      <c r="V22" s="253"/>
      <c r="W22" s="253"/>
      <c r="X22" s="253"/>
      <c r="Y22" s="253">
        <v>55</v>
      </c>
      <c r="Z22" s="253">
        <v>55</v>
      </c>
      <c r="AA22" s="253"/>
      <c r="AB22" s="253"/>
      <c r="AC22" s="253"/>
      <c r="AD22" s="253"/>
      <c r="AE22" s="253"/>
    </row>
    <row r="23" spans="1:31">
      <c r="A23" s="33">
        <v>22</v>
      </c>
      <c r="B23" s="69" t="s">
        <v>2495</v>
      </c>
      <c r="C23" s="69" t="s">
        <v>740</v>
      </c>
      <c r="D23" s="56">
        <v>41870</v>
      </c>
      <c r="E23" s="266"/>
      <c r="F23" s="56"/>
      <c r="G23" s="69" t="str">
        <f t="shared" si="0"/>
        <v>ERROR</v>
      </c>
      <c r="H23" s="69" t="s">
        <v>2496</v>
      </c>
      <c r="J23" s="69" t="s">
        <v>2495</v>
      </c>
      <c r="K23" s="280" t="s">
        <v>391</v>
      </c>
      <c r="L23" s="253">
        <v>65</v>
      </c>
      <c r="M23" s="253">
        <v>66.38297872340425</v>
      </c>
      <c r="N23" s="253">
        <v>54.103448275862078</v>
      </c>
      <c r="O23" s="253">
        <v>61.875</v>
      </c>
      <c r="P23" s="253">
        <v>65</v>
      </c>
      <c r="Q23" s="253">
        <v>65</v>
      </c>
      <c r="R23" s="253">
        <v>70</v>
      </c>
      <c r="S23" s="253">
        <v>60</v>
      </c>
      <c r="T23" s="253"/>
      <c r="U23" s="253">
        <v>50</v>
      </c>
      <c r="V23" s="253"/>
      <c r="W23" s="253"/>
      <c r="X23" s="253"/>
      <c r="Y23" s="253">
        <v>50</v>
      </c>
      <c r="Z23" s="253">
        <v>70</v>
      </c>
      <c r="AA23" s="253"/>
      <c r="AB23" s="253"/>
      <c r="AC23" s="253"/>
      <c r="AD23" s="253"/>
      <c r="AE23" s="253"/>
    </row>
    <row r="24" spans="1:31">
      <c r="A24" s="33">
        <v>23</v>
      </c>
      <c r="B24" s="69" t="s">
        <v>2495</v>
      </c>
      <c r="C24" s="69" t="s">
        <v>740</v>
      </c>
      <c r="D24" s="56">
        <v>41870</v>
      </c>
      <c r="E24" s="266"/>
      <c r="F24" s="56"/>
      <c r="G24" s="69" t="str">
        <f t="shared" si="0"/>
        <v>ERROR</v>
      </c>
      <c r="H24" s="69" t="s">
        <v>2496</v>
      </c>
      <c r="J24" s="69" t="s">
        <v>2495</v>
      </c>
      <c r="K24" s="280" t="s">
        <v>931</v>
      </c>
      <c r="L24" s="253">
        <v>58.571428571428577</v>
      </c>
      <c r="M24" s="253">
        <v>60.276595744680847</v>
      </c>
      <c r="N24" s="253">
        <v>48.068965517241381</v>
      </c>
      <c r="O24" s="253">
        <v>62.625000000000007</v>
      </c>
      <c r="P24" s="253">
        <v>60</v>
      </c>
      <c r="Q24" s="253">
        <v>70</v>
      </c>
      <c r="R24" s="253">
        <v>55</v>
      </c>
      <c r="S24" s="253">
        <v>55</v>
      </c>
      <c r="T24" s="253"/>
      <c r="U24" s="253">
        <v>60</v>
      </c>
      <c r="V24" s="253"/>
      <c r="W24" s="253"/>
      <c r="X24" s="253"/>
      <c r="Y24" s="253">
        <v>70</v>
      </c>
      <c r="Z24" s="253">
        <v>55</v>
      </c>
      <c r="AA24" s="253"/>
      <c r="AB24" s="253"/>
      <c r="AC24" s="253"/>
      <c r="AD24" s="253"/>
      <c r="AE24" s="253"/>
    </row>
    <row r="25" spans="1:31">
      <c r="A25" s="33">
        <v>24</v>
      </c>
      <c r="B25" s="69" t="s">
        <v>2495</v>
      </c>
      <c r="C25" s="69" t="s">
        <v>740</v>
      </c>
      <c r="D25" s="56">
        <v>41870</v>
      </c>
      <c r="E25" s="266"/>
      <c r="F25" s="56"/>
      <c r="G25" s="69" t="str">
        <f t="shared" si="0"/>
        <v>ERROR</v>
      </c>
      <c r="H25" s="69" t="s">
        <v>2496</v>
      </c>
      <c r="J25" s="69" t="s">
        <v>2495</v>
      </c>
      <c r="K25" s="280" t="s">
        <v>1447</v>
      </c>
      <c r="L25" s="253">
        <v>55.357142857142861</v>
      </c>
      <c r="M25" s="253">
        <v>55.191489361702118</v>
      </c>
      <c r="N25" s="253">
        <v>50.068965517241367</v>
      </c>
      <c r="O25" s="253">
        <v>59.75</v>
      </c>
      <c r="P25" s="253">
        <v>60</v>
      </c>
      <c r="Q25" s="253">
        <v>55</v>
      </c>
      <c r="R25" s="253">
        <v>55</v>
      </c>
      <c r="S25" s="253">
        <v>50</v>
      </c>
      <c r="T25" s="253"/>
      <c r="U25" s="253">
        <v>50</v>
      </c>
      <c r="V25" s="253"/>
      <c r="W25" s="253"/>
      <c r="X25" s="253"/>
      <c r="Y25" s="253">
        <v>70</v>
      </c>
      <c r="Z25" s="253">
        <v>50</v>
      </c>
      <c r="AA25" s="253"/>
      <c r="AB25" s="253"/>
      <c r="AC25" s="253"/>
      <c r="AD25" s="253"/>
      <c r="AE25" s="253"/>
    </row>
    <row r="26" spans="1:31">
      <c r="A26" s="33">
        <v>25</v>
      </c>
      <c r="B26" s="69" t="s">
        <v>2495</v>
      </c>
      <c r="C26" s="69" t="s">
        <v>740</v>
      </c>
      <c r="D26" s="56">
        <v>41870</v>
      </c>
      <c r="E26" s="266"/>
      <c r="F26" s="56"/>
      <c r="G26" s="69" t="str">
        <f t="shared" si="0"/>
        <v>ERROR</v>
      </c>
      <c r="H26" s="69" t="s">
        <v>2496</v>
      </c>
      <c r="J26" s="69" t="s">
        <v>2495</v>
      </c>
      <c r="K26" s="13" t="s">
        <v>926</v>
      </c>
      <c r="L26" s="253">
        <v>52.5</v>
      </c>
      <c r="M26" s="253">
        <v>61.276595744680847</v>
      </c>
      <c r="N26" s="253">
        <v>66.65517241379311</v>
      </c>
      <c r="O26" s="253">
        <v>54.583333333333329</v>
      </c>
      <c r="P26" s="253">
        <v>50</v>
      </c>
      <c r="Q26" s="253">
        <v>55</v>
      </c>
      <c r="R26" s="253">
        <v>65</v>
      </c>
      <c r="S26" s="253">
        <v>50</v>
      </c>
      <c r="T26" s="253"/>
      <c r="U26" s="253">
        <v>50</v>
      </c>
      <c r="V26" s="253"/>
      <c r="W26" s="253"/>
      <c r="X26" s="253"/>
      <c r="Y26" s="253">
        <v>45</v>
      </c>
      <c r="Z26" s="253">
        <v>60</v>
      </c>
      <c r="AA26" s="253"/>
      <c r="AB26" s="253"/>
      <c r="AC26" s="253"/>
      <c r="AD26" s="253"/>
      <c r="AE26" s="253"/>
    </row>
    <row r="27" spans="1:31">
      <c r="A27" s="33">
        <v>26</v>
      </c>
      <c r="B27" s="69" t="s">
        <v>2495</v>
      </c>
      <c r="C27" s="69" t="s">
        <v>740</v>
      </c>
      <c r="D27" s="56">
        <v>41870</v>
      </c>
      <c r="E27" s="266"/>
      <c r="F27" s="56"/>
      <c r="G27" s="69" t="str">
        <f t="shared" si="0"/>
        <v>ERROR</v>
      </c>
      <c r="H27" s="69" t="s">
        <v>2496</v>
      </c>
      <c r="J27" s="69" t="s">
        <v>2495</v>
      </c>
      <c r="K27" s="69" t="s">
        <v>923</v>
      </c>
      <c r="L27" s="253">
        <v>55.428571428571423</v>
      </c>
      <c r="M27" s="253">
        <v>53.872340425531917</v>
      </c>
      <c r="N27" s="253">
        <v>50.275862068965523</v>
      </c>
      <c r="O27" s="253">
        <v>54.374999999999993</v>
      </c>
      <c r="P27" s="253">
        <v>54</v>
      </c>
      <c r="Q27" s="253">
        <v>65</v>
      </c>
      <c r="R27" s="253">
        <v>54</v>
      </c>
      <c r="S27" s="253">
        <v>49</v>
      </c>
      <c r="T27" s="253"/>
      <c r="U27" s="253">
        <v>38</v>
      </c>
      <c r="V27" s="253"/>
      <c r="W27" s="253"/>
      <c r="X27" s="253"/>
      <c r="Y27" s="253">
        <v>45</v>
      </c>
      <c r="Z27" s="253">
        <v>62</v>
      </c>
      <c r="AA27" s="253"/>
      <c r="AB27" s="253"/>
      <c r="AC27" s="253"/>
      <c r="AD27" s="253"/>
      <c r="AE27" s="253"/>
    </row>
    <row r="28" spans="1:31">
      <c r="A28" s="33">
        <v>27</v>
      </c>
      <c r="B28" s="69" t="s">
        <v>2495</v>
      </c>
      <c r="C28" s="69" t="s">
        <v>740</v>
      </c>
      <c r="D28" s="56">
        <v>41870</v>
      </c>
      <c r="E28" s="266"/>
      <c r="F28" s="56"/>
      <c r="G28" s="69" t="str">
        <f t="shared" si="0"/>
        <v>ERROR</v>
      </c>
      <c r="H28" s="69" t="s">
        <v>2496</v>
      </c>
      <c r="J28" s="69" t="s">
        <v>2495</v>
      </c>
      <c r="K28" s="280" t="s">
        <v>2495</v>
      </c>
      <c r="L28" s="253">
        <v>55.642857142857139</v>
      </c>
      <c r="M28" s="253">
        <v>58.787234042553195</v>
      </c>
      <c r="N28" s="253">
        <v>57.068965517241374</v>
      </c>
      <c r="O28" s="253">
        <v>54.125</v>
      </c>
      <c r="P28" s="253">
        <v>56.000000000000007</v>
      </c>
      <c r="Q28" s="253">
        <v>72</v>
      </c>
      <c r="R28" s="253">
        <v>63</v>
      </c>
      <c r="S28" s="253">
        <v>54</v>
      </c>
      <c r="T28" s="253"/>
      <c r="U28" s="253">
        <v>45</v>
      </c>
      <c r="V28" s="253"/>
      <c r="W28" s="253"/>
      <c r="X28" s="253"/>
      <c r="Y28" s="253">
        <v>53</v>
      </c>
      <c r="Z28" s="253">
        <v>51</v>
      </c>
      <c r="AA28" s="253"/>
      <c r="AB28" s="253"/>
      <c r="AC28" s="253"/>
      <c r="AD28" s="253"/>
      <c r="AE28" s="253"/>
    </row>
    <row r="29" spans="1:31">
      <c r="A29" s="33">
        <v>28</v>
      </c>
      <c r="B29" s="69" t="s">
        <v>2495</v>
      </c>
      <c r="C29" s="69" t="s">
        <v>740</v>
      </c>
      <c r="D29" s="56">
        <v>41870</v>
      </c>
      <c r="E29" s="266"/>
      <c r="F29" s="56"/>
      <c r="G29" s="69" t="str">
        <f t="shared" si="0"/>
        <v>ERROR</v>
      </c>
      <c r="H29" s="69" t="s">
        <v>2496</v>
      </c>
      <c r="J29" s="69" t="s">
        <v>2495</v>
      </c>
      <c r="K29" s="280" t="s">
        <v>2099</v>
      </c>
      <c r="L29" s="253">
        <v>54.357142857142847</v>
      </c>
      <c r="M29" s="253">
        <v>57.361702127659576</v>
      </c>
      <c r="N29" s="253">
        <v>70.620689655172413</v>
      </c>
      <c r="O29" s="253">
        <v>52.166666666666657</v>
      </c>
      <c r="P29" s="253">
        <v>52</v>
      </c>
      <c r="Q29" s="253">
        <v>73</v>
      </c>
      <c r="R29" s="253">
        <v>57.999999999999993</v>
      </c>
      <c r="S29" s="253">
        <v>56.000000000000007</v>
      </c>
      <c r="T29" s="253"/>
      <c r="U29" s="253">
        <v>46</v>
      </c>
      <c r="V29" s="253"/>
      <c r="W29" s="253"/>
      <c r="X29" s="253"/>
      <c r="Y29" s="253">
        <v>48</v>
      </c>
      <c r="Z29" s="253">
        <v>52</v>
      </c>
      <c r="AA29" s="253"/>
      <c r="AB29" s="253"/>
      <c r="AC29" s="253"/>
      <c r="AD29" s="253"/>
      <c r="AE29" s="253"/>
    </row>
    <row r="30" spans="1:31">
      <c r="A30" s="33">
        <v>29</v>
      </c>
      <c r="B30" s="69" t="s">
        <v>2495</v>
      </c>
      <c r="C30" s="69" t="s">
        <v>740</v>
      </c>
      <c r="D30" s="56">
        <v>41870</v>
      </c>
      <c r="E30" s="266"/>
      <c r="F30" s="56"/>
      <c r="G30" s="69" t="str">
        <f t="shared" si="0"/>
        <v>ERROR</v>
      </c>
      <c r="H30" s="69" t="s">
        <v>2496</v>
      </c>
      <c r="J30" s="69" t="s">
        <v>2495</v>
      </c>
      <c r="K30" s="281" t="s">
        <v>1111</v>
      </c>
      <c r="L30" s="253">
        <v>51.428571428571423</v>
      </c>
      <c r="M30" s="253">
        <v>49.38297872340425</v>
      </c>
      <c r="N30" s="253">
        <v>51.03448275862069</v>
      </c>
      <c r="O30" s="253">
        <v>45.166666666666671</v>
      </c>
      <c r="P30" s="253">
        <v>50</v>
      </c>
      <c r="Q30" s="253">
        <v>55</v>
      </c>
      <c r="R30" s="253">
        <v>54</v>
      </c>
      <c r="S30" s="253">
        <v>54</v>
      </c>
      <c r="T30" s="253"/>
      <c r="U30" s="253">
        <v>35</v>
      </c>
      <c r="V30" s="253"/>
      <c r="W30" s="253"/>
      <c r="X30" s="253"/>
      <c r="Y30" s="253">
        <v>36</v>
      </c>
      <c r="Z30" s="253">
        <v>51</v>
      </c>
      <c r="AA30" s="253"/>
      <c r="AB30" s="253"/>
      <c r="AC30" s="253"/>
      <c r="AD30" s="253"/>
      <c r="AE30" s="253"/>
    </row>
    <row r="31" spans="1:31">
      <c r="A31" s="33">
        <v>30</v>
      </c>
      <c r="B31" s="69" t="s">
        <v>2495</v>
      </c>
      <c r="C31" s="69" t="s">
        <v>740</v>
      </c>
      <c r="D31" s="56">
        <v>41870</v>
      </c>
      <c r="E31" s="266"/>
      <c r="F31" s="56"/>
      <c r="G31" s="69" t="str">
        <f t="shared" si="0"/>
        <v>ERROR</v>
      </c>
      <c r="H31" s="69" t="s">
        <v>2496</v>
      </c>
      <c r="J31" s="69" t="s">
        <v>2495</v>
      </c>
      <c r="K31" s="280" t="s">
        <v>1723</v>
      </c>
      <c r="L31" s="253">
        <v>63.071428571428555</v>
      </c>
      <c r="M31" s="253">
        <v>64.297872340425528</v>
      </c>
      <c r="N31" s="253">
        <v>71.275862068965509</v>
      </c>
      <c r="O31" s="253">
        <v>58.833333333333336</v>
      </c>
      <c r="P31" s="253">
        <v>61</v>
      </c>
      <c r="Q31" s="253">
        <v>75</v>
      </c>
      <c r="R31" s="253">
        <v>65</v>
      </c>
      <c r="S31" s="253">
        <v>63</v>
      </c>
      <c r="T31" s="253"/>
      <c r="U31" s="253">
        <v>55</v>
      </c>
      <c r="V31" s="253"/>
      <c r="W31" s="253"/>
      <c r="X31" s="253"/>
      <c r="Y31" s="253">
        <v>50</v>
      </c>
      <c r="Z31" s="253">
        <v>64</v>
      </c>
      <c r="AA31" s="253"/>
      <c r="AB31" s="253"/>
      <c r="AC31" s="253"/>
      <c r="AD31" s="253"/>
      <c r="AE31" s="253"/>
    </row>
    <row r="32" spans="1:31">
      <c r="A32" s="33">
        <v>31</v>
      </c>
      <c r="B32" s="69" t="s">
        <v>930</v>
      </c>
      <c r="C32" s="69" t="s">
        <v>740</v>
      </c>
      <c r="D32" s="56">
        <v>41906</v>
      </c>
      <c r="E32" s="266"/>
      <c r="F32" s="56"/>
      <c r="G32" s="69" t="str">
        <f t="shared" si="0"/>
        <v>User Registration</v>
      </c>
      <c r="H32" s="69" t="s">
        <v>2494</v>
      </c>
      <c r="J32" s="69" t="s">
        <v>930</v>
      </c>
      <c r="K32" s="44" t="s">
        <v>931</v>
      </c>
      <c r="L32" s="253">
        <v>58.571428571428577</v>
      </c>
      <c r="M32" s="253">
        <v>58.61702127659575</v>
      </c>
      <c r="N32" s="253">
        <v>46.206896551724135</v>
      </c>
      <c r="O32" s="253">
        <v>59.791666666666664</v>
      </c>
      <c r="P32" s="253">
        <v>60</v>
      </c>
      <c r="Q32" s="253">
        <v>70</v>
      </c>
      <c r="R32" s="253">
        <v>55</v>
      </c>
      <c r="S32" s="253">
        <v>55</v>
      </c>
      <c r="T32" s="253"/>
      <c r="U32" s="253">
        <v>63</v>
      </c>
      <c r="V32" s="253"/>
      <c r="W32" s="253">
        <v>40</v>
      </c>
      <c r="X32" s="253"/>
      <c r="Y32" s="253">
        <v>65</v>
      </c>
      <c r="Z32" s="253">
        <v>55</v>
      </c>
      <c r="AA32" s="253"/>
      <c r="AB32" s="253"/>
      <c r="AC32" s="253"/>
      <c r="AD32" s="253"/>
      <c r="AE32" s="253"/>
    </row>
    <row r="33" spans="1:31">
      <c r="A33" s="33">
        <v>32</v>
      </c>
      <c r="B33" s="69" t="s">
        <v>930</v>
      </c>
      <c r="C33" s="69" t="s">
        <v>740</v>
      </c>
      <c r="D33" s="56">
        <v>41906</v>
      </c>
      <c r="G33" s="69" t="str">
        <f t="shared" si="0"/>
        <v>User Registration</v>
      </c>
      <c r="H33" s="69" t="s">
        <v>2494</v>
      </c>
      <c r="J33" s="69" t="s">
        <v>930</v>
      </c>
      <c r="K33" s="69" t="s">
        <v>930</v>
      </c>
      <c r="L33" s="253">
        <v>58.285714285714285</v>
      </c>
      <c r="M33" s="253">
        <v>56.914893617021278</v>
      </c>
      <c r="N33" s="253">
        <v>52.586206896551722</v>
      </c>
      <c r="O33" s="253">
        <v>57.708333333333329</v>
      </c>
      <c r="P33" s="253">
        <v>57.999999999999993</v>
      </c>
      <c r="Q33" s="253">
        <v>65</v>
      </c>
      <c r="R33" s="253">
        <v>55</v>
      </c>
      <c r="S33" s="253">
        <v>60</v>
      </c>
      <c r="T33" s="253"/>
      <c r="U33" s="253">
        <v>55</v>
      </c>
      <c r="V33" s="253"/>
      <c r="W33" s="253">
        <v>50</v>
      </c>
      <c r="X33" s="253"/>
      <c r="Y33" s="253">
        <v>60</v>
      </c>
      <c r="Z33" s="253">
        <v>55</v>
      </c>
      <c r="AA33" s="253"/>
      <c r="AB33" s="253"/>
      <c r="AC33" s="253"/>
      <c r="AD33" s="253"/>
      <c r="AE33" s="253"/>
    </row>
    <row r="34" spans="1:31">
      <c r="A34" s="33">
        <v>33</v>
      </c>
      <c r="B34" s="69" t="s">
        <v>930</v>
      </c>
      <c r="C34" s="69" t="s">
        <v>740</v>
      </c>
      <c r="D34" s="56">
        <v>41906</v>
      </c>
      <c r="G34" s="69" t="str">
        <f t="shared" si="0"/>
        <v>User Registration</v>
      </c>
      <c r="H34" s="69" t="s">
        <v>2494</v>
      </c>
      <c r="J34" s="69" t="s">
        <v>930</v>
      </c>
      <c r="K34" s="69" t="s">
        <v>391</v>
      </c>
      <c r="L34" s="253">
        <v>65.499999999999986</v>
      </c>
      <c r="M34" s="253">
        <v>62.765957446808507</v>
      </c>
      <c r="N34" s="253">
        <v>52.241379310344826</v>
      </c>
      <c r="O34" s="253">
        <v>61.041666666666671</v>
      </c>
      <c r="P34" s="253">
        <v>66</v>
      </c>
      <c r="Q34" s="253">
        <v>65</v>
      </c>
      <c r="R34" s="253">
        <v>70</v>
      </c>
      <c r="S34" s="253">
        <v>60</v>
      </c>
      <c r="T34" s="253"/>
      <c r="U34" s="253">
        <v>45</v>
      </c>
      <c r="V34" s="253"/>
      <c r="W34" s="253">
        <v>45</v>
      </c>
      <c r="X34" s="253"/>
      <c r="Y34" s="253">
        <v>50</v>
      </c>
      <c r="Z34" s="253">
        <v>70</v>
      </c>
      <c r="AA34" s="253"/>
      <c r="AB34" s="253"/>
      <c r="AC34" s="253"/>
      <c r="AD34" s="253"/>
      <c r="AE34" s="253"/>
    </row>
    <row r="35" spans="1:31">
      <c r="A35" s="33">
        <v>34</v>
      </c>
      <c r="B35" s="69" t="s">
        <v>930</v>
      </c>
      <c r="C35" s="69" t="s">
        <v>740</v>
      </c>
      <c r="D35" s="56">
        <v>41906</v>
      </c>
      <c r="F35" s="56"/>
      <c r="G35" s="69" t="str">
        <f t="shared" si="0"/>
        <v>User Registration</v>
      </c>
      <c r="H35" s="69" t="s">
        <v>2494</v>
      </c>
      <c r="J35" s="69" t="s">
        <v>930</v>
      </c>
      <c r="K35" s="13" t="s">
        <v>1447</v>
      </c>
      <c r="L35" s="253">
        <v>55.357142857142861</v>
      </c>
      <c r="M35" s="253">
        <v>48.51063829787234</v>
      </c>
      <c r="N35" s="253">
        <v>46.034482758620683</v>
      </c>
      <c r="O35" s="253">
        <v>53.958333333333329</v>
      </c>
      <c r="P35" s="253">
        <v>60</v>
      </c>
      <c r="Q35" s="253">
        <v>55</v>
      </c>
      <c r="R35" s="253">
        <v>45</v>
      </c>
      <c r="S35" s="253">
        <v>50</v>
      </c>
      <c r="T35" s="253"/>
      <c r="U35" s="253">
        <v>50</v>
      </c>
      <c r="V35" s="253"/>
      <c r="W35" s="253">
        <v>45</v>
      </c>
      <c r="X35" s="253"/>
      <c r="Y35" s="253">
        <v>60</v>
      </c>
      <c r="Z35" s="253">
        <v>50</v>
      </c>
      <c r="AA35" s="253"/>
      <c r="AB35" s="253"/>
      <c r="AC35" s="253"/>
      <c r="AD35" s="253"/>
      <c r="AE35" s="253"/>
    </row>
    <row r="36" spans="1:31">
      <c r="A36" s="33">
        <v>35</v>
      </c>
      <c r="B36" s="69" t="s">
        <v>930</v>
      </c>
      <c r="C36" s="69" t="s">
        <v>740</v>
      </c>
      <c r="D36" s="56">
        <v>41906</v>
      </c>
      <c r="F36" s="56"/>
      <c r="G36" s="69" t="str">
        <f t="shared" si="0"/>
        <v>User Registration</v>
      </c>
      <c r="H36" s="69" t="s">
        <v>2494</v>
      </c>
      <c r="J36" s="69" t="s">
        <v>930</v>
      </c>
      <c r="K36" s="13" t="s">
        <v>926</v>
      </c>
      <c r="L36" s="253">
        <v>52.5</v>
      </c>
      <c r="M36" s="253">
        <v>53.829787234042556</v>
      </c>
      <c r="N36" s="253">
        <v>59.482758620689658</v>
      </c>
      <c r="O36" s="253">
        <v>55.208333333333336</v>
      </c>
      <c r="P36" s="253">
        <v>50</v>
      </c>
      <c r="Q36" s="253">
        <v>55</v>
      </c>
      <c r="R36" s="253">
        <v>60</v>
      </c>
      <c r="S36" s="253">
        <v>50</v>
      </c>
      <c r="T36" s="253"/>
      <c r="U36" s="253">
        <v>40</v>
      </c>
      <c r="V36" s="253"/>
      <c r="W36" s="253">
        <v>60</v>
      </c>
      <c r="X36" s="253"/>
      <c r="Y36" s="253">
        <v>50</v>
      </c>
      <c r="Z36" s="253">
        <v>60</v>
      </c>
      <c r="AA36" s="253"/>
      <c r="AB36" s="253"/>
      <c r="AC36" s="253"/>
      <c r="AD36" s="253"/>
      <c r="AE36" s="253"/>
    </row>
    <row r="37" spans="1:31">
      <c r="A37" s="33">
        <v>36</v>
      </c>
      <c r="B37" s="69" t="s">
        <v>1320</v>
      </c>
      <c r="C37" s="69" t="s">
        <v>740</v>
      </c>
      <c r="D37" s="56">
        <v>41913</v>
      </c>
      <c r="E37" s="266"/>
      <c r="F37" s="56"/>
      <c r="G37" s="69" t="str">
        <f t="shared" si="0"/>
        <v>User Registration</v>
      </c>
      <c r="H37" s="69" t="s">
        <v>494</v>
      </c>
      <c r="J37" s="69" t="s">
        <v>1320</v>
      </c>
      <c r="K37" s="283" t="s">
        <v>1669</v>
      </c>
      <c r="L37" s="253">
        <v>52.261745728571427</v>
      </c>
      <c r="M37" s="253">
        <v>55.250013408510632</v>
      </c>
      <c r="N37" s="253">
        <v>48.72658020689655</v>
      </c>
      <c r="O37" s="253">
        <v>43.007584912499993</v>
      </c>
      <c r="P37" s="253">
        <v>51.399750899999994</v>
      </c>
      <c r="Q37" s="253">
        <v>81.336206799999999</v>
      </c>
      <c r="R37" s="253">
        <v>61.510367600000002</v>
      </c>
      <c r="S37" s="253">
        <v>44.309408900000001</v>
      </c>
      <c r="T37" s="253"/>
      <c r="U37" s="253">
        <v>35</v>
      </c>
      <c r="V37" s="253"/>
      <c r="W37" s="253">
        <v>40</v>
      </c>
      <c r="X37" s="253"/>
      <c r="Y37" s="253">
        <v>25.817651899999998</v>
      </c>
      <c r="Z37" s="253">
        <v>52.5339168</v>
      </c>
      <c r="AA37" s="253"/>
      <c r="AB37" s="253"/>
      <c r="AC37" s="253"/>
      <c r="AD37" s="253"/>
      <c r="AE37" s="253"/>
    </row>
    <row r="38" spans="1:31">
      <c r="A38" s="33">
        <v>37</v>
      </c>
      <c r="B38" s="69" t="s">
        <v>1320</v>
      </c>
      <c r="C38" s="69" t="s">
        <v>740</v>
      </c>
      <c r="D38" s="56">
        <v>41913</v>
      </c>
      <c r="E38" s="266"/>
      <c r="F38" s="56"/>
      <c r="G38" s="69" t="str">
        <f t="shared" si="0"/>
        <v>User Registration</v>
      </c>
      <c r="H38" s="69" t="s">
        <v>494</v>
      </c>
      <c r="J38" s="69" t="s">
        <v>1320</v>
      </c>
      <c r="K38" s="283" t="s">
        <v>2492</v>
      </c>
      <c r="L38" s="253">
        <v>60.541790821428577</v>
      </c>
      <c r="M38" s="253">
        <v>59.943242044680858</v>
      </c>
      <c r="N38" s="253">
        <v>70.326741906896544</v>
      </c>
      <c r="O38" s="253">
        <v>56.743015587499997</v>
      </c>
      <c r="P38" s="253">
        <v>62.004615299999998</v>
      </c>
      <c r="Q38" s="253">
        <v>80.337541099999996</v>
      </c>
      <c r="R38" s="253">
        <v>66.410482000000002</v>
      </c>
      <c r="S38" s="253">
        <v>51.738784000000003</v>
      </c>
      <c r="T38" s="253"/>
      <c r="U38" s="253">
        <v>40</v>
      </c>
      <c r="V38" s="253"/>
      <c r="W38" s="253">
        <v>70</v>
      </c>
      <c r="X38" s="253"/>
      <c r="Y38" s="253">
        <v>50.360551399999999</v>
      </c>
      <c r="Z38" s="253">
        <v>59.332957100000002</v>
      </c>
      <c r="AA38" s="253"/>
      <c r="AB38" s="253"/>
      <c r="AC38" s="253"/>
      <c r="AD38" s="253"/>
      <c r="AE38" s="253"/>
    </row>
    <row r="39" spans="1:31">
      <c r="A39" s="33">
        <v>38</v>
      </c>
      <c r="B39" s="69" t="s">
        <v>1320</v>
      </c>
      <c r="C39" s="69" t="s">
        <v>740</v>
      </c>
      <c r="D39" s="56">
        <v>41913</v>
      </c>
      <c r="E39" s="266"/>
      <c r="F39" s="56"/>
      <c r="G39" s="69" t="str">
        <f t="shared" si="0"/>
        <v>User Registration</v>
      </c>
      <c r="H39" s="69" t="s">
        <v>494</v>
      </c>
      <c r="J39" s="69" t="s">
        <v>1320</v>
      </c>
      <c r="K39" s="283" t="s">
        <v>1162</v>
      </c>
      <c r="L39" s="253">
        <v>52.127868992857131</v>
      </c>
      <c r="M39" s="253">
        <v>58.537063444680861</v>
      </c>
      <c r="N39" s="253">
        <v>71.918724496551718</v>
      </c>
      <c r="O39" s="253">
        <v>48.198528445833325</v>
      </c>
      <c r="P39" s="253">
        <v>52.228245299999998</v>
      </c>
      <c r="Q39" s="253">
        <v>71.445510999999996</v>
      </c>
      <c r="R39" s="253">
        <v>61.884412899999994</v>
      </c>
      <c r="S39" s="253">
        <v>46.969094900000002</v>
      </c>
      <c r="T39" s="253"/>
      <c r="U39" s="253">
        <v>55</v>
      </c>
      <c r="V39" s="253"/>
      <c r="W39" s="253">
        <v>75</v>
      </c>
      <c r="X39" s="253"/>
      <c r="Y39" s="253">
        <v>40.844907399999997</v>
      </c>
      <c r="Z39" s="253">
        <v>50.6132177</v>
      </c>
      <c r="AA39" s="253"/>
      <c r="AB39" s="253"/>
      <c r="AC39" s="253"/>
      <c r="AD39" s="253"/>
      <c r="AE39" s="253"/>
    </row>
    <row r="40" spans="1:31">
      <c r="A40" s="33">
        <v>39</v>
      </c>
      <c r="B40" s="69" t="s">
        <v>1320</v>
      </c>
      <c r="C40" s="69" t="s">
        <v>740</v>
      </c>
      <c r="D40" s="56">
        <v>41913</v>
      </c>
      <c r="E40" s="266"/>
      <c r="F40" s="56"/>
      <c r="G40" s="69" t="str">
        <f t="shared" si="0"/>
        <v>User Registration</v>
      </c>
      <c r="H40" s="69" t="s">
        <v>494</v>
      </c>
      <c r="J40" s="69" t="s">
        <v>1320</v>
      </c>
      <c r="K40" s="283" t="s">
        <v>1320</v>
      </c>
      <c r="L40" s="253">
        <v>52.245464585714281</v>
      </c>
      <c r="M40" s="253">
        <v>49.374781314893617</v>
      </c>
      <c r="N40" s="253">
        <v>65.155278417241377</v>
      </c>
      <c r="O40" s="253">
        <v>47.554252812499996</v>
      </c>
      <c r="P40" s="253">
        <v>51.707100500000003</v>
      </c>
      <c r="Q40" s="253">
        <v>71.194240500000006</v>
      </c>
      <c r="R40" s="253">
        <v>52.653392099999998</v>
      </c>
      <c r="S40" s="253">
        <v>43.227169799999999</v>
      </c>
      <c r="T40" s="253"/>
      <c r="U40" s="253">
        <v>30</v>
      </c>
      <c r="V40" s="253"/>
      <c r="W40" s="253">
        <v>68</v>
      </c>
      <c r="X40" s="253"/>
      <c r="Y40" s="253">
        <v>35.953703699999998</v>
      </c>
      <c r="Z40" s="253">
        <v>56.203683599999998</v>
      </c>
      <c r="AA40" s="253"/>
      <c r="AB40" s="253"/>
      <c r="AC40" s="253"/>
      <c r="AD40" s="253"/>
      <c r="AE40" s="253"/>
    </row>
    <row r="41" spans="1:31">
      <c r="A41" s="33">
        <v>40</v>
      </c>
      <c r="B41" s="69" t="s">
        <v>1320</v>
      </c>
      <c r="C41" s="69" t="s">
        <v>740</v>
      </c>
      <c r="D41" s="56">
        <v>41913</v>
      </c>
      <c r="G41" s="69" t="str">
        <f t="shared" si="0"/>
        <v>User Registration</v>
      </c>
      <c r="H41" s="69" t="s">
        <v>494</v>
      </c>
      <c r="J41" s="69" t="s">
        <v>1320</v>
      </c>
      <c r="K41" s="69" t="s">
        <v>2493</v>
      </c>
      <c r="L41" s="253">
        <v>53.19215524285714</v>
      </c>
      <c r="M41" s="253">
        <v>51.103434461702136</v>
      </c>
      <c r="N41" s="253">
        <v>37.533966393103448</v>
      </c>
      <c r="O41" s="253">
        <v>47.340443499999999</v>
      </c>
      <c r="P41" s="253">
        <v>56.753694500000009</v>
      </c>
      <c r="Q41" s="253">
        <v>61.756392999999996</v>
      </c>
      <c r="R41" s="253">
        <v>50.535974400000008</v>
      </c>
      <c r="S41" s="253">
        <v>44.507042200000001</v>
      </c>
      <c r="T41" s="253"/>
      <c r="U41" s="253">
        <v>50</v>
      </c>
      <c r="V41" s="253"/>
      <c r="W41" s="253">
        <v>30</v>
      </c>
      <c r="X41" s="253"/>
      <c r="Y41" s="253">
        <v>42.171261899999998</v>
      </c>
      <c r="Z41" s="253">
        <v>50.712264100000006</v>
      </c>
      <c r="AA41" s="253"/>
      <c r="AB41" s="253"/>
      <c r="AC41" s="253"/>
      <c r="AD41" s="253"/>
      <c r="AE41" s="253"/>
    </row>
    <row r="42" spans="1:31">
      <c r="A42" s="33">
        <v>41</v>
      </c>
      <c r="B42" s="69" t="s">
        <v>2486</v>
      </c>
      <c r="C42" s="69" t="s">
        <v>740</v>
      </c>
      <c r="D42" s="56">
        <v>41922</v>
      </c>
      <c r="E42" s="266"/>
      <c r="F42" s="56"/>
      <c r="G42" s="69" t="str">
        <f t="shared" si="0"/>
        <v>User Registration</v>
      </c>
      <c r="H42" s="69" t="s">
        <v>2487</v>
      </c>
      <c r="J42" s="69" t="s">
        <v>2486</v>
      </c>
      <c r="K42" s="282" t="s">
        <v>2488</v>
      </c>
      <c r="L42" s="253">
        <v>56.999999999999993</v>
      </c>
      <c r="M42" s="253">
        <v>63.923076923076927</v>
      </c>
      <c r="N42" s="253">
        <v>67.827586206896555</v>
      </c>
      <c r="O42" s="253">
        <v>64.526315789473685</v>
      </c>
      <c r="P42" s="253">
        <v>52</v>
      </c>
      <c r="Q42" s="253">
        <v>77</v>
      </c>
      <c r="R42" s="253">
        <v>56.000000000000007</v>
      </c>
      <c r="S42" s="253">
        <v>72</v>
      </c>
      <c r="T42" s="253"/>
      <c r="U42" s="253">
        <v>72</v>
      </c>
      <c r="V42" s="253"/>
      <c r="W42" s="253">
        <v>70</v>
      </c>
      <c r="X42" s="253"/>
      <c r="Y42" s="253">
        <v>73</v>
      </c>
      <c r="Z42" s="253">
        <v>46.999999999999993</v>
      </c>
      <c r="AA42" s="253"/>
      <c r="AB42" s="253"/>
      <c r="AC42" s="253"/>
      <c r="AD42" s="253"/>
      <c r="AE42" s="253"/>
    </row>
    <row r="43" spans="1:31">
      <c r="A43" s="33">
        <v>42</v>
      </c>
      <c r="B43" s="69" t="s">
        <v>2486</v>
      </c>
      <c r="C43" s="69" t="s">
        <v>740</v>
      </c>
      <c r="D43" s="56">
        <v>41922</v>
      </c>
      <c r="E43" s="266"/>
      <c r="F43" s="56"/>
      <c r="G43" s="69" t="str">
        <f t="shared" si="0"/>
        <v>User Registration</v>
      </c>
      <c r="H43" s="69" t="s">
        <v>2487</v>
      </c>
      <c r="J43" s="69" t="s">
        <v>2486</v>
      </c>
      <c r="K43" s="282" t="s">
        <v>2489</v>
      </c>
      <c r="L43" s="253">
        <v>59.857142857142854</v>
      </c>
      <c r="M43" s="253">
        <v>63.17307692307692</v>
      </c>
      <c r="N43" s="253">
        <v>53.103448275862064</v>
      </c>
      <c r="O43" s="253">
        <v>58.15789473684211</v>
      </c>
      <c r="P43" s="253">
        <v>56.999999999999993</v>
      </c>
      <c r="Q43" s="253">
        <v>70</v>
      </c>
      <c r="R43" s="253">
        <v>65</v>
      </c>
      <c r="S43" s="253">
        <v>60</v>
      </c>
      <c r="T43" s="253"/>
      <c r="U43" s="253">
        <v>58.999999999999993</v>
      </c>
      <c r="V43" s="253"/>
      <c r="W43" s="253">
        <v>46.999999999999993</v>
      </c>
      <c r="X43" s="253"/>
      <c r="Y43" s="253">
        <v>53</v>
      </c>
      <c r="Z43" s="253">
        <v>63</v>
      </c>
      <c r="AA43" s="253"/>
      <c r="AB43" s="253"/>
      <c r="AC43" s="253"/>
      <c r="AD43" s="253"/>
      <c r="AE43" s="253"/>
    </row>
    <row r="44" spans="1:31">
      <c r="A44" s="33">
        <v>43</v>
      </c>
      <c r="B44" s="69" t="s">
        <v>2486</v>
      </c>
      <c r="C44" s="69" t="s">
        <v>740</v>
      </c>
      <c r="D44" s="56">
        <v>41922</v>
      </c>
      <c r="G44" s="69" t="str">
        <f t="shared" si="0"/>
        <v>User Registration</v>
      </c>
      <c r="H44" s="69" t="s">
        <v>2487</v>
      </c>
      <c r="J44" s="69" t="s">
        <v>2486</v>
      </c>
      <c r="K44" s="69" t="s">
        <v>2490</v>
      </c>
      <c r="L44" s="253">
        <v>40.642857142857139</v>
      </c>
      <c r="M44" s="253">
        <v>44.346153846153847</v>
      </c>
      <c r="N44" s="253">
        <v>41.655172413793103</v>
      </c>
      <c r="O44" s="253">
        <v>48.210526315789473</v>
      </c>
      <c r="P44" s="253">
        <v>35</v>
      </c>
      <c r="Q44" s="253">
        <v>66</v>
      </c>
      <c r="R44" s="253">
        <v>45</v>
      </c>
      <c r="S44" s="253">
        <v>40</v>
      </c>
      <c r="T44" s="253"/>
      <c r="U44" s="253">
        <v>35</v>
      </c>
      <c r="V44" s="253"/>
      <c r="W44" s="253">
        <v>37</v>
      </c>
      <c r="X44" s="253"/>
      <c r="Y44" s="253">
        <v>49</v>
      </c>
      <c r="Z44" s="253">
        <v>46</v>
      </c>
      <c r="AA44" s="253"/>
      <c r="AB44" s="253"/>
      <c r="AC44" s="253"/>
      <c r="AD44" s="253"/>
      <c r="AE44" s="253"/>
    </row>
    <row r="45" spans="1:31">
      <c r="A45" s="33">
        <v>44</v>
      </c>
      <c r="B45" s="69" t="s">
        <v>2486</v>
      </c>
      <c r="C45" s="69" t="s">
        <v>740</v>
      </c>
      <c r="D45" s="56">
        <v>41922</v>
      </c>
      <c r="G45" s="69" t="str">
        <f t="shared" si="0"/>
        <v>User Registration</v>
      </c>
      <c r="H45" s="69" t="s">
        <v>2487</v>
      </c>
      <c r="J45" s="69" t="s">
        <v>2486</v>
      </c>
      <c r="K45" s="69" t="s">
        <v>2486</v>
      </c>
      <c r="L45" s="253">
        <v>50.5</v>
      </c>
      <c r="M45" s="253">
        <v>48.192307692307686</v>
      </c>
      <c r="N45" s="253">
        <v>67.793103448275858</v>
      </c>
      <c r="O45" s="253">
        <v>50.315789473684212</v>
      </c>
      <c r="P45" s="253">
        <v>45</v>
      </c>
      <c r="Q45" s="253">
        <v>62</v>
      </c>
      <c r="R45" s="253">
        <v>40</v>
      </c>
      <c r="S45" s="253">
        <v>44</v>
      </c>
      <c r="T45" s="253"/>
      <c r="U45" s="253">
        <v>49</v>
      </c>
      <c r="V45" s="253"/>
      <c r="W45" s="253">
        <v>77</v>
      </c>
      <c r="X45" s="253"/>
      <c r="Y45" s="253">
        <v>44</v>
      </c>
      <c r="Z45" s="253">
        <v>66</v>
      </c>
      <c r="AA45" s="253"/>
      <c r="AB45" s="253"/>
      <c r="AC45" s="253"/>
      <c r="AD45" s="253"/>
      <c r="AE45" s="253"/>
    </row>
    <row r="46" spans="1:31">
      <c r="A46" s="33">
        <v>45</v>
      </c>
      <c r="B46" s="69" t="s">
        <v>2486</v>
      </c>
      <c r="C46" s="69" t="s">
        <v>740</v>
      </c>
      <c r="D46" s="56">
        <v>41922</v>
      </c>
      <c r="F46" s="56"/>
      <c r="G46" s="69" t="str">
        <f t="shared" si="0"/>
        <v>User Registration</v>
      </c>
      <c r="H46" s="69" t="s">
        <v>2487</v>
      </c>
      <c r="J46" s="69" t="s">
        <v>2486</v>
      </c>
      <c r="K46" s="282" t="s">
        <v>2491</v>
      </c>
      <c r="L46" s="253">
        <v>50.571428571428569</v>
      </c>
      <c r="M46" s="253">
        <v>57.53846153846154</v>
      </c>
      <c r="N46" s="253">
        <v>59.689655172413794</v>
      </c>
      <c r="O46" s="253">
        <v>55.105263157894733</v>
      </c>
      <c r="P46" s="253">
        <v>45</v>
      </c>
      <c r="Q46" s="253">
        <v>56.999999999999993</v>
      </c>
      <c r="R46" s="253">
        <v>60</v>
      </c>
      <c r="S46" s="253">
        <v>60</v>
      </c>
      <c r="T46" s="253"/>
      <c r="U46" s="253">
        <v>53</v>
      </c>
      <c r="V46" s="253"/>
      <c r="W46" s="253">
        <v>60</v>
      </c>
      <c r="X46" s="253"/>
      <c r="Y46" s="253">
        <v>55</v>
      </c>
      <c r="Z46" s="253">
        <v>52</v>
      </c>
      <c r="AA46" s="253"/>
      <c r="AB46" s="253"/>
      <c r="AC46" s="253"/>
      <c r="AD46" s="253"/>
      <c r="AE46" s="253"/>
    </row>
    <row r="47" spans="1:31">
      <c r="A47" s="33">
        <v>46</v>
      </c>
      <c r="B47" s="69" t="s">
        <v>2483</v>
      </c>
      <c r="C47" s="69" t="s">
        <v>740</v>
      </c>
      <c r="D47" s="56">
        <v>41926</v>
      </c>
      <c r="E47" s="266"/>
      <c r="F47" s="56"/>
      <c r="G47" s="69" t="str">
        <f t="shared" si="0"/>
        <v>Both</v>
      </c>
      <c r="H47" s="69" t="s">
        <v>1956</v>
      </c>
      <c r="J47" s="69" t="s">
        <v>2483</v>
      </c>
      <c r="K47" s="277" t="s">
        <v>2484</v>
      </c>
      <c r="L47" s="253">
        <v>59.554783451842262</v>
      </c>
      <c r="M47" s="253">
        <v>52.846401620395419</v>
      </c>
      <c r="N47" s="253">
        <v>52.481112025229677</v>
      </c>
      <c r="O47" s="253">
        <v>63.235452885607678</v>
      </c>
      <c r="P47" s="253">
        <v>61.5</v>
      </c>
      <c r="Q47" s="253">
        <v>56.000000000000007</v>
      </c>
      <c r="R47" s="253">
        <v>48.269230769230766</v>
      </c>
      <c r="S47" s="253">
        <v>53.294117647058826</v>
      </c>
      <c r="T47" s="253"/>
      <c r="U47" s="253">
        <v>51.333333333333329</v>
      </c>
      <c r="V47" s="253">
        <v>56.54545454545454</v>
      </c>
      <c r="W47" s="253">
        <v>39.166666666666664</v>
      </c>
      <c r="X47" s="253"/>
      <c r="Y47" s="253">
        <v>68.333333333333329</v>
      </c>
      <c r="Z47" s="253">
        <v>62.461538461538453</v>
      </c>
      <c r="AA47" s="253"/>
      <c r="AB47" s="253"/>
      <c r="AC47" s="253"/>
      <c r="AD47" s="253"/>
      <c r="AE47" s="253"/>
    </row>
    <row r="48" spans="1:31">
      <c r="A48" s="33">
        <v>47</v>
      </c>
      <c r="B48" s="69" t="s">
        <v>2483</v>
      </c>
      <c r="C48" s="69" t="s">
        <v>740</v>
      </c>
      <c r="D48" s="56">
        <v>41926</v>
      </c>
      <c r="E48" s="266"/>
      <c r="F48" s="56"/>
      <c r="G48" s="69" t="str">
        <f t="shared" si="0"/>
        <v>Both</v>
      </c>
      <c r="H48" s="69" t="s">
        <v>1956</v>
      </c>
      <c r="J48" s="69" t="s">
        <v>2483</v>
      </c>
      <c r="K48" s="69" t="s">
        <v>2409</v>
      </c>
      <c r="L48" s="253">
        <v>68.637757667169438</v>
      </c>
      <c r="M48" s="253">
        <v>63.16400489775102</v>
      </c>
      <c r="N48" s="253">
        <v>62.041958041958047</v>
      </c>
      <c r="O48" s="253">
        <v>68.40120663650076</v>
      </c>
      <c r="P48" s="253">
        <v>69.777777777777786</v>
      </c>
      <c r="Q48" s="253">
        <v>62</v>
      </c>
      <c r="R48" s="253">
        <v>60.192307692307686</v>
      </c>
      <c r="S48" s="253">
        <v>75.058823529411768</v>
      </c>
      <c r="T48" s="253"/>
      <c r="U48" s="253">
        <v>64.666666666666657</v>
      </c>
      <c r="V48" s="253">
        <v>61.863636363636367</v>
      </c>
      <c r="W48" s="253">
        <v>65</v>
      </c>
      <c r="X48" s="253"/>
      <c r="Y48" s="253">
        <v>73.333333333333329</v>
      </c>
      <c r="Z48" s="253">
        <v>61.769230769230766</v>
      </c>
      <c r="AA48" s="253"/>
      <c r="AB48" s="253"/>
      <c r="AC48" s="253"/>
      <c r="AD48" s="253"/>
      <c r="AE48" s="253"/>
    </row>
    <row r="49" spans="1:31">
      <c r="A49" s="33">
        <v>48</v>
      </c>
      <c r="B49" s="69" t="s">
        <v>2483</v>
      </c>
      <c r="C49" s="69" t="s">
        <v>740</v>
      </c>
      <c r="D49" s="56">
        <v>41926</v>
      </c>
      <c r="E49" s="266"/>
      <c r="F49" s="56"/>
      <c r="G49" s="69" t="str">
        <f t="shared" si="0"/>
        <v>Both</v>
      </c>
      <c r="H49" s="69" t="s">
        <v>1956</v>
      </c>
      <c r="J49" s="69" t="s">
        <v>2483</v>
      </c>
      <c r="K49" s="89" t="s">
        <v>2485</v>
      </c>
      <c r="L49" s="253">
        <v>37.680384974502616</v>
      </c>
      <c r="M49" s="253">
        <v>41.170822297757276</v>
      </c>
      <c r="N49" s="253">
        <v>38.80594405594406</v>
      </c>
      <c r="O49" s="253">
        <v>40.763078510756529</v>
      </c>
      <c r="P49" s="253">
        <v>38.388888888888886</v>
      </c>
      <c r="Q49" s="253">
        <v>44.5</v>
      </c>
      <c r="R49" s="253">
        <v>39.92307692307692</v>
      </c>
      <c r="S49" s="253">
        <v>22.588235294117649</v>
      </c>
      <c r="T49" s="253"/>
      <c r="U49" s="253">
        <v>50.333333333333329</v>
      </c>
      <c r="V49" s="253">
        <v>39.81818181818182</v>
      </c>
      <c r="W49" s="253">
        <v>30</v>
      </c>
      <c r="X49" s="253"/>
      <c r="Y49" s="253">
        <v>38.333333333333336</v>
      </c>
      <c r="Z49" s="253">
        <v>48.846153846153847</v>
      </c>
      <c r="AA49" s="253"/>
      <c r="AB49" s="253"/>
      <c r="AC49" s="253"/>
      <c r="AD49" s="253"/>
      <c r="AE49" s="253"/>
    </row>
    <row r="50" spans="1:31">
      <c r="A50" s="33">
        <v>49</v>
      </c>
      <c r="B50" s="69" t="s">
        <v>2483</v>
      </c>
      <c r="C50" s="69" t="s">
        <v>740</v>
      </c>
      <c r="D50" s="56">
        <v>41926</v>
      </c>
      <c r="E50" s="266"/>
      <c r="F50" s="56"/>
      <c r="G50" s="69" t="str">
        <f t="shared" si="0"/>
        <v>Both</v>
      </c>
      <c r="H50" s="69" t="s">
        <v>1956</v>
      </c>
      <c r="J50" s="69" t="s">
        <v>2483</v>
      </c>
      <c r="K50" s="69" t="s">
        <v>2483</v>
      </c>
      <c r="L50" s="253">
        <v>51.779770882712057</v>
      </c>
      <c r="M50" s="253">
        <v>47.863777089783284</v>
      </c>
      <c r="N50" s="253">
        <v>47.523378582202106</v>
      </c>
      <c r="O50" s="253">
        <v>46.832698261490826</v>
      </c>
      <c r="P50" s="253">
        <v>52.888888888888886</v>
      </c>
      <c r="Q50" s="253">
        <v>47.5</v>
      </c>
      <c r="R50" s="253">
        <v>39.576923076923073</v>
      </c>
      <c r="S50" s="253">
        <v>44.705882352941181</v>
      </c>
      <c r="T50" s="253"/>
      <c r="U50" s="253">
        <v>57.499999999999993</v>
      </c>
      <c r="V50" s="253">
        <v>52</v>
      </c>
      <c r="W50" s="253">
        <v>39.166666666666664</v>
      </c>
      <c r="X50" s="253"/>
      <c r="Y50" s="253">
        <v>43</v>
      </c>
      <c r="Z50" s="253">
        <v>57.692307692307686</v>
      </c>
      <c r="AA50" s="253"/>
      <c r="AB50" s="253"/>
      <c r="AC50" s="253"/>
      <c r="AD50" s="253"/>
      <c r="AE50" s="253"/>
    </row>
    <row r="51" spans="1:31">
      <c r="A51" s="33">
        <v>50</v>
      </c>
      <c r="B51" s="69" t="s">
        <v>2483</v>
      </c>
      <c r="C51" s="69" t="s">
        <v>740</v>
      </c>
      <c r="D51" s="56">
        <v>41926</v>
      </c>
      <c r="E51" s="266"/>
      <c r="F51" s="56"/>
      <c r="G51" s="69" t="str">
        <f t="shared" si="0"/>
        <v>Both</v>
      </c>
      <c r="H51" s="69" t="s">
        <v>1956</v>
      </c>
      <c r="J51" s="69" t="s">
        <v>2483</v>
      </c>
      <c r="K51" s="69" t="s">
        <v>390</v>
      </c>
      <c r="L51" s="253">
        <v>67.593092365151179</v>
      </c>
      <c r="M51" s="253">
        <v>60.517035080502566</v>
      </c>
      <c r="N51" s="253">
        <v>66.845845331139444</v>
      </c>
      <c r="O51" s="253">
        <v>71.921687703421455</v>
      </c>
      <c r="P51" s="253">
        <v>68.472222222222229</v>
      </c>
      <c r="Q51" s="253">
        <v>59.499999999999993</v>
      </c>
      <c r="R51" s="253">
        <v>56.846153846153847</v>
      </c>
      <c r="S51" s="253">
        <v>67.294117647058826</v>
      </c>
      <c r="T51" s="253"/>
      <c r="U51" s="253">
        <v>52</v>
      </c>
      <c r="V51" s="253">
        <v>68.909090909090907</v>
      </c>
      <c r="W51" s="253">
        <v>75</v>
      </c>
      <c r="X51" s="253"/>
      <c r="Y51" s="253">
        <v>78.333333333333329</v>
      </c>
      <c r="Z51" s="253">
        <v>68.538461538461533</v>
      </c>
      <c r="AA51" s="253"/>
      <c r="AB51" s="253"/>
      <c r="AC51" s="253"/>
      <c r="AD51" s="253"/>
      <c r="AE51" s="253"/>
    </row>
    <row r="52" spans="1:31">
      <c r="A52" s="33">
        <v>51</v>
      </c>
      <c r="B52" s="69" t="s">
        <v>2483</v>
      </c>
      <c r="C52" s="69" t="s">
        <v>740</v>
      </c>
      <c r="D52" s="56">
        <v>41926</v>
      </c>
      <c r="E52" s="266"/>
      <c r="F52" s="56"/>
      <c r="G52" s="69" t="str">
        <f t="shared" si="0"/>
        <v>Both</v>
      </c>
      <c r="H52" s="69" t="s">
        <v>1956</v>
      </c>
      <c r="J52" s="69" t="s">
        <v>2483</v>
      </c>
      <c r="K52" s="69" t="s">
        <v>1899</v>
      </c>
      <c r="L52" s="253">
        <v>63.662357250592549</v>
      </c>
      <c r="M52" s="253">
        <v>60.61768434523853</v>
      </c>
      <c r="N52" s="253">
        <v>60.570238584944455</v>
      </c>
      <c r="O52" s="253">
        <v>66.281217750258008</v>
      </c>
      <c r="P52" s="253">
        <v>62.166666666666671</v>
      </c>
      <c r="Q52" s="253">
        <v>57.499999999999993</v>
      </c>
      <c r="R52" s="253">
        <v>65.769230769230774</v>
      </c>
      <c r="S52" s="253">
        <v>65.17647058823529</v>
      </c>
      <c r="T52" s="253"/>
      <c r="U52" s="253">
        <v>50.666666666666671</v>
      </c>
      <c r="V52" s="253">
        <v>55.86363636363636</v>
      </c>
      <c r="W52" s="253">
        <v>75</v>
      </c>
      <c r="X52" s="253"/>
      <c r="Y52" s="253">
        <v>66.666666666666657</v>
      </c>
      <c r="Z52" s="253">
        <v>67.692307692307693</v>
      </c>
      <c r="AA52" s="253"/>
      <c r="AB52" s="253"/>
      <c r="AC52" s="253"/>
      <c r="AD52" s="253"/>
      <c r="AE52" s="253"/>
    </row>
    <row r="53" spans="1:31">
      <c r="A53" s="33">
        <v>52</v>
      </c>
      <c r="B53" s="69" t="s">
        <v>1109</v>
      </c>
      <c r="C53" s="69" t="s">
        <v>740</v>
      </c>
      <c r="D53" s="56">
        <v>41932</v>
      </c>
      <c r="E53" s="266"/>
      <c r="F53" s="56"/>
      <c r="G53" s="69" t="str">
        <f t="shared" si="0"/>
        <v>User Registration</v>
      </c>
      <c r="H53" s="69" t="s">
        <v>1088</v>
      </c>
      <c r="J53" s="69" t="s">
        <v>1109</v>
      </c>
      <c r="K53" s="281" t="s">
        <v>1111</v>
      </c>
      <c r="L53" s="253">
        <v>67.147334924934043</v>
      </c>
      <c r="M53" s="253">
        <v>62.820332675498555</v>
      </c>
      <c r="N53" s="253">
        <v>56.67411219826689</v>
      </c>
      <c r="O53" s="253">
        <v>68.641896829753648</v>
      </c>
      <c r="P53" s="253">
        <v>65.899261686602784</v>
      </c>
      <c r="Q53" s="253">
        <v>78.392857142857139</v>
      </c>
      <c r="R53" s="253">
        <v>56.100996073135896</v>
      </c>
      <c r="S53" s="253">
        <v>71.458333333333329</v>
      </c>
      <c r="T53" s="253"/>
      <c r="U53" s="253">
        <v>62.142857142857146</v>
      </c>
      <c r="V53" s="253"/>
      <c r="W53" s="253">
        <v>53.588235294117645</v>
      </c>
      <c r="X53" s="253"/>
      <c r="Y53" s="253">
        <v>73.214285714285708</v>
      </c>
      <c r="Z53" s="253">
        <v>62</v>
      </c>
      <c r="AA53" s="253"/>
      <c r="AB53" s="253"/>
      <c r="AC53" s="253"/>
      <c r="AD53" s="253"/>
      <c r="AE53" s="253"/>
    </row>
    <row r="54" spans="1:31">
      <c r="A54" s="33">
        <v>53</v>
      </c>
      <c r="B54" s="69" t="s">
        <v>1109</v>
      </c>
      <c r="C54" s="69" t="s">
        <v>740</v>
      </c>
      <c r="D54" s="56">
        <v>41932</v>
      </c>
      <c r="E54" s="266"/>
      <c r="F54" s="56"/>
      <c r="G54" s="69" t="str">
        <f t="shared" si="0"/>
        <v>User Registration</v>
      </c>
      <c r="H54" s="69" t="s">
        <v>1088</v>
      </c>
      <c r="J54" s="69" t="s">
        <v>1109</v>
      </c>
      <c r="K54" s="69" t="s">
        <v>923</v>
      </c>
      <c r="L54" s="253">
        <v>57.935200001157924</v>
      </c>
      <c r="M54" s="253">
        <v>54.414332872320614</v>
      </c>
      <c r="N54" s="253">
        <v>55.240504840159311</v>
      </c>
      <c r="O54" s="253">
        <v>49.896911607571738</v>
      </c>
      <c r="P54" s="253">
        <v>59.938492623979911</v>
      </c>
      <c r="Q54" s="253">
        <v>70.446428571428569</v>
      </c>
      <c r="R54" s="253">
        <v>50.400010088781279</v>
      </c>
      <c r="S54" s="253">
        <v>58.333333333333336</v>
      </c>
      <c r="T54" s="253"/>
      <c r="U54" s="253">
        <v>53.333333333333329</v>
      </c>
      <c r="V54" s="253"/>
      <c r="W54" s="253">
        <v>54.411764705882348</v>
      </c>
      <c r="X54" s="253"/>
      <c r="Y54" s="253">
        <v>47.5</v>
      </c>
      <c r="Z54" s="253">
        <v>48.692307692307686</v>
      </c>
      <c r="AA54" s="253"/>
      <c r="AB54" s="253"/>
      <c r="AC54" s="253"/>
      <c r="AD54" s="253"/>
      <c r="AE54" s="253"/>
    </row>
    <row r="55" spans="1:31">
      <c r="A55" s="33">
        <v>54</v>
      </c>
      <c r="B55" s="69" t="s">
        <v>1109</v>
      </c>
      <c r="C55" s="69" t="s">
        <v>740</v>
      </c>
      <c r="D55" s="56">
        <v>41932</v>
      </c>
      <c r="G55" s="69" t="str">
        <f t="shared" si="0"/>
        <v>User Registration</v>
      </c>
      <c r="H55" s="69" t="s">
        <v>1088</v>
      </c>
      <c r="J55" s="69" t="s">
        <v>1109</v>
      </c>
      <c r="K55" s="69" t="s">
        <v>1824</v>
      </c>
      <c r="L55" s="253">
        <v>66.341423533007386</v>
      </c>
      <c r="M55" s="253">
        <v>56.986756043238181</v>
      </c>
      <c r="N55" s="253">
        <v>53.339863886595673</v>
      </c>
      <c r="O55" s="253">
        <v>61.41124092521283</v>
      </c>
      <c r="P55" s="253">
        <v>72.291952246548533</v>
      </c>
      <c r="Q55" s="253">
        <v>67.928571428571431</v>
      </c>
      <c r="R55" s="253">
        <v>56.197997580730629</v>
      </c>
      <c r="S55" s="253">
        <v>65.5</v>
      </c>
      <c r="T55" s="253"/>
      <c r="U55" s="253">
        <v>49</v>
      </c>
      <c r="V55" s="253"/>
      <c r="W55" s="253">
        <v>50.294117647058819</v>
      </c>
      <c r="X55" s="253"/>
      <c r="Y55" s="253">
        <v>65.714285714285708</v>
      </c>
      <c r="Z55" s="253">
        <v>52.769230769230766</v>
      </c>
      <c r="AA55" s="253"/>
      <c r="AB55" s="253"/>
      <c r="AC55" s="253"/>
      <c r="AD55" s="253"/>
      <c r="AE55" s="253"/>
    </row>
    <row r="56" spans="1:31">
      <c r="A56" s="33">
        <v>55</v>
      </c>
      <c r="B56" s="69" t="s">
        <v>1109</v>
      </c>
      <c r="C56" s="69" t="s">
        <v>740</v>
      </c>
      <c r="D56" s="56">
        <v>41932</v>
      </c>
      <c r="G56" s="69" t="str">
        <f t="shared" si="0"/>
        <v>User Registration</v>
      </c>
      <c r="H56" s="69" t="s">
        <v>1088</v>
      </c>
      <c r="J56" s="69" t="s">
        <v>1109</v>
      </c>
      <c r="K56" s="69" t="s">
        <v>1109</v>
      </c>
      <c r="L56" s="253">
        <v>62.663623054771833</v>
      </c>
      <c r="M56" s="253">
        <v>52.448795701500352</v>
      </c>
      <c r="N56" s="253">
        <v>49.802254552707502</v>
      </c>
      <c r="O56" s="253">
        <v>49.978677417504358</v>
      </c>
      <c r="P56" s="253">
        <v>68.787410944708498</v>
      </c>
      <c r="Q56" s="253">
        <v>62.375</v>
      </c>
      <c r="R56" s="253">
        <v>49.52339700475293</v>
      </c>
      <c r="S56" s="253">
        <v>63.749999999999993</v>
      </c>
      <c r="T56" s="253"/>
      <c r="U56" s="253">
        <v>48.095238095238095</v>
      </c>
      <c r="V56" s="253"/>
      <c r="W56" s="253">
        <v>48</v>
      </c>
      <c r="X56" s="253"/>
      <c r="Y56" s="253">
        <v>48.75</v>
      </c>
      <c r="Z56" s="253">
        <v>47.384615384615387</v>
      </c>
      <c r="AA56" s="253"/>
      <c r="AB56" s="253"/>
      <c r="AC56" s="253"/>
      <c r="AD56" s="253"/>
      <c r="AE56" s="253"/>
    </row>
    <row r="57" spans="1:31">
      <c r="A57" s="33">
        <v>56</v>
      </c>
      <c r="B57" s="69" t="s">
        <v>1109</v>
      </c>
      <c r="C57" s="69" t="s">
        <v>740</v>
      </c>
      <c r="D57" s="56">
        <v>41932</v>
      </c>
      <c r="F57" s="56"/>
      <c r="G57" s="69" t="str">
        <f t="shared" si="0"/>
        <v>User Registration</v>
      </c>
      <c r="H57" s="69" t="s">
        <v>1088</v>
      </c>
      <c r="J57" s="69" t="s">
        <v>1109</v>
      </c>
      <c r="K57" s="89" t="s">
        <v>1692</v>
      </c>
      <c r="L57" s="253">
        <v>43.519275441960062</v>
      </c>
      <c r="M57" s="253">
        <v>51.353064743886954</v>
      </c>
      <c r="N57" s="253">
        <v>44.940623572631857</v>
      </c>
      <c r="O57" s="253">
        <v>55.655092996506916</v>
      </c>
      <c r="P57" s="253">
        <v>44.720196619137297</v>
      </c>
      <c r="Q57" s="253">
        <v>53.363095238095234</v>
      </c>
      <c r="R57" s="253">
        <v>55.237348668280859</v>
      </c>
      <c r="S57" s="253">
        <v>43.416666666666664</v>
      </c>
      <c r="T57" s="253"/>
      <c r="U57" s="253">
        <v>54.047619047619044</v>
      </c>
      <c r="V57" s="253"/>
      <c r="W57" s="253">
        <v>40.588235294117645</v>
      </c>
      <c r="X57" s="253"/>
      <c r="Y57" s="253">
        <v>66.25</v>
      </c>
      <c r="Z57" s="253">
        <v>37.538461538461533</v>
      </c>
      <c r="AA57" s="253"/>
      <c r="AB57" s="253"/>
      <c r="AC57" s="253"/>
      <c r="AD57" s="253"/>
      <c r="AE57" s="253"/>
    </row>
    <row r="58" spans="1:31">
      <c r="A58" s="33">
        <v>57</v>
      </c>
      <c r="B58" s="69" t="s">
        <v>2468</v>
      </c>
      <c r="C58" s="69" t="s">
        <v>740</v>
      </c>
      <c r="D58" s="56">
        <v>41935</v>
      </c>
      <c r="E58" s="266"/>
      <c r="F58" s="56"/>
      <c r="G58" s="69" t="str">
        <f t="shared" si="0"/>
        <v>Both</v>
      </c>
      <c r="H58" s="69" t="s">
        <v>749</v>
      </c>
      <c r="J58" s="69" t="s">
        <v>2468</v>
      </c>
      <c r="K58" s="13" t="s">
        <v>2470</v>
      </c>
      <c r="L58" s="253">
        <v>36.999896682722209</v>
      </c>
      <c r="M58" s="253">
        <v>48.633995971432149</v>
      </c>
      <c r="N58" s="253">
        <v>45.501227193739268</v>
      </c>
      <c r="O58" s="253">
        <v>58.005564596930391</v>
      </c>
      <c r="P58" s="253">
        <v>28.174004075369417</v>
      </c>
      <c r="Q58" s="253">
        <v>62.867063492063487</v>
      </c>
      <c r="R58" s="253">
        <v>55.155733023708052</v>
      </c>
      <c r="S58" s="253">
        <v>26.124999999999996</v>
      </c>
      <c r="T58" s="253"/>
      <c r="U58" s="253">
        <v>34.949999999999996</v>
      </c>
      <c r="V58" s="253">
        <v>25.993261334665689</v>
      </c>
      <c r="W58" s="253">
        <v>40</v>
      </c>
      <c r="X58" s="253"/>
      <c r="Y58" s="253">
        <v>60.357142857142854</v>
      </c>
      <c r="Z58" s="253">
        <v>59.846153846153847</v>
      </c>
      <c r="AA58" s="253"/>
      <c r="AB58" s="253"/>
      <c r="AC58" s="253"/>
      <c r="AD58" s="253"/>
      <c r="AE58" s="253"/>
    </row>
    <row r="59" spans="1:31">
      <c r="A59" s="33">
        <v>58</v>
      </c>
      <c r="B59" s="69" t="s">
        <v>2468</v>
      </c>
      <c r="C59" s="69" t="s">
        <v>740</v>
      </c>
      <c r="D59" s="56">
        <v>41935</v>
      </c>
      <c r="E59" s="266"/>
      <c r="F59" s="56"/>
      <c r="G59" s="69" t="str">
        <f t="shared" si="0"/>
        <v>Both</v>
      </c>
      <c r="H59" s="69" t="s">
        <v>749</v>
      </c>
      <c r="J59" s="69" t="s">
        <v>2468</v>
      </c>
      <c r="K59" s="13" t="s">
        <v>2471</v>
      </c>
      <c r="L59" s="253">
        <v>55.853420104038044</v>
      </c>
      <c r="M59" s="253">
        <v>53.755873882719698</v>
      </c>
      <c r="N59" s="253">
        <v>47.137471306903237</v>
      </c>
      <c r="O59" s="253">
        <v>64.728414647950189</v>
      </c>
      <c r="P59" s="253">
        <v>52.491867680603555</v>
      </c>
      <c r="Q59" s="253">
        <v>57.8125</v>
      </c>
      <c r="R59" s="253">
        <v>48.924861316698966</v>
      </c>
      <c r="S59" s="253">
        <v>62.666666666666671</v>
      </c>
      <c r="T59" s="253"/>
      <c r="U59" s="253">
        <v>54.400000000000006</v>
      </c>
      <c r="V59" s="253">
        <v>35.091635328620804</v>
      </c>
      <c r="W59" s="253">
        <v>45</v>
      </c>
      <c r="X59" s="253"/>
      <c r="Y59" s="253">
        <v>73.035714285714278</v>
      </c>
      <c r="Z59" s="253">
        <v>56.230769230769226</v>
      </c>
      <c r="AA59" s="253"/>
      <c r="AB59" s="253"/>
      <c r="AC59" s="253"/>
      <c r="AD59" s="253"/>
      <c r="AE59" s="253"/>
    </row>
    <row r="60" spans="1:31">
      <c r="A60" s="33">
        <v>59</v>
      </c>
      <c r="B60" s="69" t="s">
        <v>2468</v>
      </c>
      <c r="C60" s="69" t="s">
        <v>740</v>
      </c>
      <c r="D60" s="56">
        <v>41935</v>
      </c>
      <c r="E60" s="266"/>
      <c r="F60" s="56"/>
      <c r="G60" s="69" t="str">
        <f t="shared" si="0"/>
        <v>Both</v>
      </c>
      <c r="H60" s="69" t="s">
        <v>749</v>
      </c>
      <c r="J60" s="69" t="s">
        <v>2468</v>
      </c>
      <c r="K60" s="13" t="s">
        <v>2472</v>
      </c>
      <c r="L60" s="253">
        <v>45.344656835463432</v>
      </c>
      <c r="M60" s="253">
        <v>49.812273061082067</v>
      </c>
      <c r="N60" s="253">
        <v>49.70666069142645</v>
      </c>
      <c r="O60" s="253">
        <v>65.093720371057344</v>
      </c>
      <c r="P60" s="253">
        <v>38.627304251774582</v>
      </c>
      <c r="Q60" s="253">
        <v>59.107142857142854</v>
      </c>
      <c r="R60" s="253">
        <v>44.028621913323072</v>
      </c>
      <c r="S60" s="253">
        <v>40.083333333333329</v>
      </c>
      <c r="T60" s="253"/>
      <c r="U60" s="253">
        <v>55.7</v>
      </c>
      <c r="V60" s="253">
        <v>30.245227230396718</v>
      </c>
      <c r="W60" s="253">
        <v>50</v>
      </c>
      <c r="X60" s="253"/>
      <c r="Y60" s="253">
        <v>74.107142857142861</v>
      </c>
      <c r="Z60" s="253">
        <v>61.692307692307686</v>
      </c>
      <c r="AA60" s="253"/>
      <c r="AB60" s="253"/>
      <c r="AC60" s="253"/>
      <c r="AD60" s="253"/>
      <c r="AE60" s="253"/>
    </row>
    <row r="61" spans="1:31">
      <c r="A61" s="33">
        <v>60</v>
      </c>
      <c r="B61" s="69" t="s">
        <v>2468</v>
      </c>
      <c r="C61" s="69" t="s">
        <v>740</v>
      </c>
      <c r="D61" s="56">
        <v>41935</v>
      </c>
      <c r="E61" s="266"/>
      <c r="F61" s="56"/>
      <c r="G61" s="69" t="str">
        <f t="shared" si="0"/>
        <v>Both</v>
      </c>
      <c r="H61" s="69" t="s">
        <v>749</v>
      </c>
      <c r="J61" s="69" t="s">
        <v>2468</v>
      </c>
      <c r="K61" s="13" t="s">
        <v>2473</v>
      </c>
      <c r="L61" s="253">
        <v>57.431177296719056</v>
      </c>
      <c r="M61" s="253">
        <v>49.62148635531657</v>
      </c>
      <c r="N61" s="253">
        <v>43.501664131302277</v>
      </c>
      <c r="O61" s="253">
        <v>63.242460312802528</v>
      </c>
      <c r="P61" s="253">
        <v>56.133792976483655</v>
      </c>
      <c r="Q61" s="253">
        <v>59.888392857142854</v>
      </c>
      <c r="R61" s="253">
        <v>46.980513539389548</v>
      </c>
      <c r="S61" s="253">
        <v>50.916666666666664</v>
      </c>
      <c r="T61" s="253"/>
      <c r="U61" s="253">
        <v>39.700000000000003</v>
      </c>
      <c r="V61" s="253">
        <v>29.8233299186689</v>
      </c>
      <c r="W61" s="253">
        <v>40</v>
      </c>
      <c r="X61" s="253"/>
      <c r="Y61" s="253">
        <v>66.607142857142847</v>
      </c>
      <c r="Z61" s="253">
        <v>66.153846153846146</v>
      </c>
      <c r="AA61" s="253"/>
      <c r="AB61" s="253"/>
      <c r="AC61" s="253"/>
      <c r="AD61" s="253"/>
      <c r="AE61" s="253"/>
    </row>
    <row r="62" spans="1:31">
      <c r="A62" s="33">
        <v>61</v>
      </c>
      <c r="B62" s="69" t="s">
        <v>2468</v>
      </c>
      <c r="C62" s="69" t="s">
        <v>740</v>
      </c>
      <c r="D62" s="56">
        <v>41935</v>
      </c>
      <c r="E62" s="266"/>
      <c r="F62" s="56"/>
      <c r="G62" s="69" t="str">
        <f t="shared" si="0"/>
        <v>Both</v>
      </c>
      <c r="H62" s="69" t="s">
        <v>749</v>
      </c>
      <c r="J62" s="69" t="s">
        <v>2468</v>
      </c>
      <c r="K62" s="13" t="s">
        <v>554</v>
      </c>
      <c r="L62" s="253">
        <v>75.110991607094817</v>
      </c>
      <c r="M62" s="253">
        <v>63.040472976735714</v>
      </c>
      <c r="N62" s="253">
        <v>56.067347812220376</v>
      </c>
      <c r="O62" s="253">
        <v>73.468740288500015</v>
      </c>
      <c r="P62" s="253">
        <v>81.259561707125272</v>
      </c>
      <c r="Q62" s="253">
        <v>65.669642857142861</v>
      </c>
      <c r="R62" s="253">
        <v>54.82402633049378</v>
      </c>
      <c r="S62" s="253">
        <v>79.791666666666671</v>
      </c>
      <c r="T62" s="253"/>
      <c r="U62" s="253">
        <v>69.75</v>
      </c>
      <c r="V62" s="253">
        <v>46.795549184471703</v>
      </c>
      <c r="W62" s="253">
        <v>55</v>
      </c>
      <c r="X62" s="253"/>
      <c r="Y62" s="253">
        <v>84.464285714285708</v>
      </c>
      <c r="Z62" s="253">
        <v>59.230769230769234</v>
      </c>
      <c r="AA62" s="253"/>
      <c r="AB62" s="253"/>
      <c r="AC62" s="253"/>
      <c r="AD62" s="253"/>
      <c r="AE62" s="253"/>
    </row>
    <row r="63" spans="1:31">
      <c r="A63" s="33">
        <v>62</v>
      </c>
      <c r="B63" s="69" t="s">
        <v>2468</v>
      </c>
      <c r="C63" s="69" t="s">
        <v>740</v>
      </c>
      <c r="D63" s="56">
        <v>41935</v>
      </c>
      <c r="E63" s="266"/>
      <c r="F63" s="56"/>
      <c r="G63" s="69" t="str">
        <f t="shared" si="0"/>
        <v>Both</v>
      </c>
      <c r="H63" s="69" t="s">
        <v>749</v>
      </c>
      <c r="J63" s="69" t="s">
        <v>2468</v>
      </c>
      <c r="K63" s="13" t="s">
        <v>1238</v>
      </c>
      <c r="L63" s="253">
        <v>48.823483628526326</v>
      </c>
      <c r="M63" s="253">
        <v>53.622384525868782</v>
      </c>
      <c r="N63" s="253">
        <v>61.746828944729913</v>
      </c>
      <c r="O63" s="253">
        <v>73.12020562659383</v>
      </c>
      <c r="P63" s="253">
        <v>45.708355273797828</v>
      </c>
      <c r="Q63" s="253">
        <v>69.00297619047619</v>
      </c>
      <c r="R63" s="253">
        <v>53.94151847095646</v>
      </c>
      <c r="S63" s="253">
        <v>41.958333333333329</v>
      </c>
      <c r="T63" s="253"/>
      <c r="U63" s="253">
        <v>49.449999999999996</v>
      </c>
      <c r="V63" s="253">
        <v>34.314308281620633</v>
      </c>
      <c r="W63" s="253">
        <v>63</v>
      </c>
      <c r="X63" s="253"/>
      <c r="Y63" s="253">
        <v>88.928571428571416</v>
      </c>
      <c r="Z63" s="253">
        <v>56.230769230769226</v>
      </c>
      <c r="AA63" s="253"/>
      <c r="AB63" s="253"/>
      <c r="AC63" s="253"/>
      <c r="AD63" s="253"/>
      <c r="AE63" s="253"/>
    </row>
    <row r="64" spans="1:31">
      <c r="A64" s="33">
        <v>63</v>
      </c>
      <c r="B64" s="69" t="s">
        <v>1159</v>
      </c>
      <c r="C64" s="69" t="s">
        <v>740</v>
      </c>
      <c r="D64" s="56">
        <v>41943</v>
      </c>
      <c r="E64" s="266"/>
      <c r="F64" s="56"/>
      <c r="G64" s="69" t="str">
        <f t="shared" si="0"/>
        <v>User Registration</v>
      </c>
      <c r="H64" s="69" t="s">
        <v>494</v>
      </c>
      <c r="J64" s="69" t="s">
        <v>1159</v>
      </c>
      <c r="K64" s="69" t="s">
        <v>2430</v>
      </c>
      <c r="L64" s="253">
        <v>74.133680558821794</v>
      </c>
      <c r="M64" s="253">
        <v>69.501566566622472</v>
      </c>
      <c r="N64" s="253">
        <v>69.086284301340115</v>
      </c>
      <c r="O64" s="253">
        <v>72.748074043114187</v>
      </c>
      <c r="P64" s="253">
        <v>79.322306172588668</v>
      </c>
      <c r="Q64" s="253">
        <v>71.5</v>
      </c>
      <c r="R64" s="253">
        <v>67.609450662332009</v>
      </c>
      <c r="S64" s="253">
        <v>75.192307692307693</v>
      </c>
      <c r="T64" s="253"/>
      <c r="U64" s="253">
        <v>72.5</v>
      </c>
      <c r="V64" s="253"/>
      <c r="W64" s="253">
        <v>68.333333333333329</v>
      </c>
      <c r="X64" s="253">
        <v>70.476190476190482</v>
      </c>
      <c r="Y64" s="253">
        <v>79.107142857142847</v>
      </c>
      <c r="Z64" s="253">
        <v>61.846153846153847</v>
      </c>
      <c r="AA64" s="253"/>
      <c r="AB64" s="253"/>
      <c r="AC64" s="253"/>
      <c r="AD64" s="253"/>
      <c r="AE64" s="253"/>
    </row>
    <row r="65" spans="1:31">
      <c r="A65" s="33">
        <v>64</v>
      </c>
      <c r="B65" s="69" t="s">
        <v>2454</v>
      </c>
      <c r="C65" s="69" t="s">
        <v>740</v>
      </c>
      <c r="D65" s="56">
        <v>41943</v>
      </c>
      <c r="E65" s="266"/>
      <c r="F65" s="56"/>
      <c r="G65" s="69" t="str">
        <f t="shared" si="0"/>
        <v>User Registration</v>
      </c>
      <c r="H65" s="69" t="s">
        <v>2455</v>
      </c>
      <c r="J65" s="69" t="s">
        <v>1084</v>
      </c>
      <c r="K65" s="69" t="s">
        <v>2465</v>
      </c>
      <c r="L65" s="253">
        <v>65.853426854980114</v>
      </c>
      <c r="M65" s="253">
        <v>57.668158125187361</v>
      </c>
      <c r="N65" s="253">
        <v>45.09405995329432</v>
      </c>
      <c r="O65" s="253">
        <v>68.647720111190225</v>
      </c>
      <c r="P65" s="253">
        <v>66.461563286098368</v>
      </c>
      <c r="Q65" s="253">
        <v>70.178571428571431</v>
      </c>
      <c r="R65" s="253">
        <v>51.912956440922528</v>
      </c>
      <c r="S65" s="253">
        <v>70</v>
      </c>
      <c r="T65" s="253"/>
      <c r="U65" s="253">
        <v>53.684210526315788</v>
      </c>
      <c r="V65" s="253"/>
      <c r="W65" s="253">
        <v>39.285714285714285</v>
      </c>
      <c r="X65" s="253"/>
      <c r="Y65" s="253">
        <v>76.607142857142861</v>
      </c>
      <c r="Z65" s="253">
        <v>58.846153846153847</v>
      </c>
      <c r="AA65" s="253"/>
      <c r="AB65" s="253"/>
      <c r="AC65" s="253"/>
      <c r="AD65" s="253"/>
      <c r="AE65" s="253"/>
    </row>
    <row r="66" spans="1:31">
      <c r="A66" s="33">
        <v>65</v>
      </c>
      <c r="B66" s="69" t="s">
        <v>1159</v>
      </c>
      <c r="C66" s="69" t="s">
        <v>740</v>
      </c>
      <c r="D66" s="56">
        <v>41943</v>
      </c>
      <c r="G66" s="69" t="str">
        <f t="shared" ref="G66:G129" si="1">IF(V66&gt;0,IF(W66&gt;0,"Both","E-Commerce"),IF(W66=0, "ERROR","User Registration"))</f>
        <v>User Registration</v>
      </c>
      <c r="H66" s="69" t="s">
        <v>494</v>
      </c>
      <c r="J66" s="69" t="s">
        <v>1159</v>
      </c>
      <c r="K66" s="69" t="s">
        <v>1996</v>
      </c>
      <c r="L66" s="253">
        <v>59.543347062616633</v>
      </c>
      <c r="M66" s="253">
        <v>54.043696146382771</v>
      </c>
      <c r="N66" s="253">
        <v>50.95221116557412</v>
      </c>
      <c r="O66" s="253">
        <v>52.303232412844366</v>
      </c>
      <c r="P66" s="253">
        <v>63.278020655845509</v>
      </c>
      <c r="Q66" s="253">
        <v>68.160714285714278</v>
      </c>
      <c r="R66" s="253">
        <v>58.775625504439063</v>
      </c>
      <c r="S66" s="253">
        <v>55.57692307692308</v>
      </c>
      <c r="T66" s="253"/>
      <c r="U66" s="253">
        <v>36.25</v>
      </c>
      <c r="V66" s="253"/>
      <c r="W66" s="253">
        <v>54.166666666666664</v>
      </c>
      <c r="X66" s="253">
        <v>37.38095238095238</v>
      </c>
      <c r="Y66" s="253">
        <v>49.285714285714285</v>
      </c>
      <c r="Z66" s="253">
        <v>51.923076923076927</v>
      </c>
      <c r="AA66" s="253"/>
      <c r="AB66" s="253"/>
      <c r="AC66" s="253"/>
      <c r="AD66" s="253"/>
      <c r="AE66" s="253"/>
    </row>
    <row r="67" spans="1:31">
      <c r="A67" s="33">
        <v>66</v>
      </c>
      <c r="B67" s="69" t="s">
        <v>2454</v>
      </c>
      <c r="C67" s="69" t="s">
        <v>740</v>
      </c>
      <c r="D67" s="56">
        <v>41943</v>
      </c>
      <c r="G67" s="69" t="str">
        <f t="shared" si="1"/>
        <v>User Registration</v>
      </c>
      <c r="H67" s="69" t="s">
        <v>2455</v>
      </c>
      <c r="J67" s="69" t="s">
        <v>1084</v>
      </c>
      <c r="K67" s="69" t="s">
        <v>2482</v>
      </c>
      <c r="L67" s="253">
        <v>52.467488746758406</v>
      </c>
      <c r="M67" s="253">
        <v>57.018785737937527</v>
      </c>
      <c r="N67" s="253">
        <v>51.683502635101121</v>
      </c>
      <c r="O67" s="253">
        <v>44.672848169275468</v>
      </c>
      <c r="P67" s="253">
        <v>51.193860277399594</v>
      </c>
      <c r="Q67" s="253">
        <v>66.541666666666657</v>
      </c>
      <c r="R67" s="253">
        <v>59.389905593464917</v>
      </c>
      <c r="S67" s="253">
        <v>63.6</v>
      </c>
      <c r="T67" s="253"/>
      <c r="U67" s="253">
        <v>51.315789473684212</v>
      </c>
      <c r="V67" s="253"/>
      <c r="W67" s="253">
        <v>47.142857142857139</v>
      </c>
      <c r="X67" s="253"/>
      <c r="Y67" s="253">
        <v>40.178571428571431</v>
      </c>
      <c r="Z67" s="253">
        <v>39.615384615384613</v>
      </c>
      <c r="AA67" s="253"/>
      <c r="AB67" s="253"/>
      <c r="AC67" s="253"/>
      <c r="AD67" s="253"/>
      <c r="AE67" s="253"/>
    </row>
    <row r="68" spans="1:31">
      <c r="A68" s="33">
        <v>67</v>
      </c>
      <c r="B68" s="69" t="s">
        <v>2454</v>
      </c>
      <c r="C68" s="69" t="s">
        <v>740</v>
      </c>
      <c r="D68" s="56">
        <v>41943</v>
      </c>
      <c r="G68" s="69" t="str">
        <f t="shared" si="1"/>
        <v>User Registration</v>
      </c>
      <c r="H68" s="69" t="s">
        <v>2455</v>
      </c>
      <c r="J68" s="69" t="s">
        <v>1084</v>
      </c>
      <c r="K68" s="69" t="s">
        <v>929</v>
      </c>
      <c r="L68" s="253">
        <v>67.822707052065837</v>
      </c>
      <c r="M68" s="253">
        <v>60.165562062925737</v>
      </c>
      <c r="N68" s="253">
        <v>44.960833668571823</v>
      </c>
      <c r="O68" s="253">
        <v>67.143828812678038</v>
      </c>
      <c r="P68" s="253">
        <v>71.860903376763787</v>
      </c>
      <c r="Q68" s="253">
        <v>64.476190476190467</v>
      </c>
      <c r="R68" s="253">
        <v>58.882124636192422</v>
      </c>
      <c r="S68" s="253">
        <v>60.8</v>
      </c>
      <c r="T68" s="253"/>
      <c r="U68" s="253">
        <v>56.578947368421048</v>
      </c>
      <c r="V68" s="253"/>
      <c r="W68" s="253">
        <v>37.857142857142854</v>
      </c>
      <c r="X68" s="253"/>
      <c r="Y68" s="253">
        <v>70</v>
      </c>
      <c r="Z68" s="253">
        <v>66.538461538461533</v>
      </c>
      <c r="AA68" s="253"/>
      <c r="AB68" s="253"/>
      <c r="AC68" s="253"/>
      <c r="AD68" s="253"/>
      <c r="AE68" s="253"/>
    </row>
    <row r="69" spans="1:31">
      <c r="A69" s="33">
        <v>68</v>
      </c>
      <c r="B69" s="69" t="s">
        <v>1159</v>
      </c>
      <c r="C69" s="69" t="s">
        <v>740</v>
      </c>
      <c r="D69" s="56">
        <v>41943</v>
      </c>
      <c r="G69" s="69" t="str">
        <f t="shared" si="1"/>
        <v>User Registration</v>
      </c>
      <c r="H69" s="69" t="s">
        <v>494</v>
      </c>
      <c r="J69" s="69" t="s">
        <v>1159</v>
      </c>
      <c r="K69" s="69" t="s">
        <v>1159</v>
      </c>
      <c r="L69" s="253">
        <v>64.379708967683129</v>
      </c>
      <c r="M69" s="253">
        <v>57.474669008116543</v>
      </c>
      <c r="N69" s="253">
        <v>53.200289771548555</v>
      </c>
      <c r="O69" s="253">
        <v>49.941574668269581</v>
      </c>
      <c r="P69" s="253">
        <v>72.31377429329406</v>
      </c>
      <c r="Q69" s="253">
        <v>62.696428571428562</v>
      </c>
      <c r="R69" s="253">
        <v>59.964876930978619</v>
      </c>
      <c r="S69" s="253">
        <v>50.96153846153846</v>
      </c>
      <c r="T69" s="253"/>
      <c r="U69" s="253">
        <v>52.083333333333336</v>
      </c>
      <c r="V69" s="253"/>
      <c r="W69" s="253">
        <v>61.666666666666671</v>
      </c>
      <c r="X69" s="253">
        <v>33.333333333333329</v>
      </c>
      <c r="Y69" s="253">
        <v>41.607142857142861</v>
      </c>
      <c r="Z69" s="253">
        <v>59.846153846153847</v>
      </c>
      <c r="AA69" s="253"/>
      <c r="AB69" s="253"/>
      <c r="AC69" s="253"/>
      <c r="AD69" s="253"/>
      <c r="AE69" s="253"/>
    </row>
    <row r="70" spans="1:31">
      <c r="A70" s="33">
        <v>69</v>
      </c>
      <c r="B70" s="69" t="s">
        <v>2454</v>
      </c>
      <c r="C70" s="69" t="s">
        <v>740</v>
      </c>
      <c r="D70" s="56">
        <v>41943</v>
      </c>
      <c r="G70" s="69" t="str">
        <f t="shared" si="1"/>
        <v>User Registration</v>
      </c>
      <c r="H70" s="69" t="s">
        <v>2455</v>
      </c>
      <c r="J70" s="69" t="s">
        <v>1084</v>
      </c>
      <c r="K70" s="69" t="s">
        <v>1505</v>
      </c>
      <c r="L70" s="253">
        <v>59.706733440435343</v>
      </c>
      <c r="M70" s="253">
        <v>46.508910472719002</v>
      </c>
      <c r="N70" s="253">
        <v>55.820247173438275</v>
      </c>
      <c r="O70" s="253">
        <v>45.103410890823909</v>
      </c>
      <c r="P70" s="253">
        <v>62.309055577887975</v>
      </c>
      <c r="Q70" s="253">
        <v>62.678571428571423</v>
      </c>
      <c r="R70" s="253">
        <v>36.077623243046965</v>
      </c>
      <c r="S70" s="253">
        <v>58.120000000000005</v>
      </c>
      <c r="T70" s="253"/>
      <c r="U70" s="253">
        <v>46.842105263157897</v>
      </c>
      <c r="V70" s="253"/>
      <c r="W70" s="253">
        <v>60.714285714285708</v>
      </c>
      <c r="X70" s="253"/>
      <c r="Y70" s="253">
        <v>39.285714285714285</v>
      </c>
      <c r="Z70" s="253">
        <v>54.230769230769226</v>
      </c>
      <c r="AA70" s="253"/>
      <c r="AB70" s="253"/>
      <c r="AC70" s="253"/>
      <c r="AD70" s="253"/>
      <c r="AE70" s="253"/>
    </row>
    <row r="71" spans="1:31">
      <c r="A71" s="33">
        <v>70</v>
      </c>
      <c r="B71" s="69" t="s">
        <v>1159</v>
      </c>
      <c r="C71" s="69" t="s">
        <v>740</v>
      </c>
      <c r="D71" s="56">
        <v>41943</v>
      </c>
      <c r="F71" s="56"/>
      <c r="G71" s="69" t="str">
        <f t="shared" si="1"/>
        <v>User Registration</v>
      </c>
      <c r="H71" s="69" t="s">
        <v>494</v>
      </c>
      <c r="J71" s="69" t="s">
        <v>1159</v>
      </c>
      <c r="K71" s="69" t="s">
        <v>2425</v>
      </c>
      <c r="L71" s="253">
        <v>69.303157940466264</v>
      </c>
      <c r="M71" s="253">
        <v>56.691221934694703</v>
      </c>
      <c r="N71" s="253">
        <v>52.352990314769976</v>
      </c>
      <c r="O71" s="253">
        <v>73.612686883440688</v>
      </c>
      <c r="P71" s="253">
        <v>75.068443039488244</v>
      </c>
      <c r="Q71" s="253">
        <v>55.803571428571431</v>
      </c>
      <c r="R71" s="253">
        <v>55.319838579499603</v>
      </c>
      <c r="S71" s="253">
        <v>62.5</v>
      </c>
      <c r="T71" s="253"/>
      <c r="U71" s="253">
        <v>51.249999999999993</v>
      </c>
      <c r="V71" s="253"/>
      <c r="W71" s="253">
        <v>57.499999999999993</v>
      </c>
      <c r="X71" s="253">
        <v>41.428571428571431</v>
      </c>
      <c r="Y71" s="253">
        <v>83.392857142857139</v>
      </c>
      <c r="Z71" s="253">
        <v>67.153846153846146</v>
      </c>
      <c r="AA71" s="253"/>
      <c r="AB71" s="253"/>
      <c r="AC71" s="253"/>
      <c r="AD71" s="253"/>
      <c r="AE71" s="253"/>
    </row>
    <row r="72" spans="1:31">
      <c r="A72" s="33">
        <v>71</v>
      </c>
      <c r="B72" s="69" t="s">
        <v>2454</v>
      </c>
      <c r="C72" s="69" t="s">
        <v>740</v>
      </c>
      <c r="D72" s="56">
        <v>41943</v>
      </c>
      <c r="F72" s="56"/>
      <c r="G72" s="69" t="str">
        <f t="shared" si="1"/>
        <v>User Registration</v>
      </c>
      <c r="H72" s="69" t="s">
        <v>2455</v>
      </c>
      <c r="J72" s="69" t="s">
        <v>1084</v>
      </c>
      <c r="K72" s="69" t="s">
        <v>1084</v>
      </c>
      <c r="L72" s="253">
        <v>46.999999999999993</v>
      </c>
      <c r="M72" s="253">
        <v>41</v>
      </c>
      <c r="N72" s="253">
        <v>36</v>
      </c>
      <c r="O72" s="253">
        <v>51</v>
      </c>
      <c r="P72" s="253">
        <v>46</v>
      </c>
      <c r="Q72" s="253">
        <v>52</v>
      </c>
      <c r="R72" s="253">
        <v>35</v>
      </c>
      <c r="S72" s="253">
        <v>48</v>
      </c>
      <c r="T72" s="253"/>
      <c r="U72" s="253">
        <v>35</v>
      </c>
      <c r="V72" s="253"/>
      <c r="W72" s="253">
        <v>31</v>
      </c>
      <c r="X72" s="253"/>
      <c r="Y72" s="253">
        <v>44</v>
      </c>
      <c r="Z72" s="253">
        <v>54</v>
      </c>
      <c r="AA72" s="253"/>
      <c r="AB72" s="253"/>
      <c r="AC72" s="253"/>
      <c r="AD72" s="253"/>
      <c r="AE72" s="253"/>
    </row>
    <row r="73" spans="1:31">
      <c r="A73" s="33">
        <v>72</v>
      </c>
      <c r="B73" s="69" t="s">
        <v>1957</v>
      </c>
      <c r="C73" s="69" t="s">
        <v>740</v>
      </c>
      <c r="D73" s="56">
        <v>41946</v>
      </c>
      <c r="F73" s="56"/>
      <c r="G73" s="69" t="str">
        <f t="shared" si="1"/>
        <v>Both</v>
      </c>
      <c r="H73" s="69" t="s">
        <v>1956</v>
      </c>
      <c r="J73" s="69" t="s">
        <v>1957</v>
      </c>
      <c r="K73" s="89" t="s">
        <v>2479</v>
      </c>
      <c r="L73" s="253">
        <v>39.932309728541576</v>
      </c>
      <c r="M73" s="253">
        <v>49.039315082207814</v>
      </c>
      <c r="N73" s="253">
        <v>53.196495114016408</v>
      </c>
      <c r="O73" s="253">
        <v>54.990064042515449</v>
      </c>
      <c r="P73" s="253">
        <v>39.950422047350017</v>
      </c>
      <c r="Q73" s="253">
        <v>65.245535714285722</v>
      </c>
      <c r="R73" s="253">
        <v>48.499873513786987</v>
      </c>
      <c r="S73" s="253">
        <v>36</v>
      </c>
      <c r="T73" s="253"/>
      <c r="U73" s="253">
        <v>48.949999999999996</v>
      </c>
      <c r="V73" s="253">
        <v>55.134719820131437</v>
      </c>
      <c r="W73" s="253">
        <v>61</v>
      </c>
      <c r="X73" s="253"/>
      <c r="Y73" s="253">
        <v>66.964285714285708</v>
      </c>
      <c r="Z73" s="253">
        <v>35.384615384615387</v>
      </c>
      <c r="AA73" s="253"/>
      <c r="AB73" s="253"/>
      <c r="AC73" s="253"/>
      <c r="AD73" s="253"/>
      <c r="AE73" s="253"/>
    </row>
    <row r="74" spans="1:31">
      <c r="A74" s="33">
        <v>73</v>
      </c>
      <c r="B74" s="69" t="s">
        <v>1957</v>
      </c>
      <c r="C74" s="69" t="s">
        <v>740</v>
      </c>
      <c r="D74" s="56">
        <v>41946</v>
      </c>
      <c r="F74" s="56"/>
      <c r="G74" s="69" t="str">
        <f t="shared" si="1"/>
        <v>Both</v>
      </c>
      <c r="H74" s="69" t="s">
        <v>1956</v>
      </c>
      <c r="J74" s="69" t="s">
        <v>1957</v>
      </c>
      <c r="K74" s="89" t="s">
        <v>2480</v>
      </c>
      <c r="L74" s="253">
        <v>51.758513253628266</v>
      </c>
      <c r="M74" s="253">
        <v>51.981025084345568</v>
      </c>
      <c r="N74" s="253">
        <v>66.913401013917948</v>
      </c>
      <c r="O74" s="253">
        <v>63.851757220504602</v>
      </c>
      <c r="P74" s="253">
        <v>48.542002959375843</v>
      </c>
      <c r="Q74" s="253">
        <v>80.892857142857125</v>
      </c>
      <c r="R74" s="253">
        <v>45.421199089299265</v>
      </c>
      <c r="S74" s="253">
        <v>47.08</v>
      </c>
      <c r="T74" s="253"/>
      <c r="U74" s="253">
        <v>47.15</v>
      </c>
      <c r="V74" s="253">
        <v>54.400345901072299</v>
      </c>
      <c r="W74" s="253">
        <v>67.142857142857139</v>
      </c>
      <c r="X74" s="253"/>
      <c r="Y74" s="253">
        <v>72.321428571428569</v>
      </c>
      <c r="Z74" s="253">
        <v>54.230769230769226</v>
      </c>
      <c r="AA74" s="253"/>
      <c r="AB74" s="253"/>
      <c r="AC74" s="253"/>
      <c r="AD74" s="253"/>
      <c r="AE74" s="253"/>
    </row>
    <row r="75" spans="1:31">
      <c r="A75" s="33">
        <v>74</v>
      </c>
      <c r="B75" s="69" t="s">
        <v>1957</v>
      </c>
      <c r="C75" s="69" t="s">
        <v>740</v>
      </c>
      <c r="D75" s="56">
        <v>41946</v>
      </c>
      <c r="F75" s="56"/>
      <c r="G75" s="69" t="str">
        <f t="shared" si="1"/>
        <v>Both</v>
      </c>
      <c r="H75" s="69" t="s">
        <v>1956</v>
      </c>
      <c r="J75" s="69" t="s">
        <v>1957</v>
      </c>
      <c r="K75" s="69" t="s">
        <v>1957</v>
      </c>
      <c r="L75" s="253">
        <v>56.622930794655986</v>
      </c>
      <c r="M75" s="253">
        <v>51.886838419626514</v>
      </c>
      <c r="N75" s="253">
        <v>58.575371299944479</v>
      </c>
      <c r="O75" s="253">
        <v>60.65209873858349</v>
      </c>
      <c r="P75" s="253">
        <v>51.180906722749938</v>
      </c>
      <c r="Q75" s="253">
        <v>62.611607142857139</v>
      </c>
      <c r="R75" s="253">
        <v>43.835617961598224</v>
      </c>
      <c r="S75" s="253">
        <v>56.64</v>
      </c>
      <c r="T75" s="253"/>
      <c r="U75" s="253">
        <v>49.55</v>
      </c>
      <c r="V75" s="253">
        <v>53.32893262911422</v>
      </c>
      <c r="W75" s="253">
        <v>53.571428571428569</v>
      </c>
      <c r="X75" s="253"/>
      <c r="Y75" s="253">
        <v>60.892857142857139</v>
      </c>
      <c r="Z75" s="253">
        <v>67.307692307692307</v>
      </c>
      <c r="AA75" s="253"/>
      <c r="AB75" s="253"/>
      <c r="AC75" s="253"/>
      <c r="AD75" s="253"/>
      <c r="AE75" s="253"/>
    </row>
    <row r="76" spans="1:31">
      <c r="A76" s="33">
        <v>75</v>
      </c>
      <c r="B76" s="69" t="s">
        <v>1957</v>
      </c>
      <c r="C76" s="69" t="s">
        <v>740</v>
      </c>
      <c r="D76" s="56">
        <v>41946</v>
      </c>
      <c r="F76" s="56"/>
      <c r="G76" s="69" t="str">
        <f t="shared" si="1"/>
        <v>Both</v>
      </c>
      <c r="H76" s="69" t="s">
        <v>1956</v>
      </c>
      <c r="J76" s="69" t="s">
        <v>1957</v>
      </c>
      <c r="K76" s="272" t="s">
        <v>2481</v>
      </c>
      <c r="L76" s="253">
        <v>48.244459917604587</v>
      </c>
      <c r="M76" s="253">
        <v>50.76839297867712</v>
      </c>
      <c r="N76" s="253">
        <v>61.748447021450325</v>
      </c>
      <c r="O76" s="253">
        <v>63.433926730465259</v>
      </c>
      <c r="P76" s="253">
        <v>44.579061122493322</v>
      </c>
      <c r="Q76" s="253">
        <v>79.642857142857139</v>
      </c>
      <c r="R76" s="253">
        <v>44.675270972387089</v>
      </c>
      <c r="S76" s="253">
        <v>39.96</v>
      </c>
      <c r="T76" s="253"/>
      <c r="U76" s="253">
        <v>47.849999999999994</v>
      </c>
      <c r="V76" s="253">
        <v>53.109891440278844</v>
      </c>
      <c r="W76" s="253">
        <v>63.285714285714292</v>
      </c>
      <c r="X76" s="253"/>
      <c r="Y76" s="253">
        <v>72.321428571428569</v>
      </c>
      <c r="Z76" s="253">
        <v>54.615384615384606</v>
      </c>
      <c r="AA76" s="253"/>
      <c r="AB76" s="253"/>
      <c r="AC76" s="253"/>
      <c r="AD76" s="253"/>
      <c r="AE76" s="253"/>
    </row>
    <row r="77" spans="1:31">
      <c r="A77" s="33">
        <v>76</v>
      </c>
      <c r="B77" s="69" t="s">
        <v>1957</v>
      </c>
      <c r="C77" s="69" t="s">
        <v>740</v>
      </c>
      <c r="D77" s="56">
        <v>41946</v>
      </c>
      <c r="F77" s="56"/>
      <c r="G77" s="69" t="str">
        <f t="shared" si="1"/>
        <v>Both</v>
      </c>
      <c r="H77" s="69" t="s">
        <v>1956</v>
      </c>
      <c r="J77" s="69" t="s">
        <v>1957</v>
      </c>
      <c r="K77" s="89" t="s">
        <v>1958</v>
      </c>
      <c r="L77" s="253">
        <v>49.109816934813907</v>
      </c>
      <c r="M77" s="253">
        <v>51.343416177117398</v>
      </c>
      <c r="N77" s="253">
        <v>54.367753669231021</v>
      </c>
      <c r="O77" s="253">
        <v>59.881082834277308</v>
      </c>
      <c r="P77" s="253">
        <v>50.596482378262039</v>
      </c>
      <c r="Q77" s="253">
        <v>55.848214285714278</v>
      </c>
      <c r="R77" s="253">
        <v>49.103212749810268</v>
      </c>
      <c r="S77" s="253">
        <v>37.119999999999997</v>
      </c>
      <c r="T77" s="253"/>
      <c r="U77" s="253">
        <v>55.25</v>
      </c>
      <c r="V77" s="253">
        <v>55.727810446212388</v>
      </c>
      <c r="W77" s="253">
        <v>57.142857142857139</v>
      </c>
      <c r="X77" s="253"/>
      <c r="Y77" s="253">
        <v>66.964285714285708</v>
      </c>
      <c r="Z77" s="253">
        <v>55.384615384615387</v>
      </c>
      <c r="AA77" s="253"/>
      <c r="AB77" s="253"/>
      <c r="AC77" s="253"/>
      <c r="AD77" s="253"/>
      <c r="AE77" s="253"/>
    </row>
    <row r="78" spans="1:31">
      <c r="A78" s="33">
        <v>77</v>
      </c>
      <c r="B78" s="13" t="s">
        <v>2475</v>
      </c>
      <c r="C78" s="69" t="s">
        <v>740</v>
      </c>
      <c r="D78" s="56">
        <v>41948</v>
      </c>
      <c r="E78" s="266"/>
      <c r="F78" s="56"/>
      <c r="G78" s="69" t="str">
        <f t="shared" si="1"/>
        <v>User Registration</v>
      </c>
      <c r="H78" s="69" t="s">
        <v>2476</v>
      </c>
      <c r="J78" s="13" t="s">
        <v>2431</v>
      </c>
      <c r="K78" s="13" t="s">
        <v>2431</v>
      </c>
      <c r="L78" s="253">
        <v>62.128803148022278</v>
      </c>
      <c r="M78" s="253">
        <v>55.86952430308002</v>
      </c>
      <c r="N78" s="253">
        <v>48.358381950214202</v>
      </c>
      <c r="O78" s="253">
        <v>57.497546649531479</v>
      </c>
      <c r="P78" s="253">
        <v>68.17342262257516</v>
      </c>
      <c r="Q78" s="253">
        <v>70.089285714285722</v>
      </c>
      <c r="R78" s="253">
        <v>51.465314346670276</v>
      </c>
      <c r="S78" s="253">
        <v>55.192307692307693</v>
      </c>
      <c r="T78" s="253"/>
      <c r="U78" s="253">
        <v>58.333333333333336</v>
      </c>
      <c r="V78" s="253"/>
      <c r="W78" s="253">
        <v>44.166666666666664</v>
      </c>
      <c r="X78" s="253"/>
      <c r="Y78" s="253">
        <v>60.270270270270267</v>
      </c>
      <c r="Z78" s="253">
        <v>52.307692307692307</v>
      </c>
      <c r="AA78" s="253"/>
      <c r="AB78" s="253"/>
      <c r="AC78" s="253"/>
      <c r="AD78" s="253"/>
      <c r="AE78" s="253"/>
    </row>
    <row r="79" spans="1:31">
      <c r="A79" s="33">
        <v>78</v>
      </c>
      <c r="B79" s="13" t="s">
        <v>2475</v>
      </c>
      <c r="C79" s="69" t="s">
        <v>740</v>
      </c>
      <c r="D79" s="56">
        <v>41949</v>
      </c>
      <c r="E79" s="266"/>
      <c r="F79" s="56"/>
      <c r="G79" s="69" t="str">
        <f t="shared" si="1"/>
        <v>User Registration</v>
      </c>
      <c r="H79" s="69" t="s">
        <v>2476</v>
      </c>
      <c r="J79" s="13" t="s">
        <v>2431</v>
      </c>
      <c r="K79" s="13" t="s">
        <v>2478</v>
      </c>
      <c r="L79" s="253">
        <v>50.693281928103026</v>
      </c>
      <c r="M79" s="253">
        <v>51.019190149914991</v>
      </c>
      <c r="N79" s="253">
        <v>44.812121844646683</v>
      </c>
      <c r="O79" s="253">
        <v>54.728275192191333</v>
      </c>
      <c r="P79" s="253">
        <v>55.615174531245323</v>
      </c>
      <c r="Q79" s="253">
        <v>71.053571428571431</v>
      </c>
      <c r="R79" s="253">
        <v>53.287358757062144</v>
      </c>
      <c r="S79" s="253">
        <v>44.42307692307692</v>
      </c>
      <c r="T79" s="253"/>
      <c r="U79" s="253">
        <v>44.583333333333336</v>
      </c>
      <c r="V79" s="253"/>
      <c r="W79" s="253">
        <v>38.333333333333336</v>
      </c>
      <c r="X79" s="253"/>
      <c r="Y79" s="253">
        <v>62.432432432432428</v>
      </c>
      <c r="Z79" s="253">
        <v>38.692307692307693</v>
      </c>
      <c r="AA79" s="253"/>
      <c r="AB79" s="253"/>
      <c r="AC79" s="253"/>
      <c r="AD79" s="253"/>
      <c r="AE79" s="253"/>
    </row>
    <row r="80" spans="1:31">
      <c r="A80" s="33">
        <v>79</v>
      </c>
      <c r="B80" s="13" t="s">
        <v>2475</v>
      </c>
      <c r="C80" s="69" t="s">
        <v>740</v>
      </c>
      <c r="D80" s="56">
        <v>41950</v>
      </c>
      <c r="F80" s="56"/>
      <c r="G80" s="69" t="str">
        <f t="shared" si="1"/>
        <v>User Registration</v>
      </c>
      <c r="H80" s="69" t="s">
        <v>2476</v>
      </c>
      <c r="J80" s="13" t="s">
        <v>2431</v>
      </c>
      <c r="K80" s="13" t="s">
        <v>1667</v>
      </c>
      <c r="L80" s="253">
        <v>51.650922198112468</v>
      </c>
      <c r="M80" s="253">
        <v>49.154009914535514</v>
      </c>
      <c r="N80" s="253">
        <v>42.464982678289957</v>
      </c>
      <c r="O80" s="253">
        <v>42.799590644957505</v>
      </c>
      <c r="P80" s="253">
        <v>69.649813391515352</v>
      </c>
      <c r="Q80" s="253">
        <v>58.102678571428569</v>
      </c>
      <c r="R80" s="253">
        <v>56.751632548242725</v>
      </c>
      <c r="S80" s="253">
        <v>59.153846153846153</v>
      </c>
      <c r="T80" s="253"/>
      <c r="U80" s="253">
        <v>47.166666666666664</v>
      </c>
      <c r="V80" s="253"/>
      <c r="W80" s="253">
        <v>35.833333333333336</v>
      </c>
      <c r="X80" s="253"/>
      <c r="Y80" s="253">
        <v>58.243243243243249</v>
      </c>
      <c r="Z80" s="253">
        <v>0</v>
      </c>
      <c r="AA80" s="253"/>
      <c r="AB80" s="253"/>
      <c r="AC80" s="253"/>
      <c r="AD80" s="253"/>
      <c r="AE80" s="253"/>
    </row>
    <row r="81" spans="1:31">
      <c r="A81" s="33">
        <v>80</v>
      </c>
      <c r="B81" s="69" t="s">
        <v>2475</v>
      </c>
      <c r="C81" s="69" t="s">
        <v>740</v>
      </c>
      <c r="D81" s="56">
        <v>41951</v>
      </c>
      <c r="G81" s="69" t="str">
        <f t="shared" si="1"/>
        <v>User Registration</v>
      </c>
      <c r="H81" s="69" t="s">
        <v>2476</v>
      </c>
      <c r="J81" s="69" t="s">
        <v>2431</v>
      </c>
      <c r="K81" s="69" t="s">
        <v>2477</v>
      </c>
      <c r="L81" s="253">
        <v>54.284451142684844</v>
      </c>
      <c r="M81" s="253">
        <v>51.56609423152878</v>
      </c>
      <c r="N81" s="253">
        <v>52.766832957613204</v>
      </c>
      <c r="O81" s="253">
        <v>61.403267544190832</v>
      </c>
      <c r="P81" s="253">
        <v>58.279852049890891</v>
      </c>
      <c r="Q81" s="253">
        <v>63.446428571428569</v>
      </c>
      <c r="R81" s="253">
        <v>45.538700564971748</v>
      </c>
      <c r="S81" s="253">
        <v>41.192307692307693</v>
      </c>
      <c r="T81" s="253"/>
      <c r="U81" s="253">
        <v>61</v>
      </c>
      <c r="V81" s="253"/>
      <c r="W81" s="253">
        <v>53.333333333333329</v>
      </c>
      <c r="X81" s="253"/>
      <c r="Y81" s="253">
        <v>69.594594594594597</v>
      </c>
      <c r="Z81" s="253">
        <v>55</v>
      </c>
      <c r="AA81" s="253"/>
      <c r="AB81" s="253"/>
      <c r="AC81" s="253"/>
      <c r="AD81" s="253"/>
      <c r="AE81" s="253"/>
    </row>
    <row r="82" spans="1:31">
      <c r="A82" s="33">
        <v>81</v>
      </c>
      <c r="B82" s="69" t="s">
        <v>2475</v>
      </c>
      <c r="C82" s="69" t="s">
        <v>740</v>
      </c>
      <c r="D82" s="56">
        <v>41952</v>
      </c>
      <c r="G82" s="69" t="str">
        <f t="shared" si="1"/>
        <v>User Registration</v>
      </c>
      <c r="H82" s="69" t="s">
        <v>2476</v>
      </c>
      <c r="J82" s="69" t="s">
        <v>2431</v>
      </c>
      <c r="K82" s="69" t="s">
        <v>2432</v>
      </c>
      <c r="L82" s="253">
        <v>57.566093279513559</v>
      </c>
      <c r="M82" s="253">
        <v>51.19070654822999</v>
      </c>
      <c r="N82" s="253">
        <v>56.721403210319778</v>
      </c>
      <c r="O82" s="253">
        <v>59.993064645320437</v>
      </c>
      <c r="P82" s="253">
        <v>61.611925570016133</v>
      </c>
      <c r="Q82" s="253">
        <v>64.71875</v>
      </c>
      <c r="R82" s="253">
        <v>41.794073849878927</v>
      </c>
      <c r="S82" s="253">
        <v>55.230769230769226</v>
      </c>
      <c r="T82" s="253"/>
      <c r="U82" s="253">
        <v>61</v>
      </c>
      <c r="V82" s="253"/>
      <c r="W82" s="253">
        <v>60</v>
      </c>
      <c r="X82" s="253"/>
      <c r="Y82" s="253">
        <v>69.594594594594597</v>
      </c>
      <c r="Z82" s="253">
        <v>48.07692307692308</v>
      </c>
      <c r="AA82" s="253"/>
      <c r="AB82" s="253"/>
      <c r="AC82" s="253"/>
      <c r="AD82" s="253"/>
      <c r="AE82" s="253"/>
    </row>
    <row r="83" spans="1:31">
      <c r="A83" s="33">
        <v>82</v>
      </c>
      <c r="B83" s="69" t="s">
        <v>79</v>
      </c>
      <c r="C83" s="69" t="s">
        <v>740</v>
      </c>
      <c r="D83" s="56">
        <v>41953</v>
      </c>
      <c r="F83" s="56"/>
      <c r="G83" s="69" t="str">
        <f t="shared" si="1"/>
        <v>E-Commerce</v>
      </c>
      <c r="H83" s="69" t="s">
        <v>2474</v>
      </c>
      <c r="J83" s="13" t="s">
        <v>554</v>
      </c>
      <c r="K83" s="280" t="s">
        <v>2380</v>
      </c>
      <c r="L83" s="253">
        <v>55.74973613956665</v>
      </c>
      <c r="M83" s="253">
        <v>57.877042232239042</v>
      </c>
      <c r="N83" s="253">
        <v>57.002595276349076</v>
      </c>
      <c r="O83" s="253">
        <v>72.769552607343655</v>
      </c>
      <c r="P83" s="253">
        <v>55.167939405227536</v>
      </c>
      <c r="Q83" s="253">
        <v>50.038095238095238</v>
      </c>
      <c r="R83" s="253">
        <v>70.000331685959722</v>
      </c>
      <c r="S83" s="253">
        <v>50.846774193548384</v>
      </c>
      <c r="T83" s="253"/>
      <c r="U83" s="253">
        <v>42.407407407407405</v>
      </c>
      <c r="V83" s="253">
        <v>57.921686746987952</v>
      </c>
      <c r="W83" s="253"/>
      <c r="X83" s="253"/>
      <c r="Y83" s="253">
        <v>85.13513513513513</v>
      </c>
      <c r="Z83" s="253">
        <v>58.07692307692308</v>
      </c>
      <c r="AA83" s="253"/>
      <c r="AB83" s="253"/>
      <c r="AC83" s="253"/>
      <c r="AD83" s="253"/>
      <c r="AE83" s="253"/>
    </row>
    <row r="84" spans="1:31">
      <c r="A84" s="33">
        <v>83</v>
      </c>
      <c r="B84" s="69" t="s">
        <v>79</v>
      </c>
      <c r="C84" s="69" t="s">
        <v>740</v>
      </c>
      <c r="D84" s="56">
        <v>41953</v>
      </c>
      <c r="F84" s="56"/>
      <c r="G84" s="69" t="str">
        <f t="shared" si="1"/>
        <v>E-Commerce</v>
      </c>
      <c r="H84" s="69" t="s">
        <v>2474</v>
      </c>
      <c r="J84" s="13" t="s">
        <v>554</v>
      </c>
      <c r="K84" s="69" t="s">
        <v>1054</v>
      </c>
      <c r="L84" s="253">
        <v>47.471712728818332</v>
      </c>
      <c r="M84" s="253">
        <v>48.413835325096152</v>
      </c>
      <c r="N84" s="253">
        <v>44.657475035478903</v>
      </c>
      <c r="O84" s="253">
        <v>64.466399518146048</v>
      </c>
      <c r="P84" s="253">
        <v>44.012717834099838</v>
      </c>
      <c r="Q84" s="253">
        <v>53.424999999999997</v>
      </c>
      <c r="R84" s="253">
        <v>47.423999265188023</v>
      </c>
      <c r="S84" s="253">
        <v>45.725806451612904</v>
      </c>
      <c r="T84" s="253"/>
      <c r="U84" s="253">
        <v>44.111111111111114</v>
      </c>
      <c r="V84" s="253">
        <v>46.855421686746986</v>
      </c>
      <c r="W84" s="253"/>
      <c r="X84" s="253"/>
      <c r="Y84" s="253">
        <v>72.432432432432435</v>
      </c>
      <c r="Z84" s="253">
        <v>61.307692307692307</v>
      </c>
      <c r="AA84" s="253"/>
      <c r="AB84" s="253"/>
      <c r="AC84" s="253"/>
      <c r="AD84" s="253"/>
      <c r="AE84" s="253"/>
    </row>
    <row r="85" spans="1:31">
      <c r="A85" s="33">
        <v>84</v>
      </c>
      <c r="B85" s="69" t="s">
        <v>79</v>
      </c>
      <c r="C85" s="69" t="s">
        <v>740</v>
      </c>
      <c r="D85" s="56">
        <v>41953</v>
      </c>
      <c r="F85" s="56"/>
      <c r="G85" s="69" t="str">
        <f t="shared" si="1"/>
        <v>E-Commerce</v>
      </c>
      <c r="H85" s="69" t="s">
        <v>2474</v>
      </c>
      <c r="J85" s="13" t="s">
        <v>554</v>
      </c>
      <c r="K85" s="69" t="s">
        <v>373</v>
      </c>
      <c r="L85" s="253">
        <v>53.379201589371085</v>
      </c>
      <c r="M85" s="253">
        <v>45.937946532806457</v>
      </c>
      <c r="N85" s="253">
        <v>41.930770191423527</v>
      </c>
      <c r="O85" s="253">
        <v>60.676327043021459</v>
      </c>
      <c r="P85" s="253">
        <v>51.320155832867698</v>
      </c>
      <c r="Q85" s="253">
        <v>53.183928571428574</v>
      </c>
      <c r="R85" s="253">
        <v>40.770705496036349</v>
      </c>
      <c r="S85" s="253">
        <v>41.12903225806452</v>
      </c>
      <c r="T85" s="253"/>
      <c r="U85" s="253">
        <v>50.74074074074074</v>
      </c>
      <c r="V85" s="253">
        <v>42.168674698795179</v>
      </c>
      <c r="W85" s="253"/>
      <c r="X85" s="253"/>
      <c r="Y85" s="253">
        <v>66.891891891891902</v>
      </c>
      <c r="Z85" s="253">
        <v>61.615384615384613</v>
      </c>
      <c r="AA85" s="253"/>
      <c r="AB85" s="253"/>
      <c r="AC85" s="253"/>
      <c r="AD85" s="253"/>
      <c r="AE85" s="253"/>
    </row>
    <row r="86" spans="1:31">
      <c r="A86" s="33">
        <v>85</v>
      </c>
      <c r="B86" s="69" t="s">
        <v>79</v>
      </c>
      <c r="C86" s="69" t="s">
        <v>740</v>
      </c>
      <c r="D86" s="56">
        <v>41953</v>
      </c>
      <c r="F86" s="56"/>
      <c r="G86" s="69" t="str">
        <f t="shared" si="1"/>
        <v>E-Commerce</v>
      </c>
      <c r="H86" s="69" t="s">
        <v>2474</v>
      </c>
      <c r="J86" s="13" t="s">
        <v>554</v>
      </c>
      <c r="K86" s="69" t="s">
        <v>669</v>
      </c>
      <c r="L86" s="253">
        <v>49.497427619461519</v>
      </c>
      <c r="M86" s="253">
        <v>64.352571300979704</v>
      </c>
      <c r="N86" s="253">
        <v>64.90305364498839</v>
      </c>
      <c r="O86" s="253">
        <v>70.241916736731369</v>
      </c>
      <c r="P86" s="253">
        <v>47.102553755096132</v>
      </c>
      <c r="Q86" s="253">
        <v>63.196428571428562</v>
      </c>
      <c r="R86" s="253">
        <v>72.266078476898059</v>
      </c>
      <c r="S86" s="253">
        <v>53.104838709677416</v>
      </c>
      <c r="T86" s="253"/>
      <c r="U86" s="253">
        <v>58.518518518518512</v>
      </c>
      <c r="V86" s="253">
        <v>64.439759036144579</v>
      </c>
      <c r="W86" s="253"/>
      <c r="X86" s="253"/>
      <c r="Y86" s="253">
        <v>77.837837837837839</v>
      </c>
      <c r="Z86" s="253">
        <v>59.07692307692308</v>
      </c>
      <c r="AA86" s="253"/>
      <c r="AB86" s="253"/>
      <c r="AC86" s="253"/>
      <c r="AD86" s="253"/>
      <c r="AE86" s="253"/>
    </row>
    <row r="87" spans="1:31">
      <c r="A87" s="33">
        <v>86</v>
      </c>
      <c r="B87" s="69" t="s">
        <v>79</v>
      </c>
      <c r="C87" s="69" t="s">
        <v>740</v>
      </c>
      <c r="D87" s="56">
        <v>41953</v>
      </c>
      <c r="F87" s="56"/>
      <c r="G87" s="69" t="str">
        <f t="shared" si="1"/>
        <v>E-Commerce</v>
      </c>
      <c r="H87" s="69" t="s">
        <v>2474</v>
      </c>
      <c r="J87" s="13" t="s">
        <v>554</v>
      </c>
      <c r="K87" s="89" t="s">
        <v>1052</v>
      </c>
      <c r="L87" s="253">
        <v>58.915585356263321</v>
      </c>
      <c r="M87" s="253">
        <v>61.532017255225668</v>
      </c>
      <c r="N87" s="253">
        <v>60.691001590909167</v>
      </c>
      <c r="O87" s="253">
        <v>64.55730755724889</v>
      </c>
      <c r="P87" s="253">
        <v>60.202174003021454</v>
      </c>
      <c r="Q87" s="253">
        <v>67.637499999999989</v>
      </c>
      <c r="R87" s="253">
        <v>55.008457991973202</v>
      </c>
      <c r="S87" s="253">
        <v>61.16935483870968</v>
      </c>
      <c r="T87" s="253"/>
      <c r="U87" s="253">
        <v>73.444444444444443</v>
      </c>
      <c r="V87" s="253">
        <v>63.102409638554214</v>
      </c>
      <c r="W87" s="253"/>
      <c r="X87" s="253"/>
      <c r="Y87" s="253">
        <v>71.891891891891888</v>
      </c>
      <c r="Z87" s="253">
        <v>53.769230769230766</v>
      </c>
      <c r="AA87" s="253"/>
      <c r="AB87" s="253"/>
      <c r="AC87" s="253"/>
      <c r="AD87" s="253"/>
      <c r="AE87" s="253"/>
    </row>
    <row r="88" spans="1:31">
      <c r="A88" s="33">
        <v>87</v>
      </c>
      <c r="B88" s="69" t="s">
        <v>79</v>
      </c>
      <c r="C88" s="69" t="s">
        <v>740</v>
      </c>
      <c r="D88" s="56">
        <v>41953</v>
      </c>
      <c r="F88" s="56"/>
      <c r="G88" s="69" t="str">
        <f t="shared" si="1"/>
        <v>E-Commerce</v>
      </c>
      <c r="H88" s="69" t="s">
        <v>2474</v>
      </c>
      <c r="J88" s="13" t="s">
        <v>554</v>
      </c>
      <c r="K88" s="13" t="s">
        <v>554</v>
      </c>
      <c r="L88" s="253">
        <v>74.825583079820362</v>
      </c>
      <c r="M88" s="253">
        <v>65.93424284806818</v>
      </c>
      <c r="N88" s="253">
        <v>67</v>
      </c>
      <c r="O88" s="253">
        <v>70.211429694610473</v>
      </c>
      <c r="P88" s="253">
        <v>78.724286542083149</v>
      </c>
      <c r="Q88" s="253">
        <v>60.87083333333333</v>
      </c>
      <c r="R88" s="253">
        <v>61.191316461574182</v>
      </c>
      <c r="S88" s="253">
        <v>72.177419354838705</v>
      </c>
      <c r="T88" s="253"/>
      <c r="U88" s="253">
        <v>70.925925925925924</v>
      </c>
      <c r="V88" s="253">
        <v>73.072289156626496</v>
      </c>
      <c r="W88" s="253"/>
      <c r="X88" s="253"/>
      <c r="Y88" s="253">
        <v>78.243243243243242</v>
      </c>
      <c r="Z88" s="253">
        <v>59.230769230769234</v>
      </c>
      <c r="AA88" s="253"/>
      <c r="AB88" s="253"/>
      <c r="AC88" s="253"/>
      <c r="AD88" s="253"/>
      <c r="AE88" s="253"/>
    </row>
    <row r="89" spans="1:31">
      <c r="A89" s="33">
        <v>88</v>
      </c>
      <c r="B89" s="69" t="s">
        <v>2152</v>
      </c>
      <c r="C89" s="69" t="s">
        <v>740</v>
      </c>
      <c r="D89" s="56">
        <v>41953</v>
      </c>
      <c r="F89" s="56"/>
      <c r="G89" s="69" t="str">
        <f t="shared" si="1"/>
        <v>E-Commerce</v>
      </c>
      <c r="H89" s="69" t="s">
        <v>2474</v>
      </c>
      <c r="J89" s="69" t="s">
        <v>2152</v>
      </c>
      <c r="K89" s="89" t="s">
        <v>2154</v>
      </c>
      <c r="L89" s="253">
        <v>58.573476096553009</v>
      </c>
      <c r="M89" s="253">
        <v>52.275466256073379</v>
      </c>
      <c r="N89" s="253">
        <v>39.711740515537599</v>
      </c>
      <c r="O89" s="253">
        <v>62.122369487047258</v>
      </c>
      <c r="P89" s="253">
        <v>62.043768197614348</v>
      </c>
      <c r="Q89" s="253">
        <v>60.292857142857144</v>
      </c>
      <c r="R89" s="253">
        <v>50.949872045762454</v>
      </c>
      <c r="S89" s="253">
        <v>60.887096774193552</v>
      </c>
      <c r="T89" s="253"/>
      <c r="U89" s="253">
        <v>55.925925925925924</v>
      </c>
      <c r="V89" s="253">
        <v>45.090361445783131</v>
      </c>
      <c r="W89" s="253"/>
      <c r="X89" s="253"/>
      <c r="Y89" s="253">
        <v>73.378378378378386</v>
      </c>
      <c r="Z89" s="253">
        <v>44.692307692307693</v>
      </c>
      <c r="AA89" s="253"/>
      <c r="AB89" s="253"/>
      <c r="AC89" s="253"/>
      <c r="AD89" s="253"/>
      <c r="AE89" s="253"/>
    </row>
    <row r="90" spans="1:31">
      <c r="A90" s="33">
        <v>89</v>
      </c>
      <c r="B90" s="69" t="s">
        <v>2152</v>
      </c>
      <c r="C90" s="69" t="s">
        <v>740</v>
      </c>
      <c r="D90" s="56">
        <v>41953</v>
      </c>
      <c r="F90" s="56"/>
      <c r="G90" s="69" t="str">
        <f t="shared" si="1"/>
        <v>E-Commerce</v>
      </c>
      <c r="H90" s="69" t="s">
        <v>2474</v>
      </c>
      <c r="J90" s="69" t="s">
        <v>2152</v>
      </c>
      <c r="K90" s="89" t="s">
        <v>385</v>
      </c>
      <c r="L90" s="253">
        <v>61.265049313202276</v>
      </c>
      <c r="M90" s="253">
        <v>68.998354190164662</v>
      </c>
      <c r="N90" s="253">
        <v>44.475985216644993</v>
      </c>
      <c r="O90" s="253">
        <v>73.525258668574097</v>
      </c>
      <c r="P90" s="253">
        <v>63.273619333810551</v>
      </c>
      <c r="Q90" s="253">
        <v>61.482142857142861</v>
      </c>
      <c r="R90" s="253">
        <v>72.947900073509544</v>
      </c>
      <c r="S90" s="253">
        <v>72.096774193548384</v>
      </c>
      <c r="T90" s="253"/>
      <c r="U90" s="253">
        <v>75.481481481481481</v>
      </c>
      <c r="V90" s="253">
        <v>65.150602409638552</v>
      </c>
      <c r="W90" s="253"/>
      <c r="X90" s="253"/>
      <c r="Y90" s="253">
        <v>85.13513513513513</v>
      </c>
      <c r="Z90" s="253">
        <v>53.230769230769226</v>
      </c>
      <c r="AA90" s="253"/>
      <c r="AB90" s="253"/>
      <c r="AC90" s="253"/>
      <c r="AD90" s="253"/>
      <c r="AE90" s="253"/>
    </row>
    <row r="91" spans="1:31">
      <c r="A91" s="33">
        <v>90</v>
      </c>
      <c r="B91" s="69" t="s">
        <v>2152</v>
      </c>
      <c r="C91" s="69" t="s">
        <v>740</v>
      </c>
      <c r="D91" s="56">
        <v>41953</v>
      </c>
      <c r="F91" s="56"/>
      <c r="G91" s="69" t="str">
        <f t="shared" si="1"/>
        <v>E-Commerce</v>
      </c>
      <c r="H91" s="69" t="s">
        <v>2474</v>
      </c>
      <c r="J91" s="69" t="s">
        <v>2152</v>
      </c>
      <c r="K91" s="89" t="s">
        <v>2153</v>
      </c>
      <c r="L91" s="253">
        <v>62.258955733532019</v>
      </c>
      <c r="M91" s="253">
        <v>54.810299157368249</v>
      </c>
      <c r="N91" s="253">
        <v>36.833644106074367</v>
      </c>
      <c r="O91" s="253">
        <v>68.881153812484612</v>
      </c>
      <c r="P91" s="253">
        <v>66.61215620537655</v>
      </c>
      <c r="Q91" s="253">
        <v>57.935714285714276</v>
      </c>
      <c r="R91" s="253">
        <v>56.523334107267232</v>
      </c>
      <c r="S91" s="253">
        <v>62.177419354838712</v>
      </c>
      <c r="T91" s="253"/>
      <c r="U91" s="253">
        <v>58.814814814814817</v>
      </c>
      <c r="V91" s="253">
        <v>46.066265060240958</v>
      </c>
      <c r="W91" s="253"/>
      <c r="X91" s="253"/>
      <c r="Y91" s="253">
        <v>85.13513513513513</v>
      </c>
      <c r="Z91" s="253">
        <v>44.846153846153847</v>
      </c>
      <c r="AA91" s="253"/>
      <c r="AB91" s="253"/>
      <c r="AC91" s="253"/>
      <c r="AD91" s="253"/>
      <c r="AE91" s="253"/>
    </row>
    <row r="92" spans="1:31">
      <c r="A92" s="33">
        <v>91</v>
      </c>
      <c r="B92" s="69" t="s">
        <v>2152</v>
      </c>
      <c r="C92" s="69" t="s">
        <v>740</v>
      </c>
      <c r="D92" s="56">
        <v>41953</v>
      </c>
      <c r="F92" s="56"/>
      <c r="G92" s="69" t="str">
        <f t="shared" si="1"/>
        <v>E-Commerce</v>
      </c>
      <c r="H92" s="69" t="s">
        <v>2474</v>
      </c>
      <c r="J92" s="69" t="s">
        <v>2152</v>
      </c>
      <c r="K92" s="69" t="s">
        <v>2152</v>
      </c>
      <c r="L92" s="253">
        <v>55.794961702871312</v>
      </c>
      <c r="M92" s="253">
        <v>45.543218846185148</v>
      </c>
      <c r="N92" s="253">
        <v>51</v>
      </c>
      <c r="O92" s="253">
        <v>51.765808735759109</v>
      </c>
      <c r="P92" s="253">
        <v>55.878317513204522</v>
      </c>
      <c r="Q92" s="253">
        <v>55.546428571428571</v>
      </c>
      <c r="R92" s="253">
        <v>39.102481748058715</v>
      </c>
      <c r="S92" s="253">
        <v>44.112903225806448</v>
      </c>
      <c r="T92" s="253"/>
      <c r="U92" s="253">
        <v>53.148148148148145</v>
      </c>
      <c r="V92" s="253">
        <v>45.543218846185098</v>
      </c>
      <c r="W92" s="253"/>
      <c r="X92" s="253"/>
      <c r="Y92" s="253">
        <v>52.837837837837839</v>
      </c>
      <c r="Z92" s="253">
        <v>55.46153846153846</v>
      </c>
      <c r="AA92" s="253"/>
      <c r="AB92" s="253"/>
      <c r="AC92" s="253"/>
      <c r="AD92" s="253"/>
      <c r="AE92" s="253"/>
    </row>
    <row r="93" spans="1:31">
      <c r="A93" s="33">
        <v>92</v>
      </c>
      <c r="B93" s="69" t="s">
        <v>2152</v>
      </c>
      <c r="C93" s="69" t="s">
        <v>740</v>
      </c>
      <c r="D93" s="56">
        <v>41953</v>
      </c>
      <c r="F93" s="56"/>
      <c r="G93" s="69" t="str">
        <f t="shared" si="1"/>
        <v>E-Commerce</v>
      </c>
      <c r="H93" s="69" t="s">
        <v>2474</v>
      </c>
      <c r="J93" s="69" t="s">
        <v>2152</v>
      </c>
      <c r="K93" s="13" t="s">
        <v>1238</v>
      </c>
      <c r="L93" s="253">
        <v>51.064720069152926</v>
      </c>
      <c r="M93" s="253">
        <v>53.358611132689155</v>
      </c>
      <c r="N93" s="253">
        <v>50.619757154884368</v>
      </c>
      <c r="O93" s="253">
        <v>67.294834491494242</v>
      </c>
      <c r="P93" s="253">
        <v>49.773207778748848</v>
      </c>
      <c r="Q93" s="253">
        <v>62.928571428571431</v>
      </c>
      <c r="R93" s="253">
        <v>58.060721493505341</v>
      </c>
      <c r="S93" s="253">
        <v>41.37096774193548</v>
      </c>
      <c r="T93" s="253"/>
      <c r="U93" s="253">
        <v>46.592592592592588</v>
      </c>
      <c r="V93" s="253">
        <v>50.734939759036145</v>
      </c>
      <c r="W93" s="253"/>
      <c r="X93" s="253"/>
      <c r="Y93" s="253">
        <v>77.702702702702695</v>
      </c>
      <c r="Z93" s="253">
        <v>56.230769230769226</v>
      </c>
      <c r="AA93" s="253"/>
      <c r="AB93" s="253"/>
      <c r="AC93" s="253"/>
      <c r="AD93" s="253"/>
      <c r="AE93" s="253"/>
    </row>
    <row r="94" spans="1:31">
      <c r="A94" s="33">
        <v>93</v>
      </c>
      <c r="B94" s="69" t="s">
        <v>2468</v>
      </c>
      <c r="C94" s="69" t="s">
        <v>2469</v>
      </c>
      <c r="D94" s="56">
        <v>41954</v>
      </c>
      <c r="F94" s="56"/>
      <c r="G94" s="69" t="str">
        <f t="shared" si="1"/>
        <v>Both</v>
      </c>
      <c r="H94" s="69" t="s">
        <v>749</v>
      </c>
      <c r="J94" s="69" t="s">
        <v>2468</v>
      </c>
      <c r="K94" s="281" t="s">
        <v>2470</v>
      </c>
      <c r="L94" s="253">
        <v>37.801287751970428</v>
      </c>
      <c r="M94" s="253">
        <v>45.063980685279695</v>
      </c>
      <c r="N94" s="253">
        <v>37.781506084120103</v>
      </c>
      <c r="O94" s="253">
        <v>58.924812030075188</v>
      </c>
      <c r="P94" s="253">
        <v>28.174004075369417</v>
      </c>
      <c r="Q94" s="253">
        <v>62</v>
      </c>
      <c r="R94" s="253">
        <v>54</v>
      </c>
      <c r="S94" s="253">
        <v>26</v>
      </c>
      <c r="T94" s="253"/>
      <c r="U94" s="253">
        <v>37</v>
      </c>
      <c r="V94" s="253">
        <v>27.064689906094259</v>
      </c>
      <c r="W94" s="253">
        <v>40</v>
      </c>
      <c r="X94" s="253"/>
      <c r="Y94" s="253">
        <v>60.357142857142854</v>
      </c>
      <c r="Z94" s="253">
        <v>64</v>
      </c>
      <c r="AA94" s="253"/>
      <c r="AB94" s="253"/>
      <c r="AC94" s="253"/>
      <c r="AD94" s="253"/>
      <c r="AE94" s="253"/>
    </row>
    <row r="95" spans="1:31">
      <c r="A95" s="33">
        <v>94</v>
      </c>
      <c r="B95" s="69" t="s">
        <v>2468</v>
      </c>
      <c r="C95" s="69" t="s">
        <v>2469</v>
      </c>
      <c r="D95" s="56">
        <v>41954</v>
      </c>
      <c r="F95" s="56"/>
      <c r="G95" s="69" t="str">
        <f t="shared" si="1"/>
        <v>Both</v>
      </c>
      <c r="H95" s="69" t="s">
        <v>749</v>
      </c>
      <c r="J95" s="69" t="s">
        <v>2468</v>
      </c>
      <c r="K95" s="281" t="s">
        <v>2471</v>
      </c>
      <c r="L95" s="253">
        <v>54.88879098315892</v>
      </c>
      <c r="M95" s="253">
        <v>50.665199180459787</v>
      </c>
      <c r="N95" s="253">
        <v>46.690463399437057</v>
      </c>
      <c r="O95" s="253">
        <v>63.860902255639083</v>
      </c>
      <c r="P95" s="253">
        <v>52.491867680603555</v>
      </c>
      <c r="Q95" s="253">
        <v>56.000000000000007</v>
      </c>
      <c r="R95" s="253">
        <v>48</v>
      </c>
      <c r="S95" s="253">
        <v>61</v>
      </c>
      <c r="T95" s="253"/>
      <c r="U95" s="253">
        <v>49</v>
      </c>
      <c r="V95" s="253">
        <v>46.591635328620796</v>
      </c>
      <c r="W95" s="253">
        <v>45</v>
      </c>
      <c r="X95" s="253"/>
      <c r="Y95" s="253">
        <v>73.035714285714278</v>
      </c>
      <c r="Z95" s="253">
        <v>54</v>
      </c>
      <c r="AA95" s="253"/>
      <c r="AB95" s="253"/>
      <c r="AC95" s="253"/>
      <c r="AD95" s="253"/>
      <c r="AE95" s="253"/>
    </row>
    <row r="96" spans="1:31">
      <c r="A96" s="33">
        <v>95</v>
      </c>
      <c r="B96" s="69" t="s">
        <v>2468</v>
      </c>
      <c r="C96" s="69" t="s">
        <v>2469</v>
      </c>
      <c r="D96" s="56">
        <v>41954</v>
      </c>
      <c r="F96" s="56"/>
      <c r="G96" s="69" t="str">
        <f t="shared" si="1"/>
        <v>Both</v>
      </c>
      <c r="H96" s="69" t="s">
        <v>749</v>
      </c>
      <c r="J96" s="69" t="s">
        <v>2468</v>
      </c>
      <c r="K96" s="281" t="s">
        <v>2472</v>
      </c>
      <c r="L96" s="253">
        <v>45.813652125887302</v>
      </c>
      <c r="M96" s="253">
        <v>48.809939614355315</v>
      </c>
      <c r="N96" s="253">
        <v>46.884349306867463</v>
      </c>
      <c r="O96" s="253">
        <v>65.687969924812023</v>
      </c>
      <c r="P96" s="253">
        <v>38.627304251774582</v>
      </c>
      <c r="Q96" s="253">
        <v>58.999999999999993</v>
      </c>
      <c r="R96" s="253">
        <v>44</v>
      </c>
      <c r="S96" s="253">
        <v>40</v>
      </c>
      <c r="T96" s="253"/>
      <c r="U96" s="253">
        <v>56.000000000000007</v>
      </c>
      <c r="V96" s="253">
        <v>42.816655801825291</v>
      </c>
      <c r="W96" s="253">
        <v>50</v>
      </c>
      <c r="X96" s="253"/>
      <c r="Y96" s="253">
        <v>74.107142857142861</v>
      </c>
      <c r="Z96" s="253">
        <v>64</v>
      </c>
      <c r="AA96" s="253"/>
      <c r="AB96" s="253"/>
      <c r="AC96" s="253"/>
      <c r="AD96" s="253"/>
      <c r="AE96" s="253"/>
    </row>
    <row r="97" spans="1:31">
      <c r="A97" s="33">
        <v>96</v>
      </c>
      <c r="B97" s="69" t="s">
        <v>2468</v>
      </c>
      <c r="C97" s="69" t="s">
        <v>2469</v>
      </c>
      <c r="D97" s="56">
        <v>41954</v>
      </c>
      <c r="F97" s="56"/>
      <c r="G97" s="69" t="str">
        <f t="shared" si="1"/>
        <v>Both</v>
      </c>
      <c r="H97" s="69" t="s">
        <v>749</v>
      </c>
      <c r="J97" s="69" t="s">
        <v>2468</v>
      </c>
      <c r="K97" s="281" t="s">
        <v>2473</v>
      </c>
      <c r="L97" s="253">
        <v>58.066896488241838</v>
      </c>
      <c r="M97" s="253">
        <v>48.332413770192538</v>
      </c>
      <c r="N97" s="253">
        <v>42.242758567386723</v>
      </c>
      <c r="O97" s="253">
        <v>64.003759398496229</v>
      </c>
      <c r="P97" s="253">
        <v>56.133792976483655</v>
      </c>
      <c r="Q97" s="253">
        <v>60</v>
      </c>
      <c r="R97" s="253">
        <v>46.999999999999993</v>
      </c>
      <c r="S97" s="253">
        <v>51</v>
      </c>
      <c r="T97" s="253"/>
      <c r="U97" s="253">
        <v>40</v>
      </c>
      <c r="V97" s="253">
        <v>40.394758490097473</v>
      </c>
      <c r="W97" s="253">
        <v>40</v>
      </c>
      <c r="X97" s="253"/>
      <c r="Y97" s="253">
        <v>66.607142857142847</v>
      </c>
      <c r="Z97" s="253">
        <v>69</v>
      </c>
      <c r="AA97" s="253"/>
      <c r="AB97" s="253"/>
      <c r="AC97" s="253"/>
      <c r="AD97" s="253"/>
      <c r="AE97" s="253"/>
    </row>
    <row r="98" spans="1:31">
      <c r="A98" s="33">
        <v>97</v>
      </c>
      <c r="B98" s="69" t="s">
        <v>2468</v>
      </c>
      <c r="C98" s="69" t="s">
        <v>2469</v>
      </c>
      <c r="D98" s="56">
        <v>41954</v>
      </c>
      <c r="F98" s="56"/>
      <c r="G98" s="69" t="str">
        <f t="shared" si="1"/>
        <v>Both</v>
      </c>
      <c r="H98" s="69" t="s">
        <v>749</v>
      </c>
      <c r="J98" s="69" t="s">
        <v>2468</v>
      </c>
      <c r="K98" s="13" t="s">
        <v>554</v>
      </c>
      <c r="L98" s="253">
        <v>75.129780853562636</v>
      </c>
      <c r="M98" s="253">
        <v>66.603229180233129</v>
      </c>
      <c r="N98" s="253">
        <v>62.995267888705662</v>
      </c>
      <c r="O98" s="253">
        <v>73.770676691729321</v>
      </c>
      <c r="P98" s="253">
        <v>81.259561707125272</v>
      </c>
      <c r="Q98" s="253">
        <v>66</v>
      </c>
      <c r="R98" s="253">
        <v>60</v>
      </c>
      <c r="S98" s="253">
        <v>81</v>
      </c>
      <c r="T98" s="253"/>
      <c r="U98" s="253">
        <v>71</v>
      </c>
      <c r="V98" s="253">
        <v>71.438406327328849</v>
      </c>
      <c r="W98" s="253">
        <v>55</v>
      </c>
      <c r="X98" s="253"/>
      <c r="Y98" s="253">
        <v>84.464285714285708</v>
      </c>
      <c r="Z98" s="253">
        <v>57.999999999999993</v>
      </c>
      <c r="AA98" s="253"/>
      <c r="AB98" s="253"/>
      <c r="AC98" s="253"/>
      <c r="AD98" s="253"/>
      <c r="AE98" s="253"/>
    </row>
    <row r="99" spans="1:31">
      <c r="A99" s="33">
        <v>98</v>
      </c>
      <c r="B99" s="69" t="s">
        <v>2468</v>
      </c>
      <c r="C99" s="69" t="s">
        <v>2469</v>
      </c>
      <c r="D99" s="56">
        <v>41954</v>
      </c>
      <c r="F99" s="56"/>
      <c r="G99" s="69" t="str">
        <f t="shared" si="1"/>
        <v>Both</v>
      </c>
      <c r="H99" s="69" t="s">
        <v>749</v>
      </c>
      <c r="J99" s="69" t="s">
        <v>2468</v>
      </c>
      <c r="K99" s="13" t="s">
        <v>1238</v>
      </c>
      <c r="L99" s="253">
        <v>47.925606208327494</v>
      </c>
      <c r="M99" s="253">
        <v>53.170430024344469</v>
      </c>
      <c r="N99" s="253">
        <v>56.988347403576924</v>
      </c>
      <c r="O99" s="253">
        <v>72.225563909774436</v>
      </c>
      <c r="P99" s="253">
        <v>45.708355273797828</v>
      </c>
      <c r="Q99" s="253">
        <v>69</v>
      </c>
      <c r="R99" s="253">
        <v>56.000000000000007</v>
      </c>
      <c r="S99" s="253">
        <v>42</v>
      </c>
      <c r="T99" s="253"/>
      <c r="U99" s="253">
        <v>49</v>
      </c>
      <c r="V99" s="253">
        <v>49.471451138763484</v>
      </c>
      <c r="W99" s="253">
        <v>63</v>
      </c>
      <c r="X99" s="253"/>
      <c r="Y99" s="253">
        <v>88.928571428571416</v>
      </c>
      <c r="Z99" s="253">
        <v>52</v>
      </c>
      <c r="AA99" s="253"/>
      <c r="AB99" s="253"/>
      <c r="AC99" s="253"/>
      <c r="AD99" s="253"/>
      <c r="AE99" s="253"/>
    </row>
    <row r="100" spans="1:31">
      <c r="A100" s="33">
        <v>99</v>
      </c>
      <c r="B100" s="69" t="s">
        <v>2465</v>
      </c>
      <c r="C100" s="69" t="s">
        <v>740</v>
      </c>
      <c r="D100" s="56">
        <v>41955</v>
      </c>
      <c r="G100" s="69" t="str">
        <f t="shared" si="1"/>
        <v>User Registration</v>
      </c>
      <c r="H100" s="69" t="s">
        <v>2466</v>
      </c>
      <c r="J100" s="69" t="s">
        <v>2465</v>
      </c>
      <c r="K100" s="69" t="s">
        <v>372</v>
      </c>
      <c r="L100" s="253">
        <v>63.202520528226742</v>
      </c>
      <c r="M100" s="253">
        <v>58.582020090991215</v>
      </c>
      <c r="N100" s="253">
        <v>66.646670696615729</v>
      </c>
      <c r="O100" s="253">
        <v>70.928560680694972</v>
      </c>
      <c r="P100" s="253">
        <v>66.560842967975731</v>
      </c>
      <c r="Q100" s="253">
        <v>64.267857142857125</v>
      </c>
      <c r="R100" s="253">
        <v>55.700458722750547</v>
      </c>
      <c r="S100" s="253">
        <v>66.370967741935488</v>
      </c>
      <c r="T100" s="253"/>
      <c r="U100" s="253">
        <v>60.666666666666664</v>
      </c>
      <c r="V100" s="253"/>
      <c r="W100" s="253">
        <v>70.28735632183907</v>
      </c>
      <c r="X100" s="253"/>
      <c r="Y100" s="253">
        <v>85.675675675675677</v>
      </c>
      <c r="Z100" s="253">
        <v>49.769230769230774</v>
      </c>
      <c r="AA100" s="253"/>
      <c r="AB100" s="253"/>
      <c r="AC100" s="253"/>
      <c r="AD100" s="253"/>
      <c r="AE100" s="253"/>
    </row>
    <row r="101" spans="1:31">
      <c r="A101" s="33">
        <v>100</v>
      </c>
      <c r="B101" s="69" t="s">
        <v>2465</v>
      </c>
      <c r="C101" s="69" t="s">
        <v>740</v>
      </c>
      <c r="D101" s="56">
        <v>41955</v>
      </c>
      <c r="G101" s="69" t="str">
        <f t="shared" si="1"/>
        <v>User Registration</v>
      </c>
      <c r="H101" s="69" t="s">
        <v>2466</v>
      </c>
      <c r="J101" s="69" t="s">
        <v>2465</v>
      </c>
      <c r="K101" s="69" t="s">
        <v>2465</v>
      </c>
      <c r="L101" s="253">
        <v>63.069854031718428</v>
      </c>
      <c r="M101" s="253">
        <v>56.080630791009099</v>
      </c>
      <c r="N101" s="253">
        <v>45.810298997903367</v>
      </c>
      <c r="O101" s="253">
        <v>60.56408889986713</v>
      </c>
      <c r="P101" s="253">
        <v>64.798856001186493</v>
      </c>
      <c r="Q101" s="253">
        <v>61.620982142857137</v>
      </c>
      <c r="R101" s="253">
        <v>54.782199295832299</v>
      </c>
      <c r="S101" s="253">
        <v>66.33064516129032</v>
      </c>
      <c r="T101" s="253"/>
      <c r="U101" s="253">
        <v>49.166666666666664</v>
      </c>
      <c r="V101" s="253"/>
      <c r="W101" s="253">
        <v>40.747126436781613</v>
      </c>
      <c r="X101" s="253"/>
      <c r="Y101" s="253">
        <v>63.243243243243242</v>
      </c>
      <c r="Z101" s="253">
        <v>56.153846153846153</v>
      </c>
      <c r="AA101" s="253"/>
      <c r="AB101" s="253"/>
      <c r="AC101" s="253"/>
      <c r="AD101" s="253"/>
      <c r="AE101" s="253"/>
    </row>
    <row r="102" spans="1:31">
      <c r="A102" s="33">
        <v>101</v>
      </c>
      <c r="B102" s="69" t="s">
        <v>2465</v>
      </c>
      <c r="C102" s="69" t="s">
        <v>740</v>
      </c>
      <c r="D102" s="56">
        <v>41955</v>
      </c>
      <c r="G102" s="69" t="str">
        <f t="shared" si="1"/>
        <v>User Registration</v>
      </c>
      <c r="H102" s="69" t="s">
        <v>2466</v>
      </c>
      <c r="J102" s="69" t="s">
        <v>2465</v>
      </c>
      <c r="K102" s="69" t="s">
        <v>947</v>
      </c>
      <c r="L102" s="253">
        <v>63.803592965696396</v>
      </c>
      <c r="M102" s="253">
        <v>53.45166870174122</v>
      </c>
      <c r="N102" s="253">
        <v>50.577165317212454</v>
      </c>
      <c r="O102" s="253">
        <v>60.655380973819973</v>
      </c>
      <c r="P102" s="253">
        <v>65.812183514812801</v>
      </c>
      <c r="Q102" s="253">
        <v>61.294642857142868</v>
      </c>
      <c r="R102" s="253">
        <v>53.65572089964131</v>
      </c>
      <c r="S102" s="253">
        <v>55</v>
      </c>
      <c r="T102" s="253"/>
      <c r="U102" s="253">
        <v>46.25</v>
      </c>
      <c r="V102" s="253"/>
      <c r="W102" s="253">
        <v>48.045977011494251</v>
      </c>
      <c r="X102" s="253"/>
      <c r="Y102" s="253">
        <v>65</v>
      </c>
      <c r="Z102" s="253">
        <v>55.769230769230766</v>
      </c>
      <c r="AA102" s="253"/>
      <c r="AB102" s="253"/>
      <c r="AC102" s="253"/>
      <c r="AD102" s="253"/>
      <c r="AE102" s="253"/>
    </row>
    <row r="103" spans="1:31">
      <c r="A103" s="33">
        <v>102</v>
      </c>
      <c r="B103" s="69" t="s">
        <v>2465</v>
      </c>
      <c r="C103" s="69" t="s">
        <v>740</v>
      </c>
      <c r="D103" s="56">
        <v>41955</v>
      </c>
      <c r="F103" s="56"/>
      <c r="G103" s="69" t="str">
        <f t="shared" si="1"/>
        <v>User Registration</v>
      </c>
      <c r="H103" s="69" t="s">
        <v>2466</v>
      </c>
      <c r="J103" s="69" t="s">
        <v>2465</v>
      </c>
      <c r="K103" s="69" t="s">
        <v>929</v>
      </c>
      <c r="L103" s="253">
        <v>70.021284459420059</v>
      </c>
      <c r="M103" s="253">
        <v>56.728014988993479</v>
      </c>
      <c r="N103" s="253">
        <v>42.965364137457655</v>
      </c>
      <c r="O103" s="253">
        <v>66.50206636963658</v>
      </c>
      <c r="P103" s="253">
        <v>71.180451728121213</v>
      </c>
      <c r="Q103" s="253">
        <v>56.625510204081642</v>
      </c>
      <c r="R103" s="253">
        <v>53.682673478046681</v>
      </c>
      <c r="S103" s="253">
        <v>61.814516129032256</v>
      </c>
      <c r="T103" s="253"/>
      <c r="U103" s="253">
        <v>55.500000000000007</v>
      </c>
      <c r="V103" s="253"/>
      <c r="W103" s="253">
        <v>37.701149425287355</v>
      </c>
      <c r="X103" s="253"/>
      <c r="Y103" s="253">
        <v>71.081081081081081</v>
      </c>
      <c r="Z103" s="253">
        <v>65.384615384615387</v>
      </c>
      <c r="AA103" s="253"/>
      <c r="AB103" s="253"/>
      <c r="AC103" s="253"/>
      <c r="AD103" s="253"/>
      <c r="AE103" s="253"/>
    </row>
    <row r="104" spans="1:31">
      <c r="A104" s="33">
        <v>103</v>
      </c>
      <c r="B104" s="69" t="s">
        <v>2465</v>
      </c>
      <c r="C104" s="69" t="s">
        <v>740</v>
      </c>
      <c r="D104" s="56">
        <v>41955</v>
      </c>
      <c r="F104" s="56"/>
      <c r="G104" s="69" t="str">
        <f t="shared" si="1"/>
        <v>User Registration</v>
      </c>
      <c r="H104" s="69" t="s">
        <v>2466</v>
      </c>
      <c r="J104" s="69" t="s">
        <v>2465</v>
      </c>
      <c r="K104" s="89" t="s">
        <v>949</v>
      </c>
      <c r="L104" s="253">
        <v>59.945495809902596</v>
      </c>
      <c r="M104" s="253">
        <v>48.362842790006397</v>
      </c>
      <c r="N104" s="253">
        <v>45.010240149457033</v>
      </c>
      <c r="O104" s="253">
        <v>56.971929229667325</v>
      </c>
      <c r="P104" s="253">
        <v>61.470331300839774</v>
      </c>
      <c r="Q104" s="253">
        <v>53.354761904761894</v>
      </c>
      <c r="R104" s="253">
        <v>44.703530727849078</v>
      </c>
      <c r="S104" s="253">
        <v>44.798387096774192</v>
      </c>
      <c r="T104" s="253"/>
      <c r="U104" s="253">
        <v>52.083333333333336</v>
      </c>
      <c r="V104" s="253"/>
      <c r="W104" s="253">
        <v>43.850574712643677</v>
      </c>
      <c r="X104" s="253"/>
      <c r="Y104" s="253">
        <v>62.567567567567572</v>
      </c>
      <c r="Z104" s="253">
        <v>53.84615384615384</v>
      </c>
      <c r="AA104" s="253"/>
      <c r="AB104" s="253"/>
      <c r="AC104" s="253"/>
      <c r="AD104" s="253"/>
      <c r="AE104" s="253"/>
    </row>
    <row r="105" spans="1:31">
      <c r="A105" s="33">
        <v>104</v>
      </c>
      <c r="B105" s="69" t="s">
        <v>1440</v>
      </c>
      <c r="C105" s="69" t="s">
        <v>740</v>
      </c>
      <c r="D105" s="56">
        <v>41955</v>
      </c>
      <c r="F105" s="56"/>
      <c r="G105" s="69" t="str">
        <f t="shared" si="1"/>
        <v>ERROR</v>
      </c>
      <c r="H105" s="69" t="s">
        <v>2467</v>
      </c>
      <c r="J105" s="69" t="s">
        <v>1440</v>
      </c>
      <c r="K105" s="13" t="s">
        <v>947</v>
      </c>
      <c r="L105" s="253">
        <v>64.342054504157943</v>
      </c>
      <c r="M105" s="253">
        <v>53.931432356766315</v>
      </c>
      <c r="N105" s="253">
        <v>55.453235702228454</v>
      </c>
      <c r="O105" s="253">
        <v>61.106214707436919</v>
      </c>
      <c r="P105" s="253">
        <v>66.196798899428202</v>
      </c>
      <c r="Q105" s="253">
        <v>61.294642857142868</v>
      </c>
      <c r="R105" s="253">
        <v>53.65572089964131</v>
      </c>
      <c r="S105" s="253">
        <v>57.796610169491522</v>
      </c>
      <c r="T105" s="253"/>
      <c r="U105" s="253">
        <v>46.25</v>
      </c>
      <c r="V105" s="253"/>
      <c r="W105" s="253"/>
      <c r="X105" s="253">
        <v>55.116279069767437</v>
      </c>
      <c r="Y105" s="253">
        <v>65</v>
      </c>
      <c r="Z105" s="253">
        <v>56.92307692307692</v>
      </c>
      <c r="AA105" s="253"/>
      <c r="AB105" s="253"/>
      <c r="AC105" s="253"/>
      <c r="AD105" s="253"/>
      <c r="AE105" s="253"/>
    </row>
    <row r="106" spans="1:31">
      <c r="A106" s="33">
        <v>105</v>
      </c>
      <c r="B106" s="69" t="s">
        <v>1440</v>
      </c>
      <c r="C106" s="69" t="s">
        <v>740</v>
      </c>
      <c r="D106" s="56">
        <v>41955</v>
      </c>
      <c r="F106" s="56"/>
      <c r="G106" s="69" t="str">
        <f t="shared" si="1"/>
        <v>ERROR</v>
      </c>
      <c r="H106" s="69" t="s">
        <v>2467</v>
      </c>
      <c r="J106" s="69" t="s">
        <v>1440</v>
      </c>
      <c r="K106" s="69" t="s">
        <v>2389</v>
      </c>
      <c r="L106" s="253">
        <v>48.325862461455685</v>
      </c>
      <c r="M106" s="253">
        <v>45.356613304171283</v>
      </c>
      <c r="N106" s="253">
        <v>49.951394567089451</v>
      </c>
      <c r="O106" s="253">
        <v>35.908679617598281</v>
      </c>
      <c r="P106" s="253">
        <v>54.83040499989653</v>
      </c>
      <c r="Q106" s="253">
        <v>47.564285714285717</v>
      </c>
      <c r="R106" s="253">
        <v>44.781380496192575</v>
      </c>
      <c r="S106" s="253">
        <v>57.923728813559329</v>
      </c>
      <c r="T106" s="253"/>
      <c r="U106" s="253">
        <v>49.166666666666664</v>
      </c>
      <c r="V106" s="253"/>
      <c r="W106" s="253"/>
      <c r="X106" s="253">
        <v>51.860465116279073</v>
      </c>
      <c r="Y106" s="253">
        <v>37.567567567567565</v>
      </c>
      <c r="Z106" s="253">
        <v>22.30769230769231</v>
      </c>
      <c r="AA106" s="253"/>
      <c r="AB106" s="253"/>
      <c r="AC106" s="253"/>
      <c r="AD106" s="253"/>
      <c r="AE106" s="253"/>
    </row>
    <row r="107" spans="1:31">
      <c r="A107" s="33">
        <v>106</v>
      </c>
      <c r="B107" s="69" t="s">
        <v>1440</v>
      </c>
      <c r="C107" s="69" t="s">
        <v>740</v>
      </c>
      <c r="D107" s="56">
        <v>41955</v>
      </c>
      <c r="F107" s="56"/>
      <c r="G107" s="69" t="str">
        <f t="shared" si="1"/>
        <v>ERROR</v>
      </c>
      <c r="H107" s="69" t="s">
        <v>2467</v>
      </c>
      <c r="J107" s="69" t="s">
        <v>1440</v>
      </c>
      <c r="K107" s="69" t="s">
        <v>1440</v>
      </c>
      <c r="L107" s="253">
        <v>39.906044194831679</v>
      </c>
      <c r="M107" s="253">
        <v>39.345695981464608</v>
      </c>
      <c r="N107" s="253">
        <v>61.374375160478934</v>
      </c>
      <c r="O107" s="253">
        <v>36.438999674223709</v>
      </c>
      <c r="P107" s="253">
        <v>40.267170628154979</v>
      </c>
      <c r="Q107" s="253">
        <v>51.022321428571423</v>
      </c>
      <c r="R107" s="253">
        <v>36.247931631129866</v>
      </c>
      <c r="S107" s="253">
        <v>35.974576271186443</v>
      </c>
      <c r="T107" s="253"/>
      <c r="U107" s="253">
        <v>41</v>
      </c>
      <c r="V107" s="253"/>
      <c r="W107" s="253"/>
      <c r="X107" s="253">
        <v>70.465116279069775</v>
      </c>
      <c r="Y107" s="253">
        <v>34.054054054054056</v>
      </c>
      <c r="Z107" s="253">
        <v>38.46153846153846</v>
      </c>
      <c r="AA107" s="253"/>
      <c r="AB107" s="253"/>
      <c r="AC107" s="253"/>
      <c r="AD107" s="253"/>
      <c r="AE107" s="253"/>
    </row>
    <row r="108" spans="1:31">
      <c r="A108" s="33">
        <v>107</v>
      </c>
      <c r="B108" s="69" t="s">
        <v>1440</v>
      </c>
      <c r="C108" s="69" t="s">
        <v>740</v>
      </c>
      <c r="D108" s="56">
        <v>41955</v>
      </c>
      <c r="F108" s="56"/>
      <c r="G108" s="69" t="str">
        <f t="shared" si="1"/>
        <v>ERROR</v>
      </c>
      <c r="H108" s="69" t="s">
        <v>2467</v>
      </c>
      <c r="J108" s="69" t="s">
        <v>1440</v>
      </c>
      <c r="K108" s="69" t="s">
        <v>2390</v>
      </c>
      <c r="L108" s="253">
        <v>52.744047352521925</v>
      </c>
      <c r="M108" s="253">
        <v>50.129469064913536</v>
      </c>
      <c r="N108" s="253">
        <v>59.732489713885485</v>
      </c>
      <c r="O108" s="253">
        <v>43.773245308331163</v>
      </c>
      <c r="P108" s="253">
        <v>51.314674575267794</v>
      </c>
      <c r="Q108" s="253">
        <v>54.349107142857136</v>
      </c>
      <c r="R108" s="253">
        <v>52.617751363514074</v>
      </c>
      <c r="S108" s="253">
        <v>40.610169491525419</v>
      </c>
      <c r="T108" s="253"/>
      <c r="U108" s="253">
        <v>44.166666666666664</v>
      </c>
      <c r="V108" s="253"/>
      <c r="W108" s="253"/>
      <c r="X108" s="253">
        <v>62.674418604651159</v>
      </c>
      <c r="Y108" s="253">
        <v>33.918918918918919</v>
      </c>
      <c r="Z108" s="253">
        <v>58.461538461538467</v>
      </c>
      <c r="AA108" s="253"/>
      <c r="AB108" s="253"/>
      <c r="AC108" s="253"/>
      <c r="AD108" s="253"/>
      <c r="AE108" s="253"/>
    </row>
    <row r="109" spans="1:31">
      <c r="A109" s="33">
        <v>108</v>
      </c>
      <c r="B109" s="69" t="s">
        <v>1440</v>
      </c>
      <c r="C109" s="69" t="s">
        <v>740</v>
      </c>
      <c r="D109" s="56">
        <v>41955</v>
      </c>
      <c r="F109" s="56"/>
      <c r="G109" s="69" t="str">
        <f t="shared" si="1"/>
        <v>ERROR</v>
      </c>
      <c r="H109" s="69" t="s">
        <v>2467</v>
      </c>
      <c r="J109" s="69" t="s">
        <v>1440</v>
      </c>
      <c r="K109" s="69" t="s">
        <v>379</v>
      </c>
      <c r="L109" s="253">
        <v>62.008334164266365</v>
      </c>
      <c r="M109" s="253">
        <v>52.101995150548753</v>
      </c>
      <c r="N109" s="253">
        <v>39.656119494885544</v>
      </c>
      <c r="O109" s="253">
        <v>69.682550402509293</v>
      </c>
      <c r="P109" s="253">
        <v>62.895033089948335</v>
      </c>
      <c r="Q109" s="253">
        <v>61.042857142857144</v>
      </c>
      <c r="R109" s="253">
        <v>51.459893173231421</v>
      </c>
      <c r="S109" s="253">
        <v>63.644067796610173</v>
      </c>
      <c r="T109" s="253"/>
      <c r="U109" s="253">
        <v>37.916666666666664</v>
      </c>
      <c r="V109" s="253"/>
      <c r="W109" s="253"/>
      <c r="X109" s="253">
        <v>32.906976744186046</v>
      </c>
      <c r="Y109" s="253">
        <v>80.405405405405403</v>
      </c>
      <c r="Z109" s="253">
        <v>58.461538461538467</v>
      </c>
      <c r="AA109" s="253"/>
      <c r="AB109" s="253"/>
      <c r="AC109" s="253"/>
      <c r="AD109" s="253"/>
      <c r="AE109" s="253"/>
    </row>
    <row r="110" spans="1:31">
      <c r="A110" s="33">
        <v>109</v>
      </c>
      <c r="B110" s="69" t="s">
        <v>2353</v>
      </c>
      <c r="C110" s="69" t="s">
        <v>740</v>
      </c>
      <c r="D110" s="56">
        <v>41956</v>
      </c>
      <c r="G110" s="69" t="str">
        <f t="shared" si="1"/>
        <v>User Registration</v>
      </c>
      <c r="H110" s="69" t="s">
        <v>2464</v>
      </c>
      <c r="J110" s="69" t="s">
        <v>2353</v>
      </c>
      <c r="K110" s="69" t="s">
        <v>2348</v>
      </c>
      <c r="L110" s="253">
        <v>60.516406945220488</v>
      </c>
      <c r="M110" s="253">
        <v>59.353235792988691</v>
      </c>
      <c r="N110" s="253">
        <v>44.817752217508037</v>
      </c>
      <c r="O110" s="253">
        <v>55.324698770321852</v>
      </c>
      <c r="P110" s="253">
        <v>60.318585604602546</v>
      </c>
      <c r="Q110" s="253">
        <v>60.464285714285715</v>
      </c>
      <c r="R110" s="253">
        <v>55.338895322314627</v>
      </c>
      <c r="S110" s="253">
        <v>68.083333333333329</v>
      </c>
      <c r="T110" s="253"/>
      <c r="U110" s="253">
        <v>60.5</v>
      </c>
      <c r="V110" s="253"/>
      <c r="W110" s="253">
        <v>25.876288659793815</v>
      </c>
      <c r="X110" s="253">
        <v>45.116279069767437</v>
      </c>
      <c r="Y110" s="253">
        <v>50.540540540540533</v>
      </c>
      <c r="Z110" s="253">
        <v>61.307692307692307</v>
      </c>
      <c r="AA110" s="253"/>
      <c r="AB110" s="253"/>
      <c r="AC110" s="253"/>
      <c r="AD110" s="253"/>
      <c r="AE110" s="253"/>
    </row>
    <row r="111" spans="1:31">
      <c r="A111" s="33">
        <v>110</v>
      </c>
      <c r="B111" s="69" t="s">
        <v>2353</v>
      </c>
      <c r="C111" s="69" t="s">
        <v>740</v>
      </c>
      <c r="D111" s="56">
        <v>41956</v>
      </c>
      <c r="G111" s="69" t="str">
        <f t="shared" si="1"/>
        <v>User Registration</v>
      </c>
      <c r="H111" s="69" t="s">
        <v>2464</v>
      </c>
      <c r="J111" s="69" t="s">
        <v>2353</v>
      </c>
      <c r="K111" s="69" t="s">
        <v>2349</v>
      </c>
      <c r="L111" s="253">
        <v>67.560849615641004</v>
      </c>
      <c r="M111" s="253">
        <v>68.632892098189444</v>
      </c>
      <c r="N111" s="253">
        <v>62.64209980138854</v>
      </c>
      <c r="O111" s="253">
        <v>64.773828398928273</v>
      </c>
      <c r="P111" s="253">
        <v>73.451062019551259</v>
      </c>
      <c r="Q111" s="253">
        <v>59.114285714285707</v>
      </c>
      <c r="R111" s="253">
        <v>72.744677383126159</v>
      </c>
      <c r="S111" s="253">
        <v>73.666666666666671</v>
      </c>
      <c r="T111" s="253"/>
      <c r="U111" s="253">
        <v>75.416666666666657</v>
      </c>
      <c r="V111" s="253"/>
      <c r="W111" s="253">
        <v>60</v>
      </c>
      <c r="X111" s="253">
        <v>45</v>
      </c>
      <c r="Y111" s="253">
        <v>73.243243243243242</v>
      </c>
      <c r="Z111" s="253">
        <v>44</v>
      </c>
      <c r="AA111" s="253"/>
      <c r="AB111" s="253"/>
      <c r="AC111" s="253"/>
      <c r="AD111" s="253"/>
      <c r="AE111" s="253"/>
    </row>
    <row r="112" spans="1:31">
      <c r="A112" s="33">
        <v>111</v>
      </c>
      <c r="B112" s="69" t="s">
        <v>2353</v>
      </c>
      <c r="C112" s="69" t="s">
        <v>740</v>
      </c>
      <c r="D112" s="56">
        <v>41956</v>
      </c>
      <c r="F112" s="56"/>
      <c r="G112" s="69" t="str">
        <f t="shared" si="1"/>
        <v>User Registration</v>
      </c>
      <c r="H112" s="69" t="s">
        <v>2464</v>
      </c>
      <c r="J112" s="69" t="s">
        <v>2353</v>
      </c>
      <c r="K112" s="69" t="s">
        <v>2353</v>
      </c>
      <c r="L112" s="253">
        <v>59.786335223036666</v>
      </c>
      <c r="M112" s="253">
        <v>47.102646992735416</v>
      </c>
      <c r="N112" s="253">
        <v>37.095619153633919</v>
      </c>
      <c r="O112" s="253">
        <v>52.925980987739706</v>
      </c>
      <c r="P112" s="253">
        <v>57.34830364418044</v>
      </c>
      <c r="Q112" s="253">
        <v>57.346428571428561</v>
      </c>
      <c r="R112" s="253">
        <v>41.586009810217618</v>
      </c>
      <c r="S112" s="253">
        <v>51.166666666666671</v>
      </c>
      <c r="T112" s="253"/>
      <c r="U112" s="253">
        <v>38.333333333333336</v>
      </c>
      <c r="V112" s="253"/>
      <c r="W112" s="253">
        <v>28.298969072164947</v>
      </c>
      <c r="X112" s="253">
        <v>34.1860465116279</v>
      </c>
      <c r="Y112" s="253">
        <v>46.621621621621621</v>
      </c>
      <c r="Z112" s="253">
        <v>69.538461538461533</v>
      </c>
      <c r="AA112" s="253"/>
      <c r="AB112" s="253"/>
      <c r="AC112" s="253"/>
      <c r="AD112" s="253"/>
      <c r="AE112" s="253"/>
    </row>
    <row r="113" spans="1:31">
      <c r="A113" s="33">
        <v>112</v>
      </c>
      <c r="B113" s="69" t="s">
        <v>2353</v>
      </c>
      <c r="C113" s="69" t="s">
        <v>740</v>
      </c>
      <c r="D113" s="56">
        <v>41956</v>
      </c>
      <c r="F113" s="56"/>
      <c r="G113" s="69" t="str">
        <f t="shared" si="1"/>
        <v>User Registration</v>
      </c>
      <c r="H113" s="69" t="s">
        <v>2464</v>
      </c>
      <c r="J113" s="69" t="s">
        <v>2353</v>
      </c>
      <c r="K113" s="69" t="s">
        <v>2351</v>
      </c>
      <c r="L113" s="253">
        <v>59.081186986271724</v>
      </c>
      <c r="M113" s="253">
        <v>59.672239224580125</v>
      </c>
      <c r="N113" s="253">
        <v>47.68352269651519</v>
      </c>
      <c r="O113" s="253">
        <v>60.907317178159403</v>
      </c>
      <c r="P113" s="253">
        <v>59.813022194378128</v>
      </c>
      <c r="Q113" s="253">
        <v>53.553571428571431</v>
      </c>
      <c r="R113" s="253">
        <v>62.450229210730313</v>
      </c>
      <c r="S113" s="253">
        <v>65.583333333333343</v>
      </c>
      <c r="T113" s="253"/>
      <c r="U113" s="253">
        <v>56.000000000000007</v>
      </c>
      <c r="V113" s="253"/>
      <c r="W113" s="253">
        <v>30</v>
      </c>
      <c r="X113" s="253">
        <v>47.674418604651166</v>
      </c>
      <c r="Y113" s="253">
        <v>63.243243243243242</v>
      </c>
      <c r="Z113" s="253">
        <v>56.153846153846153</v>
      </c>
      <c r="AA113" s="253"/>
      <c r="AB113" s="253"/>
      <c r="AC113" s="253"/>
      <c r="AD113" s="253"/>
      <c r="AE113" s="253"/>
    </row>
    <row r="114" spans="1:31">
      <c r="A114" s="33">
        <v>113</v>
      </c>
      <c r="B114" s="69" t="s">
        <v>2353</v>
      </c>
      <c r="C114" s="69" t="s">
        <v>740</v>
      </c>
      <c r="D114" s="56">
        <v>41956</v>
      </c>
      <c r="F114" s="56"/>
      <c r="G114" s="69" t="str">
        <f t="shared" si="1"/>
        <v>User Registration</v>
      </c>
      <c r="H114" s="69" t="s">
        <v>2464</v>
      </c>
      <c r="J114" s="69" t="s">
        <v>2353</v>
      </c>
      <c r="K114" s="89" t="s">
        <v>2428</v>
      </c>
      <c r="L114" s="253">
        <v>61.405151645881759</v>
      </c>
      <c r="M114" s="253">
        <v>62.38894883441364</v>
      </c>
      <c r="N114" s="253">
        <v>51.489515599297931</v>
      </c>
      <c r="O114" s="253">
        <v>69.270535586518989</v>
      </c>
      <c r="P114" s="253">
        <v>60.948747249659881</v>
      </c>
      <c r="Q114" s="253">
        <v>47.635714285714293</v>
      </c>
      <c r="R114" s="253">
        <v>68.532289834132129</v>
      </c>
      <c r="S114" s="253">
        <v>62.583333333333336</v>
      </c>
      <c r="T114" s="253"/>
      <c r="U114" s="253">
        <v>58.416666666666657</v>
      </c>
      <c r="V114" s="253"/>
      <c r="W114" s="253">
        <v>40.515463917525771</v>
      </c>
      <c r="X114" s="253">
        <v>49.418604651162788</v>
      </c>
      <c r="Y114" s="253">
        <v>75.27027027027026</v>
      </c>
      <c r="Z114" s="253">
        <v>63.230769230769234</v>
      </c>
      <c r="AA114" s="253"/>
      <c r="AB114" s="253"/>
      <c r="AC114" s="253"/>
      <c r="AD114" s="253"/>
      <c r="AE114" s="253"/>
    </row>
    <row r="115" spans="1:31">
      <c r="A115" s="33">
        <v>114</v>
      </c>
      <c r="B115" s="69" t="s">
        <v>2457</v>
      </c>
      <c r="C115" s="69" t="s">
        <v>740</v>
      </c>
      <c r="D115" s="56">
        <v>41957</v>
      </c>
      <c r="F115" s="56"/>
      <c r="G115" s="69" t="str">
        <f t="shared" si="1"/>
        <v>User Registration</v>
      </c>
      <c r="H115" s="69" t="s">
        <v>2458</v>
      </c>
      <c r="J115" s="69" t="s">
        <v>2459</v>
      </c>
      <c r="K115" s="69" t="s">
        <v>2459</v>
      </c>
      <c r="L115" s="253">
        <v>50.324381831650413</v>
      </c>
      <c r="M115" s="253">
        <v>47.779941827913071</v>
      </c>
      <c r="N115" s="253">
        <v>44.928824721883615</v>
      </c>
      <c r="O115" s="253">
        <v>58.843750193621638</v>
      </c>
      <c r="P115" s="253">
        <v>49.203554212639936</v>
      </c>
      <c r="Q115" s="253">
        <v>55.833035714285714</v>
      </c>
      <c r="R115" s="253">
        <v>44.565928779727599</v>
      </c>
      <c r="S115" s="253">
        <v>49.838709677419359</v>
      </c>
      <c r="T115" s="253"/>
      <c r="U115" s="253">
        <v>42.666666666666671</v>
      </c>
      <c r="V115" s="253"/>
      <c r="W115" s="253">
        <v>43.402061855670105</v>
      </c>
      <c r="X115" s="253"/>
      <c r="Y115" s="253">
        <v>64.918918918918919</v>
      </c>
      <c r="Z115" s="253">
        <v>54.807692307692314</v>
      </c>
      <c r="AA115" s="253"/>
      <c r="AB115" s="253"/>
      <c r="AC115" s="253"/>
      <c r="AD115" s="253"/>
      <c r="AE115" s="253"/>
    </row>
    <row r="116" spans="1:31">
      <c r="A116" s="33">
        <v>115</v>
      </c>
      <c r="B116" s="69" t="s">
        <v>2457</v>
      </c>
      <c r="C116" s="69" t="s">
        <v>740</v>
      </c>
      <c r="D116" s="56">
        <v>41957</v>
      </c>
      <c r="F116" s="56"/>
      <c r="G116" s="69" t="str">
        <f t="shared" si="1"/>
        <v>User Registration</v>
      </c>
      <c r="H116" s="69" t="s">
        <v>2458</v>
      </c>
      <c r="J116" s="69" t="s">
        <v>2459</v>
      </c>
      <c r="K116" s="89" t="s">
        <v>2460</v>
      </c>
      <c r="L116" s="253">
        <v>68.401592820236885</v>
      </c>
      <c r="M116" s="253">
        <v>59.342554694829417</v>
      </c>
      <c r="N116" s="253">
        <v>61.280516831085464</v>
      </c>
      <c r="O116" s="253">
        <v>47.620513186042956</v>
      </c>
      <c r="P116" s="253">
        <v>73.578914102219187</v>
      </c>
      <c r="Q116" s="253">
        <v>55.546428571428571</v>
      </c>
      <c r="R116" s="253">
        <v>58.106672047350017</v>
      </c>
      <c r="S116" s="253">
        <v>64.838709677419359</v>
      </c>
      <c r="T116" s="253"/>
      <c r="U116" s="253">
        <v>63.666666666666671</v>
      </c>
      <c r="V116" s="253"/>
      <c r="W116" s="253">
        <v>63.092783505154635</v>
      </c>
      <c r="X116" s="253"/>
      <c r="Y116" s="253">
        <v>42.972972972972968</v>
      </c>
      <c r="Z116" s="253">
        <v>47.692307692307693</v>
      </c>
      <c r="AA116" s="253"/>
      <c r="AB116" s="253"/>
      <c r="AC116" s="253"/>
      <c r="AD116" s="253"/>
      <c r="AE116" s="253"/>
    </row>
    <row r="117" spans="1:31">
      <c r="A117" s="33">
        <v>116</v>
      </c>
      <c r="B117" s="69" t="s">
        <v>2457</v>
      </c>
      <c r="C117" s="69" t="s">
        <v>740</v>
      </c>
      <c r="D117" s="56">
        <v>41957</v>
      </c>
      <c r="F117" s="56"/>
      <c r="G117" s="69" t="str">
        <f t="shared" si="1"/>
        <v>User Registration</v>
      </c>
      <c r="H117" s="69" t="s">
        <v>2458</v>
      </c>
      <c r="J117" s="69" t="s">
        <v>2459</v>
      </c>
      <c r="K117" s="89" t="s">
        <v>2461</v>
      </c>
      <c r="L117" s="253">
        <v>49.814064809110441</v>
      </c>
      <c r="M117" s="253">
        <v>42.344105426981912</v>
      </c>
      <c r="N117" s="253">
        <v>58.27710774134642</v>
      </c>
      <c r="O117" s="253">
        <v>61.980728408989407</v>
      </c>
      <c r="P117" s="253">
        <v>49.306042549849586</v>
      </c>
      <c r="Q117" s="253">
        <v>54.292857142857144</v>
      </c>
      <c r="R117" s="253">
        <v>47.65340661140219</v>
      </c>
      <c r="S117" s="253">
        <v>36.37096774193548</v>
      </c>
      <c r="T117" s="253"/>
      <c r="U117" s="253">
        <v>31.083333333333336</v>
      </c>
      <c r="V117" s="253"/>
      <c r="W117" s="253">
        <v>62.061855670103093</v>
      </c>
      <c r="X117" s="253"/>
      <c r="Y117" s="253">
        <v>73.243243243243242</v>
      </c>
      <c r="Z117" s="253">
        <v>51.84615384615384</v>
      </c>
      <c r="AA117" s="253"/>
      <c r="AB117" s="253"/>
      <c r="AC117" s="253"/>
      <c r="AD117" s="253"/>
      <c r="AE117" s="253"/>
    </row>
    <row r="118" spans="1:31">
      <c r="A118" s="33">
        <v>117</v>
      </c>
      <c r="B118" s="69" t="s">
        <v>2457</v>
      </c>
      <c r="C118" s="69" t="s">
        <v>740</v>
      </c>
      <c r="D118" s="56">
        <v>41957</v>
      </c>
      <c r="F118" s="56"/>
      <c r="G118" s="69" t="str">
        <f t="shared" si="1"/>
        <v>User Registration</v>
      </c>
      <c r="H118" s="69" t="s">
        <v>2458</v>
      </c>
      <c r="J118" s="69" t="s">
        <v>2459</v>
      </c>
      <c r="K118" s="277" t="s">
        <v>2462</v>
      </c>
      <c r="L118" s="253">
        <v>47.854946646863198</v>
      </c>
      <c r="M118" s="253">
        <v>46.256729755231888</v>
      </c>
      <c r="N118" s="253">
        <v>46.340005232290046</v>
      </c>
      <c r="O118" s="253">
        <v>52.581959796165613</v>
      </c>
      <c r="P118" s="253">
        <v>48.337914077809771</v>
      </c>
      <c r="Q118" s="253">
        <v>49.117857142857133</v>
      </c>
      <c r="R118" s="253">
        <v>45.637694656117652</v>
      </c>
      <c r="S118" s="253">
        <v>38.508064516129032</v>
      </c>
      <c r="T118" s="253"/>
      <c r="U118" s="253">
        <v>50.749999999999993</v>
      </c>
      <c r="V118" s="253"/>
      <c r="W118" s="253">
        <v>46.134020618556704</v>
      </c>
      <c r="X118" s="253"/>
      <c r="Y118" s="253">
        <v>59.054054054054049</v>
      </c>
      <c r="Z118" s="253">
        <v>45.92307692307692</v>
      </c>
      <c r="AA118" s="253"/>
      <c r="AB118" s="253"/>
      <c r="AC118" s="253"/>
      <c r="AD118" s="253"/>
      <c r="AE118" s="253"/>
    </row>
    <row r="119" spans="1:31">
      <c r="A119" s="33">
        <v>118</v>
      </c>
      <c r="B119" s="69" t="s">
        <v>2457</v>
      </c>
      <c r="C119" s="69" t="s">
        <v>740</v>
      </c>
      <c r="D119" s="56">
        <v>41957</v>
      </c>
      <c r="F119" s="56"/>
      <c r="G119" s="69" t="str">
        <f t="shared" si="1"/>
        <v>User Registration</v>
      </c>
      <c r="H119" s="69" t="s">
        <v>2458</v>
      </c>
      <c r="J119" s="69" t="s">
        <v>2459</v>
      </c>
      <c r="K119" s="89" t="s">
        <v>2463</v>
      </c>
      <c r="L119" s="253">
        <v>58.378843468891269</v>
      </c>
      <c r="M119" s="253">
        <v>49.044399902377741</v>
      </c>
      <c r="N119" s="253">
        <v>46.150542356563896</v>
      </c>
      <c r="O119" s="253">
        <v>46.938337068128938</v>
      </c>
      <c r="P119" s="253">
        <v>58.742785105344865</v>
      </c>
      <c r="Q119" s="253">
        <v>46.873214285714283</v>
      </c>
      <c r="R119" s="253">
        <v>52.888952391531603</v>
      </c>
      <c r="S119" s="253">
        <v>41.048387096774192</v>
      </c>
      <c r="T119" s="253"/>
      <c r="U119" s="253">
        <v>48.333333333333336</v>
      </c>
      <c r="V119" s="253"/>
      <c r="W119" s="253">
        <v>44.020618556701031</v>
      </c>
      <c r="X119" s="253"/>
      <c r="Y119" s="253">
        <v>41.351351351351347</v>
      </c>
      <c r="Z119" s="253">
        <v>56.92307692307692</v>
      </c>
      <c r="AA119" s="253"/>
      <c r="AB119" s="253"/>
      <c r="AC119" s="253"/>
      <c r="AD119" s="253"/>
      <c r="AE119" s="253"/>
    </row>
    <row r="120" spans="1:31">
      <c r="A120" s="33">
        <v>119</v>
      </c>
      <c r="B120" s="69" t="s">
        <v>1912</v>
      </c>
      <c r="C120" s="69" t="s">
        <v>740</v>
      </c>
      <c r="D120" s="56">
        <v>41957</v>
      </c>
      <c r="F120" s="56"/>
      <c r="G120" s="69" t="str">
        <f t="shared" si="1"/>
        <v>Both</v>
      </c>
      <c r="H120" s="69" t="s">
        <v>2360</v>
      </c>
      <c r="J120" s="69" t="s">
        <v>1912</v>
      </c>
      <c r="K120" s="89" t="s">
        <v>2361</v>
      </c>
      <c r="L120" s="253">
        <v>56.826597662321262</v>
      </c>
      <c r="M120" s="253">
        <v>47.993694995270296</v>
      </c>
      <c r="N120" s="253">
        <v>40.349147937252937</v>
      </c>
      <c r="O120" s="253">
        <v>40.649370648994335</v>
      </c>
      <c r="P120" s="253">
        <v>55.090939385593884</v>
      </c>
      <c r="Q120" s="253">
        <v>53.232142857142861</v>
      </c>
      <c r="R120" s="253">
        <v>48.900034104120479</v>
      </c>
      <c r="S120" s="253">
        <v>52.459677419354833</v>
      </c>
      <c r="T120" s="253"/>
      <c r="U120" s="253">
        <v>39.464285714285715</v>
      </c>
      <c r="V120" s="253">
        <v>46</v>
      </c>
      <c r="W120" s="253">
        <v>42.119565217391305</v>
      </c>
      <c r="X120" s="253">
        <v>40.813953488372093</v>
      </c>
      <c r="Y120" s="253">
        <v>25</v>
      </c>
      <c r="Z120" s="253">
        <v>63.769230769230766</v>
      </c>
      <c r="AA120" s="253"/>
      <c r="AB120" s="253"/>
      <c r="AC120" s="253"/>
      <c r="AD120" s="253"/>
      <c r="AE120" s="253"/>
    </row>
    <row r="121" spans="1:31">
      <c r="A121" s="33">
        <v>120</v>
      </c>
      <c r="B121" s="69" t="s">
        <v>1912</v>
      </c>
      <c r="C121" s="69" t="s">
        <v>740</v>
      </c>
      <c r="D121" s="56">
        <v>41957</v>
      </c>
      <c r="F121" s="56"/>
      <c r="G121" s="69" t="str">
        <f t="shared" si="1"/>
        <v>Both</v>
      </c>
      <c r="H121" s="69" t="s">
        <v>2360</v>
      </c>
      <c r="J121" s="69" t="s">
        <v>1912</v>
      </c>
      <c r="K121" s="89" t="s">
        <v>2362</v>
      </c>
      <c r="L121" s="253">
        <v>51.806983472971091</v>
      </c>
      <c r="M121" s="253">
        <v>51.434184866288319</v>
      </c>
      <c r="N121" s="253">
        <v>50.957639324166692</v>
      </c>
      <c r="O121" s="253">
        <v>58.390701731667349</v>
      </c>
      <c r="P121" s="253">
        <v>49.085652418136938</v>
      </c>
      <c r="Q121" s="253">
        <v>63.353124999999999</v>
      </c>
      <c r="R121" s="253">
        <v>48.758018242302541</v>
      </c>
      <c r="S121" s="253">
        <v>55.362903225806448</v>
      </c>
      <c r="T121" s="253"/>
      <c r="U121" s="253">
        <v>46.607142857142854</v>
      </c>
      <c r="V121" s="253">
        <v>46.475903614457827</v>
      </c>
      <c r="W121" s="253">
        <v>32.717391304347828</v>
      </c>
      <c r="X121" s="253">
        <v>55.348837209302324</v>
      </c>
      <c r="Y121" s="253">
        <v>57.972972972972968</v>
      </c>
      <c r="Z121" s="253">
        <v>62.692307692307693</v>
      </c>
      <c r="AA121" s="253"/>
      <c r="AB121" s="253"/>
      <c r="AC121" s="253"/>
      <c r="AD121" s="253"/>
      <c r="AE121" s="253"/>
    </row>
    <row r="122" spans="1:31">
      <c r="A122" s="33">
        <v>121</v>
      </c>
      <c r="B122" s="69" t="s">
        <v>1912</v>
      </c>
      <c r="C122" s="69" t="s">
        <v>740</v>
      </c>
      <c r="D122" s="56">
        <v>41957</v>
      </c>
      <c r="F122" s="56"/>
      <c r="G122" s="69" t="str">
        <f t="shared" si="1"/>
        <v>Both</v>
      </c>
      <c r="H122" s="69" t="s">
        <v>2360</v>
      </c>
      <c r="J122" s="69" t="s">
        <v>1912</v>
      </c>
      <c r="K122" s="89" t="s">
        <v>2363</v>
      </c>
      <c r="L122" s="253">
        <v>66.819482212702553</v>
      </c>
      <c r="M122" s="253">
        <v>63.781153801043807</v>
      </c>
      <c r="N122" s="253">
        <v>61.054402200521409</v>
      </c>
      <c r="O122" s="253">
        <v>58.253315837179542</v>
      </c>
      <c r="P122" s="253">
        <v>64.851275842801272</v>
      </c>
      <c r="Q122" s="253">
        <v>50.775510204081641</v>
      </c>
      <c r="R122" s="253">
        <v>69.356851447335373</v>
      </c>
      <c r="S122" s="253">
        <v>65.483870967741936</v>
      </c>
      <c r="T122" s="253"/>
      <c r="U122" s="253">
        <v>54.821428571428577</v>
      </c>
      <c r="V122" s="253">
        <v>62.915662650602407</v>
      </c>
      <c r="W122" s="253">
        <v>46.847826086956523</v>
      </c>
      <c r="X122" s="253">
        <v>71.627906976744185</v>
      </c>
      <c r="Y122" s="253">
        <v>47.837837837837839</v>
      </c>
      <c r="Z122" s="253">
        <v>74.692307692307693</v>
      </c>
      <c r="AA122" s="253"/>
      <c r="AB122" s="253"/>
      <c r="AC122" s="253"/>
      <c r="AD122" s="253"/>
      <c r="AE122" s="253"/>
    </row>
    <row r="123" spans="1:31">
      <c r="A123" s="33">
        <v>122</v>
      </c>
      <c r="B123" s="69" t="s">
        <v>1912</v>
      </c>
      <c r="C123" s="69" t="s">
        <v>740</v>
      </c>
      <c r="D123" s="56">
        <v>41957</v>
      </c>
      <c r="F123" s="56"/>
      <c r="G123" s="69" t="str">
        <f t="shared" si="1"/>
        <v>Both</v>
      </c>
      <c r="H123" s="69" t="s">
        <v>2360</v>
      </c>
      <c r="J123" s="69" t="s">
        <v>1912</v>
      </c>
      <c r="K123" s="69" t="s">
        <v>1912</v>
      </c>
      <c r="L123" s="253">
        <v>62.547360042536056</v>
      </c>
      <c r="M123" s="253">
        <v>55.072702402309034</v>
      </c>
      <c r="N123" s="253">
        <v>62.726340022540136</v>
      </c>
      <c r="O123" s="253">
        <v>46.991510481532956</v>
      </c>
      <c r="P123" s="253">
        <v>61.318815437785453</v>
      </c>
      <c r="Q123" s="253">
        <v>52.36964285714285</v>
      </c>
      <c r="R123" s="253">
        <v>52.662307972965039</v>
      </c>
      <c r="S123" s="253">
        <v>62.701612903225808</v>
      </c>
      <c r="T123" s="253"/>
      <c r="U123" s="253">
        <v>53.75</v>
      </c>
      <c r="V123" s="253">
        <v>52.066265060240966</v>
      </c>
      <c r="W123" s="253">
        <v>60.815217391304344</v>
      </c>
      <c r="X123" s="253">
        <v>71.976744186046517</v>
      </c>
      <c r="Y123" s="253">
        <v>33.513513513513516</v>
      </c>
      <c r="Z123" s="253">
        <v>67.461538461538467</v>
      </c>
      <c r="AA123" s="253"/>
      <c r="AB123" s="253"/>
      <c r="AC123" s="253"/>
      <c r="AD123" s="253"/>
      <c r="AE123" s="253"/>
    </row>
    <row r="124" spans="1:31">
      <c r="A124" s="33">
        <v>123</v>
      </c>
      <c r="B124" s="69" t="s">
        <v>1912</v>
      </c>
      <c r="C124" s="69" t="s">
        <v>740</v>
      </c>
      <c r="D124" s="56">
        <v>41957</v>
      </c>
      <c r="F124" s="56"/>
      <c r="G124" s="69" t="str">
        <f t="shared" si="1"/>
        <v>Both</v>
      </c>
      <c r="H124" s="69" t="s">
        <v>2360</v>
      </c>
      <c r="J124" s="69" t="s">
        <v>1912</v>
      </c>
      <c r="K124" s="69" t="s">
        <v>2364</v>
      </c>
      <c r="L124" s="253">
        <v>70.797404855031971</v>
      </c>
      <c r="M124" s="253">
        <v>64.684506741131898</v>
      </c>
      <c r="N124" s="253">
        <v>66.631433938479759</v>
      </c>
      <c r="O124" s="253">
        <v>71.572980562846382</v>
      </c>
      <c r="P124" s="253">
        <v>68.862140684174577</v>
      </c>
      <c r="Q124" s="253">
        <v>68.982142857142861</v>
      </c>
      <c r="R124" s="253">
        <v>63.419516401870709</v>
      </c>
      <c r="S124" s="253">
        <v>65.967741935483872</v>
      </c>
      <c r="T124" s="253"/>
      <c r="U124" s="253">
        <v>58.75</v>
      </c>
      <c r="V124" s="253">
        <v>62.873493975903614</v>
      </c>
      <c r="W124" s="253">
        <v>59.728260869565219</v>
      </c>
      <c r="X124" s="253">
        <v>80.465116279069775</v>
      </c>
      <c r="Y124" s="253">
        <v>70.540540540540533</v>
      </c>
      <c r="Z124" s="253">
        <v>78.538461538461533</v>
      </c>
      <c r="AA124" s="253"/>
      <c r="AB124" s="253"/>
      <c r="AC124" s="253"/>
      <c r="AD124" s="253"/>
      <c r="AE124" s="253"/>
    </row>
    <row r="125" spans="1:31">
      <c r="A125" s="33">
        <v>124</v>
      </c>
      <c r="B125" s="69" t="s">
        <v>2452</v>
      </c>
      <c r="C125" s="69" t="s">
        <v>2450</v>
      </c>
      <c r="D125" s="56">
        <v>41962</v>
      </c>
      <c r="F125" s="56"/>
      <c r="G125" s="69" t="str">
        <f t="shared" si="1"/>
        <v>ERROR</v>
      </c>
      <c r="H125" s="69" t="s">
        <v>2032</v>
      </c>
      <c r="J125" s="69" t="s">
        <v>2452</v>
      </c>
      <c r="K125" s="89" t="s">
        <v>2035</v>
      </c>
      <c r="L125" s="253">
        <v>49</v>
      </c>
      <c r="M125" s="253">
        <v>53</v>
      </c>
      <c r="N125" s="253">
        <v>54</v>
      </c>
      <c r="O125" s="253">
        <v>53</v>
      </c>
      <c r="P125" s="253">
        <v>52</v>
      </c>
      <c r="Q125" s="253">
        <v>37</v>
      </c>
      <c r="R125" s="253">
        <v>55</v>
      </c>
      <c r="S125" s="253">
        <v>50</v>
      </c>
      <c r="T125" s="253"/>
      <c r="U125" s="253"/>
      <c r="V125" s="253"/>
      <c r="W125" s="253"/>
      <c r="X125" s="253"/>
      <c r="Y125" s="253">
        <v>50</v>
      </c>
      <c r="Z125" s="253">
        <v>53</v>
      </c>
      <c r="AA125" s="253"/>
      <c r="AB125" s="253"/>
      <c r="AC125" s="253"/>
      <c r="AD125" s="253"/>
      <c r="AE125" s="253"/>
    </row>
    <row r="126" spans="1:31">
      <c r="A126" s="33">
        <v>125</v>
      </c>
      <c r="B126" s="69" t="s">
        <v>2452</v>
      </c>
      <c r="C126" s="69" t="s">
        <v>2450</v>
      </c>
      <c r="D126" s="56">
        <v>41962</v>
      </c>
      <c r="F126" s="56"/>
      <c r="G126" s="69" t="str">
        <f t="shared" si="1"/>
        <v>ERROR</v>
      </c>
      <c r="H126" s="69" t="s">
        <v>2032</v>
      </c>
      <c r="J126" s="69" t="s">
        <v>2452</v>
      </c>
      <c r="K126" s="89" t="s">
        <v>2034</v>
      </c>
      <c r="L126" s="253">
        <v>65</v>
      </c>
      <c r="M126" s="253">
        <v>67</v>
      </c>
      <c r="N126" s="253">
        <v>61</v>
      </c>
      <c r="O126" s="253">
        <v>66</v>
      </c>
      <c r="P126" s="253">
        <v>64</v>
      </c>
      <c r="Q126" s="253">
        <v>80</v>
      </c>
      <c r="R126" s="253">
        <v>66</v>
      </c>
      <c r="S126" s="253">
        <v>64</v>
      </c>
      <c r="T126" s="253"/>
      <c r="U126" s="253"/>
      <c r="V126" s="253"/>
      <c r="W126" s="253"/>
      <c r="X126" s="253"/>
      <c r="Y126" s="253">
        <v>69</v>
      </c>
      <c r="Z126" s="253">
        <v>74</v>
      </c>
      <c r="AA126" s="253"/>
      <c r="AB126" s="253"/>
      <c r="AC126" s="253"/>
      <c r="AD126" s="253"/>
      <c r="AE126" s="253"/>
    </row>
    <row r="127" spans="1:31">
      <c r="A127" s="33">
        <v>126</v>
      </c>
      <c r="B127" s="69" t="s">
        <v>2452</v>
      </c>
      <c r="C127" s="69" t="s">
        <v>2450</v>
      </c>
      <c r="D127" s="56">
        <v>41962</v>
      </c>
      <c r="F127" s="56"/>
      <c r="G127" s="69" t="str">
        <f t="shared" si="1"/>
        <v>ERROR</v>
      </c>
      <c r="H127" s="69" t="s">
        <v>2032</v>
      </c>
      <c r="J127" s="69" t="s">
        <v>2452</v>
      </c>
      <c r="K127" s="89" t="s">
        <v>2451</v>
      </c>
      <c r="L127" s="253">
        <v>52</v>
      </c>
      <c r="M127" s="253">
        <v>54</v>
      </c>
      <c r="N127" s="253">
        <v>56.000000000000007</v>
      </c>
      <c r="O127" s="253">
        <v>55</v>
      </c>
      <c r="P127" s="253">
        <v>49</v>
      </c>
      <c r="Q127" s="253">
        <v>63</v>
      </c>
      <c r="R127" s="253">
        <v>55</v>
      </c>
      <c r="S127" s="253">
        <v>45</v>
      </c>
      <c r="T127" s="253"/>
      <c r="U127" s="253"/>
      <c r="V127" s="253"/>
      <c r="W127" s="253"/>
      <c r="X127" s="253"/>
      <c r="Y127" s="253">
        <v>55</v>
      </c>
      <c r="Z127" s="253">
        <v>55</v>
      </c>
      <c r="AA127" s="253"/>
      <c r="AB127" s="253"/>
      <c r="AC127" s="253"/>
      <c r="AD127" s="253"/>
      <c r="AE127" s="253"/>
    </row>
    <row r="128" spans="1:31">
      <c r="A128" s="33">
        <v>127</v>
      </c>
      <c r="B128" s="69" t="s">
        <v>2452</v>
      </c>
      <c r="C128" s="69" t="s">
        <v>2450</v>
      </c>
      <c r="D128" s="56">
        <v>41962</v>
      </c>
      <c r="F128" s="56"/>
      <c r="G128" s="69" t="str">
        <f t="shared" si="1"/>
        <v>ERROR</v>
      </c>
      <c r="H128" s="69" t="s">
        <v>2032</v>
      </c>
      <c r="J128" s="69" t="s">
        <v>2452</v>
      </c>
      <c r="K128" s="89" t="s">
        <v>2456</v>
      </c>
      <c r="L128" s="253">
        <v>49</v>
      </c>
      <c r="M128" s="253">
        <v>46.999999999999993</v>
      </c>
      <c r="N128" s="253">
        <v>45</v>
      </c>
      <c r="O128" s="253">
        <v>46</v>
      </c>
      <c r="P128" s="253">
        <v>48</v>
      </c>
      <c r="Q128" s="253">
        <v>57.999999999999993</v>
      </c>
      <c r="R128" s="253">
        <v>51</v>
      </c>
      <c r="S128" s="253">
        <v>42</v>
      </c>
      <c r="T128" s="253"/>
      <c r="U128" s="253"/>
      <c r="V128" s="253"/>
      <c r="W128" s="253"/>
      <c r="X128" s="253"/>
      <c r="Y128" s="253">
        <v>45</v>
      </c>
      <c r="Z128" s="253">
        <v>39</v>
      </c>
      <c r="AA128" s="253"/>
      <c r="AB128" s="253"/>
      <c r="AC128" s="253"/>
      <c r="AD128" s="253"/>
      <c r="AE128" s="253"/>
    </row>
    <row r="129" spans="1:31">
      <c r="A129" s="33">
        <v>128</v>
      </c>
      <c r="B129" s="69" t="s">
        <v>2452</v>
      </c>
      <c r="C129" s="69" t="s">
        <v>2450</v>
      </c>
      <c r="D129" s="56">
        <v>41962</v>
      </c>
      <c r="F129" s="56"/>
      <c r="G129" s="69" t="str">
        <f t="shared" si="1"/>
        <v>ERROR</v>
      </c>
      <c r="H129" s="69" t="s">
        <v>2032</v>
      </c>
      <c r="J129" s="69" t="s">
        <v>2452</v>
      </c>
      <c r="K129" s="89" t="s">
        <v>2452</v>
      </c>
      <c r="L129" s="253">
        <v>60</v>
      </c>
      <c r="M129" s="253">
        <v>55</v>
      </c>
      <c r="N129" s="253">
        <v>66</v>
      </c>
      <c r="O129" s="253">
        <v>52</v>
      </c>
      <c r="P129" s="253">
        <v>60</v>
      </c>
      <c r="Q129" s="253">
        <v>75</v>
      </c>
      <c r="R129" s="253">
        <v>58.999999999999993</v>
      </c>
      <c r="S129" s="253">
        <v>58.999999999999993</v>
      </c>
      <c r="T129" s="253"/>
      <c r="U129" s="253"/>
      <c r="V129" s="253"/>
      <c r="W129" s="253"/>
      <c r="X129" s="253"/>
      <c r="Y129" s="253">
        <v>51</v>
      </c>
      <c r="Z129" s="253">
        <v>70</v>
      </c>
      <c r="AA129" s="253"/>
      <c r="AB129" s="253"/>
      <c r="AC129" s="253"/>
      <c r="AD129" s="253"/>
      <c r="AE129" s="253"/>
    </row>
    <row r="130" spans="1:31">
      <c r="A130" s="33">
        <v>129</v>
      </c>
      <c r="B130" s="69" t="s">
        <v>2452</v>
      </c>
      <c r="C130" s="69" t="s">
        <v>2450</v>
      </c>
      <c r="D130" s="56">
        <v>41962</v>
      </c>
      <c r="F130" s="56"/>
      <c r="G130" s="69" t="str">
        <f t="shared" ref="G130:G193" si="2">IF(V130&gt;0,IF(W130&gt;0,"Both","E-Commerce"),IF(W130=0, "ERROR","User Registration"))</f>
        <v>ERROR</v>
      </c>
      <c r="H130" s="69" t="s">
        <v>2032</v>
      </c>
      <c r="J130" s="69" t="s">
        <v>2452</v>
      </c>
      <c r="K130" s="89" t="s">
        <v>2033</v>
      </c>
      <c r="L130" s="253">
        <v>57.999999999999993</v>
      </c>
      <c r="M130" s="253">
        <v>57.999999999999993</v>
      </c>
      <c r="N130" s="253">
        <v>52</v>
      </c>
      <c r="O130" s="253">
        <v>66</v>
      </c>
      <c r="P130" s="253">
        <v>56.999999999999993</v>
      </c>
      <c r="Q130" s="253">
        <v>50</v>
      </c>
      <c r="R130" s="253">
        <v>60</v>
      </c>
      <c r="S130" s="253">
        <v>53</v>
      </c>
      <c r="T130" s="253"/>
      <c r="U130" s="253"/>
      <c r="V130" s="253"/>
      <c r="W130" s="253"/>
      <c r="X130" s="253"/>
      <c r="Y130" s="253">
        <v>66</v>
      </c>
      <c r="Z130" s="253">
        <v>67</v>
      </c>
      <c r="AA130" s="253"/>
      <c r="AB130" s="253"/>
      <c r="AC130" s="253"/>
      <c r="AD130" s="253"/>
      <c r="AE130" s="253"/>
    </row>
    <row r="131" spans="1:31">
      <c r="A131" s="33">
        <v>130</v>
      </c>
      <c r="B131" s="69" t="s">
        <v>2454</v>
      </c>
      <c r="C131" s="69" t="s">
        <v>1639</v>
      </c>
      <c r="D131" s="56">
        <v>41963</v>
      </c>
      <c r="F131" s="56"/>
      <c r="G131" s="69" t="str">
        <f t="shared" si="2"/>
        <v>User Registration</v>
      </c>
      <c r="H131" s="69" t="s">
        <v>2455</v>
      </c>
      <c r="J131" s="69" t="s">
        <v>1084</v>
      </c>
      <c r="K131" s="69" t="s">
        <v>1084</v>
      </c>
      <c r="L131" s="253">
        <v>49.358143604370397</v>
      </c>
      <c r="M131" s="253">
        <v>43.10305994926869</v>
      </c>
      <c r="N131" s="253">
        <v>33.69872695393444</v>
      </c>
      <c r="O131" s="253">
        <v>46.986647470875837</v>
      </c>
      <c r="P131" s="253">
        <v>48.023508558819287</v>
      </c>
      <c r="Q131" s="253">
        <v>55.357142857142861</v>
      </c>
      <c r="R131" s="253">
        <v>39.960513610683094</v>
      </c>
      <c r="S131" s="253">
        <v>50.6</v>
      </c>
      <c r="T131" s="253"/>
      <c r="U131" s="253">
        <v>34.473684210526315</v>
      </c>
      <c r="V131" s="253"/>
      <c r="W131" s="253">
        <v>28.571428571428569</v>
      </c>
      <c r="X131" s="253"/>
      <c r="Y131" s="253">
        <v>46.071428571428569</v>
      </c>
      <c r="Z131" s="253">
        <v>49.230769230769234</v>
      </c>
      <c r="AA131" s="253"/>
      <c r="AB131" s="253"/>
      <c r="AC131" s="253"/>
      <c r="AD131" s="253"/>
      <c r="AE131" s="253"/>
    </row>
    <row r="132" spans="1:31">
      <c r="A132" s="33">
        <v>131</v>
      </c>
      <c r="B132" s="69" t="s">
        <v>2449</v>
      </c>
      <c r="C132" s="69" t="s">
        <v>2450</v>
      </c>
      <c r="D132" s="56">
        <v>41968</v>
      </c>
      <c r="F132" s="56"/>
      <c r="G132" s="69" t="str">
        <f t="shared" si="2"/>
        <v>ERROR</v>
      </c>
      <c r="H132" s="69" t="s">
        <v>2032</v>
      </c>
      <c r="J132" s="69" t="s">
        <v>2449</v>
      </c>
      <c r="K132" s="69" t="s">
        <v>2035</v>
      </c>
      <c r="L132" s="253">
        <v>49</v>
      </c>
      <c r="M132" s="253">
        <v>53</v>
      </c>
      <c r="N132" s="253">
        <v>54</v>
      </c>
      <c r="O132" s="253">
        <v>53</v>
      </c>
      <c r="P132" s="253">
        <v>52</v>
      </c>
      <c r="Q132" s="253">
        <v>37</v>
      </c>
      <c r="R132" s="253">
        <v>55</v>
      </c>
      <c r="S132" s="253">
        <v>50</v>
      </c>
      <c r="T132" s="253"/>
      <c r="U132" s="253"/>
      <c r="V132" s="253"/>
      <c r="W132" s="253"/>
      <c r="X132" s="253"/>
      <c r="Y132" s="253">
        <v>50</v>
      </c>
      <c r="Z132" s="253">
        <v>53</v>
      </c>
      <c r="AA132" s="253"/>
      <c r="AB132" s="253"/>
      <c r="AC132" s="253"/>
      <c r="AD132" s="253"/>
      <c r="AE132" s="253"/>
    </row>
    <row r="133" spans="1:31">
      <c r="A133" s="33">
        <v>132</v>
      </c>
      <c r="B133" s="69" t="s">
        <v>2449</v>
      </c>
      <c r="C133" s="69" t="s">
        <v>2450</v>
      </c>
      <c r="D133" s="56">
        <v>41968</v>
      </c>
      <c r="F133" s="56"/>
      <c r="G133" s="69" t="str">
        <f t="shared" si="2"/>
        <v>ERROR</v>
      </c>
      <c r="H133" s="69" t="s">
        <v>2032</v>
      </c>
      <c r="J133" s="69" t="s">
        <v>2449</v>
      </c>
      <c r="K133" s="69" t="s">
        <v>2034</v>
      </c>
      <c r="L133" s="253">
        <v>65</v>
      </c>
      <c r="M133" s="253">
        <v>67</v>
      </c>
      <c r="N133" s="253">
        <v>61</v>
      </c>
      <c r="O133" s="253">
        <v>66</v>
      </c>
      <c r="P133" s="253">
        <v>64</v>
      </c>
      <c r="Q133" s="253">
        <v>80</v>
      </c>
      <c r="R133" s="253">
        <v>66</v>
      </c>
      <c r="S133" s="253">
        <v>64</v>
      </c>
      <c r="T133" s="253"/>
      <c r="U133" s="253"/>
      <c r="V133" s="253"/>
      <c r="W133" s="253"/>
      <c r="X133" s="253"/>
      <c r="Y133" s="253">
        <v>69</v>
      </c>
      <c r="Z133" s="253">
        <v>74</v>
      </c>
      <c r="AA133" s="253"/>
      <c r="AB133" s="253"/>
      <c r="AC133" s="253"/>
      <c r="AD133" s="253"/>
      <c r="AE133" s="253"/>
    </row>
    <row r="134" spans="1:31">
      <c r="A134" s="33">
        <v>133</v>
      </c>
      <c r="B134" s="69" t="s">
        <v>2449</v>
      </c>
      <c r="C134" s="69" t="s">
        <v>2450</v>
      </c>
      <c r="D134" s="56">
        <v>41968</v>
      </c>
      <c r="F134" s="56"/>
      <c r="G134" s="69" t="str">
        <f t="shared" si="2"/>
        <v>ERROR</v>
      </c>
      <c r="H134" s="69" t="s">
        <v>2032</v>
      </c>
      <c r="J134" s="69" t="s">
        <v>2449</v>
      </c>
      <c r="K134" s="69" t="s">
        <v>2451</v>
      </c>
      <c r="L134" s="253">
        <v>52</v>
      </c>
      <c r="M134" s="253">
        <v>54</v>
      </c>
      <c r="N134" s="253">
        <v>56.000000000000007</v>
      </c>
      <c r="O134" s="253">
        <v>55</v>
      </c>
      <c r="P134" s="253">
        <v>49</v>
      </c>
      <c r="Q134" s="253">
        <v>63</v>
      </c>
      <c r="R134" s="253">
        <v>55</v>
      </c>
      <c r="S134" s="253">
        <v>45</v>
      </c>
      <c r="T134" s="253"/>
      <c r="U134" s="253"/>
      <c r="V134" s="253"/>
      <c r="W134" s="253"/>
      <c r="X134" s="253"/>
      <c r="Y134" s="253">
        <v>55</v>
      </c>
      <c r="Z134" s="253">
        <v>55</v>
      </c>
      <c r="AA134" s="253"/>
      <c r="AB134" s="253"/>
      <c r="AC134" s="253"/>
      <c r="AD134" s="253"/>
      <c r="AE134" s="253"/>
    </row>
    <row r="135" spans="1:31">
      <c r="A135" s="33">
        <v>134</v>
      </c>
      <c r="B135" s="69" t="s">
        <v>2449</v>
      </c>
      <c r="C135" s="69" t="s">
        <v>2450</v>
      </c>
      <c r="D135" s="56">
        <v>41968</v>
      </c>
      <c r="F135" s="56"/>
      <c r="G135" s="69" t="str">
        <f t="shared" si="2"/>
        <v>ERROR</v>
      </c>
      <c r="H135" s="69" t="s">
        <v>2032</v>
      </c>
      <c r="J135" s="69" t="s">
        <v>2449</v>
      </c>
      <c r="K135" s="69" t="s">
        <v>2033</v>
      </c>
      <c r="L135" s="253">
        <v>57.999999999999993</v>
      </c>
      <c r="M135" s="253">
        <v>57.999999999999993</v>
      </c>
      <c r="N135" s="253">
        <v>52</v>
      </c>
      <c r="O135" s="253">
        <v>66</v>
      </c>
      <c r="P135" s="253">
        <v>56.999999999999993</v>
      </c>
      <c r="Q135" s="253">
        <v>50</v>
      </c>
      <c r="R135" s="253">
        <v>60</v>
      </c>
      <c r="S135" s="253">
        <v>53</v>
      </c>
      <c r="T135" s="253"/>
      <c r="U135" s="253"/>
      <c r="V135" s="253"/>
      <c r="W135" s="253"/>
      <c r="X135" s="253"/>
      <c r="Y135" s="253">
        <v>66</v>
      </c>
      <c r="Z135" s="253">
        <v>67</v>
      </c>
      <c r="AA135" s="253"/>
      <c r="AB135" s="253"/>
      <c r="AC135" s="253"/>
      <c r="AD135" s="253"/>
      <c r="AE135" s="253"/>
    </row>
    <row r="136" spans="1:31">
      <c r="A136" s="33">
        <v>135</v>
      </c>
      <c r="B136" s="69" t="s">
        <v>2449</v>
      </c>
      <c r="C136" s="69" t="s">
        <v>2450</v>
      </c>
      <c r="D136" s="56">
        <v>41968</v>
      </c>
      <c r="F136" s="56"/>
      <c r="G136" s="69" t="str">
        <f t="shared" si="2"/>
        <v>ERROR</v>
      </c>
      <c r="H136" s="69" t="s">
        <v>2032</v>
      </c>
      <c r="J136" s="69" t="s">
        <v>2449</v>
      </c>
      <c r="K136" s="69" t="s">
        <v>2452</v>
      </c>
      <c r="L136" s="253">
        <v>60</v>
      </c>
      <c r="M136" s="253">
        <v>55</v>
      </c>
      <c r="N136" s="253">
        <v>66</v>
      </c>
      <c r="O136" s="253">
        <v>52</v>
      </c>
      <c r="P136" s="253">
        <v>60</v>
      </c>
      <c r="Q136" s="253">
        <v>75</v>
      </c>
      <c r="R136" s="253">
        <v>58.999999999999993</v>
      </c>
      <c r="S136" s="253">
        <v>58.999999999999993</v>
      </c>
      <c r="T136" s="253"/>
      <c r="U136" s="253"/>
      <c r="V136" s="253"/>
      <c r="W136" s="253"/>
      <c r="X136" s="253"/>
      <c r="Y136" s="253">
        <v>51</v>
      </c>
      <c r="Z136" s="253">
        <v>70</v>
      </c>
      <c r="AA136" s="253"/>
      <c r="AB136" s="253"/>
      <c r="AC136" s="253"/>
      <c r="AD136" s="253"/>
      <c r="AE136" s="253"/>
    </row>
    <row r="137" spans="1:31">
      <c r="A137" s="33">
        <v>136</v>
      </c>
      <c r="B137" s="69" t="s">
        <v>2449</v>
      </c>
      <c r="C137" s="69" t="s">
        <v>2450</v>
      </c>
      <c r="D137" s="56">
        <v>41968</v>
      </c>
      <c r="F137" s="56"/>
      <c r="G137" s="69" t="str">
        <f t="shared" si="2"/>
        <v>ERROR</v>
      </c>
      <c r="H137" s="69" t="s">
        <v>2032</v>
      </c>
      <c r="J137" s="69" t="s">
        <v>2453</v>
      </c>
      <c r="K137" s="63" t="s">
        <v>2453</v>
      </c>
      <c r="L137" s="253">
        <v>49</v>
      </c>
      <c r="M137" s="253">
        <v>46.999999999999993</v>
      </c>
      <c r="N137" s="253">
        <v>45</v>
      </c>
      <c r="O137" s="253">
        <v>46</v>
      </c>
      <c r="P137" s="253">
        <v>48</v>
      </c>
      <c r="Q137" s="253">
        <v>57.999999999999993</v>
      </c>
      <c r="R137" s="253">
        <v>51</v>
      </c>
      <c r="S137" s="253">
        <v>42</v>
      </c>
      <c r="T137" s="253"/>
      <c r="U137" s="253"/>
      <c r="V137" s="253"/>
      <c r="W137" s="253"/>
      <c r="X137" s="253"/>
      <c r="Y137" s="253">
        <v>45</v>
      </c>
      <c r="Z137" s="253">
        <v>39</v>
      </c>
      <c r="AA137" s="253"/>
      <c r="AB137" s="253"/>
      <c r="AC137" s="253"/>
      <c r="AD137" s="253"/>
      <c r="AE137" s="253"/>
    </row>
    <row r="138" spans="1:31">
      <c r="A138" s="33">
        <v>137</v>
      </c>
      <c r="B138" s="69" t="s">
        <v>2442</v>
      </c>
      <c r="C138" s="69" t="s">
        <v>740</v>
      </c>
      <c r="D138" s="56">
        <v>41969</v>
      </c>
      <c r="F138" s="56"/>
      <c r="G138" s="69" t="str">
        <f t="shared" si="2"/>
        <v>ERROR</v>
      </c>
      <c r="H138" s="69" t="s">
        <v>2443</v>
      </c>
      <c r="J138" s="69" t="s">
        <v>2444</v>
      </c>
      <c r="K138" s="89" t="s">
        <v>2445</v>
      </c>
      <c r="L138" s="253">
        <v>54.784331946000783</v>
      </c>
      <c r="M138" s="253">
        <v>46.069609092846115</v>
      </c>
      <c r="N138" s="253">
        <v>51.424743711350196</v>
      </c>
      <c r="O138" s="253">
        <v>53.651689587524949</v>
      </c>
      <c r="P138" s="253">
        <v>62.230414932500977</v>
      </c>
      <c r="Q138" s="253">
        <v>61.782142857142865</v>
      </c>
      <c r="R138" s="253">
        <v>46.246044138453861</v>
      </c>
      <c r="S138" s="253">
        <v>57.675438596491226</v>
      </c>
      <c r="T138" s="253"/>
      <c r="U138" s="253">
        <v>42.272727272727273</v>
      </c>
      <c r="V138" s="253"/>
      <c r="W138" s="253"/>
      <c r="X138" s="253"/>
      <c r="Y138" s="253">
        <v>68.243243243243242</v>
      </c>
      <c r="Z138" s="253">
        <v>25</v>
      </c>
      <c r="AA138" s="253"/>
      <c r="AB138" s="253"/>
      <c r="AC138" s="253"/>
      <c r="AD138" s="253"/>
      <c r="AE138" s="253"/>
    </row>
    <row r="139" spans="1:31">
      <c r="A139" s="33">
        <v>138</v>
      </c>
      <c r="B139" s="69" t="s">
        <v>2442</v>
      </c>
      <c r="C139" s="69" t="s">
        <v>740</v>
      </c>
      <c r="D139" s="56">
        <v>41969</v>
      </c>
      <c r="F139" s="56"/>
      <c r="G139" s="69" t="str">
        <f t="shared" si="2"/>
        <v>ERROR</v>
      </c>
      <c r="H139" s="69" t="s">
        <v>2443</v>
      </c>
      <c r="J139" s="69" t="s">
        <v>2444</v>
      </c>
      <c r="K139" s="89" t="s">
        <v>2446</v>
      </c>
      <c r="L139" s="253">
        <v>48.674325594729765</v>
      </c>
      <c r="M139" s="253">
        <v>56.764100429288341</v>
      </c>
      <c r="N139" s="253">
        <v>58.641408986084741</v>
      </c>
      <c r="O139" s="253">
        <v>62.67524572828318</v>
      </c>
      <c r="P139" s="253">
        <v>46.708291608796827</v>
      </c>
      <c r="Q139" s="253">
        <v>48.796428571428571</v>
      </c>
      <c r="R139" s="253">
        <v>63.56389919341283</v>
      </c>
      <c r="S139" s="253">
        <v>49.780701754385966</v>
      </c>
      <c r="T139" s="253"/>
      <c r="U139" s="253">
        <v>47.18181818181818</v>
      </c>
      <c r="V139" s="253"/>
      <c r="W139" s="253"/>
      <c r="X139" s="253"/>
      <c r="Y139" s="253">
        <v>68.243243243243242</v>
      </c>
      <c r="Z139" s="253">
        <v>56.538461538461533</v>
      </c>
      <c r="AA139" s="253"/>
      <c r="AB139" s="253"/>
      <c r="AC139" s="253"/>
      <c r="AD139" s="253"/>
      <c r="AE139" s="253"/>
    </row>
    <row r="140" spans="1:31">
      <c r="A140" s="33">
        <v>139</v>
      </c>
      <c r="B140" s="69" t="s">
        <v>2442</v>
      </c>
      <c r="C140" s="69" t="s">
        <v>740</v>
      </c>
      <c r="D140" s="56">
        <v>41969</v>
      </c>
      <c r="F140" s="56"/>
      <c r="G140" s="69" t="str">
        <f t="shared" si="2"/>
        <v>ERROR</v>
      </c>
      <c r="H140" s="69" t="s">
        <v>2443</v>
      </c>
      <c r="J140" s="69" t="s">
        <v>2444</v>
      </c>
      <c r="K140" s="69" t="s">
        <v>2444</v>
      </c>
      <c r="L140" s="253">
        <v>63.706254646411097</v>
      </c>
      <c r="M140" s="253">
        <v>52.709458427634317</v>
      </c>
      <c r="N140" s="253">
        <v>55.767288167085503</v>
      </c>
      <c r="O140" s="253">
        <v>65.100216767220786</v>
      </c>
      <c r="P140" s="253">
        <v>67.613587538783108</v>
      </c>
      <c r="Q140" s="253">
        <v>64.096428571428561</v>
      </c>
      <c r="R140" s="253">
        <v>51.602717964913978</v>
      </c>
      <c r="S140" s="253">
        <v>58.947368421052623</v>
      </c>
      <c r="T140" s="253"/>
      <c r="U140" s="253">
        <v>47.81818181818182</v>
      </c>
      <c r="V140" s="253"/>
      <c r="W140" s="253"/>
      <c r="X140" s="253"/>
      <c r="Y140" s="253">
        <v>77.027027027027032</v>
      </c>
      <c r="Z140" s="253">
        <v>48.07692307692308</v>
      </c>
      <c r="AA140" s="253"/>
      <c r="AB140" s="253"/>
      <c r="AC140" s="253"/>
      <c r="AD140" s="253"/>
      <c r="AE140" s="253"/>
    </row>
    <row r="141" spans="1:31">
      <c r="A141" s="33">
        <v>140</v>
      </c>
      <c r="B141" s="69" t="s">
        <v>2442</v>
      </c>
      <c r="C141" s="69" t="s">
        <v>740</v>
      </c>
      <c r="D141" s="56">
        <v>41969</v>
      </c>
      <c r="F141" s="56"/>
      <c r="G141" s="69" t="str">
        <f t="shared" si="2"/>
        <v>ERROR</v>
      </c>
      <c r="H141" s="69" t="s">
        <v>2443</v>
      </c>
      <c r="J141" s="69" t="s">
        <v>2444</v>
      </c>
      <c r="K141" s="89" t="s">
        <v>2447</v>
      </c>
      <c r="L141" s="253">
        <v>58.368117470920602</v>
      </c>
      <c r="M141" s="253">
        <v>43.467617987386419</v>
      </c>
      <c r="N141" s="253">
        <v>45.253334773526376</v>
      </c>
      <c r="O141" s="253">
        <v>59.656133513892293</v>
      </c>
      <c r="P141" s="253">
        <v>57.575531454035357</v>
      </c>
      <c r="Q141" s="253">
        <v>52.68571428571429</v>
      </c>
      <c r="R141" s="253">
        <v>41.537145017432415</v>
      </c>
      <c r="S141" s="253">
        <v>49.473684210526315</v>
      </c>
      <c r="T141" s="253"/>
      <c r="U141" s="253">
        <v>33.181818181818187</v>
      </c>
      <c r="V141" s="253"/>
      <c r="W141" s="253"/>
      <c r="X141" s="253"/>
      <c r="Y141" s="253">
        <v>64.054054054054049</v>
      </c>
      <c r="Z141" s="253">
        <v>61.53846153846154</v>
      </c>
      <c r="AA141" s="253"/>
      <c r="AB141" s="253"/>
      <c r="AC141" s="253"/>
      <c r="AD141" s="253"/>
      <c r="AE141" s="253"/>
    </row>
    <row r="142" spans="1:31">
      <c r="A142" s="33">
        <v>141</v>
      </c>
      <c r="B142" s="69" t="s">
        <v>2442</v>
      </c>
      <c r="C142" s="69" t="s">
        <v>740</v>
      </c>
      <c r="D142" s="56">
        <v>41969</v>
      </c>
      <c r="F142" s="56"/>
      <c r="G142" s="69" t="str">
        <f t="shared" si="2"/>
        <v>ERROR</v>
      </c>
      <c r="H142" s="69" t="s">
        <v>2443</v>
      </c>
      <c r="J142" s="69" t="s">
        <v>2444</v>
      </c>
      <c r="K142" s="89" t="s">
        <v>2448</v>
      </c>
      <c r="L142" s="253">
        <v>66.206169213470389</v>
      </c>
      <c r="M142" s="253">
        <v>58.856432080379925</v>
      </c>
      <c r="N142" s="253">
        <v>61.383420192079008</v>
      </c>
      <c r="O142" s="253">
        <v>73.800231884978572</v>
      </c>
      <c r="P142" s="253">
        <v>67.046173055299519</v>
      </c>
      <c r="Q142" s="253">
        <v>65.349999999999994</v>
      </c>
      <c r="R142" s="253">
        <v>59.400130288118504</v>
      </c>
      <c r="S142" s="253">
        <v>62.201754385964911</v>
      </c>
      <c r="T142" s="253"/>
      <c r="U142" s="253">
        <v>52.72727272727272</v>
      </c>
      <c r="V142" s="253"/>
      <c r="W142" s="253"/>
      <c r="X142" s="253"/>
      <c r="Y142" s="253">
        <v>84.162162162162161</v>
      </c>
      <c r="Z142" s="253">
        <v>62.846153846153854</v>
      </c>
      <c r="AA142" s="253"/>
      <c r="AB142" s="253"/>
      <c r="AC142" s="253"/>
      <c r="AD142" s="253"/>
      <c r="AE142" s="253"/>
    </row>
    <row r="143" spans="1:31">
      <c r="A143" s="33">
        <v>142</v>
      </c>
      <c r="B143" s="69" t="s">
        <v>2436</v>
      </c>
      <c r="C143" s="69" t="s">
        <v>740</v>
      </c>
      <c r="D143" s="56">
        <v>41977</v>
      </c>
      <c r="G143" s="69" t="str">
        <f t="shared" si="2"/>
        <v>User Registration</v>
      </c>
      <c r="H143" s="69" t="s">
        <v>922</v>
      </c>
      <c r="J143" s="69" t="s">
        <v>2437</v>
      </c>
      <c r="K143" s="69" t="s">
        <v>2438</v>
      </c>
      <c r="L143" s="253">
        <v>68.436863601976583</v>
      </c>
      <c r="M143" s="253">
        <v>52.980481002625645</v>
      </c>
      <c r="N143" s="253">
        <v>44.850356387834431</v>
      </c>
      <c r="O143" s="253">
        <v>43.014337163526974</v>
      </c>
      <c r="P143" s="253">
        <v>70.257617964009199</v>
      </c>
      <c r="Q143" s="253">
        <v>61.807142857142857</v>
      </c>
      <c r="R143" s="253">
        <v>45.774403153548327</v>
      </c>
      <c r="S143" s="253">
        <v>63.55263157894737</v>
      </c>
      <c r="T143" s="253"/>
      <c r="U143" s="253">
        <v>51.666666666666671</v>
      </c>
      <c r="V143" s="253"/>
      <c r="W143" s="253">
        <v>31.195652173913039</v>
      </c>
      <c r="X143" s="253">
        <v>62.906976744186046</v>
      </c>
      <c r="Y143" s="253">
        <v>29.459459459459456</v>
      </c>
      <c r="Z143" s="253">
        <v>61.15384615384616</v>
      </c>
      <c r="AA143" s="253"/>
      <c r="AB143" s="253"/>
      <c r="AC143" s="253"/>
      <c r="AD143" s="253"/>
      <c r="AE143" s="253"/>
    </row>
    <row r="144" spans="1:31">
      <c r="A144" s="33">
        <v>143</v>
      </c>
      <c r="B144" s="69" t="s">
        <v>2436</v>
      </c>
      <c r="C144" s="69" t="s">
        <v>740</v>
      </c>
      <c r="D144" s="56">
        <v>41977</v>
      </c>
      <c r="G144" s="69" t="str">
        <f t="shared" si="2"/>
        <v>User Registration</v>
      </c>
      <c r="H144" s="69" t="s">
        <v>922</v>
      </c>
      <c r="J144" s="69" t="s">
        <v>2437</v>
      </c>
      <c r="K144" s="69" t="s">
        <v>2437</v>
      </c>
      <c r="L144" s="253">
        <v>66.478137610976589</v>
      </c>
      <c r="M144" s="253">
        <v>56.858855891826643</v>
      </c>
      <c r="N144" s="253">
        <v>46.454380501108957</v>
      </c>
      <c r="O144" s="253">
        <v>58.639498143637447</v>
      </c>
      <c r="P144" s="253">
        <v>68.097672013720725</v>
      </c>
      <c r="Q144" s="253">
        <v>59.178571428571438</v>
      </c>
      <c r="R144" s="253">
        <v>58.779213601431721</v>
      </c>
      <c r="S144" s="253">
        <v>59.03508771929824</v>
      </c>
      <c r="T144" s="253"/>
      <c r="U144" s="253">
        <v>48.75</v>
      </c>
      <c r="V144" s="253"/>
      <c r="W144" s="253">
        <v>30</v>
      </c>
      <c r="X144" s="253">
        <v>64.534883720930239</v>
      </c>
      <c r="Y144" s="253">
        <v>57.837837837837832</v>
      </c>
      <c r="Z144" s="253">
        <v>60</v>
      </c>
      <c r="AA144" s="253"/>
      <c r="AB144" s="253"/>
      <c r="AC144" s="253"/>
      <c r="AD144" s="253"/>
      <c r="AE144" s="253"/>
    </row>
    <row r="145" spans="1:31">
      <c r="A145" s="33">
        <v>144</v>
      </c>
      <c r="B145" s="69" t="s">
        <v>2436</v>
      </c>
      <c r="C145" s="69" t="s">
        <v>740</v>
      </c>
      <c r="D145" s="56">
        <v>41977</v>
      </c>
      <c r="F145" s="56"/>
      <c r="G145" s="69" t="str">
        <f t="shared" si="2"/>
        <v>User Registration</v>
      </c>
      <c r="H145" s="69" t="s">
        <v>922</v>
      </c>
      <c r="J145" s="69" t="s">
        <v>2437</v>
      </c>
      <c r="K145" s="13" t="s">
        <v>2439</v>
      </c>
      <c r="L145" s="253">
        <v>48.936271637966556</v>
      </c>
      <c r="M145" s="253">
        <v>57.479026151816072</v>
      </c>
      <c r="N145" s="253">
        <v>55.06660436956404</v>
      </c>
      <c r="O145" s="253">
        <v>51.782058298208263</v>
      </c>
      <c r="P145" s="253">
        <v>49.920339547458198</v>
      </c>
      <c r="Q145" s="253">
        <v>57.571428571428569</v>
      </c>
      <c r="R145" s="253">
        <v>57.753844288847979</v>
      </c>
      <c r="S145" s="253">
        <v>62.807017543859644</v>
      </c>
      <c r="T145" s="253"/>
      <c r="U145" s="253">
        <v>59.916666666666664</v>
      </c>
      <c r="V145" s="253"/>
      <c r="W145" s="253">
        <v>51.413043478260867</v>
      </c>
      <c r="X145" s="253">
        <v>59.186046511627907</v>
      </c>
      <c r="Y145" s="253">
        <v>52.297297297297298</v>
      </c>
      <c r="Z145" s="253">
        <v>45</v>
      </c>
      <c r="AA145" s="253"/>
      <c r="AB145" s="253"/>
      <c r="AC145" s="253"/>
      <c r="AD145" s="253"/>
      <c r="AE145" s="253"/>
    </row>
    <row r="146" spans="1:31">
      <c r="A146" s="33">
        <v>145</v>
      </c>
      <c r="B146" s="69" t="s">
        <v>2436</v>
      </c>
      <c r="C146" s="69" t="s">
        <v>740</v>
      </c>
      <c r="D146" s="56">
        <v>41977</v>
      </c>
      <c r="F146" s="56"/>
      <c r="G146" s="69" t="str">
        <f t="shared" si="2"/>
        <v>User Registration</v>
      </c>
      <c r="H146" s="69" t="s">
        <v>922</v>
      </c>
      <c r="J146" s="69" t="s">
        <v>2437</v>
      </c>
      <c r="K146" s="44" t="s">
        <v>2440</v>
      </c>
      <c r="L146" s="253">
        <v>30.613596196647048</v>
      </c>
      <c r="M146" s="253">
        <v>43.244634303190118</v>
      </c>
      <c r="N146" s="253">
        <v>37.547235909905304</v>
      </c>
      <c r="O146" s="253">
        <v>35.37646802280883</v>
      </c>
      <c r="P146" s="253">
        <v>26.536226015039578</v>
      </c>
      <c r="Q146" s="253">
        <v>55</v>
      </c>
      <c r="R146" s="253">
        <v>52.719559978218776</v>
      </c>
      <c r="S146" s="253">
        <v>21.692982456140349</v>
      </c>
      <c r="T146" s="253"/>
      <c r="U146" s="253">
        <v>28.333333333333332</v>
      </c>
      <c r="V146" s="253"/>
      <c r="W146" s="253">
        <v>19.34782608695652</v>
      </c>
      <c r="X146" s="253">
        <v>55.930232558139537</v>
      </c>
      <c r="Y146" s="253">
        <v>25.54054054054054</v>
      </c>
      <c r="Z146" s="253">
        <v>46.92307692307692</v>
      </c>
      <c r="AA146" s="253"/>
      <c r="AB146" s="253"/>
      <c r="AC146" s="253"/>
      <c r="AD146" s="253"/>
      <c r="AE146" s="253"/>
    </row>
    <row r="147" spans="1:31">
      <c r="A147" s="33">
        <v>146</v>
      </c>
      <c r="B147" s="69" t="s">
        <v>2436</v>
      </c>
      <c r="C147" s="69" t="s">
        <v>740</v>
      </c>
      <c r="D147" s="56">
        <v>41977</v>
      </c>
      <c r="F147" s="56"/>
      <c r="G147" s="69" t="str">
        <f t="shared" si="2"/>
        <v>User Registration</v>
      </c>
      <c r="H147" s="69" t="s">
        <v>922</v>
      </c>
      <c r="J147" s="69" t="s">
        <v>2437</v>
      </c>
      <c r="K147" s="13" t="s">
        <v>2441</v>
      </c>
      <c r="L147" s="253">
        <v>51.546248666587644</v>
      </c>
      <c r="M147" s="253">
        <v>44.234793585922489</v>
      </c>
      <c r="N147" s="253">
        <v>34.963100522240502</v>
      </c>
      <c r="O147" s="253">
        <v>39.578218024549905</v>
      </c>
      <c r="P147" s="253">
        <v>55.682810833234562</v>
      </c>
      <c r="Q147" s="253">
        <v>42.425000000000004</v>
      </c>
      <c r="R147" s="253">
        <v>39.72426492691784</v>
      </c>
      <c r="S147" s="253">
        <v>59.166666666666664</v>
      </c>
      <c r="T147" s="253"/>
      <c r="U147" s="253">
        <v>50</v>
      </c>
      <c r="V147" s="253"/>
      <c r="W147" s="253">
        <v>28.695652173913043</v>
      </c>
      <c r="X147" s="253">
        <v>41.162790697674417</v>
      </c>
      <c r="Y147" s="253">
        <v>39.594594594594597</v>
      </c>
      <c r="Z147" s="253">
        <v>35</v>
      </c>
      <c r="AA147" s="253"/>
      <c r="AB147" s="253"/>
      <c r="AC147" s="253"/>
      <c r="AD147" s="253"/>
      <c r="AE147" s="253"/>
    </row>
    <row r="148" spans="1:31">
      <c r="A148" s="33">
        <v>147</v>
      </c>
      <c r="B148" s="69" t="s">
        <v>2433</v>
      </c>
      <c r="C148" s="69" t="s">
        <v>1330</v>
      </c>
      <c r="D148" s="56">
        <v>41978</v>
      </c>
      <c r="F148" s="56"/>
      <c r="G148" s="69" t="str">
        <f t="shared" si="2"/>
        <v>Both</v>
      </c>
      <c r="H148" s="69" t="s">
        <v>2257</v>
      </c>
      <c r="J148" s="69" t="s">
        <v>2259</v>
      </c>
      <c r="K148" s="278" t="s">
        <v>1673</v>
      </c>
      <c r="L148" s="253">
        <v>43.661375661375658</v>
      </c>
      <c r="M148" s="253">
        <v>49.025248042278498</v>
      </c>
      <c r="N148" s="253">
        <v>55.066569380832377</v>
      </c>
      <c r="O148" s="253">
        <v>54.883621731130283</v>
      </c>
      <c r="P148" s="253">
        <v>40.384411884411882</v>
      </c>
      <c r="Q148" s="253">
        <v>60.689285714285703</v>
      </c>
      <c r="R148" s="253">
        <v>59.660143509458585</v>
      </c>
      <c r="S148" s="253">
        <v>24.879032258064516</v>
      </c>
      <c r="T148" s="253"/>
      <c r="U148" s="253">
        <v>34.464285714285715</v>
      </c>
      <c r="V148" s="253">
        <v>45.933734939759034</v>
      </c>
      <c r="W148" s="253">
        <v>45.979381443298969</v>
      </c>
      <c r="X148" s="253"/>
      <c r="Y148" s="253">
        <v>55.405405405405403</v>
      </c>
      <c r="Z148" s="253">
        <v>56.769230769230774</v>
      </c>
      <c r="AA148" s="253"/>
      <c r="AB148" s="253"/>
      <c r="AC148" s="253"/>
      <c r="AD148" s="253"/>
      <c r="AE148" s="253"/>
    </row>
    <row r="149" spans="1:31">
      <c r="A149" s="33">
        <v>148</v>
      </c>
      <c r="B149" s="69" t="s">
        <v>2433</v>
      </c>
      <c r="C149" s="69" t="s">
        <v>1330</v>
      </c>
      <c r="D149" s="56">
        <v>41978</v>
      </c>
      <c r="F149" s="56"/>
      <c r="G149" s="69" t="str">
        <f t="shared" si="2"/>
        <v>Both</v>
      </c>
      <c r="H149" s="69" t="s">
        <v>2257</v>
      </c>
      <c r="J149" s="69" t="s">
        <v>2259</v>
      </c>
      <c r="K149" s="278" t="s">
        <v>2259</v>
      </c>
      <c r="L149" s="253">
        <v>45.847705966350034</v>
      </c>
      <c r="M149" s="253">
        <v>50.451482449576368</v>
      </c>
      <c r="N149" s="253">
        <v>57.875364765834291</v>
      </c>
      <c r="O149" s="253">
        <v>55.71771418144381</v>
      </c>
      <c r="P149" s="253">
        <v>44.617324765629853</v>
      </c>
      <c r="Q149" s="253">
        <v>57.341071428571432</v>
      </c>
      <c r="R149" s="253">
        <v>46.718896149126003</v>
      </c>
      <c r="S149" s="253">
        <v>55.362903225806448</v>
      </c>
      <c r="T149" s="253"/>
      <c r="U149" s="253">
        <v>49.821428571428569</v>
      </c>
      <c r="V149" s="253">
        <v>51.307228915662648</v>
      </c>
      <c r="W149" s="253">
        <v>57.680412371134011</v>
      </c>
      <c r="X149" s="253"/>
      <c r="Y149" s="253">
        <v>59.864864864864863</v>
      </c>
      <c r="Z149" s="253">
        <v>50.769230769230766</v>
      </c>
      <c r="AA149" s="253"/>
      <c r="AB149" s="253"/>
      <c r="AC149" s="253"/>
      <c r="AD149" s="253"/>
      <c r="AE149" s="253"/>
    </row>
    <row r="150" spans="1:31">
      <c r="A150" s="33">
        <v>149</v>
      </c>
      <c r="B150" s="69" t="s">
        <v>2433</v>
      </c>
      <c r="C150" s="69" t="s">
        <v>1330</v>
      </c>
      <c r="D150" s="56">
        <v>41978</v>
      </c>
      <c r="F150" s="56"/>
      <c r="G150" s="69" t="str">
        <f t="shared" si="2"/>
        <v>Both</v>
      </c>
      <c r="H150" s="69" t="s">
        <v>2257</v>
      </c>
      <c r="J150" s="69" t="s">
        <v>2259</v>
      </c>
      <c r="K150" s="278" t="s">
        <v>2260</v>
      </c>
      <c r="L150" s="253">
        <v>47.181003003949542</v>
      </c>
      <c r="M150" s="253">
        <v>54.855132884984457</v>
      </c>
      <c r="N150" s="253">
        <v>54.237367327742213</v>
      </c>
      <c r="O150" s="253">
        <v>55.768983609479371</v>
      </c>
      <c r="P150" s="253">
        <v>46.995484524167701</v>
      </c>
      <c r="Q150" s="253">
        <v>54.325000000000003</v>
      </c>
      <c r="R150" s="253">
        <v>64.108037771376516</v>
      </c>
      <c r="S150" s="253">
        <v>50.967741935483865</v>
      </c>
      <c r="T150" s="253"/>
      <c r="U150" s="253">
        <v>44.357142857142854</v>
      </c>
      <c r="V150" s="253">
        <v>52.963855421686745</v>
      </c>
      <c r="W150" s="253">
        <v>51.597938144329902</v>
      </c>
      <c r="X150" s="253"/>
      <c r="Y150" s="253">
        <v>58.648648648648646</v>
      </c>
      <c r="Z150" s="253">
        <v>47.92307692307692</v>
      </c>
      <c r="AA150" s="253"/>
      <c r="AB150" s="253"/>
      <c r="AC150" s="253"/>
      <c r="AD150" s="253"/>
      <c r="AE150" s="253"/>
    </row>
    <row r="151" spans="1:31">
      <c r="A151" s="33">
        <v>150</v>
      </c>
      <c r="B151" s="69" t="s">
        <v>2433</v>
      </c>
      <c r="C151" s="69" t="s">
        <v>1330</v>
      </c>
      <c r="D151" s="56">
        <v>41978</v>
      </c>
      <c r="F151" s="56"/>
      <c r="G151" s="69" t="str">
        <f t="shared" si="2"/>
        <v>Both</v>
      </c>
      <c r="H151" s="69" t="s">
        <v>2257</v>
      </c>
      <c r="J151" s="69" t="s">
        <v>2259</v>
      </c>
      <c r="K151" s="278" t="s">
        <v>2434</v>
      </c>
      <c r="L151" s="253">
        <v>55.779809065337091</v>
      </c>
      <c r="M151" s="253">
        <v>52.319569281201616</v>
      </c>
      <c r="N151" s="253">
        <v>49.374601695438088</v>
      </c>
      <c r="O151" s="253">
        <v>49.581909802023446</v>
      </c>
      <c r="P151" s="253">
        <v>53.570915177825214</v>
      </c>
      <c r="Q151" s="253">
        <v>55.160714285714285</v>
      </c>
      <c r="R151" s="253">
        <v>54.943871081321738</v>
      </c>
      <c r="S151" s="253">
        <v>55.282258064516128</v>
      </c>
      <c r="T151" s="253"/>
      <c r="U151" s="253">
        <v>40.892857142857139</v>
      </c>
      <c r="V151" s="253">
        <v>48.867469879518069</v>
      </c>
      <c r="W151" s="253">
        <v>57.886597938144334</v>
      </c>
      <c r="X151" s="253"/>
      <c r="Y151" s="253">
        <v>39.864864864864863</v>
      </c>
      <c r="Z151" s="253">
        <v>64.615384615384613</v>
      </c>
      <c r="AA151" s="253"/>
      <c r="AB151" s="253"/>
      <c r="AC151" s="253"/>
      <c r="AD151" s="253"/>
      <c r="AE151" s="253"/>
    </row>
    <row r="152" spans="1:31">
      <c r="A152" s="33">
        <v>151</v>
      </c>
      <c r="B152" s="69" t="s">
        <v>2433</v>
      </c>
      <c r="C152" s="69" t="s">
        <v>1330</v>
      </c>
      <c r="D152" s="56">
        <v>41978</v>
      </c>
      <c r="F152" s="56"/>
      <c r="G152" s="69" t="str">
        <f t="shared" si="2"/>
        <v>E-Commerce</v>
      </c>
      <c r="H152" s="69" t="s">
        <v>2257</v>
      </c>
      <c r="J152" s="69" t="s">
        <v>2259</v>
      </c>
      <c r="K152" s="278" t="s">
        <v>2435</v>
      </c>
      <c r="L152" s="253">
        <v>35.182187868628546</v>
      </c>
      <c r="M152" s="253">
        <v>42.884176936868222</v>
      </c>
      <c r="N152" s="253">
        <v>30.09487821263674</v>
      </c>
      <c r="O152" s="253">
        <v>34.157789224065297</v>
      </c>
      <c r="P152" s="253">
        <v>29.843119451170296</v>
      </c>
      <c r="Q152" s="253">
        <v>56.647321428571431</v>
      </c>
      <c r="R152" s="253">
        <v>41.88563468108395</v>
      </c>
      <c r="S152" s="253">
        <v>25.887096774193544</v>
      </c>
      <c r="T152" s="253"/>
      <c r="U152" s="253">
        <v>46.071428571428569</v>
      </c>
      <c r="V152" s="253">
        <v>36.807228915662648</v>
      </c>
      <c r="W152" s="253"/>
      <c r="X152" s="253"/>
      <c r="Y152" s="253">
        <v>20</v>
      </c>
      <c r="Z152" s="253">
        <v>56.538461538461533</v>
      </c>
      <c r="AA152" s="253"/>
      <c r="AB152" s="253"/>
      <c r="AC152" s="253"/>
      <c r="AD152" s="253"/>
      <c r="AE152" s="253"/>
    </row>
    <row r="153" spans="1:31">
      <c r="A153" s="33">
        <v>152</v>
      </c>
      <c r="B153" s="69" t="s">
        <v>2429</v>
      </c>
      <c r="C153" s="69" t="s">
        <v>740</v>
      </c>
      <c r="D153" s="56">
        <v>41982</v>
      </c>
      <c r="G153" s="69" t="str">
        <f t="shared" si="2"/>
        <v>User Registration</v>
      </c>
      <c r="H153" s="69" t="s">
        <v>494</v>
      </c>
      <c r="J153" s="69" t="s">
        <v>1667</v>
      </c>
      <c r="K153" s="69" t="s">
        <v>1996</v>
      </c>
      <c r="L153" s="253">
        <v>66.64292399507795</v>
      </c>
      <c r="M153" s="253">
        <v>59.05888596863781</v>
      </c>
      <c r="N153" s="253">
        <v>59.2147148783978</v>
      </c>
      <c r="O153" s="253">
        <v>60.331540161189302</v>
      </c>
      <c r="P153" s="253">
        <v>69.938270378462832</v>
      </c>
      <c r="Q153" s="253">
        <v>66.852678571428569</v>
      </c>
      <c r="R153" s="253">
        <v>61.858860506152332</v>
      </c>
      <c r="S153" s="253">
        <v>60.583333333333336</v>
      </c>
      <c r="T153" s="253"/>
      <c r="U153" s="253">
        <v>50.666666666666671</v>
      </c>
      <c r="V153" s="253"/>
      <c r="W153" s="253">
        <v>54.362745098039213</v>
      </c>
      <c r="X153" s="253">
        <v>64.069767441860463</v>
      </c>
      <c r="Y153" s="253">
        <v>62.783783783783782</v>
      </c>
      <c r="Z153" s="253">
        <v>53.46153846153846</v>
      </c>
      <c r="AA153" s="253"/>
      <c r="AB153" s="253"/>
      <c r="AC153" s="253"/>
      <c r="AD153" s="253"/>
      <c r="AE153" s="253"/>
    </row>
    <row r="154" spans="1:31">
      <c r="A154" s="33">
        <v>153</v>
      </c>
      <c r="B154" s="69" t="s">
        <v>2429</v>
      </c>
      <c r="C154" s="69" t="s">
        <v>740</v>
      </c>
      <c r="D154" s="56">
        <v>41982</v>
      </c>
      <c r="G154" s="69" t="str">
        <f t="shared" si="2"/>
        <v>User Registration</v>
      </c>
      <c r="H154" s="69" t="s">
        <v>494</v>
      </c>
      <c r="J154" s="69" t="s">
        <v>1667</v>
      </c>
      <c r="K154" s="69" t="s">
        <v>2430</v>
      </c>
      <c r="L154" s="253">
        <v>74.8356227158487</v>
      </c>
      <c r="M154" s="253">
        <v>67.616751566810379</v>
      </c>
      <c r="N154" s="253">
        <v>65.346563013388632</v>
      </c>
      <c r="O154" s="253">
        <v>65.443503694834021</v>
      </c>
      <c r="P154" s="253">
        <v>79.044528394810882</v>
      </c>
      <c r="Q154" s="253">
        <v>63.1</v>
      </c>
      <c r="R154" s="253">
        <v>68.786032848671013</v>
      </c>
      <c r="S154" s="253">
        <v>74.916666666666657</v>
      </c>
      <c r="T154" s="253"/>
      <c r="U154" s="253">
        <v>68.416666666666671</v>
      </c>
      <c r="V154" s="253"/>
      <c r="W154" s="253">
        <v>53.529411764705877</v>
      </c>
      <c r="X154" s="253">
        <v>83.883720930232556</v>
      </c>
      <c r="Y154" s="253">
        <v>67.783783783783775</v>
      </c>
      <c r="Z154" s="253">
        <v>57.999999999999993</v>
      </c>
      <c r="AA154" s="253"/>
      <c r="AB154" s="253"/>
      <c r="AC154" s="253"/>
      <c r="AD154" s="253"/>
      <c r="AE154" s="253"/>
    </row>
    <row r="155" spans="1:31">
      <c r="A155" s="33">
        <v>154</v>
      </c>
      <c r="B155" s="69" t="s">
        <v>2429</v>
      </c>
      <c r="C155" s="69" t="s">
        <v>740</v>
      </c>
      <c r="D155" s="56">
        <v>41982</v>
      </c>
      <c r="G155" s="69" t="str">
        <f t="shared" si="2"/>
        <v>User Registration</v>
      </c>
      <c r="H155" s="69" t="s">
        <v>494</v>
      </c>
      <c r="J155" s="69" t="s">
        <v>1667</v>
      </c>
      <c r="K155" s="69" t="s">
        <v>2431</v>
      </c>
      <c r="L155" s="253">
        <v>59.720553248801835</v>
      </c>
      <c r="M155" s="253">
        <v>53.370391961460335</v>
      </c>
      <c r="N155" s="253">
        <v>48.065444910198202</v>
      </c>
      <c r="O155" s="253">
        <v>56.129844607635214</v>
      </c>
      <c r="P155" s="253">
        <v>61.381460791771524</v>
      </c>
      <c r="Q155" s="253">
        <v>61.910714285714285</v>
      </c>
      <c r="R155" s="253">
        <v>53.369642721153411</v>
      </c>
      <c r="S155" s="253">
        <v>50</v>
      </c>
      <c r="T155" s="253"/>
      <c r="U155" s="253">
        <v>50.416666666666664</v>
      </c>
      <c r="V155" s="253"/>
      <c r="W155" s="253">
        <v>47.352941176470587</v>
      </c>
      <c r="X155" s="253">
        <v>43.139534883720927</v>
      </c>
      <c r="Y155" s="253">
        <v>58.243243243243249</v>
      </c>
      <c r="Z155" s="253">
        <v>53.076923076923073</v>
      </c>
      <c r="AA155" s="253"/>
      <c r="AB155" s="253"/>
      <c r="AC155" s="253"/>
      <c r="AD155" s="253"/>
      <c r="AE155" s="253"/>
    </row>
    <row r="156" spans="1:31">
      <c r="A156" s="33">
        <v>155</v>
      </c>
      <c r="B156" s="69" t="s">
        <v>2429</v>
      </c>
      <c r="C156" s="69" t="s">
        <v>740</v>
      </c>
      <c r="D156" s="56">
        <v>41982</v>
      </c>
      <c r="F156" s="56"/>
      <c r="G156" s="69" t="str">
        <f t="shared" si="2"/>
        <v>User Registration</v>
      </c>
      <c r="H156" s="69" t="s">
        <v>494</v>
      </c>
      <c r="J156" s="69" t="s">
        <v>1667</v>
      </c>
      <c r="K156" s="69" t="s">
        <v>2432</v>
      </c>
      <c r="L156" s="253">
        <v>57.876901778384834</v>
      </c>
      <c r="M156" s="253">
        <v>50.859381678531989</v>
      </c>
      <c r="N156" s="253">
        <v>57.871615326912675</v>
      </c>
      <c r="O156" s="253">
        <v>59.24719644680205</v>
      </c>
      <c r="P156" s="253">
        <v>58.499973376827192</v>
      </c>
      <c r="Q156" s="253">
        <v>55.393749999999997</v>
      </c>
      <c r="R156" s="253">
        <v>44.630268098396321</v>
      </c>
      <c r="S156" s="253">
        <v>51.416666666666664</v>
      </c>
      <c r="T156" s="253"/>
      <c r="U156" s="253">
        <v>57.999999999999993</v>
      </c>
      <c r="V156" s="253"/>
      <c r="W156" s="253">
        <v>62.892156862745097</v>
      </c>
      <c r="X156" s="253">
        <v>56.744186046511622</v>
      </c>
      <c r="Y156" s="253">
        <v>65.270270270270274</v>
      </c>
      <c r="Z156" s="253">
        <v>55.384615384615387</v>
      </c>
      <c r="AA156" s="253"/>
      <c r="AB156" s="253"/>
      <c r="AC156" s="253"/>
      <c r="AD156" s="253"/>
      <c r="AE156" s="253"/>
    </row>
    <row r="157" spans="1:31">
      <c r="A157" s="33">
        <v>156</v>
      </c>
      <c r="B157" s="69" t="s">
        <v>2429</v>
      </c>
      <c r="C157" s="69" t="s">
        <v>740</v>
      </c>
      <c r="D157" s="56">
        <v>41982</v>
      </c>
      <c r="F157" s="56"/>
      <c r="G157" s="69" t="str">
        <f t="shared" si="2"/>
        <v>User Registration</v>
      </c>
      <c r="H157" s="69" t="s">
        <v>494</v>
      </c>
      <c r="J157" s="69" t="s">
        <v>1667</v>
      </c>
      <c r="K157" s="69" t="s">
        <v>1667</v>
      </c>
      <c r="L157" s="253">
        <v>50.442570920395781</v>
      </c>
      <c r="M157" s="253">
        <v>43.869352631246244</v>
      </c>
      <c r="N157" s="253">
        <v>37.744855355599107</v>
      </c>
      <c r="O157" s="253">
        <v>37.158419790967159</v>
      </c>
      <c r="P157" s="253">
        <v>63.053213650494719</v>
      </c>
      <c r="Q157" s="253">
        <v>49.334821428571431</v>
      </c>
      <c r="R157" s="253">
        <v>49.3341989215239</v>
      </c>
      <c r="S157" s="253">
        <v>51.249999999999993</v>
      </c>
      <c r="T157" s="253"/>
      <c r="U157" s="253">
        <v>47.166666666666664</v>
      </c>
      <c r="V157" s="253"/>
      <c r="W157" s="253">
        <v>46.176470588235297</v>
      </c>
      <c r="X157" s="253">
        <v>15</v>
      </c>
      <c r="Y157" s="253">
        <v>50.675675675675677</v>
      </c>
      <c r="Z157" s="253">
        <v>0</v>
      </c>
      <c r="AA157" s="253"/>
      <c r="AB157" s="253"/>
      <c r="AC157" s="253"/>
      <c r="AD157" s="253"/>
      <c r="AE157" s="253"/>
    </row>
    <row r="158" spans="1:31">
      <c r="A158" s="33">
        <v>157</v>
      </c>
      <c r="B158" s="69" t="s">
        <v>2426</v>
      </c>
      <c r="C158" s="69" t="s">
        <v>740</v>
      </c>
      <c r="D158" s="56">
        <v>41983</v>
      </c>
      <c r="F158" s="56"/>
      <c r="G158" s="69" t="str">
        <f t="shared" si="2"/>
        <v>Both</v>
      </c>
      <c r="H158" s="69" t="s">
        <v>2427</v>
      </c>
      <c r="J158" s="69" t="s">
        <v>2351</v>
      </c>
      <c r="K158" s="195" t="s">
        <v>2348</v>
      </c>
      <c r="L158" s="253">
        <v>59.531791560605114</v>
      </c>
      <c r="M158" s="253">
        <v>58.459618771712094</v>
      </c>
      <c r="N158" s="253">
        <v>38.622198580670855</v>
      </c>
      <c r="O158" s="253">
        <v>55.219435612427127</v>
      </c>
      <c r="P158" s="253">
        <v>59.08781637383332</v>
      </c>
      <c r="Q158" s="253">
        <v>60.464285714285715</v>
      </c>
      <c r="R158" s="253">
        <v>55.338895322314627</v>
      </c>
      <c r="S158" s="253">
        <v>66.083333333333343</v>
      </c>
      <c r="T158" s="253"/>
      <c r="U158" s="253">
        <v>57.499999999999993</v>
      </c>
      <c r="V158" s="253">
        <v>24.126506024096386</v>
      </c>
      <c r="W158" s="253">
        <v>25.876288659793815</v>
      </c>
      <c r="X158" s="253">
        <v>46.046511627906973</v>
      </c>
      <c r="Y158" s="253">
        <v>50.540540540540533</v>
      </c>
      <c r="Z158" s="253">
        <v>61.307692307692307</v>
      </c>
      <c r="AA158" s="253"/>
      <c r="AB158" s="253"/>
      <c r="AC158" s="253"/>
      <c r="AD158" s="253"/>
      <c r="AE158" s="253"/>
    </row>
    <row r="159" spans="1:31">
      <c r="A159" s="33">
        <v>158</v>
      </c>
      <c r="B159" s="69" t="s">
        <v>2426</v>
      </c>
      <c r="C159" s="69" t="s">
        <v>740</v>
      </c>
      <c r="D159" s="56">
        <v>41983</v>
      </c>
      <c r="F159" s="56"/>
      <c r="G159" s="69" t="str">
        <f t="shared" si="2"/>
        <v>Both</v>
      </c>
      <c r="H159" s="69" t="s">
        <v>2427</v>
      </c>
      <c r="J159" s="69" t="s">
        <v>2351</v>
      </c>
      <c r="K159" s="69" t="s">
        <v>2351</v>
      </c>
      <c r="L159" s="253">
        <v>69.938461538461539</v>
      </c>
      <c r="M159" s="253">
        <v>54.908214935578954</v>
      </c>
      <c r="N159" s="253">
        <v>42.865091906574378</v>
      </c>
      <c r="O159" s="253">
        <v>59.849360832445605</v>
      </c>
      <c r="P159" s="253">
        <v>73</v>
      </c>
      <c r="Q159" s="253">
        <v>53.553571428571431</v>
      </c>
      <c r="R159" s="253">
        <v>47.261823413628868</v>
      </c>
      <c r="S159" s="253">
        <v>68.166666666666657</v>
      </c>
      <c r="T159" s="253"/>
      <c r="U159" s="253">
        <v>61.666666666666671</v>
      </c>
      <c r="V159" s="253">
        <v>20.210843373493976</v>
      </c>
      <c r="W159" s="253">
        <v>32.061855670103093</v>
      </c>
      <c r="X159" s="253">
        <v>56.000000000000007</v>
      </c>
      <c r="Y159" s="253">
        <v>63.243243243243242</v>
      </c>
      <c r="Z159" s="253">
        <v>57.692307692307686</v>
      </c>
      <c r="AA159" s="253"/>
      <c r="AB159" s="253"/>
      <c r="AC159" s="253"/>
      <c r="AD159" s="253"/>
      <c r="AE159" s="253"/>
    </row>
    <row r="160" spans="1:31">
      <c r="A160" s="33">
        <v>159</v>
      </c>
      <c r="B160" s="69" t="s">
        <v>2426</v>
      </c>
      <c r="C160" s="69" t="s">
        <v>740</v>
      </c>
      <c r="D160" s="56">
        <v>41983</v>
      </c>
      <c r="F160" s="56"/>
      <c r="G160" s="69" t="str">
        <f t="shared" si="2"/>
        <v>Both</v>
      </c>
      <c r="H160" s="69" t="s">
        <v>2427</v>
      </c>
      <c r="J160" s="69" t="s">
        <v>2351</v>
      </c>
      <c r="K160" s="69" t="s">
        <v>2349</v>
      </c>
      <c r="L160" s="253">
        <v>67.560849615641004</v>
      </c>
      <c r="M160" s="253">
        <v>68.632892098189444</v>
      </c>
      <c r="N160" s="253">
        <v>62.60489297959181</v>
      </c>
      <c r="O160" s="253">
        <v>64.773828398928273</v>
      </c>
      <c r="P160" s="253">
        <v>73.451062019551259</v>
      </c>
      <c r="Q160" s="253">
        <v>59.114285714285707</v>
      </c>
      <c r="R160" s="253">
        <v>72.744677383126159</v>
      </c>
      <c r="S160" s="253">
        <v>73.666666666666671</v>
      </c>
      <c r="T160" s="253"/>
      <c r="U160" s="253">
        <v>75.416666666666657</v>
      </c>
      <c r="V160" s="253">
        <v>27.5</v>
      </c>
      <c r="W160" s="253">
        <v>61.649484536082475</v>
      </c>
      <c r="X160" s="253">
        <v>60</v>
      </c>
      <c r="Y160" s="253">
        <v>73.243243243243242</v>
      </c>
      <c r="Z160" s="253">
        <v>44</v>
      </c>
      <c r="AA160" s="253"/>
      <c r="AB160" s="253"/>
      <c r="AC160" s="253"/>
      <c r="AD160" s="253"/>
      <c r="AE160" s="253"/>
    </row>
    <row r="161" spans="1:31">
      <c r="A161" s="33">
        <v>160</v>
      </c>
      <c r="B161" s="69" t="s">
        <v>2426</v>
      </c>
      <c r="C161" s="69" t="s">
        <v>740</v>
      </c>
      <c r="D161" s="56">
        <v>41983</v>
      </c>
      <c r="F161" s="56"/>
      <c r="G161" s="69" t="str">
        <f t="shared" si="2"/>
        <v>Both</v>
      </c>
      <c r="H161" s="69" t="s">
        <v>2427</v>
      </c>
      <c r="J161" s="69" t="s">
        <v>2351</v>
      </c>
      <c r="K161" s="69" t="s">
        <v>2353</v>
      </c>
      <c r="L161" s="253">
        <v>61.345309582011019</v>
      </c>
      <c r="M161" s="253">
        <v>49.288817205501381</v>
      </c>
      <c r="N161" s="253">
        <v>37</v>
      </c>
      <c r="O161" s="253">
        <v>53.103612566687076</v>
      </c>
      <c r="P161" s="253">
        <v>59.297021592898389</v>
      </c>
      <c r="Q161" s="253">
        <v>57.346428571428561</v>
      </c>
      <c r="R161" s="253">
        <v>41.586009810217618</v>
      </c>
      <c r="S161" s="253">
        <v>54.541666666666664</v>
      </c>
      <c r="T161" s="253"/>
      <c r="U161" s="253">
        <v>46.583333333333329</v>
      </c>
      <c r="V161" s="253">
        <v>13.64457831325301</v>
      </c>
      <c r="W161" s="253">
        <v>28.298969072164947</v>
      </c>
      <c r="X161" s="253">
        <v>35.116279069767444</v>
      </c>
      <c r="Y161" s="253">
        <v>46.621621621621621</v>
      </c>
      <c r="Z161" s="253">
        <v>69.538461538461533</v>
      </c>
      <c r="AA161" s="253"/>
      <c r="AB161" s="253"/>
      <c r="AC161" s="253"/>
      <c r="AD161" s="253"/>
      <c r="AE161" s="253"/>
    </row>
    <row r="162" spans="1:31">
      <c r="A162" s="33">
        <v>161</v>
      </c>
      <c r="B162" s="69" t="s">
        <v>2426</v>
      </c>
      <c r="C162" s="69" t="s">
        <v>740</v>
      </c>
      <c r="D162" s="56">
        <v>41983</v>
      </c>
      <c r="F162" s="56"/>
      <c r="G162" s="69" t="str">
        <f t="shared" si="2"/>
        <v>Both</v>
      </c>
      <c r="H162" s="69" t="s">
        <v>2427</v>
      </c>
      <c r="J162" s="69" t="s">
        <v>2351</v>
      </c>
      <c r="K162" s="89" t="s">
        <v>2428</v>
      </c>
      <c r="L162" s="253">
        <v>61.405151645881759</v>
      </c>
      <c r="M162" s="253">
        <v>62.38894883441364</v>
      </c>
      <c r="N162" s="253">
        <v>48.014541627416556</v>
      </c>
      <c r="O162" s="253">
        <v>69.270535586518989</v>
      </c>
      <c r="P162" s="253">
        <v>60.948747249659881</v>
      </c>
      <c r="Q162" s="253">
        <v>47.635714285714293</v>
      </c>
      <c r="R162" s="253">
        <v>68.532289834132129</v>
      </c>
      <c r="S162" s="253">
        <v>62.583333333333336</v>
      </c>
      <c r="T162" s="253"/>
      <c r="U162" s="253">
        <v>58.416666666666657</v>
      </c>
      <c r="V162" s="253">
        <v>23.403614457831324</v>
      </c>
      <c r="W162" s="253">
        <v>40.515463917525771</v>
      </c>
      <c r="X162" s="253">
        <v>50.348837209302317</v>
      </c>
      <c r="Y162" s="253">
        <v>75.27027027027026</v>
      </c>
      <c r="Z162" s="253">
        <v>63.230769230769234</v>
      </c>
      <c r="AA162" s="253"/>
      <c r="AB162" s="253"/>
      <c r="AC162" s="253"/>
      <c r="AD162" s="253"/>
      <c r="AE162" s="253"/>
    </row>
    <row r="163" spans="1:31">
      <c r="A163" s="33">
        <v>162</v>
      </c>
      <c r="B163" s="69" t="s">
        <v>2423</v>
      </c>
      <c r="C163" s="69" t="s">
        <v>1203</v>
      </c>
      <c r="D163" s="56">
        <v>41988</v>
      </c>
      <c r="F163" s="56"/>
      <c r="G163" s="69" t="str">
        <f t="shared" si="2"/>
        <v>Both</v>
      </c>
      <c r="H163" s="69" t="s">
        <v>1994</v>
      </c>
      <c r="J163" s="69" t="s">
        <v>2424</v>
      </c>
      <c r="K163" s="69" t="s">
        <v>1996</v>
      </c>
      <c r="L163" s="253">
        <v>73.892307692307696</v>
      </c>
      <c r="M163" s="253">
        <v>58.047245512270237</v>
      </c>
      <c r="N163" s="253">
        <v>60.086623064877564</v>
      </c>
      <c r="O163" s="253">
        <v>60.110239627245754</v>
      </c>
      <c r="P163" s="253">
        <v>79</v>
      </c>
      <c r="Q163" s="253">
        <v>66.852678571428569</v>
      </c>
      <c r="R163" s="253">
        <v>61.569005433688559</v>
      </c>
      <c r="S163" s="253">
        <v>56.958333333333329</v>
      </c>
      <c r="T163" s="253"/>
      <c r="U163" s="253">
        <v>48.666666666666671</v>
      </c>
      <c r="V163" s="253">
        <v>25.391566265060238</v>
      </c>
      <c r="W163" s="253">
        <v>56.237113402061851</v>
      </c>
      <c r="X163" s="253">
        <v>64.069767441860463</v>
      </c>
      <c r="Y163" s="253">
        <v>62.783783783783782</v>
      </c>
      <c r="Z163" s="253">
        <v>53.46153846153846</v>
      </c>
      <c r="AA163" s="253"/>
      <c r="AB163" s="253"/>
      <c r="AC163" s="253"/>
      <c r="AD163" s="253"/>
      <c r="AE163" s="253"/>
    </row>
    <row r="164" spans="1:31">
      <c r="A164" s="33">
        <v>163</v>
      </c>
      <c r="B164" s="69" t="s">
        <v>2423</v>
      </c>
      <c r="C164" s="69" t="s">
        <v>1203</v>
      </c>
      <c r="D164" s="56">
        <v>41988</v>
      </c>
      <c r="F164" s="56"/>
      <c r="G164" s="69" t="str">
        <f t="shared" si="2"/>
        <v>Both</v>
      </c>
      <c r="H164" s="69" t="s">
        <v>1994</v>
      </c>
      <c r="J164" s="69" t="s">
        <v>2424</v>
      </c>
      <c r="K164" s="69" t="s">
        <v>2425</v>
      </c>
      <c r="L164" s="253">
        <v>70.861538461538458</v>
      </c>
      <c r="M164" s="253">
        <v>56.338432940778539</v>
      </c>
      <c r="N164" s="253">
        <v>58.05112672885906</v>
      </c>
      <c r="O164" s="253">
        <v>64.077695550381037</v>
      </c>
      <c r="P164" s="253">
        <v>72</v>
      </c>
      <c r="Q164" s="253">
        <v>64.482142857142861</v>
      </c>
      <c r="R164" s="253">
        <v>52.111251476763627</v>
      </c>
      <c r="S164" s="253">
        <v>59.125000000000007</v>
      </c>
      <c r="T164" s="253"/>
      <c r="U164" s="253">
        <v>53.249999999999993</v>
      </c>
      <c r="V164" s="253">
        <v>18.795180722891565</v>
      </c>
      <c r="W164" s="253">
        <v>71.44329896907216</v>
      </c>
      <c r="X164" s="253">
        <v>37.093023255813954</v>
      </c>
      <c r="Y164" s="253">
        <v>65.810810810810821</v>
      </c>
      <c r="Z164" s="253">
        <v>66.307692307692307</v>
      </c>
      <c r="AA164" s="253"/>
      <c r="AB164" s="253"/>
      <c r="AC164" s="253"/>
      <c r="AD164" s="253"/>
      <c r="AE164" s="253"/>
    </row>
    <row r="165" spans="1:31">
      <c r="A165" s="33">
        <v>164</v>
      </c>
      <c r="B165" s="69" t="s">
        <v>2423</v>
      </c>
      <c r="C165" s="69" t="s">
        <v>1203</v>
      </c>
      <c r="D165" s="56">
        <v>41988</v>
      </c>
      <c r="F165" s="56"/>
      <c r="G165" s="69" t="str">
        <f t="shared" si="2"/>
        <v>Both</v>
      </c>
      <c r="H165" s="69" t="s">
        <v>1994</v>
      </c>
      <c r="J165" s="69" t="s">
        <v>2424</v>
      </c>
      <c r="K165" s="69" t="s">
        <v>2424</v>
      </c>
      <c r="L165" s="253">
        <v>61.276923076923069</v>
      </c>
      <c r="M165" s="253">
        <v>58.170497398077799</v>
      </c>
      <c r="N165" s="253">
        <v>58.478036800155486</v>
      </c>
      <c r="O165" s="253">
        <v>47.844977791800304</v>
      </c>
      <c r="P165" s="253">
        <v>63</v>
      </c>
      <c r="Q165" s="253">
        <v>49.664285714285718</v>
      </c>
      <c r="R165" s="253">
        <v>63.209395991709926</v>
      </c>
      <c r="S165" s="253">
        <v>54.291666666666671</v>
      </c>
      <c r="T165" s="253"/>
      <c r="U165" s="253">
        <v>57.416666666666671</v>
      </c>
      <c r="V165" s="253">
        <v>25.572289156626503</v>
      </c>
      <c r="W165" s="253">
        <v>59.072164948453612</v>
      </c>
      <c r="X165" s="253">
        <v>57.325581395348834</v>
      </c>
      <c r="Y165" s="253">
        <v>40.675675675675677</v>
      </c>
      <c r="Z165" s="253">
        <v>54.384615384615387</v>
      </c>
      <c r="AA165" s="253"/>
      <c r="AB165" s="253"/>
      <c r="AC165" s="253"/>
      <c r="AD165" s="253"/>
      <c r="AE165" s="253"/>
    </row>
    <row r="166" spans="1:31">
      <c r="A166" s="33">
        <v>165</v>
      </c>
      <c r="B166" s="69" t="s">
        <v>2417</v>
      </c>
      <c r="C166" s="69" t="s">
        <v>740</v>
      </c>
      <c r="D166" s="56">
        <v>41990</v>
      </c>
      <c r="F166" s="56"/>
      <c r="G166" s="69" t="str">
        <f t="shared" si="2"/>
        <v>E-Commerce</v>
      </c>
      <c r="H166" s="69" t="s">
        <v>2418</v>
      </c>
      <c r="J166" s="69" t="s">
        <v>2417</v>
      </c>
      <c r="K166" s="89" t="s">
        <v>2419</v>
      </c>
      <c r="L166" s="253">
        <v>56.60840155271147</v>
      </c>
      <c r="M166" s="253">
        <v>49.423558319743606</v>
      </c>
      <c r="N166" s="253">
        <v>48.263809964597144</v>
      </c>
      <c r="O166" s="253">
        <v>60.592037184765879</v>
      </c>
      <c r="P166" s="253">
        <v>57.010501940889348</v>
      </c>
      <c r="Q166" s="253">
        <v>63.063265306122453</v>
      </c>
      <c r="R166" s="253">
        <v>48.826006519711122</v>
      </c>
      <c r="S166" s="253">
        <v>45.263157894736842</v>
      </c>
      <c r="T166" s="253"/>
      <c r="U166" s="253">
        <v>42.142857142857139</v>
      </c>
      <c r="V166" s="253">
        <v>47.867469879518069</v>
      </c>
      <c r="W166" s="253"/>
      <c r="X166" s="253"/>
      <c r="Y166" s="253">
        <v>67.027027027027032</v>
      </c>
      <c r="Z166" s="253">
        <v>55</v>
      </c>
      <c r="AA166" s="253"/>
      <c r="AB166" s="253"/>
      <c r="AC166" s="253"/>
      <c r="AD166" s="253"/>
      <c r="AE166" s="253"/>
    </row>
    <row r="167" spans="1:31">
      <c r="A167" s="33">
        <v>166</v>
      </c>
      <c r="B167" s="69" t="s">
        <v>2417</v>
      </c>
      <c r="C167" s="69" t="s">
        <v>740</v>
      </c>
      <c r="D167" s="56">
        <v>41990</v>
      </c>
      <c r="F167" s="56"/>
      <c r="G167" s="69" t="str">
        <f t="shared" si="2"/>
        <v>E-Commerce</v>
      </c>
      <c r="H167" s="69" t="s">
        <v>2418</v>
      </c>
      <c r="J167" s="69" t="s">
        <v>2417</v>
      </c>
      <c r="K167" s="89" t="s">
        <v>2420</v>
      </c>
      <c r="L167" s="253">
        <v>56.50798144551171</v>
      </c>
      <c r="M167" s="253">
        <v>61.217995535587576</v>
      </c>
      <c r="N167" s="253">
        <v>52.865192970734533</v>
      </c>
      <c r="O167" s="253">
        <v>68.735485023615908</v>
      </c>
      <c r="P167" s="253">
        <v>53.808053729966566</v>
      </c>
      <c r="Q167" s="253">
        <v>56.579591836734686</v>
      </c>
      <c r="R167" s="253">
        <v>60.014496399484294</v>
      </c>
      <c r="S167" s="253">
        <v>60.394736842105267</v>
      </c>
      <c r="T167" s="253"/>
      <c r="U167" s="253">
        <v>63.857142857142854</v>
      </c>
      <c r="V167" s="253">
        <v>59.277108433734938</v>
      </c>
      <c r="W167" s="253"/>
      <c r="X167" s="253"/>
      <c r="Y167" s="253">
        <v>73.243243243243242</v>
      </c>
      <c r="Z167" s="253">
        <v>67.307692307692307</v>
      </c>
      <c r="AA167" s="253"/>
      <c r="AB167" s="253"/>
      <c r="AC167" s="253"/>
      <c r="AD167" s="253"/>
      <c r="AE167" s="253"/>
    </row>
    <row r="168" spans="1:31">
      <c r="A168" s="33">
        <v>167</v>
      </c>
      <c r="B168" s="69" t="s">
        <v>2417</v>
      </c>
      <c r="C168" s="69" t="s">
        <v>740</v>
      </c>
      <c r="D168" s="56">
        <v>41990</v>
      </c>
      <c r="F168" s="56"/>
      <c r="G168" s="69" t="str">
        <f t="shared" si="2"/>
        <v>E-Commerce</v>
      </c>
      <c r="H168" s="69" t="s">
        <v>2418</v>
      </c>
      <c r="J168" s="69" t="s">
        <v>2417</v>
      </c>
      <c r="K168" s="69" t="s">
        <v>2417</v>
      </c>
      <c r="L168" s="253">
        <v>56.128163738333249</v>
      </c>
      <c r="M168" s="253">
        <v>57.380255638099129</v>
      </c>
      <c r="N168" s="253">
        <v>56.496784686435127</v>
      </c>
      <c r="O168" s="253">
        <v>57.731418058358287</v>
      </c>
      <c r="P168" s="253">
        <v>58.044820057531929</v>
      </c>
      <c r="Q168" s="253">
        <v>57.571428571428569</v>
      </c>
      <c r="R168" s="253">
        <v>61.921073277005476</v>
      </c>
      <c r="S168" s="253">
        <v>47.5</v>
      </c>
      <c r="T168" s="253"/>
      <c r="U168" s="253">
        <v>58.571428571428577</v>
      </c>
      <c r="V168" s="253">
        <v>55.090361445783131</v>
      </c>
      <c r="W168" s="253"/>
      <c r="X168" s="253"/>
      <c r="Y168" s="253">
        <v>62.567567567567572</v>
      </c>
      <c r="Z168" s="253">
        <v>48.46153846153846</v>
      </c>
      <c r="AA168" s="253"/>
      <c r="AB168" s="253"/>
      <c r="AC168" s="253"/>
      <c r="AD168" s="253"/>
      <c r="AE168" s="253"/>
    </row>
    <row r="169" spans="1:31">
      <c r="A169" s="33">
        <v>168</v>
      </c>
      <c r="B169" s="69" t="s">
        <v>2417</v>
      </c>
      <c r="C169" s="69" t="s">
        <v>740</v>
      </c>
      <c r="D169" s="56">
        <v>41990</v>
      </c>
      <c r="F169" s="56"/>
      <c r="G169" s="69" t="str">
        <f t="shared" si="2"/>
        <v>E-Commerce</v>
      </c>
      <c r="H169" s="69" t="s">
        <v>2418</v>
      </c>
      <c r="J169" s="69" t="s">
        <v>2417</v>
      </c>
      <c r="K169" s="89" t="s">
        <v>2421</v>
      </c>
      <c r="L169" s="253">
        <v>56.335267275097777</v>
      </c>
      <c r="M169" s="253">
        <v>48.638415174104715</v>
      </c>
      <c r="N169" s="253">
        <v>45.764858630563801</v>
      </c>
      <c r="O169" s="253">
        <v>57.889834604965003</v>
      </c>
      <c r="P169" s="253">
        <v>60.996007170795295</v>
      </c>
      <c r="Q169" s="253">
        <v>54.437500000000007</v>
      </c>
      <c r="R169" s="253">
        <v>47.685986330054128</v>
      </c>
      <c r="S169" s="253">
        <v>49.473684210526315</v>
      </c>
      <c r="T169" s="253"/>
      <c r="U169" s="253">
        <v>52.035714285714285</v>
      </c>
      <c r="V169" s="253">
        <v>44.162650602409634</v>
      </c>
      <c r="W169" s="253"/>
      <c r="X169" s="253"/>
      <c r="Y169" s="253">
        <v>71.216216216216225</v>
      </c>
      <c r="Z169" s="253">
        <v>37.692307692307693</v>
      </c>
      <c r="AA169" s="253"/>
      <c r="AB169" s="253"/>
      <c r="AC169" s="253"/>
      <c r="AD169" s="253"/>
      <c r="AE169" s="253"/>
    </row>
    <row r="170" spans="1:31">
      <c r="A170" s="33">
        <v>169</v>
      </c>
      <c r="B170" s="69" t="s">
        <v>2417</v>
      </c>
      <c r="C170" s="69" t="s">
        <v>740</v>
      </c>
      <c r="D170" s="56">
        <v>41990</v>
      </c>
      <c r="F170" s="56"/>
      <c r="G170" s="69" t="str">
        <f t="shared" si="2"/>
        <v>E-Commerce</v>
      </c>
      <c r="H170" s="69" t="s">
        <v>2418</v>
      </c>
      <c r="J170" s="69" t="s">
        <v>2417</v>
      </c>
      <c r="K170" s="89" t="s">
        <v>2422</v>
      </c>
      <c r="L170" s="253">
        <v>53.211718622453084</v>
      </c>
      <c r="M170" s="253">
        <v>47.636628224480056</v>
      </c>
      <c r="N170" s="253">
        <v>48.596945507824259</v>
      </c>
      <c r="O170" s="253">
        <v>46.849845426951156</v>
      </c>
      <c r="P170" s="253">
        <v>62.091571354989441</v>
      </c>
      <c r="Q170" s="253">
        <v>53.296428571428564</v>
      </c>
      <c r="R170" s="253">
        <v>50.681627224000103</v>
      </c>
      <c r="S170" s="253">
        <v>48.377192982456137</v>
      </c>
      <c r="T170" s="253"/>
      <c r="U170" s="253">
        <v>52.678571428571431</v>
      </c>
      <c r="V170" s="253">
        <v>40.632530120481931</v>
      </c>
      <c r="W170" s="253"/>
      <c r="X170" s="253"/>
      <c r="Y170" s="253">
        <v>59.864864864864863</v>
      </c>
      <c r="Z170" s="253">
        <v>17.692307692307693</v>
      </c>
      <c r="AA170" s="253"/>
      <c r="AB170" s="253"/>
      <c r="AC170" s="253"/>
      <c r="AD170" s="253"/>
      <c r="AE170" s="253"/>
    </row>
    <row r="171" spans="1:31">
      <c r="A171" s="33">
        <v>170</v>
      </c>
      <c r="B171" s="69" t="s">
        <v>2413</v>
      </c>
      <c r="C171" s="69" t="s">
        <v>740</v>
      </c>
      <c r="D171" s="56">
        <v>41995</v>
      </c>
      <c r="F171" s="56"/>
      <c r="G171" s="69" t="str">
        <f t="shared" si="2"/>
        <v>Both</v>
      </c>
      <c r="H171" s="69" t="s">
        <v>2414</v>
      </c>
      <c r="J171" s="69" t="s">
        <v>2413</v>
      </c>
      <c r="K171" s="13" t="s">
        <v>2413</v>
      </c>
      <c r="L171" s="253">
        <v>34.971311154897236</v>
      </c>
      <c r="M171" s="253">
        <v>36.312531991393783</v>
      </c>
      <c r="N171" s="253">
        <v>32.726594060235314</v>
      </c>
      <c r="O171" s="253">
        <v>32.925763814186979</v>
      </c>
      <c r="P171" s="253">
        <v>42.944908174390775</v>
      </c>
      <c r="Q171" s="253">
        <v>52.717857142857149</v>
      </c>
      <c r="R171" s="253">
        <v>49.303619544297511</v>
      </c>
      <c r="S171" s="253">
        <v>26.44736842105263</v>
      </c>
      <c r="T171" s="253"/>
      <c r="U171" s="253">
        <v>28.3125</v>
      </c>
      <c r="V171" s="253">
        <v>31.024096385542173</v>
      </c>
      <c r="W171" s="253">
        <v>58.787878787878789</v>
      </c>
      <c r="X171" s="253"/>
      <c r="Y171" s="253">
        <v>43.243243243243242</v>
      </c>
      <c r="Z171" s="253">
        <v>3.0769230769230771</v>
      </c>
      <c r="AA171" s="253"/>
      <c r="AB171" s="253"/>
      <c r="AC171" s="253"/>
      <c r="AD171" s="253"/>
      <c r="AE171" s="253"/>
    </row>
    <row r="172" spans="1:31">
      <c r="A172" s="33">
        <v>171</v>
      </c>
      <c r="B172" s="69" t="s">
        <v>2413</v>
      </c>
      <c r="C172" s="69" t="s">
        <v>740</v>
      </c>
      <c r="D172" s="56">
        <v>41995</v>
      </c>
      <c r="F172" s="56"/>
      <c r="G172" s="69" t="str">
        <f t="shared" si="2"/>
        <v>Both</v>
      </c>
      <c r="H172" s="69" t="s">
        <v>2414</v>
      </c>
      <c r="J172" s="69" t="s">
        <v>2413</v>
      </c>
      <c r="K172" s="278" t="s">
        <v>1098</v>
      </c>
      <c r="L172" s="253">
        <v>41.997905632874406</v>
      </c>
      <c r="M172" s="253">
        <v>46.351970226158144</v>
      </c>
      <c r="N172" s="253">
        <v>52.884006245216732</v>
      </c>
      <c r="O172" s="253">
        <v>43.954635285965935</v>
      </c>
      <c r="P172" s="253">
        <v>40.670458964169931</v>
      </c>
      <c r="Q172" s="253">
        <v>63.55</v>
      </c>
      <c r="R172" s="253">
        <v>58.611219810176785</v>
      </c>
      <c r="S172" s="253">
        <v>35.39473684210526</v>
      </c>
      <c r="T172" s="253"/>
      <c r="U172" s="253">
        <v>24.3125</v>
      </c>
      <c r="V172" s="253">
        <v>39.650602409638552</v>
      </c>
      <c r="W172" s="253">
        <v>63.484848484848484</v>
      </c>
      <c r="X172" s="253"/>
      <c r="Y172" s="253">
        <v>38.243243243243242</v>
      </c>
      <c r="Z172" s="253">
        <v>47.307692307692307</v>
      </c>
      <c r="AA172" s="253"/>
      <c r="AB172" s="253"/>
      <c r="AC172" s="253"/>
      <c r="AD172" s="253"/>
      <c r="AE172" s="253"/>
    </row>
    <row r="173" spans="1:31">
      <c r="A173" s="33">
        <v>172</v>
      </c>
      <c r="B173" s="69" t="s">
        <v>2413</v>
      </c>
      <c r="C173" s="69" t="s">
        <v>740</v>
      </c>
      <c r="D173" s="56">
        <v>41995</v>
      </c>
      <c r="F173" s="56"/>
      <c r="G173" s="69" t="str">
        <f t="shared" si="2"/>
        <v>Both</v>
      </c>
      <c r="H173" s="69" t="s">
        <v>2414</v>
      </c>
      <c r="J173" s="69" t="s">
        <v>2413</v>
      </c>
      <c r="K173" s="278" t="s">
        <v>1095</v>
      </c>
      <c r="L173" s="253">
        <v>61.022401476014316</v>
      </c>
      <c r="M173" s="253">
        <v>60.35810689516434</v>
      </c>
      <c r="N173" s="253">
        <v>50.703250618755732</v>
      </c>
      <c r="O173" s="253">
        <v>56.0619144054182</v>
      </c>
      <c r="P173" s="253">
        <v>61.720309537325591</v>
      </c>
      <c r="Q173" s="253">
        <v>56.141071428571429</v>
      </c>
      <c r="R173" s="253">
        <v>71.446655039875367</v>
      </c>
      <c r="S173" s="253">
        <v>58.771929824561404</v>
      </c>
      <c r="T173" s="253"/>
      <c r="U173" s="253">
        <v>45.34375</v>
      </c>
      <c r="V173" s="253">
        <v>57.74096385542169</v>
      </c>
      <c r="W173" s="253">
        <v>43.18181818181818</v>
      </c>
      <c r="X173" s="253"/>
      <c r="Y173" s="253">
        <v>51.621621621621614</v>
      </c>
      <c r="Z173" s="253">
        <v>58.230769230769226</v>
      </c>
      <c r="AA173" s="253"/>
      <c r="AB173" s="253"/>
      <c r="AC173" s="253"/>
      <c r="AD173" s="253"/>
      <c r="AE173" s="253"/>
    </row>
    <row r="174" spans="1:31">
      <c r="A174" s="33">
        <v>173</v>
      </c>
      <c r="B174" s="69" t="s">
        <v>2413</v>
      </c>
      <c r="C174" s="69" t="s">
        <v>740</v>
      </c>
      <c r="D174" s="56">
        <v>41995</v>
      </c>
      <c r="F174" s="56"/>
      <c r="G174" s="69" t="str">
        <f t="shared" si="2"/>
        <v>Both</v>
      </c>
      <c r="H174" s="69" t="s">
        <v>2414</v>
      </c>
      <c r="J174" s="69" t="s">
        <v>2413</v>
      </c>
      <c r="K174" s="278" t="s">
        <v>2415</v>
      </c>
      <c r="L174" s="253">
        <v>36.769797520020532</v>
      </c>
      <c r="M174" s="253">
        <v>28.56838929308238</v>
      </c>
      <c r="N174" s="253">
        <v>29.608594715332607</v>
      </c>
      <c r="O174" s="253">
        <v>22.889335951948588</v>
      </c>
      <c r="P174" s="253">
        <v>45.962246900025669</v>
      </c>
      <c r="Q174" s="253">
        <v>45.303571428571431</v>
      </c>
      <c r="R174" s="253">
        <v>37.113169461278979</v>
      </c>
      <c r="S174" s="253">
        <v>18.070175438596493</v>
      </c>
      <c r="T174" s="253"/>
      <c r="U174" s="253">
        <v>22.96875</v>
      </c>
      <c r="V174" s="253">
        <v>27.620481927710845</v>
      </c>
      <c r="W174" s="253">
        <v>32.37373737373737</v>
      </c>
      <c r="X174" s="253"/>
      <c r="Y174" s="253">
        <v>29.72972972972973</v>
      </c>
      <c r="Z174" s="253">
        <v>0</v>
      </c>
      <c r="AA174" s="253"/>
      <c r="AB174" s="253"/>
      <c r="AC174" s="253"/>
      <c r="AD174" s="253"/>
      <c r="AE174" s="253"/>
    </row>
    <row r="175" spans="1:31">
      <c r="A175" s="33">
        <v>174</v>
      </c>
      <c r="B175" s="69" t="s">
        <v>2413</v>
      </c>
      <c r="C175" s="69" t="s">
        <v>740</v>
      </c>
      <c r="D175" s="56">
        <v>41995</v>
      </c>
      <c r="F175" s="56"/>
      <c r="G175" s="69" t="str">
        <f t="shared" si="2"/>
        <v>Both</v>
      </c>
      <c r="H175" s="69" t="s">
        <v>2414</v>
      </c>
      <c r="J175" s="69" t="s">
        <v>2413</v>
      </c>
      <c r="K175" s="13" t="s">
        <v>2416</v>
      </c>
      <c r="L175" s="253">
        <v>38.541006751533068</v>
      </c>
      <c r="M175" s="253">
        <v>44.400789648496819</v>
      </c>
      <c r="N175" s="253">
        <v>33.313677237980656</v>
      </c>
      <c r="O175" s="253">
        <v>40.967529952433004</v>
      </c>
      <c r="P175" s="253">
        <v>42.407027670185563</v>
      </c>
      <c r="Q175" s="253">
        <v>49.621428571428567</v>
      </c>
      <c r="R175" s="253">
        <v>58.215895215895209</v>
      </c>
      <c r="S175" s="253">
        <v>28.026315789473681</v>
      </c>
      <c r="T175" s="253"/>
      <c r="U175" s="253">
        <v>38.375</v>
      </c>
      <c r="V175" s="253">
        <v>40.150602409638552</v>
      </c>
      <c r="W175" s="253">
        <v>37.121212121212118</v>
      </c>
      <c r="X175" s="253"/>
      <c r="Y175" s="253">
        <v>46.891891891891888</v>
      </c>
      <c r="Z175" s="253">
        <v>23.076923076923077</v>
      </c>
      <c r="AA175" s="253"/>
      <c r="AB175" s="253"/>
      <c r="AC175" s="253"/>
      <c r="AD175" s="253"/>
      <c r="AE175" s="253"/>
    </row>
    <row r="176" spans="1:31">
      <c r="A176" s="33">
        <v>175</v>
      </c>
      <c r="B176" s="69" t="s">
        <v>2411</v>
      </c>
      <c r="C176" s="69" t="s">
        <v>740</v>
      </c>
      <c r="D176" s="56">
        <v>41996</v>
      </c>
      <c r="G176" s="69" t="str">
        <f t="shared" si="2"/>
        <v>User Registration</v>
      </c>
      <c r="H176" s="69" t="s">
        <v>2236</v>
      </c>
      <c r="J176" s="69" t="s">
        <v>2411</v>
      </c>
      <c r="K176" s="69" t="s">
        <v>2412</v>
      </c>
      <c r="L176" s="253">
        <v>62.481026135404669</v>
      </c>
      <c r="M176" s="253">
        <v>49.560751829596477</v>
      </c>
      <c r="N176" s="253">
        <v>46.458741443914832</v>
      </c>
      <c r="O176" s="253">
        <v>41.672620536132527</v>
      </c>
      <c r="P176" s="253">
        <v>67.101282669255838</v>
      </c>
      <c r="Q176" s="253">
        <v>66.121428571428567</v>
      </c>
      <c r="R176" s="253">
        <v>49.986601386017888</v>
      </c>
      <c r="S176" s="253">
        <v>52.982456140350877</v>
      </c>
      <c r="T176" s="253"/>
      <c r="U176" s="253">
        <v>39.5</v>
      </c>
      <c r="V176" s="253"/>
      <c r="W176" s="253">
        <v>42.450980392156858</v>
      </c>
      <c r="X176" s="253"/>
      <c r="Y176" s="253">
        <v>35.270270270270267</v>
      </c>
      <c r="Z176" s="253">
        <v>44</v>
      </c>
      <c r="AA176" s="253"/>
      <c r="AB176" s="253"/>
      <c r="AC176" s="253"/>
      <c r="AD176" s="253"/>
      <c r="AE176" s="253"/>
    </row>
    <row r="177" spans="1:31">
      <c r="A177" s="33">
        <v>176</v>
      </c>
      <c r="B177" s="69" t="s">
        <v>2411</v>
      </c>
      <c r="C177" s="69" t="s">
        <v>740</v>
      </c>
      <c r="D177" s="56">
        <v>41996</v>
      </c>
      <c r="G177" s="69" t="str">
        <f t="shared" si="2"/>
        <v>User Registration</v>
      </c>
      <c r="H177" s="69" t="s">
        <v>2236</v>
      </c>
      <c r="J177" s="69" t="s">
        <v>2411</v>
      </c>
      <c r="K177" s="69" t="s">
        <v>1853</v>
      </c>
      <c r="L177" s="253">
        <v>62.886170867738663</v>
      </c>
      <c r="M177" s="253">
        <v>55.765516750098321</v>
      </c>
      <c r="N177" s="253">
        <v>59.414469936444945</v>
      </c>
      <c r="O177" s="253">
        <v>43.379617147437465</v>
      </c>
      <c r="P177" s="253">
        <v>70.588482815442561</v>
      </c>
      <c r="Q177" s="253">
        <v>61.68571428571429</v>
      </c>
      <c r="R177" s="253">
        <v>61.392440360417588</v>
      </c>
      <c r="S177" s="253">
        <v>60.438596491228068</v>
      </c>
      <c r="T177" s="253"/>
      <c r="U177" s="253">
        <v>50</v>
      </c>
      <c r="V177" s="253"/>
      <c r="W177" s="253">
        <v>58.480392156862749</v>
      </c>
      <c r="X177" s="253"/>
      <c r="Y177" s="253">
        <v>41.891891891891888</v>
      </c>
      <c r="Z177" s="253">
        <v>32.076923076923073</v>
      </c>
      <c r="AA177" s="253"/>
      <c r="AB177" s="253"/>
      <c r="AC177" s="253"/>
      <c r="AD177" s="253"/>
      <c r="AE177" s="253"/>
    </row>
    <row r="178" spans="1:31">
      <c r="A178" s="33">
        <v>177</v>
      </c>
      <c r="B178" s="69" t="s">
        <v>2411</v>
      </c>
      <c r="C178" s="69" t="s">
        <v>740</v>
      </c>
      <c r="D178" s="56">
        <v>41996</v>
      </c>
      <c r="G178" s="69" t="str">
        <f t="shared" si="2"/>
        <v>User Registration</v>
      </c>
      <c r="H178" s="69" t="s">
        <v>2236</v>
      </c>
      <c r="J178" s="69" t="s">
        <v>2411</v>
      </c>
      <c r="K178" s="69" t="s">
        <v>1854</v>
      </c>
      <c r="L178" s="253">
        <v>46.926585174607773</v>
      </c>
      <c r="M178" s="253">
        <v>51.760744278222425</v>
      </c>
      <c r="N178" s="253">
        <v>65.099752530375014</v>
      </c>
      <c r="O178" s="253">
        <v>62.089790081759055</v>
      </c>
      <c r="P178" s="253">
        <v>44.908231468259714</v>
      </c>
      <c r="Q178" s="253">
        <v>61.653571428571432</v>
      </c>
      <c r="R178" s="253">
        <v>54.900449555075838</v>
      </c>
      <c r="S178" s="253">
        <v>41.359649122807021</v>
      </c>
      <c r="T178" s="253"/>
      <c r="U178" s="253">
        <v>44.166666666666664</v>
      </c>
      <c r="V178" s="253"/>
      <c r="W178" s="253">
        <v>68.67647058823529</v>
      </c>
      <c r="X178" s="253"/>
      <c r="Y178" s="253">
        <v>69.189189189189193</v>
      </c>
      <c r="Z178" s="253">
        <v>55</v>
      </c>
      <c r="AA178" s="253"/>
      <c r="AB178" s="253"/>
      <c r="AC178" s="253"/>
      <c r="AD178" s="253"/>
      <c r="AE178" s="253"/>
    </row>
    <row r="179" spans="1:31">
      <c r="A179" s="33">
        <v>178</v>
      </c>
      <c r="B179" s="69" t="s">
        <v>2411</v>
      </c>
      <c r="C179" s="69" t="s">
        <v>740</v>
      </c>
      <c r="D179" s="56">
        <v>41996</v>
      </c>
      <c r="G179" s="69" t="str">
        <f t="shared" si="2"/>
        <v>User Registration</v>
      </c>
      <c r="H179" s="69" t="s">
        <v>2236</v>
      </c>
      <c r="J179" s="69" t="s">
        <v>2411</v>
      </c>
      <c r="K179" s="69" t="s">
        <v>1871</v>
      </c>
      <c r="L179" s="253">
        <v>71.635695545300067</v>
      </c>
      <c r="M179" s="253">
        <v>59.533250123073479</v>
      </c>
      <c r="N179" s="253">
        <v>58.564184842937117</v>
      </c>
      <c r="O179" s="253">
        <v>53.778851950628201</v>
      </c>
      <c r="P179" s="253">
        <v>72.525388662394306</v>
      </c>
      <c r="Q179" s="253">
        <v>60.528571428571432</v>
      </c>
      <c r="R179" s="253">
        <v>57.861300503701173</v>
      </c>
      <c r="S179" s="253">
        <v>67.324561403508781</v>
      </c>
      <c r="T179" s="253"/>
      <c r="U179" s="253">
        <v>53.333333333333329</v>
      </c>
      <c r="V179" s="253"/>
      <c r="W179" s="253">
        <v>58.480392156862749</v>
      </c>
      <c r="X179" s="253"/>
      <c r="Y179" s="253">
        <v>43.783783783783782</v>
      </c>
      <c r="Z179" s="253">
        <v>68.07692307692308</v>
      </c>
      <c r="AA179" s="253"/>
      <c r="AB179" s="253"/>
      <c r="AC179" s="253"/>
      <c r="AD179" s="253"/>
      <c r="AE179" s="253"/>
    </row>
    <row r="180" spans="1:31">
      <c r="A180" s="33">
        <v>179</v>
      </c>
      <c r="B180" s="69" t="s">
        <v>2411</v>
      </c>
      <c r="C180" s="69" t="s">
        <v>740</v>
      </c>
      <c r="D180" s="56">
        <v>41996</v>
      </c>
      <c r="F180" s="56"/>
      <c r="G180" s="69" t="str">
        <f t="shared" si="2"/>
        <v>User Registration</v>
      </c>
      <c r="H180" s="69" t="s">
        <v>2236</v>
      </c>
      <c r="J180" s="69" t="s">
        <v>2411</v>
      </c>
      <c r="K180" s="69" t="s">
        <v>2411</v>
      </c>
      <c r="L180" s="253">
        <v>49.28031868999382</v>
      </c>
      <c r="M180" s="253">
        <v>43.635754059828173</v>
      </c>
      <c r="N180" s="253">
        <v>37.673919885963308</v>
      </c>
      <c r="O180" s="253">
        <v>48.553698773144255</v>
      </c>
      <c r="P180" s="253">
        <v>52.850398362492278</v>
      </c>
      <c r="Q180" s="253">
        <v>55.160714285714292</v>
      </c>
      <c r="R180" s="253">
        <v>44.706334070671389</v>
      </c>
      <c r="S180" s="253">
        <v>54.298245614035089</v>
      </c>
      <c r="T180" s="253"/>
      <c r="U180" s="253">
        <v>32.5</v>
      </c>
      <c r="V180" s="253"/>
      <c r="W180" s="253">
        <v>32.941176470588232</v>
      </c>
      <c r="X180" s="253"/>
      <c r="Y180" s="253">
        <v>54.864864864864856</v>
      </c>
      <c r="Z180" s="253">
        <v>35</v>
      </c>
      <c r="AA180" s="253"/>
      <c r="AB180" s="253"/>
      <c r="AC180" s="253"/>
      <c r="AD180" s="253"/>
      <c r="AE180" s="253"/>
    </row>
    <row r="181" spans="1:31">
      <c r="A181" s="33">
        <v>180</v>
      </c>
      <c r="B181" s="69" t="s">
        <v>2408</v>
      </c>
      <c r="C181" s="69" t="s">
        <v>740</v>
      </c>
      <c r="D181" s="56">
        <v>42010</v>
      </c>
      <c r="F181" s="56"/>
      <c r="G181" s="69" t="str">
        <f t="shared" si="2"/>
        <v>E-Commerce</v>
      </c>
      <c r="H181" s="69" t="s">
        <v>1981</v>
      </c>
      <c r="J181" s="69" t="s">
        <v>1980</v>
      </c>
      <c r="K181" s="280" t="s">
        <v>2380</v>
      </c>
      <c r="L181" s="253">
        <v>64.959751726121041</v>
      </c>
      <c r="M181" s="253">
        <v>58.974528707998161</v>
      </c>
      <c r="N181" s="253">
        <v>66.832350026654026</v>
      </c>
      <c r="O181" s="253">
        <v>70.470942415764341</v>
      </c>
      <c r="P181" s="253">
        <v>66.584305042266692</v>
      </c>
      <c r="Q181" s="253">
        <v>63.523214285714289</v>
      </c>
      <c r="R181" s="253">
        <v>60.925498230582974</v>
      </c>
      <c r="S181" s="253">
        <v>53.157894736842103</v>
      </c>
      <c r="T181" s="253"/>
      <c r="U181" s="253">
        <v>51.78125</v>
      </c>
      <c r="V181" s="253">
        <v>63.283132530120476</v>
      </c>
      <c r="W181" s="253"/>
      <c r="X181" s="253"/>
      <c r="Y181" s="253">
        <v>80.810810810810807</v>
      </c>
      <c r="Z181" s="253">
        <v>58.461538461538467</v>
      </c>
      <c r="AA181" s="253"/>
      <c r="AB181" s="253"/>
      <c r="AC181" s="253"/>
      <c r="AD181" s="253"/>
      <c r="AE181" s="253"/>
    </row>
    <row r="182" spans="1:31">
      <c r="A182" s="33">
        <v>181</v>
      </c>
      <c r="B182" s="69" t="s">
        <v>2408</v>
      </c>
      <c r="C182" s="69" t="s">
        <v>740</v>
      </c>
      <c r="D182" s="56">
        <v>42010</v>
      </c>
      <c r="F182" s="56"/>
      <c r="G182" s="69" t="str">
        <f t="shared" si="2"/>
        <v>E-Commerce</v>
      </c>
      <c r="H182" s="69" t="s">
        <v>1981</v>
      </c>
      <c r="J182" s="69" t="s">
        <v>1980</v>
      </c>
      <c r="K182" s="89" t="s">
        <v>389</v>
      </c>
      <c r="L182" s="253">
        <v>60.520718120501471</v>
      </c>
      <c r="M182" s="253">
        <v>66.630251961140701</v>
      </c>
      <c r="N182" s="253">
        <v>60.945407079284472</v>
      </c>
      <c r="O182" s="253">
        <v>64.491876659437168</v>
      </c>
      <c r="P182" s="253">
        <v>69.497051496780685</v>
      </c>
      <c r="Q182" s="253">
        <v>61.557142857142864</v>
      </c>
      <c r="R182" s="253">
        <v>68.735359071920826</v>
      </c>
      <c r="S182" s="253">
        <v>66.754385964912274</v>
      </c>
      <c r="T182" s="253"/>
      <c r="U182" s="253">
        <v>81.25</v>
      </c>
      <c r="V182" s="253">
        <v>71.777108433734938</v>
      </c>
      <c r="W182" s="253"/>
      <c r="X182" s="253"/>
      <c r="Y182" s="253">
        <v>83.648648648648646</v>
      </c>
      <c r="Z182" s="253">
        <v>24.615384615384617</v>
      </c>
      <c r="AA182" s="253"/>
      <c r="AB182" s="253"/>
      <c r="AC182" s="253"/>
      <c r="AD182" s="253"/>
      <c r="AE182" s="253"/>
    </row>
    <row r="183" spans="1:31">
      <c r="A183" s="33">
        <v>182</v>
      </c>
      <c r="B183" s="69" t="s">
        <v>2408</v>
      </c>
      <c r="C183" s="69" t="s">
        <v>740</v>
      </c>
      <c r="D183" s="56">
        <v>42010</v>
      </c>
      <c r="F183" s="56"/>
      <c r="G183" s="69" t="str">
        <f t="shared" si="2"/>
        <v>E-Commerce</v>
      </c>
      <c r="H183" s="69" t="s">
        <v>1981</v>
      </c>
      <c r="J183" s="69" t="s">
        <v>1980</v>
      </c>
      <c r="K183" s="69" t="s">
        <v>2409</v>
      </c>
      <c r="L183" s="253">
        <v>63.160502578853546</v>
      </c>
      <c r="M183" s="253">
        <v>59.488262842959259</v>
      </c>
      <c r="N183" s="253">
        <v>60.224908458039224</v>
      </c>
      <c r="O183" s="253">
        <v>65.423049686031007</v>
      </c>
      <c r="P183" s="253">
        <v>65.873705146643857</v>
      </c>
      <c r="Q183" s="253">
        <v>59.219897959183676</v>
      </c>
      <c r="R183" s="253">
        <v>70.998137455764578</v>
      </c>
      <c r="S183" s="253">
        <v>47.850877192982452</v>
      </c>
      <c r="T183" s="253"/>
      <c r="U183" s="253">
        <v>45.437499999999993</v>
      </c>
      <c r="V183" s="253">
        <v>61.253012048192765</v>
      </c>
      <c r="W183" s="253"/>
      <c r="X183" s="253"/>
      <c r="Y183" s="253">
        <v>73.243243243243242</v>
      </c>
      <c r="Z183" s="253">
        <v>52.307692307692307</v>
      </c>
      <c r="AA183" s="253"/>
      <c r="AB183" s="253"/>
      <c r="AC183" s="253"/>
      <c r="AD183" s="253"/>
      <c r="AE183" s="253"/>
    </row>
    <row r="184" spans="1:31">
      <c r="A184" s="33">
        <v>183</v>
      </c>
      <c r="B184" s="69" t="s">
        <v>2408</v>
      </c>
      <c r="C184" s="69" t="s">
        <v>740</v>
      </c>
      <c r="D184" s="56">
        <v>42010</v>
      </c>
      <c r="F184" s="56"/>
      <c r="G184" s="69" t="str">
        <f t="shared" si="2"/>
        <v>E-Commerce</v>
      </c>
      <c r="H184" s="69" t="s">
        <v>1981</v>
      </c>
      <c r="J184" s="69" t="s">
        <v>1980</v>
      </c>
      <c r="K184" s="69" t="s">
        <v>1980</v>
      </c>
      <c r="L184" s="253">
        <v>54.091365637039132</v>
      </c>
      <c r="M184" s="253">
        <v>56.945817663796561</v>
      </c>
      <c r="N184" s="253">
        <v>53.263217290249784</v>
      </c>
      <c r="O184" s="253">
        <v>61.266537420807367</v>
      </c>
      <c r="P184" s="253">
        <v>51.941130123222003</v>
      </c>
      <c r="Q184" s="253">
        <v>66.209821428571431</v>
      </c>
      <c r="R184" s="253">
        <v>55.38810407324096</v>
      </c>
      <c r="S184" s="253">
        <v>41.184210526315788</v>
      </c>
      <c r="T184" s="253"/>
      <c r="U184" s="253">
        <v>63.0625</v>
      </c>
      <c r="V184" s="253">
        <v>54.969879518072283</v>
      </c>
      <c r="W184" s="253"/>
      <c r="X184" s="253"/>
      <c r="Y184" s="253">
        <v>63.243243243243242</v>
      </c>
      <c r="Z184" s="253">
        <v>62.692307692307693</v>
      </c>
      <c r="AA184" s="253"/>
      <c r="AB184" s="253"/>
      <c r="AC184" s="253"/>
      <c r="AD184" s="253"/>
      <c r="AE184" s="253"/>
    </row>
    <row r="185" spans="1:31">
      <c r="A185" s="33">
        <v>184</v>
      </c>
      <c r="B185" s="69" t="s">
        <v>2408</v>
      </c>
      <c r="C185" s="69" t="s">
        <v>740</v>
      </c>
      <c r="D185" s="56">
        <v>42010</v>
      </c>
      <c r="F185" s="56"/>
      <c r="G185" s="69" t="str">
        <f t="shared" si="2"/>
        <v>E-Commerce</v>
      </c>
      <c r="H185" s="69" t="s">
        <v>1981</v>
      </c>
      <c r="J185" s="69" t="s">
        <v>1980</v>
      </c>
      <c r="K185" s="69" t="s">
        <v>2410</v>
      </c>
      <c r="L185" s="253">
        <v>64.363058325642754</v>
      </c>
      <c r="M185" s="253">
        <v>54.216349269665827</v>
      </c>
      <c r="N185" s="253">
        <v>49.579346847497384</v>
      </c>
      <c r="O185" s="253">
        <v>70.15707633167483</v>
      </c>
      <c r="P185" s="253">
        <v>63.434592137822662</v>
      </c>
      <c r="Q185" s="253">
        <v>45.517857142857146</v>
      </c>
      <c r="R185" s="253">
        <v>52.662017810835096</v>
      </c>
      <c r="S185" s="253">
        <v>56.622807017543863</v>
      </c>
      <c r="T185" s="253"/>
      <c r="U185" s="253">
        <v>52.6875</v>
      </c>
      <c r="V185" s="253">
        <v>55.69879518072289</v>
      </c>
      <c r="W185" s="253"/>
      <c r="X185" s="253"/>
      <c r="Y185" s="253">
        <v>78.513513513513516</v>
      </c>
      <c r="Z185" s="253">
        <v>68.07692307692308</v>
      </c>
      <c r="AA185" s="253"/>
      <c r="AB185" s="253"/>
      <c r="AC185" s="253"/>
      <c r="AD185" s="253"/>
      <c r="AE185" s="253"/>
    </row>
    <row r="186" spans="1:31">
      <c r="A186" s="33">
        <v>185</v>
      </c>
      <c r="B186" s="69" t="s">
        <v>1052</v>
      </c>
      <c r="C186" s="69" t="s">
        <v>740</v>
      </c>
      <c r="D186" s="56">
        <v>42013</v>
      </c>
      <c r="F186" s="56"/>
      <c r="G186" s="69" t="str">
        <f t="shared" si="2"/>
        <v>E-Commerce</v>
      </c>
      <c r="H186" s="69" t="s">
        <v>2406</v>
      </c>
      <c r="J186" s="69" t="s">
        <v>1052</v>
      </c>
      <c r="K186" s="69" t="s">
        <v>1054</v>
      </c>
      <c r="L186" s="253">
        <v>59.854236943220009</v>
      </c>
      <c r="M186" s="253">
        <v>51.09846934436559</v>
      </c>
      <c r="N186" s="253">
        <v>47.854701843798992</v>
      </c>
      <c r="O186" s="253">
        <v>67.151833642650701</v>
      </c>
      <c r="P186" s="253">
        <v>56.837026948255762</v>
      </c>
      <c r="Q186" s="253">
        <v>54.206547619047619</v>
      </c>
      <c r="R186" s="253">
        <v>47.944089808496585</v>
      </c>
      <c r="S186" s="253">
        <v>43.201754385964911</v>
      </c>
      <c r="T186" s="253"/>
      <c r="U186" s="253">
        <v>49.677419354838705</v>
      </c>
      <c r="V186" s="253">
        <v>51.289156626506028</v>
      </c>
      <c r="W186" s="253"/>
      <c r="X186" s="253">
        <v>64.375</v>
      </c>
      <c r="Y186" s="253">
        <v>72.297297297297305</v>
      </c>
      <c r="Z186" s="253">
        <v>71.92307692307692</v>
      </c>
      <c r="AA186" s="253"/>
      <c r="AB186" s="253"/>
      <c r="AC186" s="253"/>
      <c r="AD186" s="253"/>
      <c r="AE186" s="253"/>
    </row>
    <row r="187" spans="1:31">
      <c r="A187" s="33">
        <v>186</v>
      </c>
      <c r="B187" s="69" t="s">
        <v>1052</v>
      </c>
      <c r="C187" s="69" t="s">
        <v>740</v>
      </c>
      <c r="D187" s="56">
        <v>42013</v>
      </c>
      <c r="F187" s="56"/>
      <c r="G187" s="69" t="str">
        <f t="shared" si="2"/>
        <v>E-Commerce</v>
      </c>
      <c r="H187" s="69" t="s">
        <v>2406</v>
      </c>
      <c r="J187" s="69" t="s">
        <v>1052</v>
      </c>
      <c r="K187" s="89" t="s">
        <v>2407</v>
      </c>
      <c r="L187" s="253">
        <v>43.454657998937662</v>
      </c>
      <c r="M187" s="253">
        <v>50.945636395876278</v>
      </c>
      <c r="N187" s="253">
        <v>50.657754166591204</v>
      </c>
      <c r="O187" s="253">
        <v>45.450421265045783</v>
      </c>
      <c r="P187" s="253">
        <v>39.318322498672075</v>
      </c>
      <c r="Q187" s="253">
        <v>58.181547619047613</v>
      </c>
      <c r="R187" s="253">
        <v>54.458024320312461</v>
      </c>
      <c r="S187" s="253">
        <v>34.298245614035089</v>
      </c>
      <c r="T187" s="253"/>
      <c r="U187" s="253">
        <v>51.064516129032256</v>
      </c>
      <c r="V187" s="253">
        <v>44.921686746987952</v>
      </c>
      <c r="W187" s="253"/>
      <c r="X187" s="253">
        <v>57.125</v>
      </c>
      <c r="Y187" s="253">
        <v>36.216216216216218</v>
      </c>
      <c r="Z187" s="253">
        <v>60</v>
      </c>
      <c r="AA187" s="253"/>
      <c r="AB187" s="253"/>
      <c r="AC187" s="253"/>
      <c r="AD187" s="253"/>
      <c r="AE187" s="253"/>
    </row>
    <row r="188" spans="1:31">
      <c r="A188" s="33">
        <v>187</v>
      </c>
      <c r="B188" s="69" t="s">
        <v>1052</v>
      </c>
      <c r="C188" s="69" t="s">
        <v>740</v>
      </c>
      <c r="D188" s="56">
        <v>42013</v>
      </c>
      <c r="F188" s="56"/>
      <c r="G188" s="69" t="str">
        <f t="shared" si="2"/>
        <v>E-Commerce</v>
      </c>
      <c r="H188" s="69" t="s">
        <v>2406</v>
      </c>
      <c r="J188" s="69" t="s">
        <v>1052</v>
      </c>
      <c r="K188" s="89" t="s">
        <v>1053</v>
      </c>
      <c r="L188" s="253">
        <v>44.735918130833383</v>
      </c>
      <c r="M188" s="253">
        <v>47.666394714163872</v>
      </c>
      <c r="N188" s="253">
        <v>36.715508022769015</v>
      </c>
      <c r="O188" s="253">
        <v>64.179005759787714</v>
      </c>
      <c r="P188" s="253">
        <v>42.054513048157112</v>
      </c>
      <c r="Q188" s="253">
        <v>49.567857142857143</v>
      </c>
      <c r="R188" s="253">
        <v>49.687981510015398</v>
      </c>
      <c r="S188" s="253">
        <v>41.798245614035089</v>
      </c>
      <c r="T188" s="253"/>
      <c r="U188" s="253">
        <v>43.741935483870968</v>
      </c>
      <c r="V188" s="253">
        <v>46.03012048192771</v>
      </c>
      <c r="W188" s="253"/>
      <c r="X188" s="253">
        <v>45</v>
      </c>
      <c r="Y188" s="253">
        <v>75.13513513513513</v>
      </c>
      <c r="Z188" s="253">
        <v>55.46153846153846</v>
      </c>
      <c r="AA188" s="253"/>
      <c r="AB188" s="253"/>
      <c r="AC188" s="253"/>
      <c r="AD188" s="253"/>
      <c r="AE188" s="253"/>
    </row>
    <row r="189" spans="1:31">
      <c r="A189" s="33">
        <v>188</v>
      </c>
      <c r="B189" s="69" t="s">
        <v>1052</v>
      </c>
      <c r="C189" s="69" t="s">
        <v>740</v>
      </c>
      <c r="D189" s="56">
        <v>42013</v>
      </c>
      <c r="F189" s="56"/>
      <c r="G189" s="69" t="str">
        <f t="shared" si="2"/>
        <v>E-Commerce</v>
      </c>
      <c r="H189" s="69" t="s">
        <v>2406</v>
      </c>
      <c r="J189" s="69" t="s">
        <v>1052</v>
      </c>
      <c r="K189" s="89" t="s">
        <v>1052</v>
      </c>
      <c r="L189" s="253">
        <v>60.736325131240385</v>
      </c>
      <c r="M189" s="253">
        <v>60.731896399093934</v>
      </c>
      <c r="N189" s="253">
        <v>64.907767061644535</v>
      </c>
      <c r="O189" s="253">
        <v>64.983547312667227</v>
      </c>
      <c r="P189" s="253">
        <v>61.362714106358176</v>
      </c>
      <c r="Q189" s="253">
        <v>72.003571428571433</v>
      </c>
      <c r="R189" s="253">
        <v>55.943392765426665</v>
      </c>
      <c r="S189" s="253">
        <v>51.535087719298247</v>
      </c>
      <c r="T189" s="253"/>
      <c r="U189" s="253">
        <v>68.064516129032256</v>
      </c>
      <c r="V189" s="253">
        <v>62.981927710843379</v>
      </c>
      <c r="W189" s="253"/>
      <c r="X189" s="253">
        <v>72.5</v>
      </c>
      <c r="Y189" s="253">
        <v>70.810810810810807</v>
      </c>
      <c r="Z189" s="253">
        <v>58.230769230769226</v>
      </c>
      <c r="AA189" s="253"/>
      <c r="AB189" s="253"/>
      <c r="AC189" s="253"/>
      <c r="AD189" s="253"/>
      <c r="AE189" s="253"/>
    </row>
    <row r="190" spans="1:31">
      <c r="A190" s="33">
        <v>189</v>
      </c>
      <c r="B190" s="69" t="s">
        <v>1052</v>
      </c>
      <c r="C190" s="69" t="s">
        <v>740</v>
      </c>
      <c r="D190" s="56">
        <v>42013</v>
      </c>
      <c r="F190" s="56"/>
      <c r="G190" s="69" t="str">
        <f t="shared" si="2"/>
        <v>E-Commerce</v>
      </c>
      <c r="H190" s="69" t="s">
        <v>2406</v>
      </c>
      <c r="J190" s="69" t="s">
        <v>1052</v>
      </c>
      <c r="K190" s="13" t="s">
        <v>554</v>
      </c>
      <c r="L190" s="253">
        <v>75.702104330070426</v>
      </c>
      <c r="M190" s="253">
        <v>70.019342573293528</v>
      </c>
      <c r="N190" s="253">
        <v>59.58587763405815</v>
      </c>
      <c r="O190" s="253">
        <v>72.507692029180731</v>
      </c>
      <c r="P190" s="253">
        <v>78.050707335664953</v>
      </c>
      <c r="Q190" s="253">
        <v>68.098214285714292</v>
      </c>
      <c r="R190" s="253">
        <v>64.282119010932561</v>
      </c>
      <c r="S190" s="253">
        <v>80.526315789473671</v>
      </c>
      <c r="T190" s="253"/>
      <c r="U190" s="253">
        <v>74.645161290322577</v>
      </c>
      <c r="V190" s="253">
        <v>73.572289156626496</v>
      </c>
      <c r="W190" s="253"/>
      <c r="X190" s="253">
        <v>64.25</v>
      </c>
      <c r="Y190" s="253">
        <v>76.891891891891888</v>
      </c>
      <c r="Z190" s="253">
        <v>66.307692307692307</v>
      </c>
      <c r="AA190" s="253"/>
      <c r="AB190" s="253"/>
      <c r="AC190" s="253"/>
      <c r="AD190" s="253"/>
      <c r="AE190" s="253"/>
    </row>
    <row r="191" spans="1:31">
      <c r="A191" s="33">
        <v>190</v>
      </c>
      <c r="B191" s="69" t="s">
        <v>1026</v>
      </c>
      <c r="C191" s="69" t="s">
        <v>740</v>
      </c>
      <c r="D191" s="56">
        <v>42020</v>
      </c>
      <c r="E191" s="266"/>
      <c r="F191" s="56"/>
      <c r="G191" s="69" t="str">
        <f t="shared" si="2"/>
        <v>User Registration</v>
      </c>
      <c r="H191" s="69" t="s">
        <v>922</v>
      </c>
      <c r="J191" s="69" t="s">
        <v>1026</v>
      </c>
      <c r="K191" s="89" t="s">
        <v>386</v>
      </c>
      <c r="L191" s="253">
        <v>67.191091783130133</v>
      </c>
      <c r="M191" s="253">
        <v>66.902565390408157</v>
      </c>
      <c r="N191" s="253">
        <v>54.107741567837138</v>
      </c>
      <c r="O191" s="253">
        <v>67.33868238318199</v>
      </c>
      <c r="P191" s="253">
        <v>69.613864728912674</v>
      </c>
      <c r="Q191" s="253">
        <v>71.232142857142861</v>
      </c>
      <c r="R191" s="253">
        <v>63.361724156180955</v>
      </c>
      <c r="S191" s="253">
        <v>77.76315789473685</v>
      </c>
      <c r="T191" s="253"/>
      <c r="U191" s="253">
        <v>69.571428571428569</v>
      </c>
      <c r="V191" s="253"/>
      <c r="W191" s="253">
        <v>48.762886597938142</v>
      </c>
      <c r="X191" s="253"/>
      <c r="Y191" s="253">
        <v>71.621621621621628</v>
      </c>
      <c r="Z191" s="253">
        <v>57.499999999999993</v>
      </c>
      <c r="AA191" s="253"/>
      <c r="AB191" s="253"/>
      <c r="AC191" s="253"/>
      <c r="AD191" s="253"/>
      <c r="AE191" s="253"/>
    </row>
    <row r="192" spans="1:31">
      <c r="A192" s="33">
        <v>191</v>
      </c>
      <c r="B192" s="69" t="s">
        <v>1030</v>
      </c>
      <c r="C192" s="69" t="s">
        <v>740</v>
      </c>
      <c r="D192" s="56">
        <v>42020</v>
      </c>
      <c r="E192" s="266"/>
      <c r="F192" s="56"/>
      <c r="G192" s="69" t="str">
        <f t="shared" si="2"/>
        <v>User Registration</v>
      </c>
      <c r="H192" s="69" t="s">
        <v>922</v>
      </c>
      <c r="J192" s="69" t="s">
        <v>1025</v>
      </c>
      <c r="K192" s="89" t="s">
        <v>386</v>
      </c>
      <c r="L192" s="253">
        <v>67.191091783130133</v>
      </c>
      <c r="M192" s="253">
        <v>66.902565390408157</v>
      </c>
      <c r="N192" s="253">
        <v>54.107741567837138</v>
      </c>
      <c r="O192" s="253">
        <v>67.33868238318199</v>
      </c>
      <c r="P192" s="253">
        <v>69.613864728912674</v>
      </c>
      <c r="Q192" s="253">
        <v>71.232142857142861</v>
      </c>
      <c r="R192" s="253">
        <v>63.361724156180955</v>
      </c>
      <c r="S192" s="253">
        <v>77.76315789473685</v>
      </c>
      <c r="T192" s="253"/>
      <c r="U192" s="253">
        <v>69.571428571428569</v>
      </c>
      <c r="V192" s="253"/>
      <c r="W192" s="253">
        <v>48.762886597938142</v>
      </c>
      <c r="X192" s="253"/>
      <c r="Y192" s="253">
        <v>71.621621621621628</v>
      </c>
      <c r="Z192" s="253">
        <v>57.499999999999993</v>
      </c>
      <c r="AA192" s="253"/>
      <c r="AB192" s="253"/>
      <c r="AC192" s="253"/>
      <c r="AD192" s="253"/>
      <c r="AE192" s="253"/>
    </row>
    <row r="193" spans="1:31">
      <c r="A193" s="33">
        <v>192</v>
      </c>
      <c r="B193" s="63" t="s">
        <v>1436</v>
      </c>
      <c r="C193" s="69" t="s">
        <v>740</v>
      </c>
      <c r="D193" s="56">
        <v>42020</v>
      </c>
      <c r="E193" s="266"/>
      <c r="F193" s="56"/>
      <c r="G193" s="69" t="str">
        <f t="shared" si="2"/>
        <v>User Registration</v>
      </c>
      <c r="H193" s="69" t="s">
        <v>922</v>
      </c>
      <c r="J193" s="63" t="s">
        <v>1436</v>
      </c>
      <c r="K193" s="89" t="s">
        <v>386</v>
      </c>
      <c r="L193" s="253">
        <v>67.191091783130133</v>
      </c>
      <c r="M193" s="253">
        <v>66.902565390408157</v>
      </c>
      <c r="N193" s="253">
        <v>54.107741567837138</v>
      </c>
      <c r="O193" s="253">
        <v>67.33868238318199</v>
      </c>
      <c r="P193" s="253">
        <v>69.613864728912674</v>
      </c>
      <c r="Q193" s="253">
        <v>71.232142857142861</v>
      </c>
      <c r="R193" s="253">
        <v>63.361724156180955</v>
      </c>
      <c r="S193" s="253">
        <v>77.76315789473685</v>
      </c>
      <c r="T193" s="253"/>
      <c r="U193" s="253">
        <v>69.571428571428569</v>
      </c>
      <c r="V193" s="253"/>
      <c r="W193" s="253">
        <v>48.762886597938142</v>
      </c>
      <c r="X193" s="253"/>
      <c r="Y193" s="253">
        <v>71.621621621621628</v>
      </c>
      <c r="Z193" s="253">
        <v>57.499999999999993</v>
      </c>
      <c r="AA193" s="253"/>
      <c r="AB193" s="253"/>
      <c r="AC193" s="253"/>
      <c r="AD193" s="253"/>
      <c r="AE193" s="253"/>
    </row>
    <row r="194" spans="1:31">
      <c r="A194" s="33">
        <v>193</v>
      </c>
      <c r="B194" s="69" t="s">
        <v>1026</v>
      </c>
      <c r="C194" s="69" t="s">
        <v>740</v>
      </c>
      <c r="D194" s="56">
        <v>42020</v>
      </c>
      <c r="G194" s="69" t="str">
        <f t="shared" ref="G194:G257" si="3">IF(V194&gt;0,IF(W194&gt;0,"Both","E-Commerce"),IF(W194=0, "ERROR","User Registration"))</f>
        <v>User Registration</v>
      </c>
      <c r="H194" s="69" t="s">
        <v>922</v>
      </c>
      <c r="J194" s="69" t="s">
        <v>1026</v>
      </c>
      <c r="K194" s="69" t="s">
        <v>1692</v>
      </c>
      <c r="L194" s="253">
        <v>54.411821927700608</v>
      </c>
      <c r="M194" s="253">
        <v>49.445902917956452</v>
      </c>
      <c r="N194" s="253">
        <v>47.617519256874409</v>
      </c>
      <c r="O194" s="253">
        <v>64.387030890477931</v>
      </c>
      <c r="P194" s="253">
        <v>54.745546640394991</v>
      </c>
      <c r="Q194" s="253">
        <v>63.903571428571425</v>
      </c>
      <c r="R194" s="253">
        <v>49.402306501500725</v>
      </c>
      <c r="S194" s="253">
        <v>52.017543859649116</v>
      </c>
      <c r="T194" s="253"/>
      <c r="U194" s="253">
        <v>37.5</v>
      </c>
      <c r="V194" s="253"/>
      <c r="W194" s="253">
        <v>44.639175257731964</v>
      </c>
      <c r="X194" s="253"/>
      <c r="Y194" s="253">
        <v>74.324324324324323</v>
      </c>
      <c r="Z194" s="253">
        <v>53.076923076923073</v>
      </c>
      <c r="AA194" s="253"/>
      <c r="AB194" s="253"/>
      <c r="AC194" s="253"/>
      <c r="AD194" s="253"/>
      <c r="AE194" s="253"/>
    </row>
    <row r="195" spans="1:31">
      <c r="A195" s="33">
        <v>194</v>
      </c>
      <c r="B195" s="69" t="s">
        <v>1030</v>
      </c>
      <c r="C195" s="69" t="s">
        <v>740</v>
      </c>
      <c r="D195" s="56">
        <v>42020</v>
      </c>
      <c r="G195" s="69" t="str">
        <f t="shared" si="3"/>
        <v>User Registration</v>
      </c>
      <c r="H195" s="69" t="s">
        <v>922</v>
      </c>
      <c r="J195" s="69" t="s">
        <v>1025</v>
      </c>
      <c r="K195" s="69" t="s">
        <v>1692</v>
      </c>
      <c r="L195" s="253">
        <v>54.411821927700608</v>
      </c>
      <c r="M195" s="253">
        <v>49.445902917956452</v>
      </c>
      <c r="N195" s="253">
        <v>47.617519256874409</v>
      </c>
      <c r="O195" s="253">
        <v>64.387030890477931</v>
      </c>
      <c r="P195" s="253">
        <v>54.745546640394991</v>
      </c>
      <c r="Q195" s="253">
        <v>63.903571428571425</v>
      </c>
      <c r="R195" s="253">
        <v>49.402306501500725</v>
      </c>
      <c r="S195" s="253">
        <v>52.017543859649116</v>
      </c>
      <c r="T195" s="253"/>
      <c r="U195" s="253">
        <v>37.5</v>
      </c>
      <c r="V195" s="253"/>
      <c r="W195" s="253">
        <v>44.639175257731964</v>
      </c>
      <c r="X195" s="253"/>
      <c r="Y195" s="253">
        <v>74.324324324324323</v>
      </c>
      <c r="Z195" s="253">
        <v>53.076923076923073</v>
      </c>
      <c r="AA195" s="253"/>
      <c r="AB195" s="253"/>
      <c r="AC195" s="253"/>
      <c r="AD195" s="253"/>
      <c r="AE195" s="253"/>
    </row>
    <row r="196" spans="1:31">
      <c r="A196" s="33">
        <v>195</v>
      </c>
      <c r="B196" s="69" t="s">
        <v>1436</v>
      </c>
      <c r="C196" s="69" t="s">
        <v>740</v>
      </c>
      <c r="D196" s="56">
        <v>42020</v>
      </c>
      <c r="G196" s="69" t="str">
        <f t="shared" si="3"/>
        <v>User Registration</v>
      </c>
      <c r="H196" s="69" t="s">
        <v>922</v>
      </c>
      <c r="J196" s="69" t="s">
        <v>1436</v>
      </c>
      <c r="K196" s="69" t="s">
        <v>1692</v>
      </c>
      <c r="L196" s="253">
        <v>54.411821927700608</v>
      </c>
      <c r="M196" s="253">
        <v>49.445902917956452</v>
      </c>
      <c r="N196" s="253">
        <v>47.617519256874409</v>
      </c>
      <c r="O196" s="253">
        <v>64.387030890477931</v>
      </c>
      <c r="P196" s="253">
        <v>54.745546640394991</v>
      </c>
      <c r="Q196" s="253">
        <v>63.903571428571425</v>
      </c>
      <c r="R196" s="253">
        <v>49.402306501500725</v>
      </c>
      <c r="S196" s="253">
        <v>52.017543859649116</v>
      </c>
      <c r="T196" s="253"/>
      <c r="U196" s="253">
        <v>37.5</v>
      </c>
      <c r="V196" s="253"/>
      <c r="W196" s="253">
        <v>44.639175257731964</v>
      </c>
      <c r="X196" s="253"/>
      <c r="Y196" s="253">
        <v>74.324324324324323</v>
      </c>
      <c r="Z196" s="253">
        <v>53.076923076923073</v>
      </c>
      <c r="AA196" s="253"/>
      <c r="AB196" s="253"/>
      <c r="AC196" s="253"/>
      <c r="AD196" s="253"/>
      <c r="AE196" s="253"/>
    </row>
    <row r="197" spans="1:31">
      <c r="A197" s="33">
        <v>196</v>
      </c>
      <c r="B197" s="69" t="s">
        <v>1026</v>
      </c>
      <c r="C197" s="69" t="s">
        <v>740</v>
      </c>
      <c r="D197" s="56">
        <v>42020</v>
      </c>
      <c r="G197" s="69" t="str">
        <f t="shared" si="3"/>
        <v>User Registration</v>
      </c>
      <c r="H197" s="69" t="s">
        <v>922</v>
      </c>
      <c r="J197" s="69" t="s">
        <v>1026</v>
      </c>
      <c r="K197" s="69" t="s">
        <v>1026</v>
      </c>
      <c r="L197" s="253">
        <v>55.539443213640361</v>
      </c>
      <c r="M197" s="253">
        <v>48.463005113487952</v>
      </c>
      <c r="N197" s="253">
        <v>49.49983235112807</v>
      </c>
      <c r="O197" s="253">
        <v>64.318718227992775</v>
      </c>
      <c r="P197" s="253">
        <v>58.366611709358139</v>
      </c>
      <c r="Q197" s="253">
        <v>63.453571428571429</v>
      </c>
      <c r="R197" s="253">
        <v>44.979448656372796</v>
      </c>
      <c r="S197" s="253">
        <v>52.89473684210526</v>
      </c>
      <c r="T197" s="253"/>
      <c r="U197" s="253">
        <v>45.892857142857139</v>
      </c>
      <c r="V197" s="253"/>
      <c r="W197" s="253">
        <v>48.762886597938142</v>
      </c>
      <c r="X197" s="253"/>
      <c r="Y197" s="253">
        <v>79.459459459459453</v>
      </c>
      <c r="Z197" s="253">
        <v>44.230769230769226</v>
      </c>
      <c r="AA197" s="253"/>
      <c r="AB197" s="253"/>
      <c r="AC197" s="253"/>
      <c r="AD197" s="253"/>
      <c r="AE197" s="253"/>
    </row>
    <row r="198" spans="1:31">
      <c r="A198" s="33">
        <v>197</v>
      </c>
      <c r="B198" s="69" t="s">
        <v>1030</v>
      </c>
      <c r="C198" s="69" t="s">
        <v>740</v>
      </c>
      <c r="D198" s="56">
        <v>42020</v>
      </c>
      <c r="G198" s="69" t="str">
        <f t="shared" si="3"/>
        <v>User Registration</v>
      </c>
      <c r="H198" s="69" t="s">
        <v>922</v>
      </c>
      <c r="J198" s="69" t="s">
        <v>1025</v>
      </c>
      <c r="K198" s="69" t="s">
        <v>1026</v>
      </c>
      <c r="L198" s="253">
        <v>55.539443213640361</v>
      </c>
      <c r="M198" s="253">
        <v>48.463005113487952</v>
      </c>
      <c r="N198" s="253">
        <v>49.49983235112807</v>
      </c>
      <c r="O198" s="253">
        <v>64.318718227992775</v>
      </c>
      <c r="P198" s="253">
        <v>58.366611709358139</v>
      </c>
      <c r="Q198" s="253">
        <v>63.453571428571429</v>
      </c>
      <c r="R198" s="253">
        <v>44.979448656372796</v>
      </c>
      <c r="S198" s="253">
        <v>52.89473684210526</v>
      </c>
      <c r="T198" s="253"/>
      <c r="U198" s="253">
        <v>45.892857142857139</v>
      </c>
      <c r="V198" s="253"/>
      <c r="W198" s="253">
        <v>48.762886597938142</v>
      </c>
      <c r="X198" s="253"/>
      <c r="Y198" s="253">
        <v>79.459459459459453</v>
      </c>
      <c r="Z198" s="253">
        <v>44.230769230769226</v>
      </c>
      <c r="AA198" s="253"/>
      <c r="AB198" s="253"/>
      <c r="AC198" s="253"/>
      <c r="AD198" s="253"/>
      <c r="AE198" s="253"/>
    </row>
    <row r="199" spans="1:31">
      <c r="A199" s="33">
        <v>198</v>
      </c>
      <c r="B199" s="69" t="s">
        <v>1436</v>
      </c>
      <c r="C199" s="69" t="s">
        <v>740</v>
      </c>
      <c r="D199" s="56">
        <v>42020</v>
      </c>
      <c r="G199" s="69" t="str">
        <f t="shared" si="3"/>
        <v>User Registration</v>
      </c>
      <c r="H199" s="69" t="s">
        <v>922</v>
      </c>
      <c r="J199" s="69" t="s">
        <v>1436</v>
      </c>
      <c r="K199" s="69" t="s">
        <v>1026</v>
      </c>
      <c r="L199" s="253">
        <v>55.539443213640361</v>
      </c>
      <c r="M199" s="253">
        <v>48.463005113487952</v>
      </c>
      <c r="N199" s="253">
        <v>49.49983235112807</v>
      </c>
      <c r="O199" s="253">
        <v>64.318718227992775</v>
      </c>
      <c r="P199" s="253">
        <v>58.366611709358139</v>
      </c>
      <c r="Q199" s="253">
        <v>63.453571428571429</v>
      </c>
      <c r="R199" s="253">
        <v>44.979448656372796</v>
      </c>
      <c r="S199" s="253">
        <v>52.89473684210526</v>
      </c>
      <c r="T199" s="253"/>
      <c r="U199" s="253">
        <v>45.892857142857139</v>
      </c>
      <c r="V199" s="253"/>
      <c r="W199" s="253">
        <v>48.762886597938142</v>
      </c>
      <c r="X199" s="253"/>
      <c r="Y199" s="253">
        <v>79.459459459459453</v>
      </c>
      <c r="Z199" s="253">
        <v>44.230769230769226</v>
      </c>
      <c r="AA199" s="253"/>
      <c r="AB199" s="253"/>
      <c r="AC199" s="253"/>
      <c r="AD199" s="253"/>
      <c r="AE199" s="253"/>
    </row>
    <row r="200" spans="1:31">
      <c r="A200" s="33">
        <v>199</v>
      </c>
      <c r="B200" s="69" t="s">
        <v>2399</v>
      </c>
      <c r="C200" s="69" t="s">
        <v>740</v>
      </c>
      <c r="D200" s="56">
        <v>42020</v>
      </c>
      <c r="G200" s="69" t="str">
        <f t="shared" si="3"/>
        <v>User Registration</v>
      </c>
      <c r="H200" s="69" t="s">
        <v>1088</v>
      </c>
      <c r="J200" s="69" t="s">
        <v>2399</v>
      </c>
      <c r="K200" s="69" t="s">
        <v>2400</v>
      </c>
      <c r="L200" s="253">
        <v>59.950294213006082</v>
      </c>
      <c r="M200" s="253">
        <v>52.842412297339045</v>
      </c>
      <c r="N200" s="253">
        <v>59.160152074262548</v>
      </c>
      <c r="O200" s="253">
        <v>62.969036238357454</v>
      </c>
      <c r="P200" s="253">
        <v>60.284021612411443</v>
      </c>
      <c r="Q200" s="253">
        <v>62.875</v>
      </c>
      <c r="R200" s="253">
        <v>44.503235025602351</v>
      </c>
      <c r="S200" s="253">
        <v>59.561403508771924</v>
      </c>
      <c r="T200" s="253"/>
      <c r="U200" s="253">
        <v>56.583333333333329</v>
      </c>
      <c r="V200" s="253"/>
      <c r="W200" s="253">
        <v>63</v>
      </c>
      <c r="X200" s="253"/>
      <c r="Y200" s="253">
        <v>69.189189189189193</v>
      </c>
      <c r="Z200" s="253">
        <v>58.615384615384613</v>
      </c>
      <c r="AA200" s="253"/>
      <c r="AB200" s="253"/>
      <c r="AC200" s="253"/>
      <c r="AD200" s="253"/>
      <c r="AE200" s="253"/>
    </row>
    <row r="201" spans="1:31">
      <c r="A201" s="33">
        <v>200</v>
      </c>
      <c r="B201" s="69" t="s">
        <v>2399</v>
      </c>
      <c r="C201" s="69" t="s">
        <v>740</v>
      </c>
      <c r="D201" s="56">
        <v>42020</v>
      </c>
      <c r="G201" s="69" t="str">
        <f t="shared" si="3"/>
        <v>User Registration</v>
      </c>
      <c r="H201" s="69" t="s">
        <v>1088</v>
      </c>
      <c r="J201" s="69" t="s">
        <v>2399</v>
      </c>
      <c r="K201" s="69" t="s">
        <v>2401</v>
      </c>
      <c r="L201" s="253">
        <v>50.810138428217535</v>
      </c>
      <c r="M201" s="253">
        <v>55.223133791212121</v>
      </c>
      <c r="N201" s="253">
        <v>49.125139486473685</v>
      </c>
      <c r="O201" s="253">
        <v>56.963644872701366</v>
      </c>
      <c r="P201" s="253">
        <v>51.070365342964209</v>
      </c>
      <c r="Q201" s="253">
        <v>60.85</v>
      </c>
      <c r="R201" s="253">
        <v>55.563898822303933</v>
      </c>
      <c r="S201" s="253">
        <v>53.377192982456144</v>
      </c>
      <c r="T201" s="253"/>
      <c r="U201" s="253">
        <v>55</v>
      </c>
      <c r="V201" s="253"/>
      <c r="W201" s="253">
        <v>45.434782608695649</v>
      </c>
      <c r="X201" s="253"/>
      <c r="Y201" s="253">
        <v>60.810810810810807</v>
      </c>
      <c r="Z201" s="253">
        <v>49.769230769230774</v>
      </c>
      <c r="AA201" s="253"/>
      <c r="AB201" s="253"/>
      <c r="AC201" s="253"/>
      <c r="AD201" s="253"/>
      <c r="AE201" s="253"/>
    </row>
    <row r="202" spans="1:31">
      <c r="A202" s="33">
        <v>201</v>
      </c>
      <c r="B202" s="69" t="s">
        <v>1026</v>
      </c>
      <c r="C202" s="69" t="s">
        <v>740</v>
      </c>
      <c r="D202" s="56">
        <v>42020</v>
      </c>
      <c r="G202" s="69" t="str">
        <f t="shared" si="3"/>
        <v>User Registration</v>
      </c>
      <c r="H202" s="69" t="s">
        <v>922</v>
      </c>
      <c r="J202" s="69" t="s">
        <v>1026</v>
      </c>
      <c r="K202" s="69" t="s">
        <v>1436</v>
      </c>
      <c r="L202" s="253">
        <v>52.413500088968419</v>
      </c>
      <c r="M202" s="253">
        <v>53.994221949178367</v>
      </c>
      <c r="N202" s="253">
        <v>45.283026314299242</v>
      </c>
      <c r="O202" s="253">
        <v>60.007538165537078</v>
      </c>
      <c r="P202" s="253">
        <v>53.497644341979765</v>
      </c>
      <c r="Q202" s="253">
        <v>60.721428571428568</v>
      </c>
      <c r="R202" s="253">
        <v>52.940235924120337</v>
      </c>
      <c r="S202" s="253">
        <v>61.53508771929824</v>
      </c>
      <c r="T202" s="253"/>
      <c r="U202" s="253">
        <v>50.5</v>
      </c>
      <c r="V202" s="253"/>
      <c r="W202" s="253">
        <v>40.670103092783506</v>
      </c>
      <c r="X202" s="253"/>
      <c r="Y202" s="253">
        <v>67.162162162162161</v>
      </c>
      <c r="Z202" s="253">
        <v>48.07692307692308</v>
      </c>
      <c r="AA202" s="253"/>
      <c r="AB202" s="253"/>
      <c r="AC202" s="253"/>
      <c r="AD202" s="253"/>
      <c r="AE202" s="253"/>
    </row>
    <row r="203" spans="1:31">
      <c r="A203" s="33">
        <v>202</v>
      </c>
      <c r="B203" s="69" t="s">
        <v>1030</v>
      </c>
      <c r="C203" s="69" t="s">
        <v>740</v>
      </c>
      <c r="D203" s="56">
        <v>42020</v>
      </c>
      <c r="G203" s="69" t="str">
        <f t="shared" si="3"/>
        <v>User Registration</v>
      </c>
      <c r="H203" s="69" t="s">
        <v>922</v>
      </c>
      <c r="J203" s="69" t="s">
        <v>1025</v>
      </c>
      <c r="K203" s="69" t="s">
        <v>1436</v>
      </c>
      <c r="L203" s="253">
        <v>52.413500088968419</v>
      </c>
      <c r="M203" s="253">
        <v>53.994221949178367</v>
      </c>
      <c r="N203" s="253">
        <v>45.283026314299242</v>
      </c>
      <c r="O203" s="253">
        <v>60.007538165537078</v>
      </c>
      <c r="P203" s="253">
        <v>53.497644341979765</v>
      </c>
      <c r="Q203" s="253">
        <v>60.721428571428568</v>
      </c>
      <c r="R203" s="253">
        <v>52.940235924120337</v>
      </c>
      <c r="S203" s="253">
        <v>61.53508771929824</v>
      </c>
      <c r="T203" s="253"/>
      <c r="U203" s="253">
        <v>50.5</v>
      </c>
      <c r="V203" s="253"/>
      <c r="W203" s="253">
        <v>40.670103092783506</v>
      </c>
      <c r="X203" s="253"/>
      <c r="Y203" s="253">
        <v>67.162162162162161</v>
      </c>
      <c r="Z203" s="253">
        <v>48.07692307692308</v>
      </c>
      <c r="AA203" s="253"/>
      <c r="AB203" s="253"/>
      <c r="AC203" s="253"/>
      <c r="AD203" s="253"/>
      <c r="AE203" s="253"/>
    </row>
    <row r="204" spans="1:31">
      <c r="A204" s="33">
        <v>203</v>
      </c>
      <c r="B204" s="69" t="s">
        <v>1436</v>
      </c>
      <c r="C204" s="69" t="s">
        <v>740</v>
      </c>
      <c r="D204" s="56">
        <v>42020</v>
      </c>
      <c r="G204" s="69" t="str">
        <f t="shared" si="3"/>
        <v>User Registration</v>
      </c>
      <c r="H204" s="69" t="s">
        <v>922</v>
      </c>
      <c r="J204" s="69" t="s">
        <v>1436</v>
      </c>
      <c r="K204" s="69" t="s">
        <v>1436</v>
      </c>
      <c r="L204" s="253">
        <v>52.413500088968419</v>
      </c>
      <c r="M204" s="253">
        <v>53.994221949178367</v>
      </c>
      <c r="N204" s="253">
        <v>45.283026314299242</v>
      </c>
      <c r="O204" s="253">
        <v>60.007538165537078</v>
      </c>
      <c r="P204" s="253">
        <v>53.497644341979765</v>
      </c>
      <c r="Q204" s="253">
        <v>60.721428571428568</v>
      </c>
      <c r="R204" s="253">
        <v>52.940235924120337</v>
      </c>
      <c r="S204" s="253">
        <v>61.53508771929824</v>
      </c>
      <c r="T204" s="253"/>
      <c r="U204" s="253">
        <v>50.5</v>
      </c>
      <c r="V204" s="253"/>
      <c r="W204" s="253">
        <v>40.670103092783506</v>
      </c>
      <c r="X204" s="253"/>
      <c r="Y204" s="253">
        <v>67.162162162162161</v>
      </c>
      <c r="Z204" s="253">
        <v>48.07692307692308</v>
      </c>
      <c r="AA204" s="253"/>
      <c r="AB204" s="253"/>
      <c r="AC204" s="253"/>
      <c r="AD204" s="253"/>
      <c r="AE204" s="253"/>
    </row>
    <row r="205" spans="1:31">
      <c r="A205" s="33">
        <v>204</v>
      </c>
      <c r="B205" s="69" t="s">
        <v>2399</v>
      </c>
      <c r="C205" s="69" t="s">
        <v>740</v>
      </c>
      <c r="D205" s="56">
        <v>42020</v>
      </c>
      <c r="G205" s="69" t="str">
        <f t="shared" si="3"/>
        <v>User Registration</v>
      </c>
      <c r="H205" s="69" t="s">
        <v>1088</v>
      </c>
      <c r="J205" s="69" t="s">
        <v>2399</v>
      </c>
      <c r="K205" s="69" t="s">
        <v>2399</v>
      </c>
      <c r="L205" s="253">
        <v>63.47425320024189</v>
      </c>
      <c r="M205" s="253">
        <v>57.058070374231249</v>
      </c>
      <c r="N205" s="253">
        <v>50.218450580203786</v>
      </c>
      <c r="O205" s="253">
        <v>58.416552846256906</v>
      </c>
      <c r="P205" s="253">
        <v>63.765893423379296</v>
      </c>
      <c r="Q205" s="253">
        <v>60.36785714285714</v>
      </c>
      <c r="R205" s="253">
        <v>54.929886914049177</v>
      </c>
      <c r="S205" s="253">
        <v>55.175438596491233</v>
      </c>
      <c r="T205" s="253"/>
      <c r="U205" s="253">
        <v>57.833333333333336</v>
      </c>
      <c r="V205" s="253"/>
      <c r="W205" s="253">
        <v>47.282608695652172</v>
      </c>
      <c r="X205" s="253"/>
      <c r="Y205" s="253">
        <v>57.297297297297298</v>
      </c>
      <c r="Z205" s="253">
        <v>62.307692307692307</v>
      </c>
      <c r="AA205" s="253"/>
      <c r="AB205" s="253"/>
      <c r="AC205" s="253"/>
      <c r="AD205" s="253"/>
      <c r="AE205" s="253"/>
    </row>
    <row r="206" spans="1:31">
      <c r="A206" s="33">
        <v>205</v>
      </c>
      <c r="B206" s="69" t="s">
        <v>1026</v>
      </c>
      <c r="C206" s="69" t="s">
        <v>740</v>
      </c>
      <c r="D206" s="56">
        <v>42020</v>
      </c>
      <c r="F206" s="56"/>
      <c r="G206" s="69" t="str">
        <f t="shared" si="3"/>
        <v>User Registration</v>
      </c>
      <c r="H206" s="69" t="s">
        <v>922</v>
      </c>
      <c r="J206" s="69" t="s">
        <v>1026</v>
      </c>
      <c r="K206" s="69" t="s">
        <v>1025</v>
      </c>
      <c r="L206" s="253">
        <v>53.209039310377406</v>
      </c>
      <c r="M206" s="253">
        <v>48.232420967727094</v>
      </c>
      <c r="N206" s="253">
        <v>41.822566023693973</v>
      </c>
      <c r="O206" s="253">
        <v>51.379310350121528</v>
      </c>
      <c r="P206" s="253">
        <v>57.280529907202528</v>
      </c>
      <c r="Q206" s="253">
        <v>58.535714285714292</v>
      </c>
      <c r="R206" s="253">
        <v>42.977638088502218</v>
      </c>
      <c r="S206" s="253">
        <v>60.614035087719294</v>
      </c>
      <c r="T206" s="253"/>
      <c r="U206" s="253">
        <v>50.785714285714292</v>
      </c>
      <c r="V206" s="253"/>
      <c r="W206" s="253">
        <v>38.96907216494845</v>
      </c>
      <c r="X206" s="253"/>
      <c r="Y206" s="253">
        <v>58.648648648648646</v>
      </c>
      <c r="Z206" s="253">
        <v>36.923076923076927</v>
      </c>
      <c r="AA206" s="253"/>
      <c r="AB206" s="253"/>
      <c r="AC206" s="253"/>
      <c r="AD206" s="253"/>
      <c r="AE206" s="253"/>
    </row>
    <row r="207" spans="1:31">
      <c r="A207" s="33">
        <v>206</v>
      </c>
      <c r="B207" s="69" t="s">
        <v>1030</v>
      </c>
      <c r="C207" s="69" t="s">
        <v>740</v>
      </c>
      <c r="D207" s="56">
        <v>42020</v>
      </c>
      <c r="F207" s="56"/>
      <c r="G207" s="69" t="str">
        <f t="shared" si="3"/>
        <v>User Registration</v>
      </c>
      <c r="H207" s="69" t="s">
        <v>922</v>
      </c>
      <c r="J207" s="69" t="s">
        <v>1025</v>
      </c>
      <c r="K207" s="69" t="s">
        <v>1025</v>
      </c>
      <c r="L207" s="253">
        <v>53.209039310377406</v>
      </c>
      <c r="M207" s="253">
        <v>48.232420967727094</v>
      </c>
      <c r="N207" s="253">
        <v>41.822566023693973</v>
      </c>
      <c r="O207" s="253">
        <v>51.379310350121528</v>
      </c>
      <c r="P207" s="253">
        <v>57.280529907202528</v>
      </c>
      <c r="Q207" s="253">
        <v>58.535714285714292</v>
      </c>
      <c r="R207" s="253">
        <v>42.977638088502218</v>
      </c>
      <c r="S207" s="253">
        <v>60.614035087719294</v>
      </c>
      <c r="T207" s="253"/>
      <c r="U207" s="253">
        <v>50.785714285714292</v>
      </c>
      <c r="V207" s="253"/>
      <c r="W207" s="253">
        <v>38.96907216494845</v>
      </c>
      <c r="X207" s="253"/>
      <c r="Y207" s="253">
        <v>58.648648648648646</v>
      </c>
      <c r="Z207" s="253">
        <v>36.923076923076927</v>
      </c>
      <c r="AA207" s="253"/>
      <c r="AB207" s="253"/>
      <c r="AC207" s="253"/>
      <c r="AD207" s="253"/>
      <c r="AE207" s="253"/>
    </row>
    <row r="208" spans="1:31">
      <c r="A208" s="33">
        <v>207</v>
      </c>
      <c r="B208" s="63" t="s">
        <v>1436</v>
      </c>
      <c r="C208" s="69" t="s">
        <v>740</v>
      </c>
      <c r="D208" s="56">
        <v>42020</v>
      </c>
      <c r="F208" s="56"/>
      <c r="G208" s="69" t="str">
        <f t="shared" si="3"/>
        <v>User Registration</v>
      </c>
      <c r="H208" s="69" t="s">
        <v>922</v>
      </c>
      <c r="J208" s="63" t="s">
        <v>1436</v>
      </c>
      <c r="K208" s="69" t="s">
        <v>1025</v>
      </c>
      <c r="L208" s="253">
        <v>53.209039310377406</v>
      </c>
      <c r="M208" s="253">
        <v>48.232420967727094</v>
      </c>
      <c r="N208" s="253">
        <v>41.822566023693973</v>
      </c>
      <c r="O208" s="253">
        <v>51.379310350121528</v>
      </c>
      <c r="P208" s="253">
        <v>57.280529907202528</v>
      </c>
      <c r="Q208" s="253">
        <v>58.535714285714292</v>
      </c>
      <c r="R208" s="253">
        <v>42.977638088502218</v>
      </c>
      <c r="S208" s="253">
        <v>60.614035087719294</v>
      </c>
      <c r="T208" s="253"/>
      <c r="U208" s="253">
        <v>50.785714285714292</v>
      </c>
      <c r="V208" s="253"/>
      <c r="W208" s="253">
        <v>38.96907216494845</v>
      </c>
      <c r="X208" s="253"/>
      <c r="Y208" s="253">
        <v>58.648648648648646</v>
      </c>
      <c r="Z208" s="253">
        <v>36.923076923076927</v>
      </c>
      <c r="AA208" s="253"/>
      <c r="AB208" s="253"/>
      <c r="AC208" s="253"/>
      <c r="AD208" s="253"/>
      <c r="AE208" s="253"/>
    </row>
    <row r="209" spans="1:31">
      <c r="A209" s="33">
        <v>208</v>
      </c>
      <c r="B209" s="69" t="s">
        <v>2399</v>
      </c>
      <c r="C209" s="69" t="s">
        <v>740</v>
      </c>
      <c r="D209" s="56">
        <v>42020</v>
      </c>
      <c r="F209" s="56"/>
      <c r="G209" s="69" t="str">
        <f t="shared" si="3"/>
        <v>User Registration</v>
      </c>
      <c r="H209" s="69" t="s">
        <v>1088</v>
      </c>
      <c r="J209" s="69" t="s">
        <v>2399</v>
      </c>
      <c r="K209" s="278" t="s">
        <v>2402</v>
      </c>
      <c r="L209" s="253">
        <v>60.079114158492686</v>
      </c>
      <c r="M209" s="253">
        <v>51.548322757680133</v>
      </c>
      <c r="N209" s="253">
        <v>65.238432247649271</v>
      </c>
      <c r="O209" s="253">
        <v>53.725751302442745</v>
      </c>
      <c r="P209" s="253">
        <v>62.358508082731241</v>
      </c>
      <c r="Q209" s="253">
        <v>57.474999999999994</v>
      </c>
      <c r="R209" s="253">
        <v>48.719270356391775</v>
      </c>
      <c r="S209" s="253">
        <v>42.149122807017541</v>
      </c>
      <c r="T209" s="253"/>
      <c r="U209" s="253">
        <v>59.583333333333329</v>
      </c>
      <c r="V209" s="253"/>
      <c r="W209" s="253">
        <v>71.358695652173907</v>
      </c>
      <c r="X209" s="253"/>
      <c r="Y209" s="253">
        <v>56.891891891891888</v>
      </c>
      <c r="Z209" s="253">
        <v>50.96153846153846</v>
      </c>
      <c r="AA209" s="253"/>
      <c r="AB209" s="253"/>
      <c r="AC209" s="253"/>
      <c r="AD209" s="253"/>
      <c r="AE209" s="253"/>
    </row>
    <row r="210" spans="1:31">
      <c r="A210" s="33">
        <v>209</v>
      </c>
      <c r="B210" s="69" t="s">
        <v>2399</v>
      </c>
      <c r="C210" s="69" t="s">
        <v>740</v>
      </c>
      <c r="D210" s="56">
        <v>42020</v>
      </c>
      <c r="F210" s="56"/>
      <c r="G210" s="69" t="str">
        <f t="shared" si="3"/>
        <v>User Registration</v>
      </c>
      <c r="H210" s="69" t="s">
        <v>1088</v>
      </c>
      <c r="J210" s="69" t="s">
        <v>2399</v>
      </c>
      <c r="K210" s="278" t="s">
        <v>2403</v>
      </c>
      <c r="L210" s="253">
        <v>62.387910851964513</v>
      </c>
      <c r="M210" s="253">
        <v>59.275346082514098</v>
      </c>
      <c r="N210" s="253">
        <v>59.824501398276915</v>
      </c>
      <c r="O210" s="253">
        <v>60.42335418111071</v>
      </c>
      <c r="P210" s="253">
        <v>64.907965488032573</v>
      </c>
      <c r="Q210" s="253">
        <v>56.960714285714289</v>
      </c>
      <c r="R210" s="253">
        <v>60.671399615481299</v>
      </c>
      <c r="S210" s="253">
        <v>58.201754385964911</v>
      </c>
      <c r="T210" s="253"/>
      <c r="U210" s="253">
        <v>62</v>
      </c>
      <c r="V210" s="253"/>
      <c r="W210" s="253">
        <v>60</v>
      </c>
      <c r="X210" s="253"/>
      <c r="Y210" s="253">
        <v>65</v>
      </c>
      <c r="Z210" s="253">
        <v>52.307692307692307</v>
      </c>
      <c r="AA210" s="253"/>
      <c r="AB210" s="253"/>
      <c r="AC210" s="253"/>
      <c r="AD210" s="253"/>
      <c r="AE210" s="253"/>
    </row>
    <row r="211" spans="1:31">
      <c r="A211" s="33">
        <v>210</v>
      </c>
      <c r="B211" s="69" t="s">
        <v>2399</v>
      </c>
      <c r="C211" s="69" t="s">
        <v>740</v>
      </c>
      <c r="D211" s="56">
        <v>42020</v>
      </c>
      <c r="F211" s="56"/>
      <c r="G211" s="69" t="str">
        <f t="shared" si="3"/>
        <v>User Registration</v>
      </c>
      <c r="H211" s="69" t="s">
        <v>1088</v>
      </c>
      <c r="J211" s="69" t="s">
        <v>2399</v>
      </c>
      <c r="K211" s="278" t="s">
        <v>2404</v>
      </c>
      <c r="L211" s="253">
        <v>62.45860253995847</v>
      </c>
      <c r="M211" s="253">
        <v>52.343068047991359</v>
      </c>
      <c r="N211" s="253">
        <v>65.357454645386156</v>
      </c>
      <c r="O211" s="253">
        <v>52.828155060619466</v>
      </c>
      <c r="P211" s="253">
        <v>69.227099328794239</v>
      </c>
      <c r="Q211" s="253">
        <v>55.032142857142851</v>
      </c>
      <c r="R211" s="253">
        <v>56.856553560360176</v>
      </c>
      <c r="S211" s="253">
        <v>43.201754385964911</v>
      </c>
      <c r="T211" s="253"/>
      <c r="U211" s="253">
        <v>55.666666666666664</v>
      </c>
      <c r="V211" s="253"/>
      <c r="W211" s="253">
        <v>69.456521739130437</v>
      </c>
      <c r="X211" s="253"/>
      <c r="Y211" s="253">
        <v>61.486486486486491</v>
      </c>
      <c r="Z211" s="253">
        <v>35.384615384615387</v>
      </c>
      <c r="AA211" s="253"/>
      <c r="AB211" s="253"/>
      <c r="AC211" s="253"/>
      <c r="AD211" s="253"/>
      <c r="AE211" s="253"/>
    </row>
    <row r="212" spans="1:31">
      <c r="A212" s="33">
        <v>211</v>
      </c>
      <c r="B212" s="69" t="s">
        <v>2399</v>
      </c>
      <c r="C212" s="69" t="s">
        <v>740</v>
      </c>
      <c r="D212" s="56">
        <v>42020</v>
      </c>
      <c r="F212" s="56"/>
      <c r="G212" s="69" t="str">
        <f t="shared" si="3"/>
        <v>User Registration</v>
      </c>
      <c r="H212" s="69" t="s">
        <v>1088</v>
      </c>
      <c r="J212" s="69" t="s">
        <v>2399</v>
      </c>
      <c r="K212" s="278" t="s">
        <v>2405</v>
      </c>
      <c r="L212" s="253">
        <v>37.996122518933241</v>
      </c>
      <c r="M212" s="253">
        <v>39.814032213803898</v>
      </c>
      <c r="N212" s="253">
        <v>39.630339120682613</v>
      </c>
      <c r="O212" s="253">
        <v>40.50418979324688</v>
      </c>
      <c r="P212" s="253">
        <v>46.3413069948204</v>
      </c>
      <c r="Q212" s="253">
        <v>48.25</v>
      </c>
      <c r="R212" s="253">
        <v>48.581059373154396</v>
      </c>
      <c r="S212" s="253">
        <v>42.982456140350877</v>
      </c>
      <c r="T212" s="253"/>
      <c r="U212" s="253">
        <v>32.916666666666664</v>
      </c>
      <c r="V212" s="253"/>
      <c r="W212" s="253">
        <v>35.652173913043477</v>
      </c>
      <c r="X212" s="253"/>
      <c r="Y212" s="253">
        <v>55.810810810810807</v>
      </c>
      <c r="Z212" s="253">
        <v>4.6153846153846159</v>
      </c>
      <c r="AA212" s="253"/>
      <c r="AB212" s="253"/>
      <c r="AC212" s="253"/>
      <c r="AD212" s="253"/>
      <c r="AE212" s="253"/>
    </row>
    <row r="213" spans="1:31">
      <c r="A213" s="33">
        <v>212</v>
      </c>
      <c r="B213" s="69" t="s">
        <v>2391</v>
      </c>
      <c r="C213" s="69" t="s">
        <v>740</v>
      </c>
      <c r="D213" s="56">
        <v>42024</v>
      </c>
      <c r="E213" s="266"/>
      <c r="F213" s="56"/>
      <c r="G213" s="69" t="str">
        <f t="shared" si="3"/>
        <v>User Registration</v>
      </c>
      <c r="H213" s="69" t="s">
        <v>922</v>
      </c>
      <c r="J213" s="63" t="s">
        <v>2392</v>
      </c>
      <c r="K213" s="69" t="s">
        <v>2393</v>
      </c>
      <c r="L213" s="253">
        <v>60.293682799999999</v>
      </c>
      <c r="M213" s="253">
        <v>60.635271320000008</v>
      </c>
      <c r="N213" s="253">
        <v>42.400362319999999</v>
      </c>
      <c r="O213" s="253">
        <v>56.092015119999992</v>
      </c>
      <c r="P213" s="253">
        <v>53.947187929999991</v>
      </c>
      <c r="Q213" s="253">
        <v>75.425790750000004</v>
      </c>
      <c r="R213" s="253">
        <v>63.236259140000008</v>
      </c>
      <c r="S213" s="253">
        <v>48.24499411</v>
      </c>
      <c r="T213" s="253"/>
      <c r="U213" s="253">
        <v>52.207207209999993</v>
      </c>
      <c r="V213" s="253"/>
      <c r="W213" s="253">
        <v>33.333333330000002</v>
      </c>
      <c r="X213" s="253"/>
      <c r="Y213" s="253">
        <v>25.776255710000001</v>
      </c>
      <c r="Z213" s="253">
        <v>69.015151520000003</v>
      </c>
      <c r="AA213" s="253"/>
      <c r="AB213" s="253"/>
      <c r="AC213" s="253"/>
      <c r="AD213" s="253"/>
      <c r="AE213" s="253"/>
    </row>
    <row r="214" spans="1:31">
      <c r="A214" s="33">
        <v>213</v>
      </c>
      <c r="B214" s="69" t="s">
        <v>2391</v>
      </c>
      <c r="C214" s="69" t="s">
        <v>740</v>
      </c>
      <c r="D214" s="56">
        <v>42024</v>
      </c>
      <c r="E214" s="266"/>
      <c r="F214" s="56"/>
      <c r="G214" s="69" t="str">
        <f t="shared" si="3"/>
        <v>User Registration</v>
      </c>
      <c r="H214" s="69" t="s">
        <v>922</v>
      </c>
      <c r="J214" s="63" t="s">
        <v>2392</v>
      </c>
      <c r="K214" s="69" t="s">
        <v>2394</v>
      </c>
      <c r="L214" s="253">
        <v>69.602435720000003</v>
      </c>
      <c r="M214" s="253">
        <v>67.811962829999999</v>
      </c>
      <c r="N214" s="253">
        <v>59.81884058</v>
      </c>
      <c r="O214" s="253">
        <v>65.499509459999999</v>
      </c>
      <c r="P214" s="253">
        <v>69.283471070000004</v>
      </c>
      <c r="Q214" s="253">
        <v>70.729927009999997</v>
      </c>
      <c r="R214" s="253">
        <v>69.795118900000006</v>
      </c>
      <c r="S214" s="253">
        <v>69.213017750000006</v>
      </c>
      <c r="T214" s="253"/>
      <c r="U214" s="253">
        <v>66.744186049999996</v>
      </c>
      <c r="V214" s="253"/>
      <c r="W214" s="253">
        <v>58.333333330000002</v>
      </c>
      <c r="X214" s="253"/>
      <c r="Y214" s="253">
        <v>56.017964069999991</v>
      </c>
      <c r="Z214" s="253">
        <v>71.827777780000005</v>
      </c>
      <c r="AA214" s="253"/>
      <c r="AB214" s="253"/>
      <c r="AC214" s="253"/>
      <c r="AD214" s="253"/>
      <c r="AE214" s="253"/>
    </row>
    <row r="215" spans="1:31">
      <c r="A215" s="33">
        <v>214</v>
      </c>
      <c r="B215" s="69" t="s">
        <v>2391</v>
      </c>
      <c r="C215" s="69" t="s">
        <v>740</v>
      </c>
      <c r="D215" s="56">
        <v>42024</v>
      </c>
      <c r="G215" s="69" t="str">
        <f t="shared" si="3"/>
        <v>User Registration</v>
      </c>
      <c r="H215" s="69" t="s">
        <v>922</v>
      </c>
      <c r="J215" s="69" t="s">
        <v>2392</v>
      </c>
      <c r="K215" s="69" t="s">
        <v>2395</v>
      </c>
      <c r="L215" s="253">
        <v>53.440305009999996</v>
      </c>
      <c r="M215" s="253">
        <v>63.485457330000003</v>
      </c>
      <c r="N215" s="253">
        <v>58.423913039999995</v>
      </c>
      <c r="O215" s="253">
        <v>62.885598139999999</v>
      </c>
      <c r="P215" s="253">
        <v>45.350597609999994</v>
      </c>
      <c r="Q215" s="253">
        <v>67.639902680000006</v>
      </c>
      <c r="R215" s="253">
        <v>57.65328908</v>
      </c>
      <c r="S215" s="253">
        <v>48.910241659999997</v>
      </c>
      <c r="T215" s="253"/>
      <c r="U215" s="253">
        <v>69.00900901</v>
      </c>
      <c r="V215" s="253"/>
      <c r="W215" s="253">
        <v>58.333333330000002</v>
      </c>
      <c r="X215" s="253"/>
      <c r="Y215" s="253">
        <v>55.383458650000001</v>
      </c>
      <c r="Z215" s="253">
        <v>70.285140560000002</v>
      </c>
      <c r="AA215" s="253"/>
      <c r="AB215" s="253"/>
      <c r="AC215" s="253"/>
      <c r="AD215" s="253"/>
      <c r="AE215" s="253"/>
    </row>
    <row r="216" spans="1:31">
      <c r="A216" s="33">
        <v>215</v>
      </c>
      <c r="B216" s="69" t="s">
        <v>2391</v>
      </c>
      <c r="C216" s="69" t="s">
        <v>740</v>
      </c>
      <c r="D216" s="56">
        <v>42024</v>
      </c>
      <c r="F216" s="56"/>
      <c r="G216" s="69" t="str">
        <f t="shared" si="3"/>
        <v>User Registration</v>
      </c>
      <c r="H216" s="69" t="s">
        <v>922</v>
      </c>
      <c r="J216" s="63" t="s">
        <v>2392</v>
      </c>
      <c r="K216" s="69" t="s">
        <v>2396</v>
      </c>
      <c r="L216" s="253">
        <v>60.234939760000003</v>
      </c>
      <c r="M216" s="253">
        <v>57.025332549999995</v>
      </c>
      <c r="N216" s="253">
        <v>52.302043419999997</v>
      </c>
      <c r="O216" s="253">
        <v>61.187901740000008</v>
      </c>
      <c r="P216" s="253">
        <v>53.607438019999996</v>
      </c>
      <c r="Q216" s="253">
        <v>54.173228350000002</v>
      </c>
      <c r="R216" s="253">
        <v>57.293884370000001</v>
      </c>
      <c r="S216" s="253">
        <v>48.218934910000002</v>
      </c>
      <c r="T216" s="253"/>
      <c r="U216" s="253">
        <v>46.226415090000003</v>
      </c>
      <c r="V216" s="253"/>
      <c r="W216" s="253">
        <v>45</v>
      </c>
      <c r="X216" s="253"/>
      <c r="Y216" s="253">
        <v>59.071856289999999</v>
      </c>
      <c r="Z216" s="253">
        <v>59.203389829999999</v>
      </c>
      <c r="AA216" s="253"/>
      <c r="AB216" s="253"/>
      <c r="AC216" s="253"/>
      <c r="AD216" s="253"/>
      <c r="AE216" s="253"/>
    </row>
    <row r="217" spans="1:31">
      <c r="A217" s="33">
        <v>216</v>
      </c>
      <c r="B217" s="69" t="s">
        <v>2391</v>
      </c>
      <c r="C217" s="69" t="s">
        <v>740</v>
      </c>
      <c r="D217" s="56">
        <v>42024</v>
      </c>
      <c r="F217" s="56"/>
      <c r="G217" s="69" t="str">
        <f t="shared" si="3"/>
        <v>User Registration</v>
      </c>
      <c r="H217" s="69" t="s">
        <v>922</v>
      </c>
      <c r="J217" s="63" t="s">
        <v>2392</v>
      </c>
      <c r="K217" s="151" t="s">
        <v>2392</v>
      </c>
      <c r="L217" s="253">
        <v>55.188009869999995</v>
      </c>
      <c r="M217" s="253">
        <v>56.142210000000006</v>
      </c>
      <c r="N217" s="253">
        <v>47.836438919999999</v>
      </c>
      <c r="O217" s="253">
        <v>56.460942039999992</v>
      </c>
      <c r="P217" s="253">
        <v>46.69008264</v>
      </c>
      <c r="Q217" s="253">
        <v>50.938477579999997</v>
      </c>
      <c r="R217" s="253">
        <v>51.911305429999999</v>
      </c>
      <c r="S217" s="253">
        <v>39.475566149999999</v>
      </c>
      <c r="T217" s="253"/>
      <c r="U217" s="253">
        <v>51.98198198</v>
      </c>
      <c r="V217" s="253"/>
      <c r="W217" s="253">
        <v>58.333333330000002</v>
      </c>
      <c r="X217" s="253"/>
      <c r="Y217" s="253">
        <v>45.471556890000002</v>
      </c>
      <c r="Z217" s="253">
        <v>59.630952380000004</v>
      </c>
      <c r="AA217" s="253"/>
      <c r="AB217" s="253"/>
      <c r="AC217" s="253"/>
      <c r="AD217" s="253"/>
      <c r="AE217" s="253"/>
    </row>
    <row r="218" spans="1:31">
      <c r="A218" s="33">
        <v>217</v>
      </c>
      <c r="B218" s="69" t="s">
        <v>2277</v>
      </c>
      <c r="C218" s="69" t="s">
        <v>1203</v>
      </c>
      <c r="D218" s="56">
        <v>42024</v>
      </c>
      <c r="F218" s="56"/>
      <c r="G218" s="69" t="str">
        <f t="shared" si="3"/>
        <v>Both</v>
      </c>
      <c r="H218" s="69" t="s">
        <v>1339</v>
      </c>
      <c r="J218" s="69" t="s">
        <v>2397</v>
      </c>
      <c r="K218" s="63" t="s">
        <v>2279</v>
      </c>
      <c r="L218" s="253">
        <v>75.114194650000002</v>
      </c>
      <c r="M218" s="253">
        <v>73.334977390000006</v>
      </c>
      <c r="N218" s="253">
        <v>69.49119718</v>
      </c>
      <c r="O218" s="253">
        <v>71.065142460000004</v>
      </c>
      <c r="P218" s="253">
        <v>69.960055100000005</v>
      </c>
      <c r="Q218" s="253">
        <v>78.261744969999995</v>
      </c>
      <c r="R218" s="253">
        <v>72.108082710000005</v>
      </c>
      <c r="S218" s="253">
        <v>78.07319699</v>
      </c>
      <c r="T218" s="253"/>
      <c r="U218" s="253"/>
      <c r="V218" s="253">
        <v>72.46153846</v>
      </c>
      <c r="W218" s="253">
        <v>69.347826089999998</v>
      </c>
      <c r="X218" s="253"/>
      <c r="Y218" s="253"/>
      <c r="Z218" s="253">
        <v>73.442148759999995</v>
      </c>
      <c r="AA218" s="253"/>
      <c r="AB218" s="253"/>
      <c r="AC218" s="253"/>
      <c r="AD218" s="253"/>
      <c r="AE218" s="253"/>
    </row>
    <row r="219" spans="1:31">
      <c r="A219" s="33">
        <v>218</v>
      </c>
      <c r="B219" s="69" t="s">
        <v>2277</v>
      </c>
      <c r="C219" s="69" t="s">
        <v>1203</v>
      </c>
      <c r="D219" s="56">
        <v>42024</v>
      </c>
      <c r="F219" s="56"/>
      <c r="G219" s="69" t="str">
        <f t="shared" si="3"/>
        <v>Both</v>
      </c>
      <c r="H219" s="69" t="s">
        <v>1339</v>
      </c>
      <c r="J219" s="69" t="s">
        <v>2397</v>
      </c>
      <c r="K219" s="63" t="s">
        <v>2296</v>
      </c>
      <c r="L219" s="253">
        <v>50.329334609999997</v>
      </c>
      <c r="M219" s="253">
        <v>48.413647089999998</v>
      </c>
      <c r="N219" s="253">
        <v>42.463245260000001</v>
      </c>
      <c r="O219" s="253">
        <v>50.643311609999998</v>
      </c>
      <c r="P219" s="253">
        <v>44.019444440000001</v>
      </c>
      <c r="Q219" s="253">
        <v>51.90827740999999</v>
      </c>
      <c r="R219" s="253">
        <v>46.098333330000003</v>
      </c>
      <c r="S219" s="253">
        <v>41.829549550000003</v>
      </c>
      <c r="T219" s="253"/>
      <c r="U219" s="253"/>
      <c r="V219" s="253">
        <v>46.915492960000002</v>
      </c>
      <c r="W219" s="253">
        <v>39</v>
      </c>
      <c r="X219" s="253"/>
      <c r="Y219" s="253"/>
      <c r="Z219" s="253">
        <v>49.767217629999998</v>
      </c>
      <c r="AA219" s="253"/>
      <c r="AB219" s="253"/>
      <c r="AC219" s="253"/>
      <c r="AD219" s="253"/>
      <c r="AE219" s="253"/>
    </row>
    <row r="220" spans="1:31">
      <c r="A220" s="33">
        <v>219</v>
      </c>
      <c r="B220" s="69" t="s">
        <v>2277</v>
      </c>
      <c r="C220" s="69" t="s">
        <v>1203</v>
      </c>
      <c r="D220" s="56">
        <v>42024</v>
      </c>
      <c r="F220" s="56"/>
      <c r="G220" s="69" t="str">
        <f t="shared" si="3"/>
        <v>Both</v>
      </c>
      <c r="H220" s="69" t="s">
        <v>1339</v>
      </c>
      <c r="J220" s="69" t="s">
        <v>2397</v>
      </c>
      <c r="K220" s="63" t="s">
        <v>2281</v>
      </c>
      <c r="L220" s="253">
        <v>63.935945269999991</v>
      </c>
      <c r="M220" s="253">
        <v>63.193198959999997</v>
      </c>
      <c r="N220" s="253">
        <v>50.147295739999997</v>
      </c>
      <c r="O220" s="253">
        <v>66.668037780000006</v>
      </c>
      <c r="P220" s="253">
        <v>57.081267219999994</v>
      </c>
      <c r="Q220" s="253">
        <v>76.41610738</v>
      </c>
      <c r="R220" s="253">
        <v>55.568987929999999</v>
      </c>
      <c r="S220" s="253">
        <v>57.20855615</v>
      </c>
      <c r="T220" s="253"/>
      <c r="U220" s="253"/>
      <c r="V220" s="253">
        <v>46.30769231</v>
      </c>
      <c r="W220" s="253">
        <v>50</v>
      </c>
      <c r="X220" s="253"/>
      <c r="Y220" s="253"/>
      <c r="Z220" s="253">
        <v>67.70936639</v>
      </c>
      <c r="AA220" s="253"/>
      <c r="AB220" s="253"/>
      <c r="AC220" s="253"/>
      <c r="AD220" s="253"/>
      <c r="AE220" s="253"/>
    </row>
    <row r="221" spans="1:31">
      <c r="A221" s="33">
        <v>220</v>
      </c>
      <c r="B221" s="69" t="s">
        <v>2277</v>
      </c>
      <c r="C221" s="69" t="s">
        <v>1203</v>
      </c>
      <c r="D221" s="56">
        <v>42024</v>
      </c>
      <c r="F221" s="56"/>
      <c r="G221" s="69" t="str">
        <f t="shared" si="3"/>
        <v>Both</v>
      </c>
      <c r="H221" s="69" t="s">
        <v>1339</v>
      </c>
      <c r="J221" s="69" t="s">
        <v>2397</v>
      </c>
      <c r="K221" s="63" t="s">
        <v>2293</v>
      </c>
      <c r="L221" s="253">
        <v>50.345191040000003</v>
      </c>
      <c r="M221" s="253">
        <v>63.804290289999997</v>
      </c>
      <c r="N221" s="253">
        <v>66.844710950000007</v>
      </c>
      <c r="O221" s="253">
        <v>59.963907599999999</v>
      </c>
      <c r="P221" s="253">
        <v>54.818713449999997</v>
      </c>
      <c r="Q221" s="253">
        <v>72.926174500000002</v>
      </c>
      <c r="R221" s="253">
        <v>65.969628799999995</v>
      </c>
      <c r="S221" s="253">
        <v>51.59844271</v>
      </c>
      <c r="T221" s="253"/>
      <c r="U221" s="253"/>
      <c r="V221" s="253">
        <v>67.788732390000007</v>
      </c>
      <c r="W221" s="253">
        <v>55</v>
      </c>
      <c r="X221" s="253"/>
      <c r="Y221" s="253"/>
      <c r="Z221" s="253">
        <v>44.202479339999996</v>
      </c>
      <c r="AA221" s="253"/>
      <c r="AB221" s="253"/>
      <c r="AC221" s="253"/>
      <c r="AD221" s="253"/>
      <c r="AE221" s="253"/>
    </row>
    <row r="222" spans="1:31">
      <c r="A222" s="33">
        <v>221</v>
      </c>
      <c r="B222" s="69" t="s">
        <v>2277</v>
      </c>
      <c r="C222" s="69" t="s">
        <v>1203</v>
      </c>
      <c r="D222" s="56">
        <v>42024</v>
      </c>
      <c r="F222" s="56"/>
      <c r="G222" s="69" t="str">
        <f t="shared" si="3"/>
        <v>Both</v>
      </c>
      <c r="H222" s="69" t="s">
        <v>1339</v>
      </c>
      <c r="J222" s="69" t="s">
        <v>2397</v>
      </c>
      <c r="K222" s="274" t="s">
        <v>2282</v>
      </c>
      <c r="L222" s="253">
        <v>54.202425369999993</v>
      </c>
      <c r="M222" s="253">
        <v>53.693691789999995</v>
      </c>
      <c r="N222" s="253">
        <v>44.58389262</v>
      </c>
      <c r="O222" s="253">
        <v>54.750115259999994</v>
      </c>
      <c r="P222" s="253">
        <v>51.04338843</v>
      </c>
      <c r="Q222" s="253">
        <v>49.805369130000003</v>
      </c>
      <c r="R222" s="253">
        <v>51.519834709999998</v>
      </c>
      <c r="S222" s="253">
        <v>51.260962570000004</v>
      </c>
      <c r="T222" s="253"/>
      <c r="U222" s="253"/>
      <c r="V222" s="253">
        <v>42.07692308</v>
      </c>
      <c r="W222" s="253">
        <v>70</v>
      </c>
      <c r="X222" s="253"/>
      <c r="Y222" s="253"/>
      <c r="Z222" s="253">
        <v>47.752066120000002</v>
      </c>
      <c r="AA222" s="253"/>
      <c r="AB222" s="253"/>
      <c r="AC222" s="253"/>
      <c r="AD222" s="253"/>
      <c r="AE222" s="253"/>
    </row>
    <row r="223" spans="1:31">
      <c r="A223" s="33">
        <v>222</v>
      </c>
      <c r="B223" s="69" t="s">
        <v>2277</v>
      </c>
      <c r="C223" s="69" t="s">
        <v>1203</v>
      </c>
      <c r="D223" s="56">
        <v>42024</v>
      </c>
      <c r="F223" s="56"/>
      <c r="G223" s="69" t="str">
        <f t="shared" si="3"/>
        <v>Both</v>
      </c>
      <c r="H223" s="69" t="s">
        <v>1339</v>
      </c>
      <c r="J223" s="69" t="s">
        <v>2397</v>
      </c>
      <c r="K223" s="63" t="s">
        <v>2253</v>
      </c>
      <c r="L223" s="253">
        <v>63.958644279999994</v>
      </c>
      <c r="M223" s="253">
        <v>68.204930250000004</v>
      </c>
      <c r="N223" s="253">
        <v>55.377921279999995</v>
      </c>
      <c r="O223" s="253">
        <v>66.593900970000007</v>
      </c>
      <c r="P223" s="253">
        <v>61.990358129999997</v>
      </c>
      <c r="Q223" s="253">
        <v>71.382550339999995</v>
      </c>
      <c r="R223" s="253">
        <v>65.391925689999994</v>
      </c>
      <c r="S223" s="253">
        <v>65.048128340000005</v>
      </c>
      <c r="T223" s="253"/>
      <c r="U223" s="253"/>
      <c r="V223" s="253">
        <v>58.943661970000001</v>
      </c>
      <c r="W223" s="253">
        <v>46.52173913</v>
      </c>
      <c r="X223" s="253"/>
      <c r="Y223" s="253"/>
      <c r="Z223" s="253">
        <v>63.442148760000002</v>
      </c>
      <c r="AA223" s="253"/>
      <c r="AB223" s="253"/>
      <c r="AC223" s="253"/>
      <c r="AD223" s="253"/>
      <c r="AE223" s="253"/>
    </row>
    <row r="224" spans="1:31">
      <c r="A224" s="33">
        <v>223</v>
      </c>
      <c r="B224" s="69" t="s">
        <v>2277</v>
      </c>
      <c r="C224" s="69" t="s">
        <v>1203</v>
      </c>
      <c r="D224" s="56">
        <v>42024</v>
      </c>
      <c r="F224" s="56"/>
      <c r="G224" s="69" t="str">
        <f t="shared" si="3"/>
        <v>Both</v>
      </c>
      <c r="H224" s="69" t="s">
        <v>1339</v>
      </c>
      <c r="J224" s="69" t="s">
        <v>2397</v>
      </c>
      <c r="K224" s="63" t="s">
        <v>2280</v>
      </c>
      <c r="L224" s="253">
        <v>57.275362319999999</v>
      </c>
      <c r="M224" s="253">
        <v>60.75013912</v>
      </c>
      <c r="N224" s="253">
        <v>59.293762579999999</v>
      </c>
      <c r="O224" s="253">
        <v>64.344187509999998</v>
      </c>
      <c r="P224" s="253">
        <v>59.00550964</v>
      </c>
      <c r="Q224" s="253">
        <v>66.348993289999996</v>
      </c>
      <c r="R224" s="253">
        <v>61.958761029999998</v>
      </c>
      <c r="S224" s="253">
        <v>57.430929309999996</v>
      </c>
      <c r="T224" s="253"/>
      <c r="U224" s="253"/>
      <c r="V224" s="253">
        <v>65.092307689999998</v>
      </c>
      <c r="W224" s="253">
        <v>47.608695650000001</v>
      </c>
      <c r="X224" s="253"/>
      <c r="Y224" s="253"/>
      <c r="Z224" s="253">
        <v>54.626721760000009</v>
      </c>
      <c r="AA224" s="253"/>
      <c r="AB224" s="253"/>
      <c r="AC224" s="253"/>
      <c r="AD224" s="253"/>
      <c r="AE224" s="253"/>
    </row>
    <row r="225" spans="1:31">
      <c r="A225" s="33">
        <v>224</v>
      </c>
      <c r="B225" s="69" t="s">
        <v>2277</v>
      </c>
      <c r="C225" s="69" t="s">
        <v>1203</v>
      </c>
      <c r="D225" s="56">
        <v>42024</v>
      </c>
      <c r="F225" s="56"/>
      <c r="G225" s="69" t="str">
        <f t="shared" si="3"/>
        <v>Both</v>
      </c>
      <c r="H225" s="69" t="s">
        <v>1339</v>
      </c>
      <c r="J225" s="69" t="s">
        <v>2397</v>
      </c>
      <c r="K225" s="63" t="s">
        <v>2295</v>
      </c>
      <c r="L225" s="253">
        <v>62.46399254</v>
      </c>
      <c r="M225" s="253">
        <v>57.982160800000003</v>
      </c>
      <c r="N225" s="253">
        <v>52.474849089999999</v>
      </c>
      <c r="O225" s="253">
        <v>62.76881671000001</v>
      </c>
      <c r="P225" s="253">
        <v>57.134710740000003</v>
      </c>
      <c r="Q225" s="253">
        <v>59.906040269999991</v>
      </c>
      <c r="R225" s="253">
        <v>50.014694759999998</v>
      </c>
      <c r="S225" s="253">
        <v>53.470588239999991</v>
      </c>
      <c r="T225" s="253"/>
      <c r="U225" s="253"/>
      <c r="V225" s="253">
        <v>50.846153849999993</v>
      </c>
      <c r="W225" s="253">
        <v>39.565217390000001</v>
      </c>
      <c r="X225" s="253"/>
      <c r="Y225" s="253"/>
      <c r="Z225" s="253">
        <v>66.867768600000005</v>
      </c>
      <c r="AA225" s="253"/>
      <c r="AB225" s="253"/>
      <c r="AC225" s="253"/>
      <c r="AD225" s="253"/>
      <c r="AE225" s="253"/>
    </row>
    <row r="226" spans="1:31">
      <c r="A226" s="33">
        <v>225</v>
      </c>
      <c r="B226" s="69" t="s">
        <v>2277</v>
      </c>
      <c r="C226" s="69" t="s">
        <v>1203</v>
      </c>
      <c r="D226" s="56">
        <v>42024</v>
      </c>
      <c r="F226" s="56"/>
      <c r="G226" s="69" t="str">
        <f t="shared" si="3"/>
        <v>ERROR</v>
      </c>
      <c r="H226" s="69" t="s">
        <v>1339</v>
      </c>
      <c r="J226" s="69" t="s">
        <v>2397</v>
      </c>
      <c r="K226" s="63" t="s">
        <v>2398</v>
      </c>
      <c r="L226" s="253">
        <v>62.363599349999994</v>
      </c>
      <c r="M226" s="253">
        <v>64.348788440000007</v>
      </c>
      <c r="N226" s="253">
        <v>65.590604029999994</v>
      </c>
      <c r="O226" s="253">
        <v>65.192442439999994</v>
      </c>
      <c r="P226" s="253">
        <v>48.892857139999997</v>
      </c>
      <c r="Q226" s="253">
        <v>81.785234900000006</v>
      </c>
      <c r="R226" s="253">
        <v>65.189790579999993</v>
      </c>
      <c r="S226" s="253">
        <v>53.885135140000003</v>
      </c>
      <c r="T226" s="253"/>
      <c r="U226" s="253"/>
      <c r="V226" s="253"/>
      <c r="W226" s="253"/>
      <c r="X226" s="253"/>
      <c r="Y226" s="253"/>
      <c r="Z226" s="253">
        <v>62.43062201</v>
      </c>
      <c r="AA226" s="253"/>
      <c r="AB226" s="253"/>
      <c r="AC226" s="253"/>
      <c r="AD226" s="253"/>
      <c r="AE226" s="253"/>
    </row>
    <row r="227" spans="1:31">
      <c r="A227" s="33">
        <v>226</v>
      </c>
      <c r="B227" s="69" t="s">
        <v>2277</v>
      </c>
      <c r="C227" s="69" t="s">
        <v>1203</v>
      </c>
      <c r="D227" s="56">
        <v>42024</v>
      </c>
      <c r="F227" s="56"/>
      <c r="G227" s="69" t="str">
        <f t="shared" si="3"/>
        <v>E-Commerce</v>
      </c>
      <c r="H227" s="69" t="s">
        <v>1339</v>
      </c>
      <c r="J227" s="69" t="s">
        <v>2397</v>
      </c>
      <c r="K227" s="63" t="s">
        <v>2397</v>
      </c>
      <c r="L227" s="253">
        <v>58.628171639999991</v>
      </c>
      <c r="M227" s="253">
        <v>55.939703459999997</v>
      </c>
      <c r="N227" s="253">
        <v>45.17795753</v>
      </c>
      <c r="O227" s="253">
        <v>56.66329588</v>
      </c>
      <c r="P227" s="253">
        <v>51.391735539999992</v>
      </c>
      <c r="Q227" s="253">
        <v>67.825503359999999</v>
      </c>
      <c r="R227" s="253">
        <v>56.24247312</v>
      </c>
      <c r="S227" s="253">
        <v>52.487621100000005</v>
      </c>
      <c r="T227" s="253"/>
      <c r="U227" s="253"/>
      <c r="V227" s="253">
        <v>40.53846154</v>
      </c>
      <c r="W227" s="253"/>
      <c r="X227" s="253"/>
      <c r="Y227" s="253"/>
      <c r="Z227" s="253">
        <v>57.01652893</v>
      </c>
      <c r="AA227" s="253"/>
      <c r="AB227" s="253"/>
      <c r="AC227" s="253"/>
      <c r="AD227" s="253"/>
      <c r="AE227" s="253"/>
    </row>
    <row r="228" spans="1:31">
      <c r="A228" s="33">
        <v>227</v>
      </c>
      <c r="B228" s="69" t="s">
        <v>2277</v>
      </c>
      <c r="C228" s="69" t="s">
        <v>1203</v>
      </c>
      <c r="D228" s="56">
        <v>42024</v>
      </c>
      <c r="F228" s="56"/>
      <c r="G228" s="69" t="str">
        <f t="shared" si="3"/>
        <v>Both</v>
      </c>
      <c r="H228" s="69" t="s">
        <v>1339</v>
      </c>
      <c r="J228" s="69" t="s">
        <v>2397</v>
      </c>
      <c r="K228" s="63" t="s">
        <v>2286</v>
      </c>
      <c r="L228" s="253">
        <v>62.593257719999997</v>
      </c>
      <c r="M228" s="253">
        <v>62.465362319999997</v>
      </c>
      <c r="N228" s="253">
        <v>55.706189409999993</v>
      </c>
      <c r="O228" s="253">
        <v>64.046256560000003</v>
      </c>
      <c r="P228" s="253">
        <v>61.780991739999997</v>
      </c>
      <c r="Q228" s="253">
        <v>74.178970919999998</v>
      </c>
      <c r="R228" s="253">
        <v>60.793544799999999</v>
      </c>
      <c r="S228" s="253">
        <v>58.379679139999993</v>
      </c>
      <c r="T228" s="253"/>
      <c r="U228" s="253"/>
      <c r="V228" s="253">
        <v>55.46153846</v>
      </c>
      <c r="W228" s="253">
        <v>51</v>
      </c>
      <c r="X228" s="253"/>
      <c r="Y228" s="253"/>
      <c r="Z228" s="253">
        <v>64.665289259999994</v>
      </c>
      <c r="AA228" s="253"/>
      <c r="AB228" s="253"/>
      <c r="AC228" s="253"/>
      <c r="AD228" s="253"/>
      <c r="AE228" s="253"/>
    </row>
    <row r="229" spans="1:31">
      <c r="A229" s="33">
        <v>228</v>
      </c>
      <c r="B229" s="69" t="s">
        <v>2277</v>
      </c>
      <c r="C229" s="69" t="s">
        <v>1203</v>
      </c>
      <c r="D229" s="56">
        <v>42024</v>
      </c>
      <c r="F229" s="56"/>
      <c r="G229" s="69" t="str">
        <f t="shared" si="3"/>
        <v>Both</v>
      </c>
      <c r="H229" s="69" t="s">
        <v>1339</v>
      </c>
      <c r="J229" s="69" t="s">
        <v>2397</v>
      </c>
      <c r="K229" s="63" t="s">
        <v>2297</v>
      </c>
      <c r="L229" s="253">
        <v>59.906922360000003</v>
      </c>
      <c r="M229" s="253">
        <v>57.755818969999993</v>
      </c>
      <c r="N229" s="253">
        <v>45.168353959999997</v>
      </c>
      <c r="O229" s="253">
        <v>56.4024906</v>
      </c>
      <c r="P229" s="253">
        <v>55.876210239999999</v>
      </c>
      <c r="Q229" s="253">
        <v>62.69127516999999</v>
      </c>
      <c r="R229" s="253">
        <v>59.109694859999991</v>
      </c>
      <c r="S229" s="253">
        <v>59.567914440000003</v>
      </c>
      <c r="T229" s="253"/>
      <c r="U229" s="253"/>
      <c r="V229" s="253">
        <v>48.15384615</v>
      </c>
      <c r="W229" s="253">
        <v>45</v>
      </c>
      <c r="X229" s="253"/>
      <c r="Y229" s="253"/>
      <c r="Z229" s="253">
        <v>56.958677690000002</v>
      </c>
      <c r="AA229" s="253"/>
      <c r="AB229" s="253"/>
      <c r="AC229" s="253"/>
      <c r="AD229" s="253"/>
      <c r="AE229" s="253"/>
    </row>
    <row r="230" spans="1:31">
      <c r="A230" s="33">
        <v>229</v>
      </c>
      <c r="B230" s="69" t="s">
        <v>2277</v>
      </c>
      <c r="C230" s="69" t="s">
        <v>1203</v>
      </c>
      <c r="D230" s="56">
        <v>42024</v>
      </c>
      <c r="F230" s="56"/>
      <c r="G230" s="69" t="str">
        <f t="shared" si="3"/>
        <v>Both</v>
      </c>
      <c r="H230" s="69" t="s">
        <v>1339</v>
      </c>
      <c r="J230" s="69" t="s">
        <v>2397</v>
      </c>
      <c r="K230" s="63" t="s">
        <v>2291</v>
      </c>
      <c r="L230" s="253">
        <v>64.155140189999997</v>
      </c>
      <c r="M230" s="253">
        <v>65.510252149999999</v>
      </c>
      <c r="N230" s="253">
        <v>66.599262240000002</v>
      </c>
      <c r="O230" s="253">
        <v>66.394431549999993</v>
      </c>
      <c r="P230" s="253">
        <v>60.440771349999999</v>
      </c>
      <c r="Q230" s="253">
        <v>67.691275169999997</v>
      </c>
      <c r="R230" s="253">
        <v>64.815960910000001</v>
      </c>
      <c r="S230" s="253">
        <v>62.012199499999994</v>
      </c>
      <c r="T230" s="253"/>
      <c r="U230" s="253"/>
      <c r="V230" s="253">
        <v>64.92307692</v>
      </c>
      <c r="W230" s="253">
        <v>69.347826089999998</v>
      </c>
      <c r="X230" s="253"/>
      <c r="Y230" s="253"/>
      <c r="Z230" s="253">
        <v>59.768595040000001</v>
      </c>
      <c r="AA230" s="253"/>
      <c r="AB230" s="253"/>
      <c r="AC230" s="253"/>
      <c r="AD230" s="253"/>
      <c r="AE230" s="253"/>
    </row>
    <row r="231" spans="1:31">
      <c r="A231" s="33">
        <v>230</v>
      </c>
      <c r="B231" s="69" t="s">
        <v>2277</v>
      </c>
      <c r="C231" s="69" t="s">
        <v>1203</v>
      </c>
      <c r="D231" s="56">
        <v>42024</v>
      </c>
      <c r="F231" s="56"/>
      <c r="G231" s="69" t="str">
        <f t="shared" si="3"/>
        <v>Both</v>
      </c>
      <c r="H231" s="69" t="s">
        <v>1339</v>
      </c>
      <c r="J231" s="69" t="s">
        <v>2397</v>
      </c>
      <c r="K231" s="63" t="s">
        <v>2283</v>
      </c>
      <c r="L231" s="253">
        <v>61.328598129999996</v>
      </c>
      <c r="M231" s="253">
        <v>66.436897270000003</v>
      </c>
      <c r="N231" s="253">
        <v>51.571588370000001</v>
      </c>
      <c r="O231" s="253">
        <v>66.732526759999999</v>
      </c>
      <c r="P231" s="253">
        <v>53.246280990000002</v>
      </c>
      <c r="Q231" s="253">
        <v>61.181208050000002</v>
      </c>
      <c r="R231" s="253">
        <v>67.225697100000005</v>
      </c>
      <c r="S231" s="253">
        <v>58.251336899999991</v>
      </c>
      <c r="T231" s="253"/>
      <c r="U231" s="253"/>
      <c r="V231" s="253">
        <v>52.615384620000007</v>
      </c>
      <c r="W231" s="253">
        <v>56.000000000000007</v>
      </c>
      <c r="X231" s="253"/>
      <c r="Y231" s="253"/>
      <c r="Z231" s="253">
        <v>54.214876029999999</v>
      </c>
      <c r="AA231" s="253"/>
      <c r="AB231" s="253"/>
      <c r="AC231" s="253"/>
      <c r="AD231" s="253"/>
      <c r="AE231" s="253"/>
    </row>
    <row r="232" spans="1:31">
      <c r="A232" s="33">
        <v>231</v>
      </c>
      <c r="B232" s="69" t="s">
        <v>2277</v>
      </c>
      <c r="C232" s="69" t="s">
        <v>1203</v>
      </c>
      <c r="D232" s="56">
        <v>42024</v>
      </c>
      <c r="F232" s="56"/>
      <c r="G232" s="69" t="str">
        <f t="shared" si="3"/>
        <v>Both</v>
      </c>
      <c r="H232" s="69" t="s">
        <v>1339</v>
      </c>
      <c r="J232" s="69" t="s">
        <v>2397</v>
      </c>
      <c r="K232" s="63" t="s">
        <v>1520</v>
      </c>
      <c r="L232" s="253">
        <v>57.091884329999999</v>
      </c>
      <c r="M232" s="253">
        <v>62.933633570000005</v>
      </c>
      <c r="N232" s="253">
        <v>58.297786719999998</v>
      </c>
      <c r="O232" s="253">
        <v>64.253019609999996</v>
      </c>
      <c r="P232" s="253">
        <v>53.714876029999999</v>
      </c>
      <c r="Q232" s="253">
        <v>75.577181210000006</v>
      </c>
      <c r="R232" s="253">
        <v>60.55146791</v>
      </c>
      <c r="S232" s="253">
        <v>56.520855609999998</v>
      </c>
      <c r="T232" s="253"/>
      <c r="U232" s="253"/>
      <c r="V232" s="253">
        <v>55.69230769</v>
      </c>
      <c r="W232" s="253">
        <v>60</v>
      </c>
      <c r="X232" s="253"/>
      <c r="Y232" s="253"/>
      <c r="Z232" s="253">
        <v>59.628099170000006</v>
      </c>
      <c r="AA232" s="253"/>
      <c r="AB232" s="253"/>
      <c r="AC232" s="253"/>
      <c r="AD232" s="253"/>
      <c r="AE232" s="253"/>
    </row>
    <row r="233" spans="1:31">
      <c r="A233" s="33">
        <v>232</v>
      </c>
      <c r="B233" s="69" t="s">
        <v>2277</v>
      </c>
      <c r="C233" s="69" t="s">
        <v>1203</v>
      </c>
      <c r="D233" s="56">
        <v>42024</v>
      </c>
      <c r="F233" s="56"/>
      <c r="G233" s="69" t="str">
        <f t="shared" si="3"/>
        <v>Both</v>
      </c>
      <c r="H233" s="69" t="s">
        <v>1339</v>
      </c>
      <c r="J233" s="69" t="s">
        <v>2397</v>
      </c>
      <c r="K233" s="63" t="s">
        <v>2284</v>
      </c>
      <c r="L233" s="253">
        <v>62.78560461</v>
      </c>
      <c r="M233" s="253">
        <v>67.22322801</v>
      </c>
      <c r="N233" s="253">
        <v>65.382550339999995</v>
      </c>
      <c r="O233" s="253">
        <v>69.941651030000003</v>
      </c>
      <c r="P233" s="253">
        <v>67.500833330000006</v>
      </c>
      <c r="Q233" s="253">
        <v>61.919463090000001</v>
      </c>
      <c r="R233" s="253">
        <v>64.742872809999994</v>
      </c>
      <c r="S233" s="253">
        <v>70.60022026</v>
      </c>
      <c r="T233" s="253"/>
      <c r="U233" s="253"/>
      <c r="V233" s="253">
        <v>63.230769229999993</v>
      </c>
      <c r="W233" s="253">
        <v>65</v>
      </c>
      <c r="X233" s="253"/>
      <c r="Y233" s="253"/>
      <c r="Z233" s="253">
        <v>49.293333330000003</v>
      </c>
      <c r="AA233" s="253"/>
      <c r="AB233" s="253"/>
      <c r="AC233" s="253"/>
      <c r="AD233" s="253"/>
      <c r="AE233" s="253"/>
    </row>
    <row r="234" spans="1:31">
      <c r="A234" s="33">
        <v>233</v>
      </c>
      <c r="B234" s="69" t="s">
        <v>2277</v>
      </c>
      <c r="C234" s="69" t="s">
        <v>1203</v>
      </c>
      <c r="D234" s="56">
        <v>42024</v>
      </c>
      <c r="F234" s="56"/>
      <c r="G234" s="69" t="str">
        <f t="shared" si="3"/>
        <v>Both</v>
      </c>
      <c r="H234" s="69" t="s">
        <v>1339</v>
      </c>
      <c r="J234" s="69" t="s">
        <v>2397</v>
      </c>
      <c r="K234" s="63" t="s">
        <v>2285</v>
      </c>
      <c r="L234" s="253">
        <v>59.551658770000003</v>
      </c>
      <c r="M234" s="253">
        <v>62.596815829999997</v>
      </c>
      <c r="N234" s="253">
        <v>51.561304839999998</v>
      </c>
      <c r="O234" s="253">
        <v>62.17019230999999</v>
      </c>
      <c r="P234" s="253">
        <v>58.553941909999992</v>
      </c>
      <c r="Q234" s="253">
        <v>72.053691279999995</v>
      </c>
      <c r="R234" s="253">
        <v>62.789779330000002</v>
      </c>
      <c r="S234" s="253">
        <v>58.902045209999997</v>
      </c>
      <c r="T234" s="253"/>
      <c r="U234" s="253"/>
      <c r="V234" s="253">
        <v>53.692307689999993</v>
      </c>
      <c r="W234" s="253">
        <v>48</v>
      </c>
      <c r="X234" s="253"/>
      <c r="Y234" s="253"/>
      <c r="Z234" s="253">
        <v>55.632231399999995</v>
      </c>
      <c r="AA234" s="253"/>
      <c r="AB234" s="253"/>
      <c r="AC234" s="253"/>
      <c r="AD234" s="253"/>
      <c r="AE234" s="253"/>
    </row>
    <row r="235" spans="1:31">
      <c r="A235" s="33">
        <v>234</v>
      </c>
      <c r="B235" s="69" t="s">
        <v>2277</v>
      </c>
      <c r="C235" s="69" t="s">
        <v>1203</v>
      </c>
      <c r="D235" s="56">
        <v>42024</v>
      </c>
      <c r="F235" s="56"/>
      <c r="G235" s="69" t="str">
        <f t="shared" si="3"/>
        <v>Both</v>
      </c>
      <c r="H235" s="69" t="s">
        <v>1339</v>
      </c>
      <c r="J235" s="69" t="s">
        <v>2397</v>
      </c>
      <c r="K235" s="63" t="s">
        <v>2287</v>
      </c>
      <c r="L235" s="253">
        <v>65.942490489999997</v>
      </c>
      <c r="M235" s="253">
        <v>70.716383949999994</v>
      </c>
      <c r="N235" s="253">
        <v>72.583501010000006</v>
      </c>
      <c r="O235" s="253">
        <v>69.147154850000007</v>
      </c>
      <c r="P235" s="253">
        <v>61.572916669999998</v>
      </c>
      <c r="Q235" s="253">
        <v>62.154362419999998</v>
      </c>
      <c r="R235" s="253">
        <v>66.021122989999995</v>
      </c>
      <c r="S235" s="253">
        <v>72.075431030000004</v>
      </c>
      <c r="T235" s="253"/>
      <c r="U235" s="253"/>
      <c r="V235" s="253">
        <v>75.07692308</v>
      </c>
      <c r="W235" s="253">
        <v>69.130434780000002</v>
      </c>
      <c r="X235" s="253"/>
      <c r="Y235" s="253"/>
      <c r="Z235" s="253">
        <v>66.61538462</v>
      </c>
      <c r="AA235" s="253"/>
      <c r="AB235" s="253"/>
      <c r="AC235" s="253"/>
      <c r="AD235" s="253"/>
      <c r="AE235" s="253"/>
    </row>
    <row r="236" spans="1:31">
      <c r="A236" s="33">
        <v>235</v>
      </c>
      <c r="B236" s="69" t="s">
        <v>2277</v>
      </c>
      <c r="C236" s="69" t="s">
        <v>1203</v>
      </c>
      <c r="D236" s="56">
        <v>42024</v>
      </c>
      <c r="F236" s="56"/>
      <c r="G236" s="69" t="str">
        <f t="shared" si="3"/>
        <v>Both</v>
      </c>
      <c r="H236" s="69" t="s">
        <v>1339</v>
      </c>
      <c r="J236" s="69" t="s">
        <v>2397</v>
      </c>
      <c r="K236" s="275" t="s">
        <v>2292</v>
      </c>
      <c r="L236" s="253">
        <v>60.728571430000002</v>
      </c>
      <c r="M236" s="253">
        <v>57.958228639999994</v>
      </c>
      <c r="N236" s="253">
        <v>45.138832999999998</v>
      </c>
      <c r="O236" s="253">
        <v>61.080645160000003</v>
      </c>
      <c r="P236" s="253">
        <v>61.014192139999999</v>
      </c>
      <c r="Q236" s="253">
        <v>60.744966439999999</v>
      </c>
      <c r="R236" s="253">
        <v>57.096972180000002</v>
      </c>
      <c r="S236" s="253">
        <v>56.925133690000003</v>
      </c>
      <c r="T236" s="253"/>
      <c r="U236" s="253"/>
      <c r="V236" s="253">
        <v>44.07692308</v>
      </c>
      <c r="W236" s="253">
        <v>42.391304349999999</v>
      </c>
      <c r="X236" s="253"/>
      <c r="Y236" s="253"/>
      <c r="Z236" s="253">
        <v>53.409090910000003</v>
      </c>
      <c r="AA236" s="253"/>
      <c r="AB236" s="253"/>
      <c r="AC236" s="253"/>
      <c r="AD236" s="253"/>
      <c r="AE236" s="253"/>
    </row>
    <row r="237" spans="1:31">
      <c r="A237" s="33">
        <v>236</v>
      </c>
      <c r="B237" s="69" t="s">
        <v>2277</v>
      </c>
      <c r="C237" s="69" t="s">
        <v>1203</v>
      </c>
      <c r="D237" s="56">
        <v>42024</v>
      </c>
      <c r="F237" s="56"/>
      <c r="G237" s="69" t="str">
        <f t="shared" si="3"/>
        <v>Both</v>
      </c>
      <c r="H237" s="69" t="s">
        <v>1339</v>
      </c>
      <c r="J237" s="69" t="s">
        <v>2397</v>
      </c>
      <c r="K237" s="63" t="s">
        <v>2289</v>
      </c>
      <c r="L237" s="253">
        <v>59.365485069999998</v>
      </c>
      <c r="M237" s="253">
        <v>63.34307149</v>
      </c>
      <c r="N237" s="253">
        <v>57.671918439999999</v>
      </c>
      <c r="O237" s="253">
        <v>60.778578289999992</v>
      </c>
      <c r="P237" s="253">
        <v>52.157024790000008</v>
      </c>
      <c r="Q237" s="253">
        <v>63.530201340000005</v>
      </c>
      <c r="R237" s="253">
        <v>63.066705069999998</v>
      </c>
      <c r="S237" s="253">
        <v>52.186221740000001</v>
      </c>
      <c r="T237" s="253"/>
      <c r="U237" s="253"/>
      <c r="V237" s="253">
        <v>61.056338029999999</v>
      </c>
      <c r="W237" s="253">
        <v>43.47826087</v>
      </c>
      <c r="X237" s="253"/>
      <c r="Y237" s="253"/>
      <c r="Z237" s="253">
        <v>56.19421487999999</v>
      </c>
      <c r="AA237" s="253"/>
      <c r="AB237" s="253"/>
      <c r="AC237" s="253"/>
      <c r="AD237" s="253"/>
      <c r="AE237" s="253"/>
    </row>
    <row r="238" spans="1:31">
      <c r="A238" s="33">
        <v>237</v>
      </c>
      <c r="B238" s="69" t="s">
        <v>2277</v>
      </c>
      <c r="C238" s="69" t="s">
        <v>1203</v>
      </c>
      <c r="D238" s="56">
        <v>42024</v>
      </c>
      <c r="F238" s="56"/>
      <c r="G238" s="69" t="str">
        <f t="shared" si="3"/>
        <v>Both</v>
      </c>
      <c r="H238" s="69" t="s">
        <v>1339</v>
      </c>
      <c r="J238" s="69" t="s">
        <v>2397</v>
      </c>
      <c r="K238" s="63" t="s">
        <v>2288</v>
      </c>
      <c r="L238" s="253">
        <v>49.300280639999997</v>
      </c>
      <c r="M238" s="253">
        <v>51.434729060000002</v>
      </c>
      <c r="N238" s="253">
        <v>33.197183099999997</v>
      </c>
      <c r="O238" s="253">
        <v>54.856088560000003</v>
      </c>
      <c r="P238" s="253">
        <v>37.791322309999998</v>
      </c>
      <c r="Q238" s="253">
        <v>57.62416107</v>
      </c>
      <c r="R238" s="253">
        <v>47.509903639999997</v>
      </c>
      <c r="S238" s="253">
        <v>38.224598929999999</v>
      </c>
      <c r="T238" s="253"/>
      <c r="U238" s="253"/>
      <c r="V238" s="253">
        <v>37</v>
      </c>
      <c r="W238" s="253">
        <v>26.086956519999998</v>
      </c>
      <c r="X238" s="253"/>
      <c r="Y238" s="253"/>
      <c r="Z238" s="253">
        <v>47.768595040000001</v>
      </c>
      <c r="AA238" s="253"/>
      <c r="AB238" s="253"/>
      <c r="AC238" s="253"/>
      <c r="AD238" s="253"/>
      <c r="AE238" s="253"/>
    </row>
    <row r="239" spans="1:31">
      <c r="A239" s="33">
        <v>238</v>
      </c>
      <c r="B239" s="69" t="s">
        <v>2277</v>
      </c>
      <c r="C239" s="69" t="s">
        <v>1203</v>
      </c>
      <c r="D239" s="56">
        <v>42024</v>
      </c>
      <c r="F239" s="56"/>
      <c r="G239" s="69" t="str">
        <f t="shared" si="3"/>
        <v>Both</v>
      </c>
      <c r="H239" s="69" t="s">
        <v>1339</v>
      </c>
      <c r="J239" s="69" t="s">
        <v>2397</v>
      </c>
      <c r="K239" s="63" t="s">
        <v>2294</v>
      </c>
      <c r="L239" s="253">
        <v>52.322052039999996</v>
      </c>
      <c r="M239" s="253">
        <v>56.711305709999991</v>
      </c>
      <c r="N239" s="253">
        <v>47.584451899999998</v>
      </c>
      <c r="O239" s="253">
        <v>56.054097830000003</v>
      </c>
      <c r="P239" s="253">
        <v>49.009868419999997</v>
      </c>
      <c r="Q239" s="253">
        <v>73.815436239999997</v>
      </c>
      <c r="R239" s="253">
        <v>56.213809519999998</v>
      </c>
      <c r="S239" s="253">
        <v>46.084530389999998</v>
      </c>
      <c r="T239" s="253"/>
      <c r="U239" s="253"/>
      <c r="V239" s="253">
        <v>47.30769231</v>
      </c>
      <c r="W239" s="253">
        <v>28.000000000000004</v>
      </c>
      <c r="X239" s="253"/>
      <c r="Y239" s="253"/>
      <c r="Z239" s="253">
        <v>55.76652893</v>
      </c>
      <c r="AA239" s="253"/>
      <c r="AB239" s="253"/>
      <c r="AC239" s="253"/>
      <c r="AD239" s="253"/>
      <c r="AE239" s="253"/>
    </row>
    <row r="240" spans="1:31">
      <c r="A240" s="33">
        <v>239</v>
      </c>
      <c r="B240" s="69" t="s">
        <v>2277</v>
      </c>
      <c r="C240" s="69" t="s">
        <v>1203</v>
      </c>
      <c r="D240" s="56">
        <v>42024</v>
      </c>
      <c r="F240" s="56"/>
      <c r="G240" s="69" t="str">
        <f t="shared" si="3"/>
        <v>Both</v>
      </c>
      <c r="H240" s="69" t="s">
        <v>1339</v>
      </c>
      <c r="J240" s="69" t="s">
        <v>2397</v>
      </c>
      <c r="K240" s="63" t="s">
        <v>2290</v>
      </c>
      <c r="L240" s="253">
        <v>61.565351710000002</v>
      </c>
      <c r="M240" s="253">
        <v>65.182374980000006</v>
      </c>
      <c r="N240" s="253">
        <v>54.233400399999994</v>
      </c>
      <c r="O240" s="253">
        <v>69.689233610000002</v>
      </c>
      <c r="P240" s="253">
        <v>58.854166669999998</v>
      </c>
      <c r="Q240" s="253">
        <v>67.540268459999993</v>
      </c>
      <c r="R240" s="253">
        <v>61.078739429999992</v>
      </c>
      <c r="S240" s="253">
        <v>59.730685530000002</v>
      </c>
      <c r="T240" s="253"/>
      <c r="U240" s="253"/>
      <c r="V240" s="253">
        <v>50.692307690000007</v>
      </c>
      <c r="W240" s="253">
        <v>43.47826087</v>
      </c>
      <c r="X240" s="253"/>
      <c r="Y240" s="253"/>
      <c r="Z240" s="253">
        <v>67.34292035</v>
      </c>
      <c r="AA240" s="253"/>
      <c r="AB240" s="253"/>
      <c r="AC240" s="253"/>
      <c r="AD240" s="253"/>
      <c r="AE240" s="253"/>
    </row>
    <row r="241" spans="1:31">
      <c r="A241" s="33">
        <v>240</v>
      </c>
      <c r="B241" s="69" t="s">
        <v>2385</v>
      </c>
      <c r="C241" s="69" t="s">
        <v>740</v>
      </c>
      <c r="D241" s="56">
        <v>42026</v>
      </c>
      <c r="G241" s="69" t="str">
        <f t="shared" si="3"/>
        <v>User Registration</v>
      </c>
      <c r="H241" s="69" t="s">
        <v>494</v>
      </c>
      <c r="J241" s="69" t="s">
        <v>2385</v>
      </c>
      <c r="K241" s="69" t="s">
        <v>1161</v>
      </c>
      <c r="L241" s="253">
        <v>72.276372851620025</v>
      </c>
      <c r="M241" s="253">
        <v>61.415551970167904</v>
      </c>
      <c r="N241" s="253">
        <v>62.45831345981361</v>
      </c>
      <c r="O241" s="253">
        <v>59.496335616161652</v>
      </c>
      <c r="P241" s="253">
        <v>74.864696833755801</v>
      </c>
      <c r="Q241" s="253">
        <v>62.521428571428572</v>
      </c>
      <c r="R241" s="253">
        <v>64.318515994363437</v>
      </c>
      <c r="S241" s="253">
        <v>64.791666666666671</v>
      </c>
      <c r="T241" s="253"/>
      <c r="U241" s="253">
        <v>52.666666666666657</v>
      </c>
      <c r="V241" s="253"/>
      <c r="W241" s="253">
        <v>60.923913043478258</v>
      </c>
      <c r="X241" s="253">
        <v>64.069767441860463</v>
      </c>
      <c r="Y241" s="253">
        <v>56.486486486486484</v>
      </c>
      <c r="Z241" s="253">
        <v>61.923076923076927</v>
      </c>
      <c r="AA241" s="253"/>
      <c r="AB241" s="253"/>
      <c r="AC241" s="253"/>
      <c r="AD241" s="253"/>
      <c r="AE241" s="253"/>
    </row>
    <row r="242" spans="1:31">
      <c r="A242" s="33">
        <v>241</v>
      </c>
      <c r="B242" s="69" t="s">
        <v>2385</v>
      </c>
      <c r="C242" s="69" t="s">
        <v>740</v>
      </c>
      <c r="D242" s="56">
        <v>42026</v>
      </c>
      <c r="G242" s="69" t="str">
        <f t="shared" si="3"/>
        <v>User Registration</v>
      </c>
      <c r="H242" s="69" t="s">
        <v>494</v>
      </c>
      <c r="J242" s="69" t="s">
        <v>2385</v>
      </c>
      <c r="K242" s="69" t="s">
        <v>1996</v>
      </c>
      <c r="L242" s="253">
        <v>64.998479550633505</v>
      </c>
      <c r="M242" s="253">
        <v>58.673779585659076</v>
      </c>
      <c r="N242" s="253">
        <v>56.60880479333489</v>
      </c>
      <c r="O242" s="253">
        <v>60.063119108557714</v>
      </c>
      <c r="P242" s="253">
        <v>67.882714822907275</v>
      </c>
      <c r="Q242" s="253">
        <v>61.002678571428568</v>
      </c>
      <c r="R242" s="253">
        <v>61.858860506152332</v>
      </c>
      <c r="S242" s="253">
        <v>61.333333333333329</v>
      </c>
      <c r="T242" s="253"/>
      <c r="U242" s="253">
        <v>51.916666666666664</v>
      </c>
      <c r="V242" s="253"/>
      <c r="W242" s="253">
        <v>54.293478260869563</v>
      </c>
      <c r="X242" s="253">
        <v>56.744186046511622</v>
      </c>
      <c r="Y242" s="253">
        <v>62.783783783783782</v>
      </c>
      <c r="Z242" s="253">
        <v>53.46153846153846</v>
      </c>
      <c r="AA242" s="253"/>
      <c r="AB242" s="253"/>
      <c r="AC242" s="253"/>
      <c r="AD242" s="253"/>
      <c r="AE242" s="253"/>
    </row>
    <row r="243" spans="1:31">
      <c r="A243" s="33">
        <v>242</v>
      </c>
      <c r="B243" s="69" t="s">
        <v>2385</v>
      </c>
      <c r="C243" s="69" t="s">
        <v>740</v>
      </c>
      <c r="D243" s="56">
        <v>42026</v>
      </c>
      <c r="F243" s="56"/>
      <c r="G243" s="69" t="str">
        <f t="shared" si="3"/>
        <v>User Registration</v>
      </c>
      <c r="H243" s="69" t="s">
        <v>494</v>
      </c>
      <c r="J243" s="69" t="s">
        <v>2385</v>
      </c>
      <c r="K243" s="13" t="s">
        <v>2385</v>
      </c>
      <c r="L243" s="253">
        <v>24.22707195111856</v>
      </c>
      <c r="M243" s="253">
        <v>39.332378363743111</v>
      </c>
      <c r="N243" s="253">
        <v>42.697026905869436</v>
      </c>
      <c r="O243" s="253">
        <v>29.447397629235223</v>
      </c>
      <c r="P243" s="253">
        <v>25.956916861975127</v>
      </c>
      <c r="Q243" s="253">
        <v>57.981249999999996</v>
      </c>
      <c r="R243" s="253">
        <v>49.505624411206568</v>
      </c>
      <c r="S243" s="253">
        <v>21.375</v>
      </c>
      <c r="T243" s="253"/>
      <c r="U243" s="253">
        <v>29.583333333333332</v>
      </c>
      <c r="V243" s="253"/>
      <c r="W243" s="253">
        <v>37.119565217391305</v>
      </c>
      <c r="X243" s="253">
        <v>44.767441860465119</v>
      </c>
      <c r="Y243" s="253">
        <v>29.459459459459456</v>
      </c>
      <c r="Z243" s="253">
        <v>17.307692307692307</v>
      </c>
      <c r="AA243" s="253"/>
      <c r="AB243" s="253"/>
      <c r="AC243" s="253"/>
      <c r="AD243" s="253"/>
      <c r="AE243" s="253"/>
    </row>
    <row r="244" spans="1:31">
      <c r="A244" s="33">
        <v>243</v>
      </c>
      <c r="B244" s="69" t="s">
        <v>2385</v>
      </c>
      <c r="C244" s="69" t="s">
        <v>740</v>
      </c>
      <c r="D244" s="56">
        <v>42026</v>
      </c>
      <c r="F244" s="56"/>
      <c r="G244" s="69" t="str">
        <f t="shared" si="3"/>
        <v>ERROR</v>
      </c>
      <c r="H244" s="69" t="s">
        <v>494</v>
      </c>
      <c r="J244" s="69" t="s">
        <v>2385</v>
      </c>
      <c r="K244" s="278" t="s">
        <v>2386</v>
      </c>
      <c r="L244" s="253">
        <v>43.528176902611932</v>
      </c>
      <c r="M244" s="253">
        <v>47.308325869707552</v>
      </c>
      <c r="N244" s="253">
        <v>43.999230228239426</v>
      </c>
      <c r="O244" s="253">
        <v>39.312532269689839</v>
      </c>
      <c r="P244" s="253">
        <v>48.833298051341835</v>
      </c>
      <c r="Q244" s="253">
        <v>46.738392857142848</v>
      </c>
      <c r="R244" s="253">
        <v>56.284458193080155</v>
      </c>
      <c r="S244" s="253">
        <v>50.416666666666664</v>
      </c>
      <c r="T244" s="253"/>
      <c r="U244" s="253">
        <v>40.333333333333329</v>
      </c>
      <c r="V244" s="253"/>
      <c r="W244" s="253"/>
      <c r="X244" s="253">
        <v>68.83720930232559</v>
      </c>
      <c r="Y244" s="253">
        <v>42.567567567567565</v>
      </c>
      <c r="Z244" s="253">
        <v>22.30769230769231</v>
      </c>
      <c r="AA244" s="253"/>
      <c r="AB244" s="253"/>
      <c r="AC244" s="253"/>
      <c r="AD244" s="253"/>
      <c r="AE244" s="253"/>
    </row>
    <row r="245" spans="1:31">
      <c r="A245" s="33">
        <v>244</v>
      </c>
      <c r="B245" s="69" t="s">
        <v>2385</v>
      </c>
      <c r="C245" s="69" t="s">
        <v>740</v>
      </c>
      <c r="D245" s="56">
        <v>42026</v>
      </c>
      <c r="F245" s="56"/>
      <c r="G245" s="69" t="str">
        <f t="shared" si="3"/>
        <v>ERROR</v>
      </c>
      <c r="H245" s="69" t="s">
        <v>494</v>
      </c>
      <c r="J245" s="69" t="s">
        <v>2385</v>
      </c>
      <c r="K245" s="278" t="s">
        <v>2387</v>
      </c>
      <c r="L245" s="253">
        <v>54.827325362177056</v>
      </c>
      <c r="M245" s="253">
        <v>46.984892069978649</v>
      </c>
      <c r="N245" s="253">
        <v>38.474770110541797</v>
      </c>
      <c r="O245" s="253">
        <v>46.206370307549626</v>
      </c>
      <c r="P245" s="253">
        <v>58.284156702721326</v>
      </c>
      <c r="Q245" s="253">
        <v>58.158035714285703</v>
      </c>
      <c r="R245" s="253">
        <v>51.196252316830801</v>
      </c>
      <c r="S245" s="253">
        <v>50.208333333333329</v>
      </c>
      <c r="T245" s="253"/>
      <c r="U245" s="253">
        <v>32.916666666666664</v>
      </c>
      <c r="V245" s="253"/>
      <c r="W245" s="253"/>
      <c r="X245" s="253">
        <v>49.651162790697668</v>
      </c>
      <c r="Y245" s="253">
        <v>46.216216216216218</v>
      </c>
      <c r="Z245" s="253">
        <v>41</v>
      </c>
      <c r="AA245" s="253"/>
      <c r="AB245" s="253"/>
      <c r="AC245" s="253"/>
      <c r="AD245" s="253"/>
      <c r="AE245" s="253"/>
    </row>
    <row r="246" spans="1:31">
      <c r="A246" s="33">
        <v>245</v>
      </c>
      <c r="B246" s="69" t="s">
        <v>2339</v>
      </c>
      <c r="C246" s="69" t="s">
        <v>740</v>
      </c>
      <c r="D246" s="56">
        <v>42026</v>
      </c>
      <c r="F246" s="56"/>
      <c r="G246" s="69" t="str">
        <f t="shared" si="3"/>
        <v>ERROR</v>
      </c>
      <c r="H246" s="69" t="s">
        <v>1088</v>
      </c>
      <c r="J246" s="69" t="s">
        <v>2339</v>
      </c>
      <c r="K246" s="13" t="s">
        <v>2339</v>
      </c>
      <c r="L246" s="253">
        <v>56.195280822000001</v>
      </c>
      <c r="M246" s="253">
        <v>53.521620255531921</v>
      </c>
      <c r="N246" s="253">
        <v>61.220414611983472</v>
      </c>
      <c r="O246" s="253">
        <v>60.618621619473679</v>
      </c>
      <c r="P246" s="253">
        <v>60.418300649999999</v>
      </c>
      <c r="Q246" s="253">
        <v>61.192214109999995</v>
      </c>
      <c r="R246" s="253">
        <v>62.576231880000002</v>
      </c>
      <c r="S246" s="253">
        <v>51.998148149999999</v>
      </c>
      <c r="T246" s="253"/>
      <c r="U246" s="253">
        <v>38.833333330000002</v>
      </c>
      <c r="V246" s="253"/>
      <c r="W246" s="253"/>
      <c r="X246" s="253">
        <v>76.875</v>
      </c>
      <c r="Y246" s="253">
        <v>71.689497720000006</v>
      </c>
      <c r="Z246" s="253">
        <v>39.303201510000001</v>
      </c>
      <c r="AA246" s="253"/>
      <c r="AB246" s="253"/>
      <c r="AC246" s="253"/>
      <c r="AD246" s="253"/>
      <c r="AE246" s="253"/>
    </row>
    <row r="247" spans="1:31">
      <c r="A247" s="33">
        <v>246</v>
      </c>
      <c r="B247" s="69" t="s">
        <v>2339</v>
      </c>
      <c r="C247" s="69" t="s">
        <v>740</v>
      </c>
      <c r="D247" s="56">
        <v>42026</v>
      </c>
      <c r="F247" s="56"/>
      <c r="G247" s="69" t="str">
        <f t="shared" si="3"/>
        <v>ERROR</v>
      </c>
      <c r="H247" s="69" t="s">
        <v>1088</v>
      </c>
      <c r="J247" s="69" t="s">
        <v>2339</v>
      </c>
      <c r="K247" s="13" t="s">
        <v>947</v>
      </c>
      <c r="L247" s="253">
        <v>57.454308310000009</v>
      </c>
      <c r="M247" s="253">
        <v>55.790053833829802</v>
      </c>
      <c r="N247" s="253">
        <v>62.440616903719011</v>
      </c>
      <c r="O247" s="253">
        <v>66.115557204736845</v>
      </c>
      <c r="P247" s="253">
        <v>55.321568630000009</v>
      </c>
      <c r="Q247" s="253">
        <v>68.856447689999996</v>
      </c>
      <c r="R247" s="253">
        <v>57.498930999999999</v>
      </c>
      <c r="S247" s="253">
        <v>48.59814815</v>
      </c>
      <c r="T247" s="253"/>
      <c r="U247" s="253">
        <v>43.75</v>
      </c>
      <c r="V247" s="253"/>
      <c r="W247" s="253"/>
      <c r="X247" s="253">
        <v>66.625</v>
      </c>
      <c r="Y247" s="253">
        <v>69.381679390000002</v>
      </c>
      <c r="Z247" s="253">
        <v>65.985267030000003</v>
      </c>
      <c r="AA247" s="253"/>
      <c r="AB247" s="253"/>
      <c r="AC247" s="253"/>
      <c r="AD247" s="253"/>
      <c r="AE247" s="253"/>
    </row>
    <row r="248" spans="1:31">
      <c r="A248" s="33">
        <v>247</v>
      </c>
      <c r="B248" s="69" t="s">
        <v>2339</v>
      </c>
      <c r="C248" s="69" t="s">
        <v>740</v>
      </c>
      <c r="D248" s="56">
        <v>42026</v>
      </c>
      <c r="F248" s="56"/>
      <c r="G248" s="69" t="str">
        <f t="shared" si="3"/>
        <v>ERROR</v>
      </c>
      <c r="H248" s="69" t="s">
        <v>1088</v>
      </c>
      <c r="J248" s="69" t="s">
        <v>2339</v>
      </c>
      <c r="K248" s="13" t="s">
        <v>2388</v>
      </c>
      <c r="L248" s="253">
        <v>52.822614377999997</v>
      </c>
      <c r="M248" s="253">
        <v>51.04914054191488</v>
      </c>
      <c r="N248" s="253">
        <v>48.516674573553722</v>
      </c>
      <c r="O248" s="253">
        <v>40.617271528947363</v>
      </c>
      <c r="P248" s="253">
        <v>50.681045749999996</v>
      </c>
      <c r="Q248" s="253">
        <v>56.824146980000002</v>
      </c>
      <c r="R248" s="253">
        <v>54.02184728999999</v>
      </c>
      <c r="S248" s="253">
        <v>46.344444439999997</v>
      </c>
      <c r="T248" s="253"/>
      <c r="U248" s="253">
        <v>39.291666669999998</v>
      </c>
      <c r="V248" s="253"/>
      <c r="W248" s="253"/>
      <c r="X248" s="253">
        <v>56.625</v>
      </c>
      <c r="Y248" s="253">
        <v>25.357142859999996</v>
      </c>
      <c r="Z248" s="253">
        <v>61.38888888999999</v>
      </c>
      <c r="AA248" s="253"/>
      <c r="AB248" s="253"/>
      <c r="AC248" s="253"/>
      <c r="AD248" s="253"/>
      <c r="AE248" s="253"/>
    </row>
    <row r="249" spans="1:31">
      <c r="A249" s="33">
        <v>248</v>
      </c>
      <c r="B249" s="69" t="s">
        <v>2339</v>
      </c>
      <c r="C249" s="69" t="s">
        <v>740</v>
      </c>
      <c r="D249" s="56">
        <v>42026</v>
      </c>
      <c r="F249" s="56"/>
      <c r="G249" s="69" t="str">
        <f t="shared" si="3"/>
        <v>ERROR</v>
      </c>
      <c r="H249" s="69" t="s">
        <v>1088</v>
      </c>
      <c r="J249" s="69" t="s">
        <v>2339</v>
      </c>
      <c r="K249" s="13" t="s">
        <v>2389</v>
      </c>
      <c r="L249" s="253">
        <v>47.498674133999998</v>
      </c>
      <c r="M249" s="253">
        <v>46.108699242765958</v>
      </c>
      <c r="N249" s="253">
        <v>44.945015266528927</v>
      </c>
      <c r="O249" s="253">
        <v>46.294431396842107</v>
      </c>
      <c r="P249" s="253">
        <v>47.59477124</v>
      </c>
      <c r="Q249" s="253">
        <v>57.177615569999993</v>
      </c>
      <c r="R249" s="253">
        <v>44.022753790000003</v>
      </c>
      <c r="S249" s="253">
        <v>41.544444439999999</v>
      </c>
      <c r="T249" s="253"/>
      <c r="U249" s="253">
        <v>45.875</v>
      </c>
      <c r="V249" s="253"/>
      <c r="W249" s="253"/>
      <c r="X249" s="253">
        <v>41</v>
      </c>
      <c r="Y249" s="253">
        <v>45.725520039999999</v>
      </c>
      <c r="Z249" s="253">
        <v>47.114285709999997</v>
      </c>
      <c r="AA249" s="253"/>
      <c r="AB249" s="253"/>
      <c r="AC249" s="253"/>
      <c r="AD249" s="253"/>
      <c r="AE249" s="253"/>
    </row>
    <row r="250" spans="1:31">
      <c r="A250" s="33">
        <v>249</v>
      </c>
      <c r="B250" s="69" t="s">
        <v>2339</v>
      </c>
      <c r="C250" s="69" t="s">
        <v>740</v>
      </c>
      <c r="D250" s="56">
        <v>42026</v>
      </c>
      <c r="F250" s="56"/>
      <c r="G250" s="69" t="str">
        <f t="shared" si="3"/>
        <v>ERROR</v>
      </c>
      <c r="H250" s="69" t="s">
        <v>1088</v>
      </c>
      <c r="J250" s="69" t="s">
        <v>2339</v>
      </c>
      <c r="K250" s="13" t="s">
        <v>2390</v>
      </c>
      <c r="L250" s="253">
        <v>49.034718063999989</v>
      </c>
      <c r="M250" s="253">
        <v>49.222043607234042</v>
      </c>
      <c r="N250" s="253">
        <v>50.082779981404954</v>
      </c>
      <c r="O250" s="253">
        <v>42.913100930526319</v>
      </c>
      <c r="P250" s="253">
        <v>47.045751629999998</v>
      </c>
      <c r="Q250" s="253">
        <v>61.046228710000001</v>
      </c>
      <c r="R250" s="253">
        <v>51.72743157</v>
      </c>
      <c r="S250" s="253">
        <v>42.248410030000002</v>
      </c>
      <c r="T250" s="253"/>
      <c r="U250" s="253">
        <v>37.416666669999998</v>
      </c>
      <c r="V250" s="253"/>
      <c r="W250" s="253"/>
      <c r="X250" s="253">
        <v>59.875</v>
      </c>
      <c r="Y250" s="253">
        <v>32.364649679999999</v>
      </c>
      <c r="Z250" s="253">
        <v>56.990583800000003</v>
      </c>
      <c r="AA250" s="253"/>
      <c r="AB250" s="253"/>
      <c r="AC250" s="253"/>
      <c r="AD250" s="253"/>
      <c r="AE250" s="253"/>
    </row>
    <row r="251" spans="1:31">
      <c r="A251" s="33">
        <v>250</v>
      </c>
      <c r="B251" s="69" t="s">
        <v>2381</v>
      </c>
      <c r="C251" s="69" t="s">
        <v>740</v>
      </c>
      <c r="D251" s="56">
        <v>42027</v>
      </c>
      <c r="E251" s="266"/>
      <c r="F251" s="56"/>
      <c r="G251" s="69" t="str">
        <f t="shared" si="3"/>
        <v>User Registration</v>
      </c>
      <c r="H251" s="69" t="s">
        <v>1998</v>
      </c>
      <c r="J251" s="13" t="s">
        <v>2382</v>
      </c>
      <c r="K251" s="13" t="s">
        <v>2383</v>
      </c>
      <c r="L251" s="253">
        <v>65.782622322000009</v>
      </c>
      <c r="M251" s="253">
        <v>64.147199391276601</v>
      </c>
      <c r="N251" s="253">
        <v>68.778807353808091</v>
      </c>
      <c r="O251" s="253">
        <v>65.291353147780953</v>
      </c>
      <c r="P251" s="253">
        <v>64.36732026</v>
      </c>
      <c r="Q251" s="253">
        <v>73.357664229999997</v>
      </c>
      <c r="R251" s="253">
        <v>61.331780240000001</v>
      </c>
      <c r="S251" s="253">
        <v>59.457494410000002</v>
      </c>
      <c r="T251" s="253"/>
      <c r="U251" s="253">
        <v>63.417266189999999</v>
      </c>
      <c r="V251" s="253"/>
      <c r="W251" s="253">
        <v>70.326086956521735</v>
      </c>
      <c r="X251" s="253"/>
      <c r="Y251" s="253">
        <v>62.783783783783782</v>
      </c>
      <c r="Z251" s="253">
        <v>71.443830570000003</v>
      </c>
      <c r="AA251" s="253"/>
      <c r="AB251" s="253"/>
      <c r="AC251" s="253"/>
      <c r="AD251" s="253"/>
      <c r="AE251" s="253"/>
    </row>
    <row r="252" spans="1:31">
      <c r="A252" s="33">
        <v>251</v>
      </c>
      <c r="B252" s="69" t="s">
        <v>2381</v>
      </c>
      <c r="C252" s="69" t="s">
        <v>740</v>
      </c>
      <c r="D252" s="56">
        <v>42027</v>
      </c>
      <c r="E252" s="266"/>
      <c r="F252" s="56"/>
      <c r="G252" s="69" t="str">
        <f t="shared" si="3"/>
        <v>User Registration</v>
      </c>
      <c r="H252" s="69" t="s">
        <v>1998</v>
      </c>
      <c r="J252" s="13" t="s">
        <v>2382</v>
      </c>
      <c r="K252" s="13" t="s">
        <v>2174</v>
      </c>
      <c r="L252" s="253">
        <v>56.008029245999992</v>
      </c>
      <c r="M252" s="253">
        <v>59.234920011702116</v>
      </c>
      <c r="N252" s="253">
        <v>65.511302742323835</v>
      </c>
      <c r="O252" s="253">
        <v>53.603150730825035</v>
      </c>
      <c r="P252" s="253">
        <v>52.571241829999991</v>
      </c>
      <c r="Q252" s="253">
        <v>71.411192209999996</v>
      </c>
      <c r="R252" s="253">
        <v>62.454106279999998</v>
      </c>
      <c r="S252" s="253">
        <v>47.688888890000001</v>
      </c>
      <c r="T252" s="253"/>
      <c r="U252" s="253">
        <v>47.158273379999997</v>
      </c>
      <c r="V252" s="253"/>
      <c r="W252" s="253">
        <v>65.543478260869563</v>
      </c>
      <c r="X252" s="253"/>
      <c r="Y252" s="253">
        <v>42.567567567567565</v>
      </c>
      <c r="Z252" s="253">
        <v>69.755178909999998</v>
      </c>
      <c r="AA252" s="253"/>
      <c r="AB252" s="253"/>
      <c r="AC252" s="253"/>
      <c r="AD252" s="253"/>
      <c r="AE252" s="253"/>
    </row>
    <row r="253" spans="1:31">
      <c r="A253" s="33">
        <v>252</v>
      </c>
      <c r="B253" s="69" t="s">
        <v>2381</v>
      </c>
      <c r="C253" s="69" t="s">
        <v>740</v>
      </c>
      <c r="D253" s="56">
        <v>42027</v>
      </c>
      <c r="G253" s="69" t="str">
        <f t="shared" si="3"/>
        <v>User Registration</v>
      </c>
      <c r="H253" s="69" t="s">
        <v>1998</v>
      </c>
      <c r="J253" s="69" t="s">
        <v>2382</v>
      </c>
      <c r="K253" s="69" t="s">
        <v>2173</v>
      </c>
      <c r="L253" s="253">
        <v>56.858584250000007</v>
      </c>
      <c r="M253" s="253">
        <v>58.634803301914886</v>
      </c>
      <c r="N253" s="253">
        <v>67.720611478035991</v>
      </c>
      <c r="O253" s="253">
        <v>56.265284684466565</v>
      </c>
      <c r="P253" s="253">
        <v>58.236601310000005</v>
      </c>
      <c r="Q253" s="253">
        <v>65.45012165</v>
      </c>
      <c r="R253" s="253">
        <v>66.149198999999996</v>
      </c>
      <c r="S253" s="253">
        <v>49.694444439999998</v>
      </c>
      <c r="T253" s="253"/>
      <c r="U253" s="253">
        <v>48.525179860000001</v>
      </c>
      <c r="V253" s="253"/>
      <c r="W253" s="253">
        <v>68.532608695652172</v>
      </c>
      <c r="X253" s="253"/>
      <c r="Y253" s="253">
        <v>56.486486486486484</v>
      </c>
      <c r="Z253" s="253">
        <v>51.346516009999995</v>
      </c>
      <c r="AA253" s="253"/>
      <c r="AB253" s="253"/>
      <c r="AC253" s="253"/>
      <c r="AD253" s="253"/>
      <c r="AE253" s="253"/>
    </row>
    <row r="254" spans="1:31">
      <c r="A254" s="33">
        <v>253</v>
      </c>
      <c r="B254" s="69" t="s">
        <v>2381</v>
      </c>
      <c r="C254" s="69" t="s">
        <v>740</v>
      </c>
      <c r="D254" s="56">
        <v>42027</v>
      </c>
      <c r="G254" s="69" t="str">
        <f t="shared" si="3"/>
        <v>User Registration</v>
      </c>
      <c r="H254" s="69" t="s">
        <v>1998</v>
      </c>
      <c r="J254" s="69" t="s">
        <v>2382</v>
      </c>
      <c r="K254" s="69" t="s">
        <v>2384</v>
      </c>
      <c r="L254" s="253">
        <v>56.759641080000009</v>
      </c>
      <c r="M254" s="253">
        <v>51.657101892765951</v>
      </c>
      <c r="N254" s="253">
        <v>58.025956242608686</v>
      </c>
      <c r="O254" s="253">
        <v>55.533097408534857</v>
      </c>
      <c r="P254" s="253">
        <v>52.041830070000003</v>
      </c>
      <c r="Q254" s="253">
        <v>64.355231140000001</v>
      </c>
      <c r="R254" s="253">
        <v>50.81740482</v>
      </c>
      <c r="S254" s="253">
        <v>48.82222222</v>
      </c>
      <c r="T254" s="253"/>
      <c r="U254" s="253">
        <v>35.431654680000001</v>
      </c>
      <c r="V254" s="253"/>
      <c r="W254" s="253">
        <v>59.239130434782602</v>
      </c>
      <c r="X254" s="253"/>
      <c r="Y254" s="253">
        <v>46.216216216216218</v>
      </c>
      <c r="Z254" s="253">
        <v>75.630885120000002</v>
      </c>
      <c r="AA254" s="253"/>
      <c r="AB254" s="253"/>
      <c r="AC254" s="253"/>
      <c r="AD254" s="253"/>
      <c r="AE254" s="253"/>
    </row>
    <row r="255" spans="1:31">
      <c r="A255" s="33">
        <v>254</v>
      </c>
      <c r="B255" s="69" t="s">
        <v>2381</v>
      </c>
      <c r="C255" s="69" t="s">
        <v>740</v>
      </c>
      <c r="D255" s="56">
        <v>42027</v>
      </c>
      <c r="G255" s="69" t="str">
        <f t="shared" si="3"/>
        <v>User Registration</v>
      </c>
      <c r="H255" s="69" t="s">
        <v>1998</v>
      </c>
      <c r="J255" s="69" t="s">
        <v>2382</v>
      </c>
      <c r="K255" s="69" t="s">
        <v>2382</v>
      </c>
      <c r="L255" s="253">
        <v>49.686665945999998</v>
      </c>
      <c r="M255" s="253">
        <v>50.588714151276605</v>
      </c>
      <c r="N255" s="253">
        <v>49.338928180719634</v>
      </c>
      <c r="O255" s="253">
        <v>40.372847100768134</v>
      </c>
      <c r="P255" s="253">
        <v>48.43660131</v>
      </c>
      <c r="Q255" s="253">
        <v>60.218978099999994</v>
      </c>
      <c r="R255" s="253">
        <v>47.854750780000003</v>
      </c>
      <c r="S255" s="253">
        <v>43.126398209999998</v>
      </c>
      <c r="T255" s="253"/>
      <c r="U255" s="253">
        <v>52.70676692</v>
      </c>
      <c r="V255" s="253"/>
      <c r="W255" s="253">
        <v>48.152173913043477</v>
      </c>
      <c r="X255" s="253"/>
      <c r="Y255" s="253">
        <v>29.459459459459456</v>
      </c>
      <c r="Z255" s="253">
        <v>54.686924489999996</v>
      </c>
      <c r="AA255" s="253"/>
      <c r="AB255" s="253"/>
      <c r="AC255" s="253"/>
      <c r="AD255" s="253"/>
      <c r="AE255" s="253"/>
    </row>
    <row r="256" spans="1:31">
      <c r="A256" s="33">
        <v>255</v>
      </c>
      <c r="B256" s="69" t="s">
        <v>368</v>
      </c>
      <c r="C256" s="69" t="s">
        <v>740</v>
      </c>
      <c r="D256" s="56">
        <v>42033</v>
      </c>
      <c r="F256" s="56"/>
      <c r="G256" s="69" t="str">
        <f t="shared" si="3"/>
        <v>E-Commerce</v>
      </c>
      <c r="H256" s="69" t="s">
        <v>2366</v>
      </c>
      <c r="J256" s="69" t="s">
        <v>368</v>
      </c>
      <c r="K256" s="280" t="s">
        <v>2380</v>
      </c>
      <c r="L256" s="253">
        <v>65.157984313238558</v>
      </c>
      <c r="M256" s="253">
        <v>58.986822916115123</v>
      </c>
      <c r="N256" s="253">
        <v>66.832229062589661</v>
      </c>
      <c r="O256" s="253">
        <v>70.457986950177315</v>
      </c>
      <c r="P256" s="253">
        <v>66.832095776163584</v>
      </c>
      <c r="Q256" s="253">
        <v>63.523214285714289</v>
      </c>
      <c r="R256" s="253">
        <v>60.802421307506059</v>
      </c>
      <c r="S256" s="253">
        <v>53.157894736842103</v>
      </c>
      <c r="T256" s="253"/>
      <c r="U256" s="253">
        <v>52.181818181818187</v>
      </c>
      <c r="V256" s="253">
        <v>63.19879518072289</v>
      </c>
      <c r="W256" s="253"/>
      <c r="X256" s="253"/>
      <c r="Y256" s="253">
        <v>80.810810810810807</v>
      </c>
      <c r="Z256" s="253">
        <v>58.461538461538467</v>
      </c>
      <c r="AA256" s="253"/>
      <c r="AB256" s="253"/>
      <c r="AC256" s="253"/>
      <c r="AD256" s="253"/>
      <c r="AE256" s="253"/>
    </row>
    <row r="257" spans="1:31">
      <c r="A257" s="33">
        <v>256</v>
      </c>
      <c r="B257" s="69" t="s">
        <v>368</v>
      </c>
      <c r="C257" s="69" t="s">
        <v>740</v>
      </c>
      <c r="D257" s="56">
        <v>42033</v>
      </c>
      <c r="F257" s="56"/>
      <c r="G257" s="69" t="str">
        <f t="shared" si="3"/>
        <v>E-Commerce</v>
      </c>
      <c r="H257" s="69" t="s">
        <v>2366</v>
      </c>
      <c r="J257" s="69" t="s">
        <v>368</v>
      </c>
      <c r="K257" s="89" t="s">
        <v>389</v>
      </c>
      <c r="L257" s="253">
        <v>61.18735333646714</v>
      </c>
      <c r="M257" s="253">
        <v>66.698061713344529</v>
      </c>
      <c r="N257" s="253">
        <v>60.945466396422731</v>
      </c>
      <c r="O257" s="253">
        <v>64.497388414533418</v>
      </c>
      <c r="P257" s="253">
        <v>70.330345516737765</v>
      </c>
      <c r="Q257" s="253">
        <v>61.557142857142864</v>
      </c>
      <c r="R257" s="253">
        <v>68.612282148843889</v>
      </c>
      <c r="S257" s="253">
        <v>67.10526315789474</v>
      </c>
      <c r="T257" s="253"/>
      <c r="U257" s="253">
        <v>81.575757575757578</v>
      </c>
      <c r="V257" s="253">
        <v>71.873493975903614</v>
      </c>
      <c r="W257" s="253"/>
      <c r="X257" s="253"/>
      <c r="Y257" s="253">
        <v>83.648648648648646</v>
      </c>
      <c r="Z257" s="253">
        <v>24.615384615384617</v>
      </c>
      <c r="AA257" s="253"/>
      <c r="AB257" s="253"/>
      <c r="AC257" s="253"/>
      <c r="AD257" s="253"/>
      <c r="AE257" s="253"/>
    </row>
    <row r="258" spans="1:31">
      <c r="A258" s="33">
        <v>257</v>
      </c>
      <c r="B258" s="69" t="s">
        <v>368</v>
      </c>
      <c r="C258" s="69" t="s">
        <v>740</v>
      </c>
      <c r="D258" s="56">
        <v>42033</v>
      </c>
      <c r="F258" s="56"/>
      <c r="G258" s="69" t="str">
        <f t="shared" ref="G258:G321" si="4">IF(V258&gt;0,IF(W258&gt;0,"Both","E-Commerce"),IF(W258=0, "ERROR","User Registration"))</f>
        <v>E-Commerce</v>
      </c>
      <c r="H258" s="69" t="s">
        <v>2366</v>
      </c>
      <c r="J258" s="69" t="s">
        <v>368</v>
      </c>
      <c r="K258" s="69" t="s">
        <v>669</v>
      </c>
      <c r="L258" s="253">
        <v>62.064934969612935</v>
      </c>
      <c r="M258" s="253">
        <v>64.983388379409135</v>
      </c>
      <c r="N258" s="253">
        <v>66.485711819353924</v>
      </c>
      <c r="O258" s="253">
        <v>69.75497454871487</v>
      </c>
      <c r="P258" s="253">
        <v>62.811937942785399</v>
      </c>
      <c r="Q258" s="253">
        <v>62.553571428571431</v>
      </c>
      <c r="R258" s="253">
        <v>68.7683615819209</v>
      </c>
      <c r="S258" s="253">
        <v>51.491228070175445</v>
      </c>
      <c r="T258" s="253"/>
      <c r="U258" s="253">
        <v>68.939393939393938</v>
      </c>
      <c r="V258" s="253">
        <v>65.963855421686745</v>
      </c>
      <c r="W258" s="253"/>
      <c r="X258" s="253"/>
      <c r="Y258" s="253">
        <v>77.837837837837839</v>
      </c>
      <c r="Z258" s="253">
        <v>59.07692307692308</v>
      </c>
      <c r="AA258" s="253"/>
      <c r="AB258" s="253"/>
      <c r="AC258" s="253"/>
      <c r="AD258" s="253"/>
      <c r="AE258" s="253"/>
    </row>
    <row r="259" spans="1:31">
      <c r="A259" s="33">
        <v>258</v>
      </c>
      <c r="B259" s="69" t="s">
        <v>368</v>
      </c>
      <c r="C259" s="69" t="s">
        <v>740</v>
      </c>
      <c r="D259" s="56">
        <v>42033</v>
      </c>
      <c r="F259" s="56"/>
      <c r="G259" s="69" t="str">
        <f t="shared" si="4"/>
        <v>E-Commerce</v>
      </c>
      <c r="H259" s="69" t="s">
        <v>2366</v>
      </c>
      <c r="J259" s="69" t="s">
        <v>368</v>
      </c>
      <c r="K259" s="151" t="s">
        <v>368</v>
      </c>
      <c r="L259" s="253">
        <v>78.831199602657236</v>
      </c>
      <c r="M259" s="253">
        <v>75.351720567834562</v>
      </c>
      <c r="N259" s="253">
        <v>68.684214544922497</v>
      </c>
      <c r="O259" s="253">
        <v>77.61816912389709</v>
      </c>
      <c r="P259" s="253">
        <v>81.135153349475388</v>
      </c>
      <c r="Q259" s="253">
        <v>64.642857142857139</v>
      </c>
      <c r="R259" s="253">
        <v>75.687325386477937</v>
      </c>
      <c r="S259" s="253">
        <v>80.921052631578945</v>
      </c>
      <c r="T259" s="253"/>
      <c r="U259" s="253">
        <v>78.363636363636374</v>
      </c>
      <c r="V259" s="253">
        <v>77.620481927710841</v>
      </c>
      <c r="W259" s="253"/>
      <c r="X259" s="253"/>
      <c r="Y259" s="253">
        <v>82.972972972972968</v>
      </c>
      <c r="Z259" s="253">
        <v>69.615384615384613</v>
      </c>
      <c r="AA259" s="253"/>
      <c r="AB259" s="253"/>
      <c r="AC259" s="253"/>
      <c r="AD259" s="253"/>
      <c r="AE259" s="253"/>
    </row>
    <row r="260" spans="1:31">
      <c r="A260" s="33">
        <v>259</v>
      </c>
      <c r="B260" s="69" t="s">
        <v>368</v>
      </c>
      <c r="C260" s="69" t="s">
        <v>740</v>
      </c>
      <c r="D260" s="56">
        <v>42033</v>
      </c>
      <c r="F260" s="56"/>
      <c r="G260" s="69" t="str">
        <f t="shared" si="4"/>
        <v>E-Commerce</v>
      </c>
      <c r="H260" s="69" t="s">
        <v>2366</v>
      </c>
      <c r="J260" s="69" t="s">
        <v>368</v>
      </c>
      <c r="K260" s="13" t="s">
        <v>554</v>
      </c>
      <c r="L260" s="253">
        <v>75.284481695329163</v>
      </c>
      <c r="M260" s="253">
        <v>69.93933973294854</v>
      </c>
      <c r="N260" s="253">
        <v>56.816388981174732</v>
      </c>
      <c r="O260" s="253">
        <v>72.480618537700451</v>
      </c>
      <c r="P260" s="253">
        <v>77.528679042238366</v>
      </c>
      <c r="Q260" s="253">
        <v>68.098214285714292</v>
      </c>
      <c r="R260" s="253">
        <v>64.024920841869985</v>
      </c>
      <c r="S260" s="253">
        <v>80.526315789473671</v>
      </c>
      <c r="T260" s="253"/>
      <c r="U260" s="253">
        <v>74.787878787878796</v>
      </c>
      <c r="V260" s="253">
        <v>73.48795180722891</v>
      </c>
      <c r="W260" s="253"/>
      <c r="X260" s="253"/>
      <c r="Y260" s="253">
        <v>76.891891891891888</v>
      </c>
      <c r="Z260" s="253">
        <v>66.307692307692307</v>
      </c>
      <c r="AA260" s="253"/>
      <c r="AB260" s="253"/>
      <c r="AC260" s="253"/>
      <c r="AD260" s="253"/>
      <c r="AE260" s="253"/>
    </row>
    <row r="261" spans="1:31">
      <c r="A261" s="33">
        <v>260</v>
      </c>
      <c r="B261" s="69" t="s">
        <v>2369</v>
      </c>
      <c r="C261" s="69" t="s">
        <v>740</v>
      </c>
      <c r="D261" s="56">
        <v>42034</v>
      </c>
      <c r="F261" s="56"/>
      <c r="G261" s="69" t="str">
        <f t="shared" si="4"/>
        <v>ERROR</v>
      </c>
      <c r="H261" s="69" t="s">
        <v>2370</v>
      </c>
      <c r="J261" s="69" t="s">
        <v>2371</v>
      </c>
      <c r="K261" s="13" t="s">
        <v>2372</v>
      </c>
      <c r="L261" s="253">
        <v>45.101236039999996</v>
      </c>
      <c r="M261" s="253">
        <v>51.613006843829787</v>
      </c>
      <c r="N261" s="253">
        <v>51.361369915714285</v>
      </c>
      <c r="O261" s="253">
        <v>35.601430687894734</v>
      </c>
      <c r="P261" s="253">
        <v>42.886206899999998</v>
      </c>
      <c r="Q261" s="253">
        <v>44.817518249999999</v>
      </c>
      <c r="R261" s="253">
        <v>53.35603557999999</v>
      </c>
      <c r="S261" s="253">
        <v>49.01606426</v>
      </c>
      <c r="T261" s="253"/>
      <c r="U261" s="253">
        <v>52.5882352</v>
      </c>
      <c r="V261" s="253"/>
      <c r="W261" s="253"/>
      <c r="X261" s="253"/>
      <c r="Y261" s="253">
        <v>20.607476640000002</v>
      </c>
      <c r="Z261" s="253">
        <v>53.961352599999998</v>
      </c>
      <c r="AA261" s="253"/>
      <c r="AB261" s="253"/>
      <c r="AC261" s="253"/>
      <c r="AD261" s="253"/>
      <c r="AE261" s="253"/>
    </row>
    <row r="262" spans="1:31">
      <c r="A262" s="33">
        <v>261</v>
      </c>
      <c r="B262" s="69" t="s">
        <v>2369</v>
      </c>
      <c r="C262" s="69" t="s">
        <v>740</v>
      </c>
      <c r="D262" s="56">
        <v>42034</v>
      </c>
      <c r="F262" s="56"/>
      <c r="G262" s="69" t="str">
        <f t="shared" si="4"/>
        <v>ERROR</v>
      </c>
      <c r="H262" s="69" t="s">
        <v>2370</v>
      </c>
      <c r="J262" s="69" t="s">
        <v>2371</v>
      </c>
      <c r="K262" s="13" t="s">
        <v>2373</v>
      </c>
      <c r="L262" s="253">
        <v>57.322082284000011</v>
      </c>
      <c r="M262" s="253">
        <v>56.241160555319148</v>
      </c>
      <c r="N262" s="253">
        <v>55.93140441571429</v>
      </c>
      <c r="O262" s="253">
        <v>44.109137704210518</v>
      </c>
      <c r="P262" s="253">
        <v>56.628448280000001</v>
      </c>
      <c r="Q262" s="253">
        <v>53.138686130000004</v>
      </c>
      <c r="R262" s="253">
        <v>55.19057239</v>
      </c>
      <c r="S262" s="253">
        <v>59.250334670000001</v>
      </c>
      <c r="T262" s="253"/>
      <c r="U262" s="253">
        <v>56.470588200000002</v>
      </c>
      <c r="V262" s="253"/>
      <c r="W262" s="253"/>
      <c r="X262" s="253"/>
      <c r="Y262" s="253">
        <v>31.482035929999995</v>
      </c>
      <c r="Z262" s="253">
        <v>60.096618300000003</v>
      </c>
      <c r="AA262" s="253"/>
      <c r="AB262" s="253"/>
      <c r="AC262" s="253"/>
      <c r="AD262" s="253"/>
      <c r="AE262" s="253"/>
    </row>
    <row r="263" spans="1:31">
      <c r="A263" s="33">
        <v>262</v>
      </c>
      <c r="B263" s="69" t="s">
        <v>2369</v>
      </c>
      <c r="C263" s="69" t="s">
        <v>740</v>
      </c>
      <c r="D263" s="56">
        <v>42034</v>
      </c>
      <c r="F263" s="56"/>
      <c r="G263" s="69" t="str">
        <f t="shared" si="4"/>
        <v>ERROR</v>
      </c>
      <c r="H263" s="69" t="s">
        <v>2370</v>
      </c>
      <c r="J263" s="69" t="s">
        <v>2371</v>
      </c>
      <c r="K263" s="13" t="s">
        <v>2371</v>
      </c>
      <c r="L263" s="253">
        <v>48.881946407999997</v>
      </c>
      <c r="M263" s="253">
        <v>51.166780777021266</v>
      </c>
      <c r="N263" s="253">
        <v>37.273266037142854</v>
      </c>
      <c r="O263" s="253">
        <v>52.434456286315786</v>
      </c>
      <c r="P263" s="253">
        <v>45.678879309999999</v>
      </c>
      <c r="Q263" s="253">
        <v>59.184914840000005</v>
      </c>
      <c r="R263" s="253">
        <v>50.863973709999996</v>
      </c>
      <c r="S263" s="253">
        <v>45.172913880000003</v>
      </c>
      <c r="T263" s="253"/>
      <c r="U263" s="253">
        <v>45.2941176</v>
      </c>
      <c r="V263" s="253"/>
      <c r="W263" s="253"/>
      <c r="X263" s="253"/>
      <c r="Y263" s="253">
        <v>48.169781929999999</v>
      </c>
      <c r="Z263" s="253">
        <v>61.694214800000005</v>
      </c>
      <c r="AA263" s="253"/>
      <c r="AB263" s="253"/>
      <c r="AC263" s="253"/>
      <c r="AD263" s="253"/>
      <c r="AE263" s="253"/>
    </row>
    <row r="264" spans="1:31">
      <c r="A264" s="33">
        <v>263</v>
      </c>
      <c r="B264" s="69" t="s">
        <v>2369</v>
      </c>
      <c r="C264" s="69" t="s">
        <v>740</v>
      </c>
      <c r="D264" s="56">
        <v>42034</v>
      </c>
      <c r="F264" s="56"/>
      <c r="G264" s="69" t="str">
        <f t="shared" si="4"/>
        <v>ERROR</v>
      </c>
      <c r="H264" s="69" t="s">
        <v>2370</v>
      </c>
      <c r="J264" s="69" t="s">
        <v>2371</v>
      </c>
      <c r="K264" s="13" t="s">
        <v>2374</v>
      </c>
      <c r="L264" s="253">
        <v>45.968994015999996</v>
      </c>
      <c r="M264" s="253">
        <v>50.18984905319148</v>
      </c>
      <c r="N264" s="253">
        <v>55.816324217142856</v>
      </c>
      <c r="O264" s="253">
        <v>40.230392437368423</v>
      </c>
      <c r="P264" s="253">
        <v>43.112068970000003</v>
      </c>
      <c r="Q264" s="253">
        <v>70.498783459999999</v>
      </c>
      <c r="R264" s="253">
        <v>46.107743030000002</v>
      </c>
      <c r="S264" s="253">
        <v>36.72021419</v>
      </c>
      <c r="T264" s="253"/>
      <c r="U264" s="253">
        <v>50.647058799999996</v>
      </c>
      <c r="V264" s="253"/>
      <c r="W264" s="253"/>
      <c r="X264" s="253"/>
      <c r="Y264" s="253">
        <v>27.79595016</v>
      </c>
      <c r="Z264" s="253">
        <v>57.396694199999999</v>
      </c>
      <c r="AA264" s="253"/>
      <c r="AB264" s="253"/>
      <c r="AC264" s="253"/>
      <c r="AD264" s="253"/>
      <c r="AE264" s="253"/>
    </row>
    <row r="265" spans="1:31">
      <c r="A265" s="33">
        <v>264</v>
      </c>
      <c r="B265" s="69" t="s">
        <v>2369</v>
      </c>
      <c r="C265" s="69" t="s">
        <v>740</v>
      </c>
      <c r="D265" s="56">
        <v>42034</v>
      </c>
      <c r="F265" s="56"/>
      <c r="G265" s="69" t="str">
        <f t="shared" si="4"/>
        <v>ERROR</v>
      </c>
      <c r="H265" s="69" t="s">
        <v>2370</v>
      </c>
      <c r="J265" s="69" t="s">
        <v>2371</v>
      </c>
      <c r="K265" s="13" t="s">
        <v>2375</v>
      </c>
      <c r="L265" s="253">
        <v>45.463943172</v>
      </c>
      <c r="M265" s="253">
        <v>56.772764839148934</v>
      </c>
      <c r="N265" s="253">
        <v>60.597766375714286</v>
      </c>
      <c r="O265" s="253">
        <v>37.299151082631582</v>
      </c>
      <c r="P265" s="253">
        <v>41.757614940000003</v>
      </c>
      <c r="Q265" s="253">
        <v>64.841849150000002</v>
      </c>
      <c r="R265" s="253">
        <v>57.671257740000001</v>
      </c>
      <c r="S265" s="253">
        <v>44.654471540000003</v>
      </c>
      <c r="T265" s="253"/>
      <c r="U265" s="253">
        <v>55.647058800000003</v>
      </c>
      <c r="V265" s="253"/>
      <c r="W265" s="253"/>
      <c r="X265" s="253"/>
      <c r="Y265" s="253">
        <v>18.239875390000002</v>
      </c>
      <c r="Z265" s="253">
        <v>60.289256099999996</v>
      </c>
      <c r="AA265" s="253"/>
      <c r="AB265" s="253"/>
      <c r="AC265" s="253"/>
      <c r="AD265" s="253"/>
      <c r="AE265" s="253"/>
    </row>
    <row r="266" spans="1:31">
      <c r="A266" s="33">
        <v>265</v>
      </c>
      <c r="B266" s="69" t="s">
        <v>2376</v>
      </c>
      <c r="C266" s="69" t="s">
        <v>740</v>
      </c>
      <c r="D266" s="56">
        <v>42034</v>
      </c>
      <c r="F266" s="56"/>
      <c r="G266" s="69" t="str">
        <f t="shared" si="4"/>
        <v>ERROR</v>
      </c>
      <c r="H266" s="69" t="s">
        <v>494</v>
      </c>
      <c r="J266" s="69" t="s">
        <v>2376</v>
      </c>
      <c r="K266" s="69" t="s">
        <v>2377</v>
      </c>
      <c r="L266" s="253">
        <v>49.514911823999995</v>
      </c>
      <c r="M266" s="253">
        <v>53.709222925957441</v>
      </c>
      <c r="N266" s="253">
        <v>38.11480477571429</v>
      </c>
      <c r="O266" s="253">
        <v>41.293485633684199</v>
      </c>
      <c r="P266" s="253">
        <v>50.484799999999993</v>
      </c>
      <c r="Q266" s="253">
        <v>60.875912409999998</v>
      </c>
      <c r="R266" s="253">
        <v>56.713860510000004</v>
      </c>
      <c r="S266" s="253">
        <v>45.718324610000003</v>
      </c>
      <c r="T266" s="253"/>
      <c r="U266" s="253">
        <v>52.231404959999992</v>
      </c>
      <c r="V266" s="253"/>
      <c r="W266" s="253"/>
      <c r="X266" s="253">
        <v>23.125</v>
      </c>
      <c r="Y266" s="253">
        <v>33.637747339999997</v>
      </c>
      <c r="Z266" s="253">
        <v>45.635359119999997</v>
      </c>
      <c r="AA266" s="253"/>
      <c r="AB266" s="253"/>
      <c r="AC266" s="253"/>
      <c r="AD266" s="253"/>
      <c r="AE266" s="253"/>
    </row>
    <row r="267" spans="1:31">
      <c r="A267" s="33">
        <v>266</v>
      </c>
      <c r="B267" s="69" t="s">
        <v>2376</v>
      </c>
      <c r="C267" s="69" t="s">
        <v>740</v>
      </c>
      <c r="D267" s="56">
        <v>42034</v>
      </c>
      <c r="F267" s="56"/>
      <c r="G267" s="69" t="str">
        <f t="shared" si="4"/>
        <v>ERROR</v>
      </c>
      <c r="H267" s="69" t="s">
        <v>494</v>
      </c>
      <c r="J267" s="69" t="s">
        <v>2376</v>
      </c>
      <c r="K267" s="69" t="s">
        <v>1669</v>
      </c>
      <c r="L267" s="253">
        <v>56.165772376</v>
      </c>
      <c r="M267" s="253">
        <v>59.494826139574471</v>
      </c>
      <c r="N267" s="253">
        <v>53.351236998571423</v>
      </c>
      <c r="O267" s="253">
        <v>57.845772658947368</v>
      </c>
      <c r="P267" s="253">
        <v>53.576000000000001</v>
      </c>
      <c r="Q267" s="253">
        <v>61.284671529999997</v>
      </c>
      <c r="R267" s="253">
        <v>58.586993730000003</v>
      </c>
      <c r="S267" s="253">
        <v>54.23076923</v>
      </c>
      <c r="T267" s="253"/>
      <c r="U267" s="253">
        <v>59.879999999999995</v>
      </c>
      <c r="V267" s="253"/>
      <c r="W267" s="253"/>
      <c r="X267" s="253">
        <v>48.75</v>
      </c>
      <c r="Y267" s="253">
        <v>53.375594290000002</v>
      </c>
      <c r="Z267" s="253">
        <v>66.524861880000003</v>
      </c>
      <c r="AA267" s="253"/>
      <c r="AB267" s="253"/>
      <c r="AC267" s="253"/>
      <c r="AD267" s="253"/>
      <c r="AE267" s="253"/>
    </row>
    <row r="268" spans="1:31">
      <c r="A268" s="33">
        <v>267</v>
      </c>
      <c r="B268" s="69" t="s">
        <v>2376</v>
      </c>
      <c r="C268" s="69" t="s">
        <v>740</v>
      </c>
      <c r="D268" s="56">
        <v>42034</v>
      </c>
      <c r="F268" s="56"/>
      <c r="G268" s="69" t="str">
        <f t="shared" si="4"/>
        <v>ERROR</v>
      </c>
      <c r="H268" s="69" t="s">
        <v>494</v>
      </c>
      <c r="J268" s="69" t="s">
        <v>2376</v>
      </c>
      <c r="K268" s="69" t="s">
        <v>2378</v>
      </c>
      <c r="L268" s="253">
        <v>43.307852948000004</v>
      </c>
      <c r="M268" s="253">
        <v>45.108112315744684</v>
      </c>
      <c r="N268" s="253">
        <v>48.627282447142854</v>
      </c>
      <c r="O268" s="253">
        <v>50.171424636842097</v>
      </c>
      <c r="P268" s="253">
        <v>47.198399999999999</v>
      </c>
      <c r="Q268" s="253">
        <v>39.831932770000002</v>
      </c>
      <c r="R268" s="253">
        <v>45.279522179999994</v>
      </c>
      <c r="S268" s="253">
        <v>45.172774869999998</v>
      </c>
      <c r="T268" s="253"/>
      <c r="U268" s="253">
        <v>56.573426570000009</v>
      </c>
      <c r="V268" s="253"/>
      <c r="W268" s="253"/>
      <c r="X268" s="253">
        <v>52.5</v>
      </c>
      <c r="Y268" s="253">
        <v>63.89649923999999</v>
      </c>
      <c r="Z268" s="253">
        <v>27.745664739999999</v>
      </c>
      <c r="AA268" s="253"/>
      <c r="AB268" s="253"/>
      <c r="AC268" s="253"/>
      <c r="AD268" s="253"/>
      <c r="AE268" s="253"/>
    </row>
    <row r="269" spans="1:31">
      <c r="A269" s="33">
        <v>268</v>
      </c>
      <c r="B269" s="69" t="s">
        <v>2376</v>
      </c>
      <c r="C269" s="69" t="s">
        <v>740</v>
      </c>
      <c r="D269" s="56">
        <v>42034</v>
      </c>
      <c r="F269" s="56"/>
      <c r="G269" s="69" t="str">
        <f t="shared" si="4"/>
        <v>ERROR</v>
      </c>
      <c r="H269" s="69" t="s">
        <v>494</v>
      </c>
      <c r="J269" s="69" t="s">
        <v>2376</v>
      </c>
      <c r="K269" s="69" t="s">
        <v>2376</v>
      </c>
      <c r="L269" s="253">
        <v>52.425158116000006</v>
      </c>
      <c r="M269" s="253">
        <v>52.886542178723403</v>
      </c>
      <c r="N269" s="253">
        <v>52.046083291428566</v>
      </c>
      <c r="O269" s="253">
        <v>40.888763762631584</v>
      </c>
      <c r="P269" s="253">
        <v>53.383657589999999</v>
      </c>
      <c r="Q269" s="253">
        <v>57.291970800000001</v>
      </c>
      <c r="R269" s="253">
        <v>56.015306119999998</v>
      </c>
      <c r="S269" s="253">
        <v>49.539634149999998</v>
      </c>
      <c r="T269" s="253"/>
      <c r="U269" s="253">
        <v>48.141592919999994</v>
      </c>
      <c r="V269" s="253"/>
      <c r="W269" s="253"/>
      <c r="X269" s="253">
        <v>48.75</v>
      </c>
      <c r="Y269" s="253">
        <v>31.506849320000001</v>
      </c>
      <c r="Z269" s="253">
        <v>48.591160219999999</v>
      </c>
      <c r="AA269" s="253"/>
      <c r="AB269" s="253"/>
      <c r="AC269" s="253"/>
      <c r="AD269" s="253"/>
      <c r="AE269" s="253"/>
    </row>
    <row r="270" spans="1:31">
      <c r="A270" s="33">
        <v>269</v>
      </c>
      <c r="B270" s="69" t="s">
        <v>2376</v>
      </c>
      <c r="C270" s="69" t="s">
        <v>740</v>
      </c>
      <c r="D270" s="56">
        <v>42034</v>
      </c>
      <c r="F270" s="56"/>
      <c r="G270" s="69" t="str">
        <f t="shared" si="4"/>
        <v>ERROR</v>
      </c>
      <c r="H270" s="69" t="s">
        <v>494</v>
      </c>
      <c r="J270" s="69" t="s">
        <v>2376</v>
      </c>
      <c r="K270" s="69" t="s">
        <v>2379</v>
      </c>
      <c r="L270" s="253">
        <v>58.339447514</v>
      </c>
      <c r="M270" s="253">
        <v>61.517249937234041</v>
      </c>
      <c r="N270" s="253">
        <v>52.533991254285716</v>
      </c>
      <c r="O270" s="253">
        <v>46.686990050000006</v>
      </c>
      <c r="P270" s="253">
        <v>57.8</v>
      </c>
      <c r="Q270" s="253">
        <v>68.321167880000004</v>
      </c>
      <c r="R270" s="253">
        <v>62.958385449999994</v>
      </c>
      <c r="S270" s="253">
        <v>54.554973819999994</v>
      </c>
      <c r="T270" s="253"/>
      <c r="U270" s="253">
        <v>59.24</v>
      </c>
      <c r="V270" s="253"/>
      <c r="W270" s="253"/>
      <c r="X270" s="253">
        <v>43.375</v>
      </c>
      <c r="Y270" s="253">
        <v>33.577371050000004</v>
      </c>
      <c r="Z270" s="253">
        <v>60.497237570000003</v>
      </c>
      <c r="AA270" s="253"/>
      <c r="AB270" s="253"/>
      <c r="AC270" s="253"/>
      <c r="AD270" s="253"/>
      <c r="AE270" s="253"/>
    </row>
    <row r="271" spans="1:31">
      <c r="A271" s="33">
        <v>270</v>
      </c>
      <c r="B271" s="69" t="s">
        <v>2365</v>
      </c>
      <c r="C271" s="69" t="s">
        <v>740</v>
      </c>
      <c r="D271" s="56">
        <v>42035</v>
      </c>
      <c r="F271" s="56"/>
      <c r="G271" s="69" t="str">
        <f t="shared" si="4"/>
        <v>E-Commerce</v>
      </c>
      <c r="H271" s="69" t="s">
        <v>2366</v>
      </c>
      <c r="J271" s="13" t="s">
        <v>2367</v>
      </c>
      <c r="K271" s="13" t="s">
        <v>2367</v>
      </c>
      <c r="L271" s="253">
        <v>63.779278944999994</v>
      </c>
      <c r="M271" s="253">
        <v>57.412950732543855</v>
      </c>
      <c r="N271" s="253">
        <v>60.508022569999994</v>
      </c>
      <c r="O271" s="253">
        <v>66.625908823684213</v>
      </c>
      <c r="P271" s="253">
        <v>61.779452054999993</v>
      </c>
      <c r="Q271" s="253">
        <v>62.957641245000005</v>
      </c>
      <c r="R271" s="253">
        <v>52.02417110999999</v>
      </c>
      <c r="S271" s="253">
        <v>61.614973260000006</v>
      </c>
      <c r="T271" s="253"/>
      <c r="U271" s="253">
        <v>55.422330099999996</v>
      </c>
      <c r="V271" s="253">
        <v>57.150284900000003</v>
      </c>
      <c r="W271" s="253"/>
      <c r="X271" s="253"/>
      <c r="Y271" s="253">
        <v>67.837837840000006</v>
      </c>
      <c r="Z271" s="253">
        <v>71.778586504999993</v>
      </c>
      <c r="AA271" s="253"/>
      <c r="AB271" s="253"/>
      <c r="AC271" s="253"/>
      <c r="AD271" s="253"/>
      <c r="AE271" s="253"/>
    </row>
    <row r="272" spans="1:31">
      <c r="A272" s="33">
        <v>271</v>
      </c>
      <c r="B272" s="69" t="s">
        <v>2365</v>
      </c>
      <c r="C272" s="69" t="s">
        <v>740</v>
      </c>
      <c r="D272" s="56">
        <v>42035</v>
      </c>
      <c r="F272" s="56"/>
      <c r="G272" s="69" t="str">
        <f t="shared" si="4"/>
        <v>E-Commerce</v>
      </c>
      <c r="H272" s="69" t="s">
        <v>2366</v>
      </c>
      <c r="J272" s="13" t="s">
        <v>2367</v>
      </c>
      <c r="K272" s="280" t="s">
        <v>1433</v>
      </c>
      <c r="L272" s="253">
        <v>66.500701805999995</v>
      </c>
      <c r="M272" s="253">
        <v>62.613905241929821</v>
      </c>
      <c r="N272" s="253">
        <v>64.216630670000001</v>
      </c>
      <c r="O272" s="253">
        <v>66.809503006315794</v>
      </c>
      <c r="P272" s="253">
        <v>66.280371639999998</v>
      </c>
      <c r="Q272" s="253">
        <v>62.116788320000005</v>
      </c>
      <c r="R272" s="253">
        <v>60.114872540000007</v>
      </c>
      <c r="S272" s="253">
        <v>71.405689319999993</v>
      </c>
      <c r="T272" s="253"/>
      <c r="U272" s="253">
        <v>59.140776699999996</v>
      </c>
      <c r="V272" s="253">
        <v>63.724240279999997</v>
      </c>
      <c r="W272" s="253"/>
      <c r="X272" s="253"/>
      <c r="Y272" s="253">
        <v>67.871822205000001</v>
      </c>
      <c r="Z272" s="253">
        <v>67.382022469999995</v>
      </c>
      <c r="AA272" s="253"/>
      <c r="AB272" s="253"/>
      <c r="AC272" s="253"/>
      <c r="AD272" s="253"/>
      <c r="AE272" s="253"/>
    </row>
    <row r="273" spans="1:31">
      <c r="A273" s="33">
        <v>272</v>
      </c>
      <c r="B273" s="69" t="s">
        <v>2365</v>
      </c>
      <c r="C273" s="69" t="s">
        <v>740</v>
      </c>
      <c r="D273" s="56">
        <v>42035</v>
      </c>
      <c r="F273" s="56"/>
      <c r="G273" s="69" t="str">
        <f t="shared" si="4"/>
        <v>E-Commerce</v>
      </c>
      <c r="H273" s="69" t="s">
        <v>2366</v>
      </c>
      <c r="J273" s="13" t="s">
        <v>2367</v>
      </c>
      <c r="K273" s="13" t="s">
        <v>1432</v>
      </c>
      <c r="L273" s="253">
        <v>65.097193172000004</v>
      </c>
      <c r="M273" s="253">
        <v>63.014188573333328</v>
      </c>
      <c r="N273" s="253">
        <v>60.383474579999998</v>
      </c>
      <c r="O273" s="253">
        <v>63.745894238947351</v>
      </c>
      <c r="P273" s="253">
        <v>64.784474889999998</v>
      </c>
      <c r="Q273" s="253">
        <v>73.430656929999998</v>
      </c>
      <c r="R273" s="253">
        <v>58.939728680000002</v>
      </c>
      <c r="S273" s="253">
        <v>67.250673849999998</v>
      </c>
      <c r="T273" s="253"/>
      <c r="U273" s="253">
        <v>64.631067959999996</v>
      </c>
      <c r="V273" s="253">
        <v>59.087517929999997</v>
      </c>
      <c r="W273" s="253"/>
      <c r="X273" s="253"/>
      <c r="Y273" s="253">
        <v>62.08708708999999</v>
      </c>
      <c r="Z273" s="253">
        <v>66.348066299999999</v>
      </c>
      <c r="AA273" s="253"/>
      <c r="AB273" s="253"/>
      <c r="AC273" s="253"/>
      <c r="AD273" s="253"/>
      <c r="AE273" s="253"/>
    </row>
    <row r="274" spans="1:31">
      <c r="A274" s="33">
        <v>273</v>
      </c>
      <c r="B274" s="69" t="s">
        <v>2365</v>
      </c>
      <c r="C274" s="69" t="s">
        <v>740</v>
      </c>
      <c r="D274" s="56">
        <v>42035</v>
      </c>
      <c r="F274" s="56"/>
      <c r="G274" s="69" t="str">
        <f t="shared" si="4"/>
        <v>E-Commerce</v>
      </c>
      <c r="H274" s="69" t="s">
        <v>2366</v>
      </c>
      <c r="J274" s="13" t="s">
        <v>2367</v>
      </c>
      <c r="K274" s="13" t="s">
        <v>2368</v>
      </c>
      <c r="L274" s="253">
        <v>61.720284569999997</v>
      </c>
      <c r="M274" s="253">
        <v>65.02332333350877</v>
      </c>
      <c r="N274" s="253">
        <v>67.333898309999995</v>
      </c>
      <c r="O274" s="253">
        <v>71.378186232631577</v>
      </c>
      <c r="P274" s="253">
        <v>60.690410959999994</v>
      </c>
      <c r="Q274" s="253">
        <v>59.9270073</v>
      </c>
      <c r="R274" s="253">
        <v>66.142208879999998</v>
      </c>
      <c r="S274" s="253">
        <v>71.336779910000004</v>
      </c>
      <c r="T274" s="253"/>
      <c r="U274" s="253">
        <v>63.125</v>
      </c>
      <c r="V274" s="253">
        <v>63.54536341</v>
      </c>
      <c r="W274" s="253"/>
      <c r="X274" s="253"/>
      <c r="Y274" s="253">
        <v>76.343843840000005</v>
      </c>
      <c r="Z274" s="253">
        <v>65.839779010000001</v>
      </c>
      <c r="AA274" s="253"/>
      <c r="AB274" s="253"/>
      <c r="AC274" s="253"/>
      <c r="AD274" s="253"/>
      <c r="AE274" s="253"/>
    </row>
    <row r="275" spans="1:31">
      <c r="A275" s="33">
        <v>274</v>
      </c>
      <c r="B275" s="69" t="s">
        <v>2365</v>
      </c>
      <c r="C275" s="69" t="s">
        <v>740</v>
      </c>
      <c r="D275" s="56">
        <v>42035</v>
      </c>
      <c r="F275" s="56"/>
      <c r="G275" s="69" t="str">
        <f t="shared" si="4"/>
        <v>E-Commerce</v>
      </c>
      <c r="H275" s="69" t="s">
        <v>2366</v>
      </c>
      <c r="J275" s="13" t="s">
        <v>2367</v>
      </c>
      <c r="K275" s="13" t="s">
        <v>368</v>
      </c>
      <c r="L275" s="253">
        <v>69.613548271999989</v>
      </c>
      <c r="M275" s="253">
        <v>69.961549275087705</v>
      </c>
      <c r="N275" s="253">
        <v>63.58474575999999</v>
      </c>
      <c r="O275" s="253">
        <v>74.681987388421049</v>
      </c>
      <c r="P275" s="253">
        <v>69.400913239999994</v>
      </c>
      <c r="Q275" s="253">
        <v>74.087591239999995</v>
      </c>
      <c r="R275" s="253">
        <v>63.538537549999994</v>
      </c>
      <c r="S275" s="253">
        <v>72.037537540000002</v>
      </c>
      <c r="T275" s="253"/>
      <c r="U275" s="253">
        <v>75.223300969999997</v>
      </c>
      <c r="V275" s="253">
        <v>73.573333329999997</v>
      </c>
      <c r="W275" s="253"/>
      <c r="X275" s="253"/>
      <c r="Y275" s="253">
        <v>79.343511449999994</v>
      </c>
      <c r="Z275" s="253">
        <v>70.464088399999994</v>
      </c>
      <c r="AA275" s="253"/>
      <c r="AB275" s="253"/>
      <c r="AC275" s="253"/>
      <c r="AD275" s="253"/>
      <c r="AE275" s="253"/>
    </row>
    <row r="276" spans="1:31">
      <c r="A276" s="33">
        <v>275</v>
      </c>
      <c r="B276" s="69" t="s">
        <v>1912</v>
      </c>
      <c r="C276" s="69" t="s">
        <v>1639</v>
      </c>
      <c r="D276" s="56">
        <v>42036</v>
      </c>
      <c r="F276" s="56"/>
      <c r="G276" s="69" t="str">
        <f t="shared" si="4"/>
        <v>E-Commerce</v>
      </c>
      <c r="H276" s="69" t="s">
        <v>2360</v>
      </c>
      <c r="J276" s="69" t="s">
        <v>1912</v>
      </c>
      <c r="K276" s="89" t="s">
        <v>2361</v>
      </c>
      <c r="L276" s="253">
        <v>56.826597662321262</v>
      </c>
      <c r="M276" s="253">
        <v>48.870887977726433</v>
      </c>
      <c r="N276" s="253">
        <v>44.8627123999105</v>
      </c>
      <c r="O276" s="253">
        <v>40.649370648994335</v>
      </c>
      <c r="P276" s="253">
        <v>55.090939385593884</v>
      </c>
      <c r="Q276" s="253">
        <v>53.232142857142861</v>
      </c>
      <c r="R276" s="253">
        <v>48.900034104120479</v>
      </c>
      <c r="S276" s="253">
        <v>52.459677419354833</v>
      </c>
      <c r="T276" s="253"/>
      <c r="U276" s="253">
        <v>39.464285714285715</v>
      </c>
      <c r="V276" s="253">
        <v>46</v>
      </c>
      <c r="W276" s="253"/>
      <c r="X276" s="253">
        <v>38</v>
      </c>
      <c r="Y276" s="253">
        <v>25</v>
      </c>
      <c r="Z276" s="253">
        <v>63.769230769230766</v>
      </c>
      <c r="AA276" s="253"/>
      <c r="AB276" s="253"/>
      <c r="AC276" s="253"/>
      <c r="AD276" s="253"/>
      <c r="AE276" s="253"/>
    </row>
    <row r="277" spans="1:31">
      <c r="A277" s="33">
        <v>276</v>
      </c>
      <c r="B277" s="69" t="s">
        <v>1912</v>
      </c>
      <c r="C277" s="69" t="s">
        <v>1639</v>
      </c>
      <c r="D277" s="56">
        <v>42036</v>
      </c>
      <c r="F277" s="56"/>
      <c r="G277" s="69" t="str">
        <f t="shared" si="4"/>
        <v>E-Commerce</v>
      </c>
      <c r="H277" s="69" t="s">
        <v>2360</v>
      </c>
      <c r="J277" s="69" t="s">
        <v>1912</v>
      </c>
      <c r="K277" s="89" t="s">
        <v>2362</v>
      </c>
      <c r="L277" s="253">
        <v>51.806983472971091</v>
      </c>
      <c r="M277" s="253">
        <v>51.434184866288319</v>
      </c>
      <c r="N277" s="253">
        <v>46.747105970766782</v>
      </c>
      <c r="O277" s="253">
        <v>58.390701731667349</v>
      </c>
      <c r="P277" s="253">
        <v>49.085652418136938</v>
      </c>
      <c r="Q277" s="253">
        <v>63.353124999999999</v>
      </c>
      <c r="R277" s="253">
        <v>48.758018242302541</v>
      </c>
      <c r="S277" s="253">
        <v>55.362903225806448</v>
      </c>
      <c r="T277" s="253"/>
      <c r="U277" s="253">
        <v>46.607142857142854</v>
      </c>
      <c r="V277" s="253">
        <v>46.475903614457827</v>
      </c>
      <c r="W277" s="253"/>
      <c r="X277" s="253">
        <v>50</v>
      </c>
      <c r="Y277" s="253">
        <v>57.972972972972968</v>
      </c>
      <c r="Z277" s="253">
        <v>62.692307692307693</v>
      </c>
      <c r="AA277" s="253"/>
      <c r="AB277" s="253"/>
      <c r="AC277" s="253"/>
      <c r="AD277" s="253"/>
      <c r="AE277" s="253"/>
    </row>
    <row r="278" spans="1:31">
      <c r="A278" s="33">
        <v>277</v>
      </c>
      <c r="B278" s="69" t="s">
        <v>1912</v>
      </c>
      <c r="C278" s="69" t="s">
        <v>1639</v>
      </c>
      <c r="D278" s="56">
        <v>42036</v>
      </c>
      <c r="F278" s="56"/>
      <c r="G278" s="69" t="str">
        <f t="shared" si="4"/>
        <v>E-Commerce</v>
      </c>
      <c r="H278" s="69" t="s">
        <v>2360</v>
      </c>
      <c r="J278" s="69" t="s">
        <v>1912</v>
      </c>
      <c r="K278" s="89" t="s">
        <v>2363</v>
      </c>
      <c r="L278" s="253">
        <v>66.819482212702553</v>
      </c>
      <c r="M278" s="253">
        <v>63.781153801043807</v>
      </c>
      <c r="N278" s="253">
        <v>61.320485867635007</v>
      </c>
      <c r="O278" s="253">
        <v>58.253315837179542</v>
      </c>
      <c r="P278" s="253">
        <v>64.851275842801272</v>
      </c>
      <c r="Q278" s="253">
        <v>50.775510204081641</v>
      </c>
      <c r="R278" s="253">
        <v>69.356851447335373</v>
      </c>
      <c r="S278" s="253">
        <v>65.483870967741936</v>
      </c>
      <c r="T278" s="253"/>
      <c r="U278" s="253">
        <v>54.821428571428577</v>
      </c>
      <c r="V278" s="253">
        <v>62.915662650602407</v>
      </c>
      <c r="W278" s="253"/>
      <c r="X278" s="253">
        <v>66</v>
      </c>
      <c r="Y278" s="253">
        <v>47.837837837837839</v>
      </c>
      <c r="Z278" s="253">
        <v>74.692307692307693</v>
      </c>
      <c r="AA278" s="253"/>
      <c r="AB278" s="253"/>
      <c r="AC278" s="253"/>
      <c r="AD278" s="253"/>
      <c r="AE278" s="253"/>
    </row>
    <row r="279" spans="1:31">
      <c r="A279" s="33">
        <v>278</v>
      </c>
      <c r="B279" s="69" t="s">
        <v>1912</v>
      </c>
      <c r="C279" s="69" t="s">
        <v>1639</v>
      </c>
      <c r="D279" s="56">
        <v>42036</v>
      </c>
      <c r="F279" s="56"/>
      <c r="G279" s="69" t="str">
        <f t="shared" si="4"/>
        <v>E-Commerce</v>
      </c>
      <c r="H279" s="69" t="s">
        <v>2360</v>
      </c>
      <c r="J279" s="69" t="s">
        <v>1912</v>
      </c>
      <c r="K279" s="69" t="s">
        <v>1912</v>
      </c>
      <c r="L279" s="253">
        <v>64.803435148000005</v>
      </c>
      <c r="M279" s="253">
        <v>57.361896083157902</v>
      </c>
      <c r="N279" s="253">
        <v>58.214784806279063</v>
      </c>
      <c r="O279" s="253">
        <v>49.955009049473681</v>
      </c>
      <c r="P279" s="253">
        <v>64.252949849999993</v>
      </c>
      <c r="Q279" s="253">
        <v>56.075425789999997</v>
      </c>
      <c r="R279" s="253">
        <v>59.276373149999991</v>
      </c>
      <c r="S279" s="253">
        <v>63.044690449999997</v>
      </c>
      <c r="T279" s="253"/>
      <c r="U279" s="253">
        <v>47.967741940000003</v>
      </c>
      <c r="V279" s="253">
        <v>55.467561519999997</v>
      </c>
      <c r="W279" s="253"/>
      <c r="X279" s="253">
        <v>63</v>
      </c>
      <c r="Y279" s="253">
        <v>37.644542770000001</v>
      </c>
      <c r="Z279" s="253">
        <v>67.005376339999998</v>
      </c>
      <c r="AA279" s="253"/>
      <c r="AB279" s="253"/>
      <c r="AC279" s="253"/>
      <c r="AD279" s="253"/>
      <c r="AE279" s="253"/>
    </row>
    <row r="280" spans="1:31">
      <c r="A280" s="33">
        <v>279</v>
      </c>
      <c r="B280" s="69" t="s">
        <v>1912</v>
      </c>
      <c r="C280" s="69" t="s">
        <v>1639</v>
      </c>
      <c r="D280" s="56">
        <v>42036</v>
      </c>
      <c r="F280" s="56"/>
      <c r="G280" s="69" t="str">
        <f t="shared" si="4"/>
        <v>E-Commerce</v>
      </c>
      <c r="H280" s="69" t="s">
        <v>2360</v>
      </c>
      <c r="J280" s="69" t="s">
        <v>1912</v>
      </c>
      <c r="K280" s="69" t="s">
        <v>2364</v>
      </c>
      <c r="L280" s="253">
        <v>70.797404855031971</v>
      </c>
      <c r="M280" s="253">
        <v>65.386261127096802</v>
      </c>
      <c r="N280" s="253">
        <v>65.231009453505237</v>
      </c>
      <c r="O280" s="253">
        <v>71.572980562846382</v>
      </c>
      <c r="P280" s="253">
        <v>68.862140684174577</v>
      </c>
      <c r="Q280" s="253">
        <v>68.982142857142861</v>
      </c>
      <c r="R280" s="253">
        <v>63.419516401870709</v>
      </c>
      <c r="S280" s="253">
        <v>65.967741935483872</v>
      </c>
      <c r="T280" s="253"/>
      <c r="U280" s="253">
        <v>62.749999999999993</v>
      </c>
      <c r="V280" s="253">
        <v>62.873493975903614</v>
      </c>
      <c r="W280" s="253"/>
      <c r="X280" s="253">
        <v>75</v>
      </c>
      <c r="Y280" s="253">
        <v>70.540540540540533</v>
      </c>
      <c r="Z280" s="253">
        <v>78.538461538461533</v>
      </c>
      <c r="AA280" s="253"/>
      <c r="AB280" s="253"/>
      <c r="AC280" s="253"/>
      <c r="AD280" s="253"/>
      <c r="AE280" s="253"/>
    </row>
    <row r="281" spans="1:31">
      <c r="A281" s="33">
        <v>280</v>
      </c>
      <c r="B281" s="69" t="s">
        <v>2345</v>
      </c>
      <c r="C281" s="69" t="s">
        <v>740</v>
      </c>
      <c r="D281" s="56">
        <v>42038</v>
      </c>
      <c r="E281" s="266"/>
      <c r="F281" s="56"/>
      <c r="G281" s="69" t="str">
        <f t="shared" si="4"/>
        <v>User Registration</v>
      </c>
      <c r="H281" s="69" t="s">
        <v>922</v>
      </c>
      <c r="J281" s="69" t="s">
        <v>2346</v>
      </c>
      <c r="K281" s="278" t="s">
        <v>2347</v>
      </c>
      <c r="L281" s="253">
        <v>55.03805667999999</v>
      </c>
      <c r="M281" s="253">
        <v>63.054577980851064</v>
      </c>
      <c r="N281" s="253">
        <v>53.121972736896552</v>
      </c>
      <c r="O281" s="253">
        <v>55.448172084736832</v>
      </c>
      <c r="P281" s="253">
        <v>55.03805667999999</v>
      </c>
      <c r="Q281" s="253">
        <v>72.627737229999994</v>
      </c>
      <c r="R281" s="253">
        <v>63.775666279999996</v>
      </c>
      <c r="S281" s="253">
        <v>56.182522120000002</v>
      </c>
      <c r="T281" s="253"/>
      <c r="U281" s="253">
        <v>64</v>
      </c>
      <c r="V281" s="253"/>
      <c r="W281" s="253">
        <v>46.999999999999993</v>
      </c>
      <c r="X281" s="253"/>
      <c r="Y281" s="253">
        <v>52.196339430000002</v>
      </c>
      <c r="Z281" s="253">
        <v>55.03805667999999</v>
      </c>
      <c r="AA281" s="253"/>
      <c r="AB281" s="253"/>
      <c r="AC281" s="253"/>
      <c r="AD281" s="253"/>
      <c r="AE281" s="253"/>
    </row>
    <row r="282" spans="1:31">
      <c r="A282" s="33">
        <v>281</v>
      </c>
      <c r="B282" s="195" t="s">
        <v>2348</v>
      </c>
      <c r="C282" s="69" t="s">
        <v>740</v>
      </c>
      <c r="D282" s="56">
        <v>42038</v>
      </c>
      <c r="E282" s="266"/>
      <c r="F282" s="56"/>
      <c r="G282" s="69" t="str">
        <f t="shared" si="4"/>
        <v>User Registration</v>
      </c>
      <c r="H282" s="69" t="s">
        <v>922</v>
      </c>
      <c r="J282" s="195" t="s">
        <v>2348</v>
      </c>
      <c r="K282" s="279" t="s">
        <v>2039</v>
      </c>
      <c r="L282" s="253">
        <v>71.038600374000012</v>
      </c>
      <c r="M282" s="253">
        <v>71.755803235531914</v>
      </c>
      <c r="N282" s="253">
        <v>65.76866684793103</v>
      </c>
      <c r="O282" s="253">
        <v>70.936608377368415</v>
      </c>
      <c r="P282" s="253">
        <v>74.192913390000001</v>
      </c>
      <c r="Q282" s="253">
        <v>69.763779529999994</v>
      </c>
      <c r="R282" s="253">
        <v>73</v>
      </c>
      <c r="S282" s="253">
        <v>73.638888890000004</v>
      </c>
      <c r="T282" s="253"/>
      <c r="U282" s="253">
        <v>76</v>
      </c>
      <c r="V282" s="253"/>
      <c r="W282" s="253">
        <v>63</v>
      </c>
      <c r="X282" s="253"/>
      <c r="Y282" s="253">
        <v>76.628614920000004</v>
      </c>
      <c r="Z282" s="253">
        <v>58.421348309999999</v>
      </c>
      <c r="AA282" s="253"/>
      <c r="AB282" s="253"/>
      <c r="AC282" s="253"/>
      <c r="AD282" s="253"/>
      <c r="AE282" s="253"/>
    </row>
    <row r="283" spans="1:31">
      <c r="A283" s="33">
        <v>282</v>
      </c>
      <c r="B283" s="69" t="s">
        <v>2348</v>
      </c>
      <c r="C283" s="69" t="s">
        <v>740</v>
      </c>
      <c r="D283" s="56">
        <v>42038</v>
      </c>
      <c r="G283" s="69" t="str">
        <f t="shared" si="4"/>
        <v>User Registration</v>
      </c>
      <c r="H283" s="69" t="s">
        <v>922</v>
      </c>
      <c r="J283" s="69" t="s">
        <v>2348</v>
      </c>
      <c r="K283" s="69" t="s">
        <v>2349</v>
      </c>
      <c r="L283" s="253">
        <v>59.783622048000005</v>
      </c>
      <c r="M283" s="253">
        <v>66.522047977446803</v>
      </c>
      <c r="N283" s="253">
        <v>62.334509910000001</v>
      </c>
      <c r="O283" s="253">
        <v>66.438791546842097</v>
      </c>
      <c r="P283" s="253">
        <v>63.479527560000001</v>
      </c>
      <c r="Q283" s="253">
        <v>64.566929130000005</v>
      </c>
      <c r="R283" s="253">
        <v>69</v>
      </c>
      <c r="S283" s="253">
        <v>65.689113359999993</v>
      </c>
      <c r="T283" s="253"/>
      <c r="U283" s="253">
        <v>74</v>
      </c>
      <c r="V283" s="253"/>
      <c r="W283" s="253">
        <v>60</v>
      </c>
      <c r="X283" s="253"/>
      <c r="Y283" s="253">
        <v>76.90809969</v>
      </c>
      <c r="Z283" s="253">
        <v>45</v>
      </c>
      <c r="AA283" s="253"/>
      <c r="AB283" s="253"/>
      <c r="AC283" s="253"/>
      <c r="AD283" s="253"/>
      <c r="AE283" s="253"/>
    </row>
    <row r="284" spans="1:31">
      <c r="A284" s="33">
        <v>283</v>
      </c>
      <c r="B284" s="69" t="s">
        <v>2345</v>
      </c>
      <c r="C284" s="69" t="s">
        <v>740</v>
      </c>
      <c r="D284" s="56">
        <v>42038</v>
      </c>
      <c r="G284" s="69" t="str">
        <f t="shared" si="4"/>
        <v>User Registration</v>
      </c>
      <c r="H284" s="69" t="s">
        <v>922</v>
      </c>
      <c r="J284" s="69" t="s">
        <v>2346</v>
      </c>
      <c r="K284" s="69" t="s">
        <v>2350</v>
      </c>
      <c r="L284" s="253">
        <v>66.112941180000007</v>
      </c>
      <c r="M284" s="253">
        <v>60.633030515744686</v>
      </c>
      <c r="N284" s="253">
        <v>43.213738817931038</v>
      </c>
      <c r="O284" s="253">
        <v>57.141690125789466</v>
      </c>
      <c r="P284" s="253">
        <v>66.112941180000007</v>
      </c>
      <c r="Q284" s="253">
        <v>64.452554739999997</v>
      </c>
      <c r="R284" s="253">
        <v>59.973460249999995</v>
      </c>
      <c r="S284" s="253">
        <v>57.167199150000002</v>
      </c>
      <c r="T284" s="253"/>
      <c r="U284" s="253">
        <v>58.999999999999993</v>
      </c>
      <c r="V284" s="253"/>
      <c r="W284" s="253">
        <v>35</v>
      </c>
      <c r="X284" s="253"/>
      <c r="Y284" s="253">
        <v>51.356073209999998</v>
      </c>
      <c r="Z284" s="253">
        <v>66.112941180000007</v>
      </c>
      <c r="AA284" s="253"/>
      <c r="AB284" s="253"/>
      <c r="AC284" s="253"/>
      <c r="AD284" s="253"/>
      <c r="AE284" s="253"/>
    </row>
    <row r="285" spans="1:31">
      <c r="A285" s="33">
        <v>284</v>
      </c>
      <c r="B285" s="69" t="s">
        <v>2345</v>
      </c>
      <c r="C285" s="69" t="s">
        <v>740</v>
      </c>
      <c r="D285" s="56">
        <v>42038</v>
      </c>
      <c r="G285" s="69" t="str">
        <f t="shared" si="4"/>
        <v>User Registration</v>
      </c>
      <c r="H285" s="69" t="s">
        <v>922</v>
      </c>
      <c r="J285" s="69" t="s">
        <v>2346</v>
      </c>
      <c r="K285" s="69" t="s">
        <v>2346</v>
      </c>
      <c r="L285" s="253">
        <v>58.842857140000007</v>
      </c>
      <c r="M285" s="253">
        <v>57.073357737872328</v>
      </c>
      <c r="N285" s="253">
        <v>48.979712559655169</v>
      </c>
      <c r="O285" s="253">
        <v>50.080591547894734</v>
      </c>
      <c r="P285" s="253">
        <v>58.842857140000007</v>
      </c>
      <c r="Q285" s="253">
        <v>63.28467152999999</v>
      </c>
      <c r="R285" s="253">
        <v>58.426274939999999</v>
      </c>
      <c r="S285" s="253">
        <v>55</v>
      </c>
      <c r="T285" s="253"/>
      <c r="U285" s="253">
        <v>51</v>
      </c>
      <c r="V285" s="253"/>
      <c r="W285" s="253">
        <v>44</v>
      </c>
      <c r="X285" s="253"/>
      <c r="Y285" s="253">
        <v>42.217973229999998</v>
      </c>
      <c r="Z285" s="253">
        <v>58.842857140000007</v>
      </c>
      <c r="AA285" s="253"/>
      <c r="AB285" s="253"/>
      <c r="AC285" s="253"/>
      <c r="AD285" s="253"/>
      <c r="AE285" s="253"/>
    </row>
    <row r="286" spans="1:31">
      <c r="A286" s="33">
        <v>285</v>
      </c>
      <c r="B286" s="69" t="s">
        <v>2348</v>
      </c>
      <c r="C286" s="69" t="s">
        <v>740</v>
      </c>
      <c r="D286" s="56">
        <v>42038</v>
      </c>
      <c r="G286" s="69" t="str">
        <f t="shared" si="4"/>
        <v>User Registration</v>
      </c>
      <c r="H286" s="69" t="s">
        <v>922</v>
      </c>
      <c r="J286" s="69" t="s">
        <v>2348</v>
      </c>
      <c r="K286" s="69" t="s">
        <v>2348</v>
      </c>
      <c r="L286" s="253">
        <v>64.643428568000004</v>
      </c>
      <c r="M286" s="253">
        <v>58.409193893191478</v>
      </c>
      <c r="N286" s="253">
        <v>41.953957505172411</v>
      </c>
      <c r="O286" s="253">
        <v>62.57755220263158</v>
      </c>
      <c r="P286" s="253">
        <v>65.554285710000002</v>
      </c>
      <c r="Q286" s="253">
        <v>62.773722630000002</v>
      </c>
      <c r="R286" s="253">
        <v>60.279488859999994</v>
      </c>
      <c r="S286" s="253">
        <v>53</v>
      </c>
      <c r="T286" s="253"/>
      <c r="U286" s="253">
        <v>54</v>
      </c>
      <c r="V286" s="253"/>
      <c r="W286" s="253">
        <v>33.333333330000002</v>
      </c>
      <c r="X286" s="253"/>
      <c r="Y286" s="253">
        <v>64.764079150000001</v>
      </c>
      <c r="Z286" s="253">
        <v>61</v>
      </c>
      <c r="AA286" s="253"/>
      <c r="AB286" s="253"/>
      <c r="AC286" s="253"/>
      <c r="AD286" s="253"/>
      <c r="AE286" s="253"/>
    </row>
    <row r="287" spans="1:31">
      <c r="A287" s="33">
        <v>286</v>
      </c>
      <c r="B287" s="69" t="s">
        <v>2348</v>
      </c>
      <c r="C287" s="69" t="s">
        <v>740</v>
      </c>
      <c r="D287" s="56">
        <v>42038</v>
      </c>
      <c r="G287" s="69" t="str">
        <f t="shared" si="4"/>
        <v>User Registration</v>
      </c>
      <c r="H287" s="69" t="s">
        <v>922</v>
      </c>
      <c r="J287" s="69" t="s">
        <v>2348</v>
      </c>
      <c r="K287" s="69" t="s">
        <v>2351</v>
      </c>
      <c r="L287" s="253">
        <v>66.722592884000008</v>
      </c>
      <c r="M287" s="253">
        <v>57.256881700851068</v>
      </c>
      <c r="N287" s="253">
        <v>52.763593905862074</v>
      </c>
      <c r="O287" s="253">
        <v>65.182038057894744</v>
      </c>
      <c r="P287" s="253">
        <v>67.450202430000004</v>
      </c>
      <c r="Q287" s="253">
        <v>62.700729929999994</v>
      </c>
      <c r="R287" s="253">
        <v>57.007005580000005</v>
      </c>
      <c r="S287" s="253">
        <v>62.774532709999995</v>
      </c>
      <c r="T287" s="253"/>
      <c r="U287" s="253">
        <v>47.902097900000001</v>
      </c>
      <c r="V287" s="253"/>
      <c r="W287" s="253">
        <v>50</v>
      </c>
      <c r="X287" s="253"/>
      <c r="Y287" s="253">
        <v>67.99086758</v>
      </c>
      <c r="Z287" s="253">
        <v>63.812154700000001</v>
      </c>
      <c r="AA287" s="253"/>
      <c r="AB287" s="253"/>
      <c r="AC287" s="253"/>
      <c r="AD287" s="253"/>
      <c r="AE287" s="253"/>
    </row>
    <row r="288" spans="1:31">
      <c r="A288" s="33">
        <v>287</v>
      </c>
      <c r="B288" s="69" t="s">
        <v>2345</v>
      </c>
      <c r="C288" s="69" t="s">
        <v>740</v>
      </c>
      <c r="D288" s="56">
        <v>42038</v>
      </c>
      <c r="G288" s="69" t="str">
        <f t="shared" si="4"/>
        <v>User Registration</v>
      </c>
      <c r="H288" s="69" t="s">
        <v>922</v>
      </c>
      <c r="J288" s="69" t="s">
        <v>2346</v>
      </c>
      <c r="K288" s="69" t="s">
        <v>2352</v>
      </c>
      <c r="L288" s="253">
        <v>51.624291499999998</v>
      </c>
      <c r="M288" s="253">
        <v>53.574521491489371</v>
      </c>
      <c r="N288" s="253">
        <v>58.422479552413797</v>
      </c>
      <c r="O288" s="253">
        <v>51.346559549473689</v>
      </c>
      <c r="P288" s="253">
        <v>51.624291499999998</v>
      </c>
      <c r="Q288" s="253">
        <v>60.072992700000007</v>
      </c>
      <c r="R288" s="253">
        <v>55.67215482000001</v>
      </c>
      <c r="S288" s="253">
        <v>51</v>
      </c>
      <c r="T288" s="253"/>
      <c r="U288" s="253">
        <v>48</v>
      </c>
      <c r="V288" s="253"/>
      <c r="W288" s="253">
        <v>58.999999999999993</v>
      </c>
      <c r="X288" s="253"/>
      <c r="Y288" s="253">
        <v>49.50458716</v>
      </c>
      <c r="Z288" s="253">
        <v>51.624291499999998</v>
      </c>
      <c r="AA288" s="253"/>
      <c r="AB288" s="253"/>
      <c r="AC288" s="253"/>
      <c r="AD288" s="253"/>
      <c r="AE288" s="253"/>
    </row>
    <row r="289" spans="1:31">
      <c r="A289" s="33">
        <v>288</v>
      </c>
      <c r="B289" s="195" t="s">
        <v>2348</v>
      </c>
      <c r="C289" s="69" t="s">
        <v>740</v>
      </c>
      <c r="D289" s="56">
        <v>42038</v>
      </c>
      <c r="F289" s="56"/>
      <c r="G289" s="69" t="str">
        <f t="shared" si="4"/>
        <v>User Registration</v>
      </c>
      <c r="H289" s="69" t="s">
        <v>922</v>
      </c>
      <c r="J289" s="195" t="s">
        <v>2348</v>
      </c>
      <c r="K289" s="279" t="s">
        <v>2353</v>
      </c>
      <c r="L289" s="253">
        <v>67.847348408000002</v>
      </c>
      <c r="M289" s="253">
        <v>48.814023823829785</v>
      </c>
      <c r="N289" s="253">
        <v>35.548737442758622</v>
      </c>
      <c r="O289" s="253">
        <v>53.360000164210533</v>
      </c>
      <c r="P289" s="253">
        <v>68.181376520000001</v>
      </c>
      <c r="Q289" s="253">
        <v>57.637795280000006</v>
      </c>
      <c r="R289" s="253">
        <v>43</v>
      </c>
      <c r="S289" s="253">
        <v>57.646028039999997</v>
      </c>
      <c r="T289" s="253"/>
      <c r="U289" s="253">
        <v>41</v>
      </c>
      <c r="V289" s="253"/>
      <c r="W289" s="253">
        <v>30</v>
      </c>
      <c r="X289" s="253"/>
      <c r="Y289" s="253">
        <v>48</v>
      </c>
      <c r="Z289" s="253">
        <v>66.511235959999993</v>
      </c>
      <c r="AA289" s="253"/>
      <c r="AB289" s="253"/>
      <c r="AC289" s="253"/>
      <c r="AD289" s="253"/>
      <c r="AE289" s="253"/>
    </row>
    <row r="290" spans="1:31">
      <c r="A290" s="33">
        <v>289</v>
      </c>
      <c r="B290" s="69" t="s">
        <v>2345</v>
      </c>
      <c r="C290" s="69" t="s">
        <v>740</v>
      </c>
      <c r="D290" s="56">
        <v>42038</v>
      </c>
      <c r="F290" s="56"/>
      <c r="G290" s="69" t="str">
        <f t="shared" si="4"/>
        <v>User Registration</v>
      </c>
      <c r="H290" s="69" t="s">
        <v>922</v>
      </c>
      <c r="J290" s="69" t="s">
        <v>2346</v>
      </c>
      <c r="K290" s="13" t="s">
        <v>2354</v>
      </c>
      <c r="L290" s="253">
        <v>68.595141699999999</v>
      </c>
      <c r="M290" s="253">
        <v>63.288530599999994</v>
      </c>
      <c r="N290" s="253">
        <v>48.012321404482762</v>
      </c>
      <c r="O290" s="253">
        <v>69.921917305789464</v>
      </c>
      <c r="P290" s="253">
        <v>68.595141699999999</v>
      </c>
      <c r="Q290" s="253">
        <v>55.401459850000002</v>
      </c>
      <c r="R290" s="253">
        <v>64.358823529999995</v>
      </c>
      <c r="S290" s="253">
        <v>62</v>
      </c>
      <c r="T290" s="253"/>
      <c r="U290" s="253">
        <v>64</v>
      </c>
      <c r="V290" s="253"/>
      <c r="W290" s="253">
        <v>42</v>
      </c>
      <c r="X290" s="253"/>
      <c r="Y290" s="253">
        <v>73.942161339999998</v>
      </c>
      <c r="Z290" s="253">
        <v>68.595141699999999</v>
      </c>
      <c r="AA290" s="253"/>
      <c r="AB290" s="253"/>
      <c r="AC290" s="253"/>
      <c r="AD290" s="253"/>
      <c r="AE290" s="253"/>
    </row>
    <row r="291" spans="1:31">
      <c r="A291" s="33">
        <v>290</v>
      </c>
      <c r="B291" s="69" t="s">
        <v>2355</v>
      </c>
      <c r="C291" s="69" t="s">
        <v>740</v>
      </c>
      <c r="D291" s="56">
        <v>42038</v>
      </c>
      <c r="F291" s="56"/>
      <c r="G291" s="69" t="str">
        <f t="shared" si="4"/>
        <v>ERROR</v>
      </c>
      <c r="H291" s="69" t="s">
        <v>922</v>
      </c>
      <c r="J291" s="69" t="s">
        <v>2355</v>
      </c>
      <c r="K291" s="52" t="s">
        <v>2356</v>
      </c>
      <c r="L291" s="253">
        <v>42.074400703999999</v>
      </c>
      <c r="M291" s="253">
        <v>48.551622511063826</v>
      </c>
      <c r="N291" s="253">
        <v>48.739756681428574</v>
      </c>
      <c r="O291" s="253">
        <v>47.428694415789472</v>
      </c>
      <c r="P291" s="253">
        <v>42.170815449999999</v>
      </c>
      <c r="Q291" s="253">
        <v>64.343065690000003</v>
      </c>
      <c r="R291" s="253">
        <v>47.91761554</v>
      </c>
      <c r="S291" s="253">
        <v>40.788990830000003</v>
      </c>
      <c r="T291" s="253"/>
      <c r="U291" s="253">
        <v>48.433789949999998</v>
      </c>
      <c r="V291" s="253"/>
      <c r="W291" s="253"/>
      <c r="X291" s="253">
        <v>45.25</v>
      </c>
      <c r="Y291" s="253">
        <v>49.173419769999995</v>
      </c>
      <c r="Z291" s="253">
        <v>41.688741720000003</v>
      </c>
      <c r="AA291" s="253"/>
      <c r="AB291" s="253"/>
      <c r="AC291" s="253"/>
      <c r="AD291" s="253"/>
      <c r="AE291" s="253"/>
    </row>
    <row r="292" spans="1:31">
      <c r="A292" s="33">
        <v>291</v>
      </c>
      <c r="B292" s="69" t="s">
        <v>2355</v>
      </c>
      <c r="C292" s="69" t="s">
        <v>740</v>
      </c>
      <c r="D292" s="56">
        <v>42038</v>
      </c>
      <c r="F292" s="56"/>
      <c r="G292" s="69" t="str">
        <f t="shared" si="4"/>
        <v>ERROR</v>
      </c>
      <c r="H292" s="69" t="s">
        <v>922</v>
      </c>
      <c r="J292" s="69" t="s">
        <v>2355</v>
      </c>
      <c r="K292" s="52" t="s">
        <v>2357</v>
      </c>
      <c r="L292" s="253">
        <v>54.07563711600001</v>
      </c>
      <c r="M292" s="253">
        <v>50.623666507234041</v>
      </c>
      <c r="N292" s="253">
        <v>40.188465204285713</v>
      </c>
      <c r="O292" s="253">
        <v>46.461443505263162</v>
      </c>
      <c r="P292" s="253">
        <v>55.465236050000001</v>
      </c>
      <c r="Q292" s="253">
        <v>44.201680670000002</v>
      </c>
      <c r="R292" s="253">
        <v>53.55878787999999</v>
      </c>
      <c r="S292" s="253">
        <v>48.762953369999998</v>
      </c>
      <c r="T292" s="253"/>
      <c r="U292" s="253">
        <v>50.776255709999994</v>
      </c>
      <c r="V292" s="253"/>
      <c r="W292" s="253"/>
      <c r="X292" s="253">
        <v>32.5</v>
      </c>
      <c r="Y292" s="253">
        <v>44.009900989999998</v>
      </c>
      <c r="Z292" s="253">
        <v>48.517241380000002</v>
      </c>
      <c r="AA292" s="253"/>
      <c r="AB292" s="253"/>
      <c r="AC292" s="253"/>
      <c r="AD292" s="253"/>
      <c r="AE292" s="253"/>
    </row>
    <row r="293" spans="1:31">
      <c r="A293" s="33">
        <v>292</v>
      </c>
      <c r="B293" s="69" t="s">
        <v>2355</v>
      </c>
      <c r="C293" s="69" t="s">
        <v>740</v>
      </c>
      <c r="D293" s="56">
        <v>42038</v>
      </c>
      <c r="F293" s="56"/>
      <c r="G293" s="69" t="str">
        <f t="shared" si="4"/>
        <v>ERROR</v>
      </c>
      <c r="H293" s="69" t="s">
        <v>922</v>
      </c>
      <c r="J293" s="69" t="s">
        <v>2355</v>
      </c>
      <c r="K293" s="52" t="s">
        <v>2358</v>
      </c>
      <c r="L293" s="253">
        <v>52.286337150000008</v>
      </c>
      <c r="M293" s="253">
        <v>52.159995424893609</v>
      </c>
      <c r="N293" s="253">
        <v>47.664662899999996</v>
      </c>
      <c r="O293" s="253">
        <v>51.750946761052631</v>
      </c>
      <c r="P293" s="253">
        <v>49.008583690000002</v>
      </c>
      <c r="Q293" s="253">
        <v>60.69343065999999</v>
      </c>
      <c r="R293" s="253">
        <v>52.729604819999999</v>
      </c>
      <c r="S293" s="253">
        <v>48.626943009999998</v>
      </c>
      <c r="T293" s="253"/>
      <c r="U293" s="253">
        <v>41.401869159999997</v>
      </c>
      <c r="V293" s="253"/>
      <c r="W293" s="253"/>
      <c r="X293" s="253">
        <v>41.875</v>
      </c>
      <c r="Y293" s="253">
        <v>44.150165019999996</v>
      </c>
      <c r="Z293" s="253">
        <v>65.397350990000007</v>
      </c>
      <c r="AA293" s="253"/>
      <c r="AB293" s="253"/>
      <c r="AC293" s="253"/>
      <c r="AD293" s="253"/>
      <c r="AE293" s="253"/>
    </row>
    <row r="294" spans="1:31">
      <c r="A294" s="33">
        <v>293</v>
      </c>
      <c r="B294" s="69" t="s">
        <v>2355</v>
      </c>
      <c r="C294" s="69" t="s">
        <v>740</v>
      </c>
      <c r="D294" s="56">
        <v>42038</v>
      </c>
      <c r="F294" s="56"/>
      <c r="G294" s="69" t="str">
        <f t="shared" si="4"/>
        <v>ERROR</v>
      </c>
      <c r="H294" s="69" t="s">
        <v>922</v>
      </c>
      <c r="J294" s="69" t="s">
        <v>2355</v>
      </c>
      <c r="K294" s="52" t="s">
        <v>2359</v>
      </c>
      <c r="L294" s="253">
        <v>65.299711794000004</v>
      </c>
      <c r="M294" s="253">
        <v>63.977389576808498</v>
      </c>
      <c r="N294" s="253">
        <v>60.123555529500003</v>
      </c>
      <c r="O294" s="253">
        <v>62.416540677368403</v>
      </c>
      <c r="P294" s="253">
        <v>64.687553649999998</v>
      </c>
      <c r="Q294" s="253">
        <v>56.93430656999999</v>
      </c>
      <c r="R294" s="253">
        <v>69.19469848</v>
      </c>
      <c r="S294" s="253">
        <v>61.17227978999999</v>
      </c>
      <c r="T294" s="253"/>
      <c r="U294" s="253">
        <v>57.566210049999995</v>
      </c>
      <c r="V294" s="253"/>
      <c r="W294" s="253"/>
      <c r="X294" s="253">
        <v>51.375</v>
      </c>
      <c r="Y294" s="253">
        <v>59.067656769999999</v>
      </c>
      <c r="Z294" s="253">
        <v>67.748344369999998</v>
      </c>
      <c r="AA294" s="253"/>
      <c r="AB294" s="253"/>
      <c r="AC294" s="253"/>
      <c r="AD294" s="253"/>
      <c r="AE294" s="253"/>
    </row>
    <row r="295" spans="1:31">
      <c r="A295" s="33">
        <v>294</v>
      </c>
      <c r="B295" s="69" t="s">
        <v>2355</v>
      </c>
      <c r="C295" s="69" t="s">
        <v>740</v>
      </c>
      <c r="D295" s="56">
        <v>42038</v>
      </c>
      <c r="F295" s="56"/>
      <c r="G295" s="69" t="str">
        <f t="shared" si="4"/>
        <v>ERROR</v>
      </c>
      <c r="H295" s="69" t="s">
        <v>922</v>
      </c>
      <c r="J295" s="69" t="s">
        <v>2355</v>
      </c>
      <c r="K295" s="52" t="s">
        <v>2355</v>
      </c>
      <c r="L295" s="253">
        <v>43.474870275999997</v>
      </c>
      <c r="M295" s="253">
        <v>47.348167884255318</v>
      </c>
      <c r="N295" s="253">
        <v>49.294916217142855</v>
      </c>
      <c r="O295" s="253">
        <v>45.897886488421051</v>
      </c>
      <c r="P295" s="253">
        <v>44.340772530000002</v>
      </c>
      <c r="Q295" s="253">
        <v>50</v>
      </c>
      <c r="R295" s="253">
        <v>51.032206759999994</v>
      </c>
      <c r="S295" s="253">
        <v>41.226252160000001</v>
      </c>
      <c r="T295" s="253"/>
      <c r="U295" s="253">
        <v>45.73059361</v>
      </c>
      <c r="V295" s="253"/>
      <c r="W295" s="253"/>
      <c r="X295" s="253">
        <v>48.25</v>
      </c>
      <c r="Y295" s="253">
        <v>47.871287129999999</v>
      </c>
      <c r="Z295" s="253">
        <v>40.011261259999998</v>
      </c>
      <c r="AA295" s="253"/>
      <c r="AB295" s="253"/>
      <c r="AC295" s="253"/>
      <c r="AD295" s="253"/>
      <c r="AE295" s="253"/>
    </row>
    <row r="296" spans="1:31">
      <c r="A296" s="33">
        <v>295</v>
      </c>
      <c r="B296" s="69" t="s">
        <v>2331</v>
      </c>
      <c r="C296" s="69" t="s">
        <v>1639</v>
      </c>
      <c r="D296" s="56">
        <v>42040</v>
      </c>
      <c r="G296" s="69" t="str">
        <f t="shared" si="4"/>
        <v>User Registration</v>
      </c>
      <c r="H296" s="69" t="s">
        <v>494</v>
      </c>
      <c r="J296" s="69" t="s">
        <v>2331</v>
      </c>
      <c r="K296" s="69" t="s">
        <v>1159</v>
      </c>
      <c r="L296" s="253">
        <v>72.8</v>
      </c>
      <c r="M296" s="253">
        <v>67.206859903826071</v>
      </c>
      <c r="N296" s="253">
        <v>60.755934959536582</v>
      </c>
      <c r="O296" s="253">
        <v>63.219181286684197</v>
      </c>
      <c r="P296" s="253">
        <v>75</v>
      </c>
      <c r="Q296" s="253">
        <v>66.164444447000008</v>
      </c>
      <c r="R296" s="253">
        <v>71</v>
      </c>
      <c r="S296" s="253">
        <v>73</v>
      </c>
      <c r="T296" s="253">
        <v>58.699999999999996</v>
      </c>
      <c r="U296" s="253">
        <v>66</v>
      </c>
      <c r="V296" s="253"/>
      <c r="W296" s="253">
        <v>68.2</v>
      </c>
      <c r="X296" s="253">
        <v>41.875</v>
      </c>
      <c r="Y296" s="253">
        <v>60</v>
      </c>
      <c r="Z296" s="253">
        <v>64</v>
      </c>
      <c r="AA296" s="253"/>
      <c r="AB296" s="253"/>
      <c r="AC296" s="253"/>
      <c r="AD296" s="253"/>
      <c r="AE296" s="253"/>
    </row>
    <row r="297" spans="1:31">
      <c r="A297" s="33">
        <v>296</v>
      </c>
      <c r="B297" s="69" t="s">
        <v>2331</v>
      </c>
      <c r="C297" s="69" t="s">
        <v>1639</v>
      </c>
      <c r="D297" s="56">
        <v>42040</v>
      </c>
      <c r="G297" s="69" t="str">
        <f t="shared" si="4"/>
        <v>User Registration</v>
      </c>
      <c r="H297" s="69" t="s">
        <v>494</v>
      </c>
      <c r="J297" s="69" t="s">
        <v>2331</v>
      </c>
      <c r="K297" s="69" t="s">
        <v>2123</v>
      </c>
      <c r="L297" s="253">
        <v>62.157225432000004</v>
      </c>
      <c r="M297" s="253">
        <v>60.159634281826087</v>
      </c>
      <c r="N297" s="253">
        <v>52.938298436073168</v>
      </c>
      <c r="O297" s="253">
        <v>60.008249752263154</v>
      </c>
      <c r="P297" s="253">
        <v>62.446531790000002</v>
      </c>
      <c r="Q297" s="253">
        <v>64.303333332999983</v>
      </c>
      <c r="R297" s="253">
        <v>56.926705980000001</v>
      </c>
      <c r="S297" s="253">
        <v>56.999999999999993</v>
      </c>
      <c r="T297" s="253">
        <v>63.850000000000009</v>
      </c>
      <c r="U297" s="253">
        <v>60.054945049999994</v>
      </c>
      <c r="V297" s="253"/>
      <c r="W297" s="253">
        <v>56.000000000000007</v>
      </c>
      <c r="X297" s="253">
        <v>43</v>
      </c>
      <c r="Y297" s="253">
        <v>60</v>
      </c>
      <c r="Z297" s="253">
        <v>61</v>
      </c>
      <c r="AA297" s="253"/>
      <c r="AB297" s="253"/>
      <c r="AC297" s="253"/>
      <c r="AD297" s="253"/>
      <c r="AE297" s="253"/>
    </row>
    <row r="298" spans="1:31">
      <c r="A298" s="33">
        <v>297</v>
      </c>
      <c r="B298" s="69" t="s">
        <v>2331</v>
      </c>
      <c r="C298" s="69" t="s">
        <v>1639</v>
      </c>
      <c r="D298" s="56">
        <v>42040</v>
      </c>
      <c r="G298" s="69" t="str">
        <f t="shared" si="4"/>
        <v>User Registration</v>
      </c>
      <c r="H298" s="69" t="s">
        <v>494</v>
      </c>
      <c r="J298" s="69" t="s">
        <v>2331</v>
      </c>
      <c r="K298" s="69" t="s">
        <v>1158</v>
      </c>
      <c r="L298" s="253">
        <v>71.400000000000006</v>
      </c>
      <c r="M298" s="253">
        <v>68.717391304347814</v>
      </c>
      <c r="N298" s="253">
        <v>57.256097560975604</v>
      </c>
      <c r="O298" s="253">
        <v>63.10526315789474</v>
      </c>
      <c r="P298" s="253">
        <v>74</v>
      </c>
      <c r="Q298" s="253">
        <v>64</v>
      </c>
      <c r="R298" s="253">
        <v>73</v>
      </c>
      <c r="S298" s="253">
        <v>74</v>
      </c>
      <c r="T298" s="253">
        <v>60.5</v>
      </c>
      <c r="U298" s="253">
        <v>72</v>
      </c>
      <c r="V298" s="253"/>
      <c r="W298" s="253">
        <v>60</v>
      </c>
      <c r="X298" s="253">
        <v>43.125</v>
      </c>
      <c r="Y298" s="253">
        <v>61</v>
      </c>
      <c r="Z298" s="253">
        <v>61</v>
      </c>
      <c r="AA298" s="253"/>
      <c r="AB298" s="253"/>
      <c r="AC298" s="253"/>
      <c r="AD298" s="253"/>
      <c r="AE298" s="253"/>
    </row>
    <row r="299" spans="1:31">
      <c r="A299" s="33">
        <v>298</v>
      </c>
      <c r="B299" s="69" t="s">
        <v>2331</v>
      </c>
      <c r="C299" s="69" t="s">
        <v>1639</v>
      </c>
      <c r="D299" s="56">
        <v>42040</v>
      </c>
      <c r="G299" s="69" t="str">
        <f t="shared" si="4"/>
        <v>User Registration</v>
      </c>
      <c r="H299" s="69" t="s">
        <v>494</v>
      </c>
      <c r="J299" s="69" t="s">
        <v>2331</v>
      </c>
      <c r="K299" s="69" t="s">
        <v>2332</v>
      </c>
      <c r="L299" s="253">
        <v>52.594160584000001</v>
      </c>
      <c r="M299" s="253">
        <v>49.88385513608695</v>
      </c>
      <c r="N299" s="253">
        <v>53.226175985965519</v>
      </c>
      <c r="O299" s="253">
        <v>46.345989906842107</v>
      </c>
      <c r="P299" s="253">
        <v>54.992700729999996</v>
      </c>
      <c r="Q299" s="253">
        <v>59.419999999999995</v>
      </c>
      <c r="R299" s="253">
        <v>51.290153629999999</v>
      </c>
      <c r="S299" s="253">
        <v>43.573500969999998</v>
      </c>
      <c r="T299" s="253">
        <v>40.6</v>
      </c>
      <c r="U299" s="253">
        <v>54.22077921999999</v>
      </c>
      <c r="V299" s="253"/>
      <c r="W299" s="253">
        <v>52</v>
      </c>
      <c r="X299" s="253"/>
      <c r="Y299" s="253">
        <v>46</v>
      </c>
      <c r="Z299" s="253">
        <v>43</v>
      </c>
      <c r="AA299" s="253"/>
      <c r="AB299" s="253"/>
      <c r="AC299" s="253"/>
      <c r="AD299" s="253"/>
      <c r="AE299" s="253"/>
    </row>
    <row r="300" spans="1:31">
      <c r="A300" s="33">
        <v>299</v>
      </c>
      <c r="B300" s="69" t="s">
        <v>2331</v>
      </c>
      <c r="C300" s="69" t="s">
        <v>1639</v>
      </c>
      <c r="D300" s="56">
        <v>42040</v>
      </c>
      <c r="G300" s="69" t="str">
        <f t="shared" si="4"/>
        <v>User Registration</v>
      </c>
      <c r="H300" s="69" t="s">
        <v>494</v>
      </c>
      <c r="J300" s="69" t="s">
        <v>2331</v>
      </c>
      <c r="K300" s="69" t="s">
        <v>1327</v>
      </c>
      <c r="L300" s="253">
        <v>68.599999999999994</v>
      </c>
      <c r="M300" s="253">
        <v>60.252173913043485</v>
      </c>
      <c r="N300" s="253">
        <v>56.310344827586214</v>
      </c>
      <c r="O300" s="253">
        <v>62.15789473684211</v>
      </c>
      <c r="P300" s="253">
        <v>72</v>
      </c>
      <c r="Q300" s="253">
        <v>58.999999999999993</v>
      </c>
      <c r="R300" s="253">
        <v>66</v>
      </c>
      <c r="S300" s="253">
        <v>65</v>
      </c>
      <c r="T300" s="253">
        <v>56.6</v>
      </c>
      <c r="U300" s="253">
        <v>56.000000000000007</v>
      </c>
      <c r="V300" s="253"/>
      <c r="W300" s="253">
        <v>53</v>
      </c>
      <c r="X300" s="253"/>
      <c r="Y300" s="253">
        <v>65</v>
      </c>
      <c r="Z300" s="253">
        <v>55</v>
      </c>
      <c r="AA300" s="253"/>
      <c r="AB300" s="253"/>
      <c r="AC300" s="253"/>
      <c r="AD300" s="253"/>
      <c r="AE300" s="253"/>
    </row>
    <row r="301" spans="1:31">
      <c r="A301" s="33">
        <v>300</v>
      </c>
      <c r="B301" s="69" t="s">
        <v>2331</v>
      </c>
      <c r="C301" s="69" t="s">
        <v>1639</v>
      </c>
      <c r="D301" s="56">
        <v>42040</v>
      </c>
      <c r="F301" s="56"/>
      <c r="G301" s="69" t="str">
        <f t="shared" si="4"/>
        <v>User Registration</v>
      </c>
      <c r="H301" s="69" t="s">
        <v>494</v>
      </c>
      <c r="J301" s="69" t="s">
        <v>2331</v>
      </c>
      <c r="K301" s="69" t="s">
        <v>1320</v>
      </c>
      <c r="L301" s="253">
        <v>61.051748251999989</v>
      </c>
      <c r="M301" s="253">
        <v>52.741894492173913</v>
      </c>
      <c r="N301" s="253">
        <v>52.265446559999994</v>
      </c>
      <c r="O301" s="253">
        <v>53.212273553684206</v>
      </c>
      <c r="P301" s="253">
        <v>61</v>
      </c>
      <c r="Q301" s="253">
        <v>58.440000000000005</v>
      </c>
      <c r="R301" s="253">
        <v>49.927218160000002</v>
      </c>
      <c r="S301" s="253">
        <v>54</v>
      </c>
      <c r="T301" s="253">
        <v>47.050000000000004</v>
      </c>
      <c r="U301" s="253">
        <v>50</v>
      </c>
      <c r="V301" s="253"/>
      <c r="W301" s="253">
        <v>54</v>
      </c>
      <c r="X301" s="253">
        <v>49</v>
      </c>
      <c r="Y301" s="253">
        <v>49.244505490000002</v>
      </c>
      <c r="Z301" s="253">
        <v>61.258741260000001</v>
      </c>
      <c r="AA301" s="253"/>
      <c r="AB301" s="253"/>
      <c r="AC301" s="253"/>
      <c r="AD301" s="253"/>
      <c r="AE301" s="253"/>
    </row>
    <row r="302" spans="1:31">
      <c r="A302" s="33">
        <v>301</v>
      </c>
      <c r="B302" s="69" t="s">
        <v>2331</v>
      </c>
      <c r="C302" s="69" t="s">
        <v>1639</v>
      </c>
      <c r="D302" s="56">
        <v>42040</v>
      </c>
      <c r="F302" s="56"/>
      <c r="G302" s="69" t="str">
        <f t="shared" si="4"/>
        <v>User Registration</v>
      </c>
      <c r="H302" s="69" t="s">
        <v>494</v>
      </c>
      <c r="J302" s="69" t="s">
        <v>2331</v>
      </c>
      <c r="K302" s="69" t="s">
        <v>2333</v>
      </c>
      <c r="L302" s="253">
        <v>57.2</v>
      </c>
      <c r="M302" s="253">
        <v>57.215652173913043</v>
      </c>
      <c r="N302" s="253">
        <v>62.017560975609761</v>
      </c>
      <c r="O302" s="253">
        <v>45.328421052631576</v>
      </c>
      <c r="P302" s="253">
        <v>63</v>
      </c>
      <c r="Q302" s="253">
        <v>56.24</v>
      </c>
      <c r="R302" s="253">
        <v>65</v>
      </c>
      <c r="S302" s="253">
        <v>65</v>
      </c>
      <c r="T302" s="253">
        <v>41</v>
      </c>
      <c r="U302" s="253">
        <v>63</v>
      </c>
      <c r="V302" s="253"/>
      <c r="W302" s="253">
        <v>62</v>
      </c>
      <c r="X302" s="253">
        <v>62</v>
      </c>
      <c r="Y302" s="253">
        <v>44</v>
      </c>
      <c r="Z302" s="253">
        <v>34</v>
      </c>
      <c r="AA302" s="253"/>
      <c r="AB302" s="253"/>
      <c r="AC302" s="253"/>
      <c r="AD302" s="253"/>
      <c r="AE302" s="253"/>
    </row>
    <row r="303" spans="1:31">
      <c r="A303" s="33">
        <v>302</v>
      </c>
      <c r="B303" s="69" t="s">
        <v>2331</v>
      </c>
      <c r="C303" s="69" t="s">
        <v>1639</v>
      </c>
      <c r="D303" s="56">
        <v>42040</v>
      </c>
      <c r="F303" s="56"/>
      <c r="G303" s="69" t="str">
        <f t="shared" si="4"/>
        <v>User Registration</v>
      </c>
      <c r="H303" s="69" t="s">
        <v>494</v>
      </c>
      <c r="J303" s="69" t="s">
        <v>2331</v>
      </c>
      <c r="K303" s="69" t="s">
        <v>1084</v>
      </c>
      <c r="L303" s="253">
        <v>47.985492227999998</v>
      </c>
      <c r="M303" s="253">
        <v>51.938269473043476</v>
      </c>
      <c r="N303" s="253">
        <v>46.400281359999994</v>
      </c>
      <c r="O303" s="253">
        <v>48.295148295789467</v>
      </c>
      <c r="P303" s="253">
        <v>48</v>
      </c>
      <c r="Q303" s="253">
        <v>55.059999999999995</v>
      </c>
      <c r="R303" s="253">
        <v>52.455255960000002</v>
      </c>
      <c r="S303" s="253">
        <v>48</v>
      </c>
      <c r="T303" s="253">
        <v>55.35</v>
      </c>
      <c r="U303" s="253">
        <v>51.63179916</v>
      </c>
      <c r="V303" s="253"/>
      <c r="W303" s="253">
        <v>46</v>
      </c>
      <c r="X303" s="253">
        <v>41.875000000000007</v>
      </c>
      <c r="Y303" s="253">
        <v>46.999999999999993</v>
      </c>
      <c r="Z303" s="253">
        <v>47.927461139999998</v>
      </c>
      <c r="AA303" s="253"/>
      <c r="AB303" s="253"/>
      <c r="AC303" s="253"/>
      <c r="AD303" s="253"/>
      <c r="AE303" s="253"/>
    </row>
    <row r="304" spans="1:31">
      <c r="A304" s="33">
        <v>303</v>
      </c>
      <c r="B304" s="69" t="s">
        <v>2331</v>
      </c>
      <c r="C304" s="69" t="s">
        <v>1639</v>
      </c>
      <c r="D304" s="56">
        <v>42040</v>
      </c>
      <c r="F304" s="56"/>
      <c r="G304" s="69" t="str">
        <f t="shared" si="4"/>
        <v>User Registration</v>
      </c>
      <c r="H304" s="69" t="s">
        <v>494</v>
      </c>
      <c r="J304" s="69" t="s">
        <v>2331</v>
      </c>
      <c r="K304" s="69" t="s">
        <v>2334</v>
      </c>
      <c r="L304" s="253">
        <v>53</v>
      </c>
      <c r="M304" s="253">
        <v>53.082608695652176</v>
      </c>
      <c r="N304" s="253">
        <v>52.902439024390247</v>
      </c>
      <c r="O304" s="253">
        <v>43.84210526315789</v>
      </c>
      <c r="P304" s="253">
        <v>60</v>
      </c>
      <c r="Q304" s="253">
        <v>55</v>
      </c>
      <c r="R304" s="253">
        <v>57.999999999999993</v>
      </c>
      <c r="S304" s="253">
        <v>56.999999999999993</v>
      </c>
      <c r="T304" s="253">
        <v>54.300000000000004</v>
      </c>
      <c r="U304" s="253">
        <v>54</v>
      </c>
      <c r="V304" s="253"/>
      <c r="W304" s="253">
        <v>51</v>
      </c>
      <c r="X304" s="253">
        <v>53</v>
      </c>
      <c r="Y304" s="253">
        <v>48</v>
      </c>
      <c r="Z304" s="253">
        <v>25</v>
      </c>
      <c r="AA304" s="253"/>
      <c r="AB304" s="253"/>
      <c r="AC304" s="253"/>
      <c r="AD304" s="253"/>
      <c r="AE304" s="253"/>
    </row>
    <row r="305" spans="1:31">
      <c r="A305" s="33">
        <v>304</v>
      </c>
      <c r="B305" s="69" t="s">
        <v>2331</v>
      </c>
      <c r="C305" s="69" t="s">
        <v>1639</v>
      </c>
      <c r="D305" s="56">
        <v>42040</v>
      </c>
      <c r="F305" s="56"/>
      <c r="G305" s="69" t="str">
        <f t="shared" si="4"/>
        <v>User Registration</v>
      </c>
      <c r="H305" s="69" t="s">
        <v>494</v>
      </c>
      <c r="J305" s="69" t="s">
        <v>2331</v>
      </c>
      <c r="K305" s="69" t="s">
        <v>1082</v>
      </c>
      <c r="L305" s="253">
        <v>44</v>
      </c>
      <c r="M305" s="253">
        <v>48.199314700956521</v>
      </c>
      <c r="N305" s="253">
        <v>43.68762041046341</v>
      </c>
      <c r="O305" s="253">
        <v>45.849643030684213</v>
      </c>
      <c r="P305" s="253">
        <v>42</v>
      </c>
      <c r="Q305" s="253">
        <v>53.520000003</v>
      </c>
      <c r="R305" s="253">
        <v>48.438739470000002</v>
      </c>
      <c r="S305" s="253">
        <v>40.745738639999999</v>
      </c>
      <c r="T305" s="253">
        <v>38.499999999999993</v>
      </c>
      <c r="U305" s="253">
        <v>53.96551723999999</v>
      </c>
      <c r="V305" s="253"/>
      <c r="W305" s="253">
        <v>43</v>
      </c>
      <c r="X305" s="253">
        <v>40</v>
      </c>
      <c r="Y305" s="253">
        <v>42</v>
      </c>
      <c r="Z305" s="253">
        <v>52</v>
      </c>
      <c r="AA305" s="253"/>
      <c r="AB305" s="253"/>
      <c r="AC305" s="253"/>
      <c r="AD305" s="253"/>
      <c r="AE305" s="253"/>
    </row>
    <row r="306" spans="1:31">
      <c r="A306" s="33">
        <v>305</v>
      </c>
      <c r="B306" s="69" t="s">
        <v>2331</v>
      </c>
      <c r="C306" s="69" t="s">
        <v>1639</v>
      </c>
      <c r="D306" s="56">
        <v>42040</v>
      </c>
      <c r="F306" s="56"/>
      <c r="G306" s="69" t="str">
        <f t="shared" si="4"/>
        <v>User Registration</v>
      </c>
      <c r="H306" s="69" t="s">
        <v>494</v>
      </c>
      <c r="J306" s="69" t="s">
        <v>2331</v>
      </c>
      <c r="K306" s="69" t="s">
        <v>2335</v>
      </c>
      <c r="L306" s="253">
        <v>40.460215054000003</v>
      </c>
      <c r="M306" s="253">
        <v>45.176129679652178</v>
      </c>
      <c r="N306" s="253">
        <v>47.671173469448277</v>
      </c>
      <c r="O306" s="253">
        <v>46.385616836210524</v>
      </c>
      <c r="P306" s="253">
        <v>42</v>
      </c>
      <c r="Q306" s="253">
        <v>53.399999997999998</v>
      </c>
      <c r="R306" s="253">
        <v>45.710671769999998</v>
      </c>
      <c r="S306" s="253">
        <v>45</v>
      </c>
      <c r="T306" s="253">
        <v>35.200000000000003</v>
      </c>
      <c r="U306" s="253">
        <v>48.539094650000003</v>
      </c>
      <c r="V306" s="253"/>
      <c r="W306" s="253">
        <v>47.4</v>
      </c>
      <c r="X306" s="253"/>
      <c r="Y306" s="253">
        <v>52</v>
      </c>
      <c r="Z306" s="253">
        <v>34.301075269999998</v>
      </c>
      <c r="AA306" s="253"/>
      <c r="AB306" s="253"/>
      <c r="AC306" s="253"/>
      <c r="AD306" s="253"/>
      <c r="AE306" s="253"/>
    </row>
    <row r="307" spans="1:31">
      <c r="A307" s="33">
        <v>306</v>
      </c>
      <c r="B307" s="69" t="s">
        <v>2331</v>
      </c>
      <c r="C307" s="69" t="s">
        <v>1639</v>
      </c>
      <c r="D307" s="56">
        <v>42040</v>
      </c>
      <c r="F307" s="56"/>
      <c r="G307" s="69" t="str">
        <f t="shared" si="4"/>
        <v>User Registration</v>
      </c>
      <c r="H307" s="69" t="s">
        <v>494</v>
      </c>
      <c r="J307" s="69" t="s">
        <v>2331</v>
      </c>
      <c r="K307" s="69" t="s">
        <v>1162</v>
      </c>
      <c r="L307" s="253">
        <v>50.199999999999996</v>
      </c>
      <c r="M307" s="253">
        <v>54.736521739130438</v>
      </c>
      <c r="N307" s="253">
        <v>55.61414634146341</v>
      </c>
      <c r="O307" s="253">
        <v>48.97684210526316</v>
      </c>
      <c r="P307" s="253">
        <v>51</v>
      </c>
      <c r="Q307" s="253">
        <v>52.559999999999995</v>
      </c>
      <c r="R307" s="253">
        <v>55</v>
      </c>
      <c r="S307" s="253">
        <v>53</v>
      </c>
      <c r="T307" s="253">
        <v>55.899999999999991</v>
      </c>
      <c r="U307" s="253">
        <v>60</v>
      </c>
      <c r="V307" s="253"/>
      <c r="W307" s="253">
        <v>54</v>
      </c>
      <c r="X307" s="253">
        <v>59.375</v>
      </c>
      <c r="Y307" s="253">
        <v>48</v>
      </c>
      <c r="Z307" s="253">
        <v>46.999999999999993</v>
      </c>
      <c r="AA307" s="253"/>
      <c r="AB307" s="253"/>
      <c r="AC307" s="253"/>
      <c r="AD307" s="253"/>
      <c r="AE307" s="253"/>
    </row>
    <row r="308" spans="1:31">
      <c r="A308" s="33">
        <v>307</v>
      </c>
      <c r="B308" s="69" t="s">
        <v>2331</v>
      </c>
      <c r="C308" s="69" t="s">
        <v>1639</v>
      </c>
      <c r="D308" s="56">
        <v>42040</v>
      </c>
      <c r="F308" s="56"/>
      <c r="G308" s="69" t="str">
        <f t="shared" si="4"/>
        <v>User Registration</v>
      </c>
      <c r="H308" s="69" t="s">
        <v>494</v>
      </c>
      <c r="J308" s="69" t="s">
        <v>2331</v>
      </c>
      <c r="K308" s="69" t="s">
        <v>2336</v>
      </c>
      <c r="L308" s="253">
        <v>53</v>
      </c>
      <c r="M308" s="253">
        <v>55.00869565217392</v>
      </c>
      <c r="N308" s="253">
        <v>53.692682926829271</v>
      </c>
      <c r="O308" s="253">
        <v>45.410526315789475</v>
      </c>
      <c r="P308" s="253">
        <v>56.000000000000007</v>
      </c>
      <c r="Q308" s="253">
        <v>51.8</v>
      </c>
      <c r="R308" s="253">
        <v>63</v>
      </c>
      <c r="S308" s="253">
        <v>60</v>
      </c>
      <c r="T308" s="253">
        <v>42</v>
      </c>
      <c r="U308" s="253">
        <v>58.999999999999993</v>
      </c>
      <c r="V308" s="253"/>
      <c r="W308" s="253">
        <v>51</v>
      </c>
      <c r="X308" s="253">
        <v>54</v>
      </c>
      <c r="Y308" s="253">
        <v>42</v>
      </c>
      <c r="Z308" s="253">
        <v>41</v>
      </c>
      <c r="AA308" s="253"/>
      <c r="AB308" s="253"/>
      <c r="AC308" s="253"/>
      <c r="AD308" s="253"/>
      <c r="AE308" s="253"/>
    </row>
    <row r="309" spans="1:31">
      <c r="A309" s="33">
        <v>308</v>
      </c>
      <c r="B309" s="69" t="s">
        <v>2331</v>
      </c>
      <c r="C309" s="69" t="s">
        <v>1639</v>
      </c>
      <c r="D309" s="56">
        <v>42040</v>
      </c>
      <c r="F309" s="56"/>
      <c r="G309" s="69" t="str">
        <f t="shared" si="4"/>
        <v>User Registration</v>
      </c>
      <c r="H309" s="69" t="s">
        <v>494</v>
      </c>
      <c r="J309" s="69" t="s">
        <v>2331</v>
      </c>
      <c r="K309" s="69" t="s">
        <v>2337</v>
      </c>
      <c r="L309" s="253">
        <v>33.800000000000004</v>
      </c>
      <c r="M309" s="253">
        <v>39.130434782608695</v>
      </c>
      <c r="N309" s="253">
        <v>44</v>
      </c>
      <c r="O309" s="253">
        <v>34.631578947368425</v>
      </c>
      <c r="P309" s="253">
        <v>33</v>
      </c>
      <c r="Q309" s="253">
        <v>50</v>
      </c>
      <c r="R309" s="253">
        <v>43</v>
      </c>
      <c r="S309" s="253">
        <v>37</v>
      </c>
      <c r="T309" s="253">
        <v>36</v>
      </c>
      <c r="U309" s="253">
        <v>31</v>
      </c>
      <c r="V309" s="253"/>
      <c r="W309" s="253">
        <v>44</v>
      </c>
      <c r="X309" s="253">
        <v>43</v>
      </c>
      <c r="Y309" s="253">
        <v>30</v>
      </c>
      <c r="Z309" s="253">
        <v>37</v>
      </c>
      <c r="AA309" s="253"/>
      <c r="AB309" s="253"/>
      <c r="AC309" s="253"/>
      <c r="AD309" s="253"/>
      <c r="AE309" s="253"/>
    </row>
    <row r="310" spans="1:31">
      <c r="A310" s="33">
        <v>309</v>
      </c>
      <c r="B310" s="69" t="s">
        <v>2331</v>
      </c>
      <c r="C310" s="69" t="s">
        <v>1639</v>
      </c>
      <c r="D310" s="56">
        <v>42040</v>
      </c>
      <c r="F310" s="56"/>
      <c r="G310" s="69" t="str">
        <f t="shared" si="4"/>
        <v>User Registration</v>
      </c>
      <c r="H310" s="69" t="s">
        <v>494</v>
      </c>
      <c r="J310" s="69" t="s">
        <v>2331</v>
      </c>
      <c r="K310" s="69" t="s">
        <v>2331</v>
      </c>
      <c r="L310" s="253">
        <v>49.2</v>
      </c>
      <c r="M310" s="253">
        <v>50.455217391304352</v>
      </c>
      <c r="N310" s="253">
        <v>52.708292682926825</v>
      </c>
      <c r="O310" s="253">
        <v>45.351578947368424</v>
      </c>
      <c r="P310" s="253">
        <v>52</v>
      </c>
      <c r="Q310" s="253">
        <v>49.68</v>
      </c>
      <c r="R310" s="253">
        <v>56.000000000000007</v>
      </c>
      <c r="S310" s="253">
        <v>50</v>
      </c>
      <c r="T310" s="253">
        <v>45.25</v>
      </c>
      <c r="U310" s="253">
        <v>54</v>
      </c>
      <c r="V310" s="253"/>
      <c r="W310" s="253">
        <v>52</v>
      </c>
      <c r="X310" s="253">
        <v>53</v>
      </c>
      <c r="Y310" s="253">
        <v>46</v>
      </c>
      <c r="Z310" s="253">
        <v>38</v>
      </c>
      <c r="AA310" s="253"/>
      <c r="AB310" s="253"/>
      <c r="AC310" s="253"/>
      <c r="AD310" s="253"/>
      <c r="AE310" s="253"/>
    </row>
    <row r="311" spans="1:31">
      <c r="A311" s="33">
        <v>310</v>
      </c>
      <c r="B311" s="69" t="s">
        <v>2331</v>
      </c>
      <c r="C311" s="69" t="s">
        <v>1639</v>
      </c>
      <c r="D311" s="56">
        <v>42040</v>
      </c>
      <c r="F311" s="56"/>
      <c r="G311" s="69" t="str">
        <f t="shared" si="4"/>
        <v>User Registration</v>
      </c>
      <c r="H311" s="69" t="s">
        <v>494</v>
      </c>
      <c r="J311" s="69" t="s">
        <v>2331</v>
      </c>
      <c r="K311" s="69" t="s">
        <v>2338</v>
      </c>
      <c r="L311" s="253">
        <v>43</v>
      </c>
      <c r="M311" s="253">
        <v>46.096956521739131</v>
      </c>
      <c r="N311" s="253">
        <v>47.959999999999994</v>
      </c>
      <c r="O311" s="253">
        <v>39.848421052631579</v>
      </c>
      <c r="P311" s="253">
        <v>49</v>
      </c>
      <c r="Q311" s="253">
        <v>46.12</v>
      </c>
      <c r="R311" s="253">
        <v>52</v>
      </c>
      <c r="S311" s="253">
        <v>46.999999999999993</v>
      </c>
      <c r="T311" s="253">
        <v>36.25</v>
      </c>
      <c r="U311" s="253">
        <v>46.999999999999993</v>
      </c>
      <c r="V311" s="253"/>
      <c r="W311" s="253">
        <v>46.999999999999993</v>
      </c>
      <c r="X311" s="253">
        <v>48</v>
      </c>
      <c r="Y311" s="253">
        <v>35</v>
      </c>
      <c r="Z311" s="253">
        <v>42</v>
      </c>
      <c r="AA311" s="253"/>
      <c r="AB311" s="253"/>
      <c r="AC311" s="253"/>
      <c r="AD311" s="253"/>
      <c r="AE311" s="253"/>
    </row>
    <row r="312" spans="1:31">
      <c r="A312" s="33">
        <v>311</v>
      </c>
      <c r="B312" s="69" t="s">
        <v>1090</v>
      </c>
      <c r="C312" s="69" t="s">
        <v>740</v>
      </c>
      <c r="D312" s="56">
        <v>42040</v>
      </c>
      <c r="F312" s="56"/>
      <c r="G312" s="69" t="str">
        <f t="shared" si="4"/>
        <v>ERROR</v>
      </c>
      <c r="H312" s="69" t="s">
        <v>1088</v>
      </c>
      <c r="J312" s="69" t="s">
        <v>1090</v>
      </c>
      <c r="K312" s="69" t="s">
        <v>2339</v>
      </c>
      <c r="L312" s="253">
        <v>56.195280822000001</v>
      </c>
      <c r="M312" s="253">
        <v>53.521620255531921</v>
      </c>
      <c r="N312" s="253">
        <v>61.220414611983472</v>
      </c>
      <c r="O312" s="253">
        <v>60.618621619473679</v>
      </c>
      <c r="P312" s="253">
        <v>60.418300649999999</v>
      </c>
      <c r="Q312" s="253">
        <v>61.192214109999995</v>
      </c>
      <c r="R312" s="253">
        <v>62.576231880000002</v>
      </c>
      <c r="S312" s="253">
        <v>51.998148149999999</v>
      </c>
      <c r="T312" s="253"/>
      <c r="U312" s="253">
        <v>38.833333330000002</v>
      </c>
      <c r="V312" s="253"/>
      <c r="W312" s="253"/>
      <c r="X312" s="253">
        <v>76.875</v>
      </c>
      <c r="Y312" s="253">
        <v>71.689497720000006</v>
      </c>
      <c r="Z312" s="253">
        <v>39.303201510000001</v>
      </c>
      <c r="AA312" s="253"/>
      <c r="AB312" s="253"/>
      <c r="AC312" s="253"/>
      <c r="AD312" s="253"/>
      <c r="AE312" s="253"/>
    </row>
    <row r="313" spans="1:31">
      <c r="A313" s="33">
        <v>312</v>
      </c>
      <c r="B313" s="69" t="s">
        <v>1090</v>
      </c>
      <c r="C313" s="69" t="s">
        <v>740</v>
      </c>
      <c r="D313" s="56">
        <v>42040</v>
      </c>
      <c r="F313" s="56"/>
      <c r="G313" s="69" t="str">
        <f t="shared" si="4"/>
        <v>ERROR</v>
      </c>
      <c r="H313" s="69" t="s">
        <v>1088</v>
      </c>
      <c r="J313" s="69" t="s">
        <v>1090</v>
      </c>
      <c r="K313" s="69" t="s">
        <v>372</v>
      </c>
      <c r="L313" s="253">
        <v>69.435043407999999</v>
      </c>
      <c r="M313" s="253">
        <v>70.601082011489368</v>
      </c>
      <c r="N313" s="253">
        <v>76.838785708196724</v>
      </c>
      <c r="O313" s="253">
        <v>67.565830351578938</v>
      </c>
      <c r="P313" s="253">
        <v>72.071428569999995</v>
      </c>
      <c r="Q313" s="253">
        <v>68.649635040000007</v>
      </c>
      <c r="R313" s="253">
        <v>68.580713419999995</v>
      </c>
      <c r="S313" s="253">
        <v>75</v>
      </c>
      <c r="T313" s="253"/>
      <c r="U313" s="253">
        <v>79.029126210000001</v>
      </c>
      <c r="V313" s="253"/>
      <c r="W313" s="253"/>
      <c r="X313" s="253"/>
      <c r="Y313" s="253">
        <v>70.849220099999997</v>
      </c>
      <c r="Z313" s="253">
        <v>58.889502759999999</v>
      </c>
      <c r="AA313" s="253"/>
      <c r="AB313" s="253"/>
      <c r="AC313" s="253"/>
      <c r="AD313" s="253"/>
      <c r="AE313" s="253"/>
    </row>
    <row r="314" spans="1:31">
      <c r="A314" s="33">
        <v>313</v>
      </c>
      <c r="B314" s="69" t="s">
        <v>1090</v>
      </c>
      <c r="C314" s="69" t="s">
        <v>740</v>
      </c>
      <c r="D314" s="56">
        <v>42040</v>
      </c>
      <c r="F314" s="56"/>
      <c r="G314" s="69" t="str">
        <f t="shared" si="4"/>
        <v>ERROR</v>
      </c>
      <c r="H314" s="69" t="s">
        <v>1088</v>
      </c>
      <c r="J314" s="69" t="s">
        <v>1090</v>
      </c>
      <c r="K314" s="69" t="s">
        <v>1089</v>
      </c>
      <c r="L314" s="253">
        <v>42.355746030000006</v>
      </c>
      <c r="M314" s="253">
        <v>42.394277541063836</v>
      </c>
      <c r="N314" s="253">
        <v>17.948419778925622</v>
      </c>
      <c r="O314" s="253">
        <v>30.343442888947369</v>
      </c>
      <c r="P314" s="253">
        <v>38.113333330000003</v>
      </c>
      <c r="Q314" s="253">
        <v>62.795275589999996</v>
      </c>
      <c r="R314" s="253">
        <v>40.994321980000002</v>
      </c>
      <c r="S314" s="253">
        <v>19.989270390000001</v>
      </c>
      <c r="T314" s="253"/>
      <c r="U314" s="253">
        <v>37.931034480000001</v>
      </c>
      <c r="V314" s="253"/>
      <c r="W314" s="253"/>
      <c r="X314" s="253"/>
      <c r="Y314" s="253">
        <v>11.51252408</v>
      </c>
      <c r="Z314" s="253">
        <v>59.325396829999995</v>
      </c>
      <c r="AA314" s="253"/>
      <c r="AB314" s="253"/>
      <c r="AC314" s="253"/>
      <c r="AD314" s="253"/>
      <c r="AE314" s="253"/>
    </row>
    <row r="315" spans="1:31">
      <c r="A315" s="33">
        <v>314</v>
      </c>
      <c r="B315" s="69" t="s">
        <v>1090</v>
      </c>
      <c r="C315" s="69" t="s">
        <v>740</v>
      </c>
      <c r="D315" s="56">
        <v>42040</v>
      </c>
      <c r="F315" s="56"/>
      <c r="G315" s="69" t="str">
        <f t="shared" si="4"/>
        <v>ERROR</v>
      </c>
      <c r="H315" s="69" t="s">
        <v>1088</v>
      </c>
      <c r="J315" s="69" t="s">
        <v>1090</v>
      </c>
      <c r="K315" s="69" t="s">
        <v>929</v>
      </c>
      <c r="L315" s="253">
        <v>70.953888176000007</v>
      </c>
      <c r="M315" s="253">
        <v>64.003941305531924</v>
      </c>
      <c r="N315" s="253">
        <v>62.813972869421484</v>
      </c>
      <c r="O315" s="253">
        <v>67.85804740105263</v>
      </c>
      <c r="P315" s="253">
        <v>71.351200000000006</v>
      </c>
      <c r="Q315" s="253">
        <v>61.678832120000003</v>
      </c>
      <c r="R315" s="253">
        <v>64.17694118</v>
      </c>
      <c r="S315" s="253">
        <v>68.136363639999999</v>
      </c>
      <c r="T315" s="253"/>
      <c r="U315" s="253">
        <v>59.893203880000002</v>
      </c>
      <c r="V315" s="253"/>
      <c r="W315" s="253"/>
      <c r="X315" s="253">
        <v>52.5</v>
      </c>
      <c r="Y315" s="253">
        <v>68.431061810000003</v>
      </c>
      <c r="Z315" s="253">
        <v>69.364640879999996</v>
      </c>
      <c r="AA315" s="253"/>
      <c r="AB315" s="253"/>
      <c r="AC315" s="253"/>
      <c r="AD315" s="253"/>
      <c r="AE315" s="253"/>
    </row>
    <row r="316" spans="1:31">
      <c r="A316" s="33">
        <v>315</v>
      </c>
      <c r="B316" s="69" t="s">
        <v>1090</v>
      </c>
      <c r="C316" s="69" t="s">
        <v>740</v>
      </c>
      <c r="D316" s="56">
        <v>42040</v>
      </c>
      <c r="F316" s="56"/>
      <c r="G316" s="69" t="str">
        <f t="shared" si="4"/>
        <v>ERROR</v>
      </c>
      <c r="H316" s="69" t="s">
        <v>1088</v>
      </c>
      <c r="J316" s="69" t="s">
        <v>1090</v>
      </c>
      <c r="K316" s="69" t="s">
        <v>2340</v>
      </c>
      <c r="L316" s="253">
        <v>42.672852047999996</v>
      </c>
      <c r="M316" s="253">
        <v>44.563932983404257</v>
      </c>
      <c r="N316" s="253">
        <v>33.437180540082643</v>
      </c>
      <c r="O316" s="253">
        <v>33.93493612842105</v>
      </c>
      <c r="P316" s="253">
        <v>42.813114749999997</v>
      </c>
      <c r="Q316" s="253">
        <v>47.372262769999999</v>
      </c>
      <c r="R316" s="253">
        <v>46.177163460000003</v>
      </c>
      <c r="S316" s="253">
        <v>31.817640050000001</v>
      </c>
      <c r="T316" s="253"/>
      <c r="U316" s="253">
        <v>48.526315789999998</v>
      </c>
      <c r="V316" s="253"/>
      <c r="W316" s="253"/>
      <c r="X316" s="253">
        <v>32.5</v>
      </c>
      <c r="Y316" s="253">
        <v>26.266055049999999</v>
      </c>
      <c r="Z316" s="253">
        <v>42.111801239999998</v>
      </c>
      <c r="AA316" s="253"/>
      <c r="AB316" s="253"/>
      <c r="AC316" s="253"/>
      <c r="AD316" s="253"/>
      <c r="AE316" s="253"/>
    </row>
    <row r="317" spans="1:31">
      <c r="A317" s="33">
        <v>316</v>
      </c>
      <c r="B317" s="69" t="s">
        <v>1090</v>
      </c>
      <c r="C317" s="69" t="s">
        <v>740</v>
      </c>
      <c r="D317" s="56">
        <v>42040</v>
      </c>
      <c r="F317" s="56"/>
      <c r="G317" s="69" t="str">
        <f t="shared" si="4"/>
        <v>ERROR</v>
      </c>
      <c r="H317" s="69" t="s">
        <v>1088</v>
      </c>
      <c r="J317" s="69" t="s">
        <v>1090</v>
      </c>
      <c r="K317" s="69" t="s">
        <v>2341</v>
      </c>
      <c r="L317" s="253">
        <v>59.442375347999999</v>
      </c>
      <c r="M317" s="253">
        <v>51.011103608936168</v>
      </c>
      <c r="N317" s="253">
        <v>34.043515248347106</v>
      </c>
      <c r="O317" s="253">
        <v>48.697080449999994</v>
      </c>
      <c r="P317" s="253">
        <v>59.697254899999997</v>
      </c>
      <c r="Q317" s="253">
        <v>51.176470590000001</v>
      </c>
      <c r="R317" s="253">
        <v>55.470609539999991</v>
      </c>
      <c r="S317" s="253">
        <v>51.877777780000002</v>
      </c>
      <c r="T317" s="253"/>
      <c r="U317" s="253">
        <v>37.766990290000003</v>
      </c>
      <c r="V317" s="253"/>
      <c r="W317" s="253"/>
      <c r="X317" s="253">
        <v>28.125</v>
      </c>
      <c r="Y317" s="253">
        <v>41.913477540000002</v>
      </c>
      <c r="Z317" s="253">
        <v>58.422857139999991</v>
      </c>
      <c r="AA317" s="253"/>
      <c r="AB317" s="253"/>
      <c r="AC317" s="253"/>
      <c r="AD317" s="253"/>
      <c r="AE317" s="253"/>
    </row>
    <row r="318" spans="1:31">
      <c r="A318" s="33">
        <v>317</v>
      </c>
      <c r="B318" s="69" t="s">
        <v>1090</v>
      </c>
      <c r="C318" s="69" t="s">
        <v>740</v>
      </c>
      <c r="D318" s="56">
        <v>42040</v>
      </c>
      <c r="F318" s="56"/>
      <c r="G318" s="69" t="str">
        <f t="shared" si="4"/>
        <v>ERROR</v>
      </c>
      <c r="H318" s="69" t="s">
        <v>1088</v>
      </c>
      <c r="J318" s="69" t="s">
        <v>1090</v>
      </c>
      <c r="K318" s="69" t="s">
        <v>1162</v>
      </c>
      <c r="L318" s="253">
        <v>64.505236703999998</v>
      </c>
      <c r="M318" s="253">
        <v>60.564550843829785</v>
      </c>
      <c r="N318" s="253">
        <v>42.498282896280998</v>
      </c>
      <c r="O318" s="253">
        <v>66.866179369999998</v>
      </c>
      <c r="P318" s="253">
        <v>64.603921569999997</v>
      </c>
      <c r="Q318" s="253">
        <v>60.656934309999997</v>
      </c>
      <c r="R318" s="253">
        <v>62.08127386000001</v>
      </c>
      <c r="S318" s="253">
        <v>62.787499999999994</v>
      </c>
      <c r="T318" s="253"/>
      <c r="U318" s="253">
        <v>54.368932039999997</v>
      </c>
      <c r="V318" s="253"/>
      <c r="W318" s="253"/>
      <c r="X318" s="253">
        <v>39.5</v>
      </c>
      <c r="Y318" s="253">
        <v>70.229793979999997</v>
      </c>
      <c r="Z318" s="253">
        <v>64.110497240000001</v>
      </c>
      <c r="AA318" s="253"/>
      <c r="AB318" s="253"/>
      <c r="AC318" s="253"/>
      <c r="AD318" s="253"/>
      <c r="AE318" s="253"/>
    </row>
    <row r="319" spans="1:31">
      <c r="A319" s="33">
        <v>318</v>
      </c>
      <c r="B319" s="69" t="s">
        <v>1090</v>
      </c>
      <c r="C319" s="69" t="s">
        <v>740</v>
      </c>
      <c r="D319" s="56">
        <v>42040</v>
      </c>
      <c r="F319" s="56"/>
      <c r="G319" s="69" t="str">
        <f t="shared" si="4"/>
        <v>ERROR</v>
      </c>
      <c r="H319" s="69" t="s">
        <v>1088</v>
      </c>
      <c r="J319" s="69" t="s">
        <v>1090</v>
      </c>
      <c r="K319" s="69" t="s">
        <v>2342</v>
      </c>
      <c r="L319" s="253">
        <v>64.994888524000004</v>
      </c>
      <c r="M319" s="253">
        <v>66.118183488936168</v>
      </c>
      <c r="N319" s="253">
        <v>38.164550336776855</v>
      </c>
      <c r="O319" s="253">
        <v>54.706294436315794</v>
      </c>
      <c r="P319" s="253">
        <v>65.449411760000004</v>
      </c>
      <c r="Q319" s="253">
        <v>68.61313869</v>
      </c>
      <c r="R319" s="253">
        <v>61.373783680000003</v>
      </c>
      <c r="S319" s="253">
        <v>64.454444440000003</v>
      </c>
      <c r="T319" s="253"/>
      <c r="U319" s="253">
        <v>76.578947369999995</v>
      </c>
      <c r="V319" s="253"/>
      <c r="W319" s="253"/>
      <c r="X319" s="253">
        <v>29.125</v>
      </c>
      <c r="Y319" s="253">
        <v>46.772046590000002</v>
      </c>
      <c r="Z319" s="253">
        <v>63.176795579999997</v>
      </c>
      <c r="AA319" s="253"/>
      <c r="AB319" s="253"/>
      <c r="AC319" s="253"/>
      <c r="AD319" s="253"/>
      <c r="AE319" s="253"/>
    </row>
    <row r="320" spans="1:31">
      <c r="A320" s="33">
        <v>319</v>
      </c>
      <c r="B320" s="69" t="s">
        <v>1090</v>
      </c>
      <c r="C320" s="69" t="s">
        <v>740</v>
      </c>
      <c r="D320" s="56">
        <v>42040</v>
      </c>
      <c r="F320" s="56"/>
      <c r="G320" s="69" t="str">
        <f t="shared" si="4"/>
        <v>ERROR</v>
      </c>
      <c r="H320" s="69" t="s">
        <v>1088</v>
      </c>
      <c r="J320" s="69" t="s">
        <v>1090</v>
      </c>
      <c r="K320" s="69" t="s">
        <v>1090</v>
      </c>
      <c r="L320" s="253">
        <v>56.709149608000011</v>
      </c>
      <c r="M320" s="253">
        <v>63.603541239574469</v>
      </c>
      <c r="N320" s="253">
        <v>46.65969525495867</v>
      </c>
      <c r="O320" s="253">
        <v>48.573404383684206</v>
      </c>
      <c r="P320" s="253">
        <v>58.29803922</v>
      </c>
      <c r="Q320" s="253">
        <v>66.510948909999996</v>
      </c>
      <c r="R320" s="253">
        <v>64.688629739999996</v>
      </c>
      <c r="S320" s="253">
        <v>58.35</v>
      </c>
      <c r="T320" s="253"/>
      <c r="U320" s="253">
        <v>69.466019419999995</v>
      </c>
      <c r="V320" s="253"/>
      <c r="W320" s="253"/>
      <c r="X320" s="253">
        <v>45.125</v>
      </c>
      <c r="Y320" s="253">
        <v>41.688851909999997</v>
      </c>
      <c r="Z320" s="253">
        <v>50.353591160000001</v>
      </c>
      <c r="AA320" s="253"/>
      <c r="AB320" s="253"/>
      <c r="AC320" s="253"/>
      <c r="AD320" s="253"/>
      <c r="AE320" s="253"/>
    </row>
    <row r="321" spans="1:31">
      <c r="A321" s="33">
        <v>320</v>
      </c>
      <c r="B321" s="69" t="s">
        <v>2023</v>
      </c>
      <c r="C321" s="69" t="s">
        <v>2343</v>
      </c>
      <c r="D321" s="56">
        <v>42040</v>
      </c>
      <c r="F321" s="56"/>
      <c r="G321" s="69" t="str">
        <f t="shared" si="4"/>
        <v>Both</v>
      </c>
      <c r="H321" s="69" t="s">
        <v>922</v>
      </c>
      <c r="J321" s="69" t="s">
        <v>2023</v>
      </c>
      <c r="K321" s="69" t="s">
        <v>2023</v>
      </c>
      <c r="L321" s="253">
        <v>35.791111112000003</v>
      </c>
      <c r="M321" s="253">
        <v>40.401941729130435</v>
      </c>
      <c r="N321" s="253">
        <v>37.283066736794432</v>
      </c>
      <c r="O321" s="253">
        <v>37.859707713684216</v>
      </c>
      <c r="P321" s="253">
        <v>38.1</v>
      </c>
      <c r="Q321" s="253">
        <v>43.58</v>
      </c>
      <c r="R321" s="253">
        <v>42.156194130000003</v>
      </c>
      <c r="S321" s="253">
        <v>37.326894500000002</v>
      </c>
      <c r="T321" s="253">
        <v>38.450000000000003</v>
      </c>
      <c r="U321" s="253">
        <v>45.274999999999999</v>
      </c>
      <c r="V321" s="253">
        <v>26.906249999999996</v>
      </c>
      <c r="W321" s="253">
        <v>39</v>
      </c>
      <c r="X321" s="253">
        <v>30.410714285714292</v>
      </c>
      <c r="Y321" s="253">
        <v>42.133738599999994</v>
      </c>
      <c r="Z321" s="253">
        <v>26.555555559999998</v>
      </c>
      <c r="AA321" s="253"/>
      <c r="AB321" s="253"/>
      <c r="AC321" s="253"/>
      <c r="AD321" s="253"/>
      <c r="AE321" s="253"/>
    </row>
    <row r="322" spans="1:31">
      <c r="A322" s="33">
        <v>321</v>
      </c>
      <c r="B322" s="69" t="s">
        <v>2023</v>
      </c>
      <c r="C322" s="69" t="s">
        <v>2343</v>
      </c>
      <c r="D322" s="56">
        <v>42040</v>
      </c>
      <c r="F322" s="56"/>
      <c r="G322" s="69" t="str">
        <f t="shared" ref="G322:G385" si="5">IF(V322&gt;0,IF(W322&gt;0,"Both","E-Commerce"),IF(W322=0, "ERROR","User Registration"))</f>
        <v>Both</v>
      </c>
      <c r="H322" s="69" t="s">
        <v>922</v>
      </c>
      <c r="J322" s="69" t="s">
        <v>2023</v>
      </c>
      <c r="K322" s="69" t="s">
        <v>2344</v>
      </c>
      <c r="L322" s="253">
        <v>38.409096169999998</v>
      </c>
      <c r="M322" s="253">
        <v>40.770151290000001</v>
      </c>
      <c r="N322" s="253">
        <v>32.513082481672477</v>
      </c>
      <c r="O322" s="253">
        <v>44.315458756315792</v>
      </c>
      <c r="P322" s="253">
        <v>36.849282299999999</v>
      </c>
      <c r="Q322" s="253">
        <v>41.359999999999992</v>
      </c>
      <c r="R322" s="253">
        <v>44.171301720000002</v>
      </c>
      <c r="S322" s="253">
        <v>36.05090028</v>
      </c>
      <c r="T322" s="253">
        <v>32.500000000000007</v>
      </c>
      <c r="U322" s="253">
        <v>44.083333330000002</v>
      </c>
      <c r="V322" s="253">
        <v>26.336538458999996</v>
      </c>
      <c r="W322" s="253">
        <v>27</v>
      </c>
      <c r="X322" s="253">
        <v>33.660714285714285</v>
      </c>
      <c r="Y322" s="253">
        <v>45.299845439999999</v>
      </c>
      <c r="Z322" s="253">
        <v>44.648351650000002</v>
      </c>
      <c r="AA322" s="253"/>
      <c r="AB322" s="253"/>
      <c r="AC322" s="253"/>
      <c r="AD322" s="253"/>
      <c r="AE322" s="253"/>
    </row>
    <row r="323" spans="1:31">
      <c r="A323" s="33">
        <v>322</v>
      </c>
      <c r="B323" s="69" t="s">
        <v>2023</v>
      </c>
      <c r="C323" s="69" t="s">
        <v>2343</v>
      </c>
      <c r="D323" s="56">
        <v>42040</v>
      </c>
      <c r="F323" s="56"/>
      <c r="G323" s="69" t="str">
        <f t="shared" si="5"/>
        <v>Both</v>
      </c>
      <c r="H323" s="69" t="s">
        <v>922</v>
      </c>
      <c r="J323" s="69" t="s">
        <v>2023</v>
      </c>
      <c r="K323" s="69" t="s">
        <v>1807</v>
      </c>
      <c r="L323" s="253">
        <v>52.628853174</v>
      </c>
      <c r="M323" s="253">
        <v>50.958824136521727</v>
      </c>
      <c r="N323" s="253">
        <v>45.004091780696861</v>
      </c>
      <c r="O323" s="253">
        <v>54.486004892105257</v>
      </c>
      <c r="P323" s="253">
        <v>51.617699120000005</v>
      </c>
      <c r="Q323" s="253">
        <v>48.399999999999991</v>
      </c>
      <c r="R323" s="253">
        <v>49.756531930000001</v>
      </c>
      <c r="S323" s="253">
        <v>55.416321239999995</v>
      </c>
      <c r="T323" s="253">
        <v>43.75</v>
      </c>
      <c r="U323" s="253">
        <v>52.681614349999997</v>
      </c>
      <c r="V323" s="253">
        <v>34.632116785000001</v>
      </c>
      <c r="W323" s="253">
        <v>45</v>
      </c>
      <c r="X323" s="253">
        <v>41.785714285714285</v>
      </c>
      <c r="Y323" s="253">
        <v>54.853736090000005</v>
      </c>
      <c r="Z323" s="253">
        <v>56.673469389999994</v>
      </c>
      <c r="AA323" s="253"/>
      <c r="AB323" s="253"/>
      <c r="AC323" s="253"/>
      <c r="AD323" s="253"/>
      <c r="AE323" s="253"/>
    </row>
    <row r="324" spans="1:31">
      <c r="A324" s="33">
        <v>323</v>
      </c>
      <c r="B324" s="69" t="s">
        <v>2023</v>
      </c>
      <c r="C324" s="69" t="s">
        <v>2343</v>
      </c>
      <c r="D324" s="56">
        <v>42040</v>
      </c>
      <c r="F324" s="56"/>
      <c r="G324" s="69" t="str">
        <f t="shared" si="5"/>
        <v>Both</v>
      </c>
      <c r="H324" s="69" t="s">
        <v>922</v>
      </c>
      <c r="J324" s="69" t="s">
        <v>2023</v>
      </c>
      <c r="K324" s="69" t="s">
        <v>1628</v>
      </c>
      <c r="L324" s="253">
        <v>45.037563308000003</v>
      </c>
      <c r="M324" s="253">
        <v>48.310018342086948</v>
      </c>
      <c r="N324" s="253">
        <v>52.729119280355398</v>
      </c>
      <c r="O324" s="253">
        <v>55.434304012210518</v>
      </c>
      <c r="P324" s="253">
        <v>42.425884959999998</v>
      </c>
      <c r="Q324" s="253">
        <v>47.121481482</v>
      </c>
      <c r="R324" s="253">
        <v>53.600145769999997</v>
      </c>
      <c r="S324" s="253">
        <v>51.307692309999993</v>
      </c>
      <c r="T324" s="253">
        <v>35</v>
      </c>
      <c r="U324" s="253">
        <v>46.688888890000001</v>
      </c>
      <c r="V324" s="253">
        <v>33.414457831999997</v>
      </c>
      <c r="W324" s="253">
        <v>52</v>
      </c>
      <c r="X324" s="253">
        <v>54.910714285714292</v>
      </c>
      <c r="Y324" s="253">
        <v>57.020092739999996</v>
      </c>
      <c r="Z324" s="253">
        <v>55.484276700000002</v>
      </c>
      <c r="AA324" s="253"/>
      <c r="AB324" s="253"/>
      <c r="AC324" s="253"/>
      <c r="AD324" s="253"/>
      <c r="AE324" s="253"/>
    </row>
    <row r="325" spans="1:31">
      <c r="A325" s="33">
        <v>324</v>
      </c>
      <c r="B325" s="69" t="s">
        <v>2023</v>
      </c>
      <c r="C325" s="69" t="s">
        <v>2343</v>
      </c>
      <c r="D325" s="56">
        <v>42040</v>
      </c>
      <c r="F325" s="56"/>
      <c r="G325" s="69" t="str">
        <f t="shared" si="5"/>
        <v>Both</v>
      </c>
      <c r="H325" s="69" t="s">
        <v>922</v>
      </c>
      <c r="J325" s="69" t="s">
        <v>2023</v>
      </c>
      <c r="K325" s="151" t="s">
        <v>2014</v>
      </c>
      <c r="L325" s="253">
        <v>56.498417207999992</v>
      </c>
      <c r="M325" s="253">
        <v>52.065162757391299</v>
      </c>
      <c r="N325" s="253">
        <v>55.624475391916384</v>
      </c>
      <c r="O325" s="253">
        <v>51.689738802105268</v>
      </c>
      <c r="P325" s="253">
        <v>57.488281249999993</v>
      </c>
      <c r="Q325" s="253">
        <v>54</v>
      </c>
      <c r="R325" s="253">
        <v>53.445819939999993</v>
      </c>
      <c r="S325" s="253">
        <v>53.191489359999998</v>
      </c>
      <c r="T325" s="253">
        <v>48.000000000000007</v>
      </c>
      <c r="U325" s="253">
        <v>50.485152840000005</v>
      </c>
      <c r="V325" s="253">
        <v>42.619302949999998</v>
      </c>
      <c r="W325" s="253">
        <v>55</v>
      </c>
      <c r="X325" s="253">
        <v>58.160714285714285</v>
      </c>
      <c r="Y325" s="253">
        <v>50.532710280000003</v>
      </c>
      <c r="Z325" s="253">
        <v>52.538961039999997</v>
      </c>
      <c r="AA325" s="253"/>
      <c r="AB325" s="253"/>
      <c r="AC325" s="253"/>
      <c r="AD325" s="253"/>
      <c r="AE325" s="253"/>
    </row>
    <row r="326" spans="1:31">
      <c r="A326" s="33">
        <v>325</v>
      </c>
      <c r="B326" s="69" t="s">
        <v>2023</v>
      </c>
      <c r="C326" s="69" t="s">
        <v>2343</v>
      </c>
      <c r="D326" s="56">
        <v>42040</v>
      </c>
      <c r="F326" s="56"/>
      <c r="G326" s="69" t="str">
        <f t="shared" si="5"/>
        <v>E-Commerce</v>
      </c>
      <c r="H326" s="69" t="s">
        <v>922</v>
      </c>
      <c r="J326" s="69" t="s">
        <v>2023</v>
      </c>
      <c r="K326" s="69" t="s">
        <v>2045</v>
      </c>
      <c r="L326" s="253">
        <v>40.199861544000001</v>
      </c>
      <c r="M326" s="253">
        <v>42.805826212086956</v>
      </c>
      <c r="N326" s="253">
        <v>22.636525476365854</v>
      </c>
      <c r="O326" s="253">
        <v>47.607391761947369</v>
      </c>
      <c r="P326" s="253">
        <v>40.018518520000001</v>
      </c>
      <c r="Q326" s="253">
        <v>43.186172836999994</v>
      </c>
      <c r="R326" s="253">
        <v>47.089837670000001</v>
      </c>
      <c r="S326" s="253">
        <v>44.970302099999998</v>
      </c>
      <c r="T326" s="253">
        <v>30.25</v>
      </c>
      <c r="U326" s="253">
        <v>44.771689500000001</v>
      </c>
      <c r="V326" s="253">
        <v>33.147632315000003</v>
      </c>
      <c r="W326" s="253"/>
      <c r="X326" s="253">
        <v>43</v>
      </c>
      <c r="Y326" s="253">
        <v>51.7578125</v>
      </c>
      <c r="Z326" s="253">
        <v>40.925233640000002</v>
      </c>
      <c r="AA326" s="253"/>
      <c r="AB326" s="253"/>
      <c r="AC326" s="253"/>
      <c r="AD326" s="253"/>
      <c r="AE326" s="253"/>
    </row>
    <row r="327" spans="1:31">
      <c r="A327" s="33">
        <v>326</v>
      </c>
      <c r="B327" s="69" t="s">
        <v>2023</v>
      </c>
      <c r="C327" s="69" t="s">
        <v>2343</v>
      </c>
      <c r="D327" s="56">
        <v>42040</v>
      </c>
      <c r="F327" s="56"/>
      <c r="G327" s="69" t="str">
        <f t="shared" si="5"/>
        <v>Both</v>
      </c>
      <c r="H327" s="69" t="s">
        <v>922</v>
      </c>
      <c r="J327" s="69" t="s">
        <v>2023</v>
      </c>
      <c r="K327" s="69" t="s">
        <v>2024</v>
      </c>
      <c r="L327" s="253">
        <v>37.619926346</v>
      </c>
      <c r="M327" s="253">
        <v>39.961211899739133</v>
      </c>
      <c r="N327" s="253">
        <v>33.804733231780489</v>
      </c>
      <c r="O327" s="253">
        <v>42.887942743736843</v>
      </c>
      <c r="P327" s="253">
        <v>38.54086538</v>
      </c>
      <c r="Q327" s="253">
        <v>35.770000000999993</v>
      </c>
      <c r="R327" s="253">
        <v>46.447343750000002</v>
      </c>
      <c r="S327" s="253">
        <v>44.707191779999995</v>
      </c>
      <c r="T327" s="253">
        <v>32</v>
      </c>
      <c r="U327" s="253">
        <v>40.218009479999999</v>
      </c>
      <c r="V327" s="253">
        <v>31.708010333999997</v>
      </c>
      <c r="W327" s="253">
        <v>26</v>
      </c>
      <c r="X327" s="253">
        <v>40</v>
      </c>
      <c r="Y327" s="253">
        <v>47.18181818</v>
      </c>
      <c r="Z327" s="253">
        <v>33.93617021</v>
      </c>
      <c r="AA327" s="253"/>
      <c r="AB327" s="253"/>
      <c r="AC327" s="253"/>
      <c r="AD327" s="253"/>
      <c r="AE327" s="253"/>
    </row>
    <row r="328" spans="1:31">
      <c r="A328" s="33">
        <v>327</v>
      </c>
      <c r="B328" s="69" t="s">
        <v>2331</v>
      </c>
      <c r="C328" s="69" t="s">
        <v>1639</v>
      </c>
      <c r="D328" s="56">
        <v>42040</v>
      </c>
      <c r="F328" s="56"/>
      <c r="G328" s="69" t="str">
        <f t="shared" si="5"/>
        <v>User Registration</v>
      </c>
      <c r="H328" s="69" t="s">
        <v>494</v>
      </c>
      <c r="J328" s="69" t="s">
        <v>2331</v>
      </c>
      <c r="K328" s="69" t="s">
        <v>932</v>
      </c>
      <c r="L328" s="253">
        <v>59.599999999999994</v>
      </c>
      <c r="M328" s="253">
        <v>53.018695652173911</v>
      </c>
      <c r="N328" s="253">
        <v>51.201463414634141</v>
      </c>
      <c r="O328" s="253">
        <v>49.285263157894732</v>
      </c>
      <c r="P328" s="253">
        <v>61</v>
      </c>
      <c r="Q328" s="253">
        <v>45.42</v>
      </c>
      <c r="R328" s="253">
        <v>57.999999999999993</v>
      </c>
      <c r="S328" s="253">
        <v>55</v>
      </c>
      <c r="T328" s="253">
        <v>53.250000000000007</v>
      </c>
      <c r="U328" s="253">
        <v>52</v>
      </c>
      <c r="V328" s="253"/>
      <c r="W328" s="253">
        <v>50</v>
      </c>
      <c r="X328" s="253">
        <v>51.249999999999993</v>
      </c>
      <c r="Y328" s="253">
        <v>45</v>
      </c>
      <c r="Z328" s="253">
        <v>54</v>
      </c>
      <c r="AA328" s="253"/>
      <c r="AB328" s="253"/>
      <c r="AC328" s="253"/>
      <c r="AD328" s="253"/>
      <c r="AE328" s="253"/>
    </row>
    <row r="329" spans="1:31">
      <c r="A329" s="33">
        <v>328</v>
      </c>
      <c r="B329" s="69" t="s">
        <v>2184</v>
      </c>
      <c r="C329" s="69" t="s">
        <v>740</v>
      </c>
      <c r="D329" s="56">
        <v>42041</v>
      </c>
      <c r="G329" s="69" t="str">
        <f t="shared" si="5"/>
        <v>User Registration</v>
      </c>
      <c r="H329" s="69" t="s">
        <v>749</v>
      </c>
      <c r="J329" s="69" t="s">
        <v>2184</v>
      </c>
      <c r="K329" s="69" t="s">
        <v>2187</v>
      </c>
      <c r="L329" s="253">
        <v>64.782589080000008</v>
      </c>
      <c r="M329" s="253">
        <v>63.286107783404255</v>
      </c>
      <c r="N329" s="253">
        <v>58.840859299999991</v>
      </c>
      <c r="O329" s="253">
        <v>74.646430682105262</v>
      </c>
      <c r="P329" s="253">
        <v>64.379399140000004</v>
      </c>
      <c r="Q329" s="253">
        <v>66.131386860000006</v>
      </c>
      <c r="R329" s="253">
        <v>62.34684511999999</v>
      </c>
      <c r="S329" s="253">
        <v>61.679738559999997</v>
      </c>
      <c r="T329" s="253"/>
      <c r="U329" s="253">
        <v>62.866666670000001</v>
      </c>
      <c r="V329" s="253"/>
      <c r="W329" s="253">
        <v>53</v>
      </c>
      <c r="X329" s="253"/>
      <c r="Y329" s="253">
        <v>83.38006231</v>
      </c>
      <c r="Z329" s="253">
        <v>66.395348839999997</v>
      </c>
      <c r="AA329" s="253"/>
      <c r="AB329" s="253"/>
      <c r="AC329" s="253"/>
      <c r="AD329" s="253"/>
      <c r="AE329" s="253"/>
    </row>
    <row r="330" spans="1:31">
      <c r="A330" s="33">
        <v>329</v>
      </c>
      <c r="B330" s="69" t="s">
        <v>2184</v>
      </c>
      <c r="C330" s="69" t="s">
        <v>740</v>
      </c>
      <c r="D330" s="56">
        <v>42041</v>
      </c>
      <c r="G330" s="69" t="str">
        <f t="shared" si="5"/>
        <v>User Registration</v>
      </c>
      <c r="H330" s="69" t="s">
        <v>749</v>
      </c>
      <c r="J330" s="69" t="s">
        <v>2184</v>
      </c>
      <c r="K330" s="69" t="s">
        <v>373</v>
      </c>
      <c r="L330" s="253">
        <v>64.126564480000013</v>
      </c>
      <c r="M330" s="253">
        <v>60.318276303404247</v>
      </c>
      <c r="N330" s="253">
        <v>72.468402980243908</v>
      </c>
      <c r="O330" s="253">
        <v>72.680881488421065</v>
      </c>
      <c r="P330" s="253">
        <v>65.277253220000006</v>
      </c>
      <c r="Q330" s="253">
        <v>61.094890509999999</v>
      </c>
      <c r="R330" s="253">
        <v>59.319975110000001</v>
      </c>
      <c r="S330" s="253">
        <v>63.00653595</v>
      </c>
      <c r="T330" s="253"/>
      <c r="U330" s="253">
        <v>60.633187769999992</v>
      </c>
      <c r="V330" s="253"/>
      <c r="W330" s="253">
        <v>76</v>
      </c>
      <c r="X330" s="253"/>
      <c r="Y330" s="253">
        <v>84.057632400000003</v>
      </c>
      <c r="Z330" s="253">
        <v>59.52380952</v>
      </c>
      <c r="AA330" s="253"/>
      <c r="AB330" s="253"/>
      <c r="AC330" s="253"/>
      <c r="AD330" s="253"/>
      <c r="AE330" s="253"/>
    </row>
    <row r="331" spans="1:31">
      <c r="A331" s="33">
        <v>330</v>
      </c>
      <c r="B331" s="69" t="s">
        <v>2184</v>
      </c>
      <c r="C331" s="69" t="s">
        <v>740</v>
      </c>
      <c r="D331" s="56">
        <v>42041</v>
      </c>
      <c r="F331" s="56"/>
      <c r="G331" s="69" t="str">
        <f t="shared" si="5"/>
        <v>ERROR</v>
      </c>
      <c r="H331" s="69" t="s">
        <v>749</v>
      </c>
      <c r="J331" s="69" t="s">
        <v>2184</v>
      </c>
      <c r="K331" s="69" t="s">
        <v>2189</v>
      </c>
      <c r="L331" s="253">
        <v>41.86386916</v>
      </c>
      <c r="M331" s="253">
        <v>46.020666067234046</v>
      </c>
      <c r="N331" s="253">
        <v>34.59904169</v>
      </c>
      <c r="O331" s="253">
        <v>57.505121176842096</v>
      </c>
      <c r="P331" s="253">
        <v>42.547639480000001</v>
      </c>
      <c r="Q331" s="253">
        <v>42.919708030000002</v>
      </c>
      <c r="R331" s="253">
        <v>48.300264199999994</v>
      </c>
      <c r="S331" s="253">
        <v>41.58526603</v>
      </c>
      <c r="T331" s="253"/>
      <c r="U331" s="253">
        <v>49.429223739999998</v>
      </c>
      <c r="V331" s="253"/>
      <c r="W331" s="253"/>
      <c r="X331" s="253"/>
      <c r="Y331" s="253">
        <v>71.584786050000005</v>
      </c>
      <c r="Z331" s="253">
        <v>39.128787879999997</v>
      </c>
      <c r="AA331" s="253"/>
      <c r="AB331" s="253"/>
      <c r="AC331" s="253"/>
      <c r="AD331" s="253"/>
      <c r="AE331" s="253"/>
    </row>
    <row r="332" spans="1:31">
      <c r="A332" s="33">
        <v>331</v>
      </c>
      <c r="B332" s="69" t="s">
        <v>2184</v>
      </c>
      <c r="C332" s="69" t="s">
        <v>740</v>
      </c>
      <c r="D332" s="56">
        <v>42041</v>
      </c>
      <c r="F332" s="56"/>
      <c r="G332" s="69" t="str">
        <f t="shared" si="5"/>
        <v>ERROR</v>
      </c>
      <c r="H332" s="69" t="s">
        <v>749</v>
      </c>
      <c r="J332" s="69" t="s">
        <v>2184</v>
      </c>
      <c r="K332" s="69" t="s">
        <v>2186</v>
      </c>
      <c r="L332" s="253">
        <v>52.991499153999996</v>
      </c>
      <c r="M332" s="253">
        <v>53.870120648297878</v>
      </c>
      <c r="N332" s="253">
        <v>44.488912626097566</v>
      </c>
      <c r="O332" s="253">
        <v>59.880569322105266</v>
      </c>
      <c r="P332" s="253">
        <v>51.537339059999994</v>
      </c>
      <c r="Q332" s="253">
        <v>68.978102190000001</v>
      </c>
      <c r="R332" s="253">
        <v>52.851851849999996</v>
      </c>
      <c r="S332" s="253">
        <v>45.94895288</v>
      </c>
      <c r="T332" s="253"/>
      <c r="U332" s="253">
        <v>49.125560540000002</v>
      </c>
      <c r="V332" s="253"/>
      <c r="W332" s="253"/>
      <c r="X332" s="253"/>
      <c r="Y332" s="253">
        <v>62.305936070000001</v>
      </c>
      <c r="Z332" s="253">
        <v>58.808139530000005</v>
      </c>
      <c r="AA332" s="253"/>
      <c r="AB332" s="253"/>
      <c r="AC332" s="253"/>
      <c r="AD332" s="253"/>
      <c r="AE332" s="253"/>
    </row>
    <row r="333" spans="1:31">
      <c r="A333" s="33">
        <v>332</v>
      </c>
      <c r="B333" s="69" t="s">
        <v>2184</v>
      </c>
      <c r="C333" s="69" t="s">
        <v>740</v>
      </c>
      <c r="D333" s="56">
        <v>42041</v>
      </c>
      <c r="F333" s="56"/>
      <c r="G333" s="69" t="str">
        <f t="shared" si="5"/>
        <v>User Registration</v>
      </c>
      <c r="H333" s="69" t="s">
        <v>749</v>
      </c>
      <c r="J333" s="69" t="s">
        <v>2184</v>
      </c>
      <c r="K333" s="69" t="s">
        <v>2184</v>
      </c>
      <c r="L333" s="253">
        <v>49.974581869999994</v>
      </c>
      <c r="M333" s="253">
        <v>42.206552415531917</v>
      </c>
      <c r="N333" s="253">
        <v>46.895475273658533</v>
      </c>
      <c r="O333" s="253">
        <v>49.954579942105255</v>
      </c>
      <c r="P333" s="253">
        <v>48.019742489999999</v>
      </c>
      <c r="Q333" s="253">
        <v>42.481751819999999</v>
      </c>
      <c r="R333" s="253">
        <v>43.21153846</v>
      </c>
      <c r="S333" s="253">
        <v>40.259308509999997</v>
      </c>
      <c r="T333" s="253"/>
      <c r="U333" s="253">
        <v>33.40611354</v>
      </c>
      <c r="V333" s="253"/>
      <c r="W333" s="253">
        <v>48</v>
      </c>
      <c r="X333" s="253"/>
      <c r="Y333" s="253">
        <v>49.100318469999998</v>
      </c>
      <c r="Z333" s="253">
        <v>57.793939389999991</v>
      </c>
      <c r="AA333" s="253"/>
      <c r="AB333" s="253"/>
      <c r="AC333" s="253"/>
      <c r="AD333" s="253"/>
      <c r="AE333" s="253"/>
    </row>
    <row r="334" spans="1:31">
      <c r="A334" s="33">
        <v>333</v>
      </c>
      <c r="B334" s="69" t="s">
        <v>2318</v>
      </c>
      <c r="C334" s="151" t="s">
        <v>740</v>
      </c>
      <c r="D334" s="56">
        <v>42042</v>
      </c>
      <c r="F334" s="56"/>
      <c r="G334" s="69" t="str">
        <f t="shared" si="5"/>
        <v>E-Commerce</v>
      </c>
      <c r="H334" s="69" t="s">
        <v>749</v>
      </c>
      <c r="J334" s="69" t="s">
        <v>2318</v>
      </c>
      <c r="K334" s="69" t="s">
        <v>2318</v>
      </c>
      <c r="L334" s="253">
        <v>57.442395465999994</v>
      </c>
      <c r="M334" s="253">
        <v>58.57693904754386</v>
      </c>
      <c r="N334" s="253">
        <v>59.194271805172413</v>
      </c>
      <c r="O334" s="253">
        <v>68.010456320000003</v>
      </c>
      <c r="P334" s="253">
        <v>57.440373559999998</v>
      </c>
      <c r="Q334" s="253">
        <v>62.87104622999999</v>
      </c>
      <c r="R334" s="253">
        <v>56.942851210000001</v>
      </c>
      <c r="S334" s="253">
        <v>56.238286479999999</v>
      </c>
      <c r="T334" s="253"/>
      <c r="U334" s="253">
        <v>60.493827160000002</v>
      </c>
      <c r="V334" s="253">
        <v>59.318181820000007</v>
      </c>
      <c r="W334" s="253"/>
      <c r="X334" s="253"/>
      <c r="Y334" s="253">
        <v>77.195121950000001</v>
      </c>
      <c r="Z334" s="253">
        <v>57.450483090000006</v>
      </c>
      <c r="AA334" s="253"/>
      <c r="AB334" s="253"/>
      <c r="AC334" s="253"/>
      <c r="AD334" s="253"/>
      <c r="AE334" s="253"/>
    </row>
    <row r="335" spans="1:31">
      <c r="A335" s="33">
        <v>334</v>
      </c>
      <c r="B335" s="69" t="s">
        <v>2318</v>
      </c>
      <c r="C335" s="151" t="s">
        <v>740</v>
      </c>
      <c r="D335" s="56">
        <v>42042</v>
      </c>
      <c r="F335" s="56"/>
      <c r="G335" s="69" t="str">
        <f t="shared" si="5"/>
        <v>E-Commerce</v>
      </c>
      <c r="H335" s="69" t="s">
        <v>749</v>
      </c>
      <c r="J335" s="69" t="s">
        <v>2318</v>
      </c>
      <c r="K335" s="69" t="s">
        <v>2327</v>
      </c>
      <c r="L335" s="253">
        <v>61.370656126000007</v>
      </c>
      <c r="M335" s="253">
        <v>59.260042526491226</v>
      </c>
      <c r="N335" s="253">
        <v>60.705382292758621</v>
      </c>
      <c r="O335" s="253">
        <v>72.639813493684215</v>
      </c>
      <c r="P335" s="253">
        <v>60.82695652000001</v>
      </c>
      <c r="Q335" s="253">
        <v>60.875912409999998</v>
      </c>
      <c r="R335" s="253">
        <v>59.284075909999999</v>
      </c>
      <c r="S335" s="253">
        <v>55.583989499999994</v>
      </c>
      <c r="T335" s="253"/>
      <c r="U335" s="253">
        <v>56.459227470000002</v>
      </c>
      <c r="V335" s="253">
        <v>61.106194690000002</v>
      </c>
      <c r="W335" s="253"/>
      <c r="X335" s="253"/>
      <c r="Y335" s="253">
        <v>82.74011299</v>
      </c>
      <c r="Z335" s="253">
        <v>63.545454550000002</v>
      </c>
      <c r="AA335" s="253"/>
      <c r="AB335" s="253"/>
      <c r="AC335" s="253"/>
      <c r="AD335" s="253"/>
      <c r="AE335" s="253"/>
    </row>
    <row r="336" spans="1:31">
      <c r="A336" s="33">
        <v>335</v>
      </c>
      <c r="B336" s="69" t="s">
        <v>2318</v>
      </c>
      <c r="C336" s="151" t="s">
        <v>740</v>
      </c>
      <c r="D336" s="56">
        <v>42042</v>
      </c>
      <c r="F336" s="56"/>
      <c r="G336" s="69" t="str">
        <f t="shared" si="5"/>
        <v>E-Commerce</v>
      </c>
      <c r="H336" s="69" t="s">
        <v>749</v>
      </c>
      <c r="J336" s="69" t="s">
        <v>2318</v>
      </c>
      <c r="K336" s="69" t="s">
        <v>2328</v>
      </c>
      <c r="L336" s="253">
        <v>65.895617041999998</v>
      </c>
      <c r="M336" s="253">
        <v>60.878955321929816</v>
      </c>
      <c r="N336" s="253">
        <v>57.707389226206907</v>
      </c>
      <c r="O336" s="253">
        <v>70.763305974736852</v>
      </c>
      <c r="P336" s="253">
        <v>62.776086960000001</v>
      </c>
      <c r="Q336" s="253">
        <v>70.194647200000006</v>
      </c>
      <c r="R336" s="253">
        <v>63.356356359999999</v>
      </c>
      <c r="S336" s="253">
        <v>58.707392650000003</v>
      </c>
      <c r="T336" s="253"/>
      <c r="U336" s="253">
        <v>49.62962962999999</v>
      </c>
      <c r="V336" s="253">
        <v>54.139610390000001</v>
      </c>
      <c r="W336" s="253"/>
      <c r="X336" s="253"/>
      <c r="Y336" s="253">
        <v>69.701937409999999</v>
      </c>
      <c r="Z336" s="253">
        <v>78.373737370000001</v>
      </c>
      <c r="AA336" s="253"/>
      <c r="AB336" s="253"/>
      <c r="AC336" s="253"/>
      <c r="AD336" s="253"/>
      <c r="AE336" s="253"/>
    </row>
    <row r="337" spans="1:31">
      <c r="A337" s="33">
        <v>336</v>
      </c>
      <c r="B337" s="69" t="s">
        <v>2318</v>
      </c>
      <c r="C337" s="151" t="s">
        <v>740</v>
      </c>
      <c r="D337" s="56">
        <v>42042</v>
      </c>
      <c r="F337" s="56"/>
      <c r="G337" s="69" t="str">
        <f t="shared" si="5"/>
        <v>E-Commerce</v>
      </c>
      <c r="H337" s="69" t="s">
        <v>749</v>
      </c>
      <c r="J337" s="69" t="s">
        <v>2318</v>
      </c>
      <c r="K337" s="69" t="s">
        <v>2329</v>
      </c>
      <c r="L337" s="253">
        <v>57.275188401999998</v>
      </c>
      <c r="M337" s="253">
        <v>57.509164474561402</v>
      </c>
      <c r="N337" s="253">
        <v>59.65943529724138</v>
      </c>
      <c r="O337" s="253">
        <v>66.892193642105255</v>
      </c>
      <c r="P337" s="253">
        <v>55.26065217</v>
      </c>
      <c r="Q337" s="253">
        <v>53.722627739999993</v>
      </c>
      <c r="R337" s="253">
        <v>56.406043299999993</v>
      </c>
      <c r="S337" s="253">
        <v>53.950863210000001</v>
      </c>
      <c r="T337" s="253"/>
      <c r="U337" s="253">
        <v>56.193415639999998</v>
      </c>
      <c r="V337" s="253">
        <v>61.525974029999993</v>
      </c>
      <c r="W337" s="253"/>
      <c r="X337" s="253"/>
      <c r="Y337" s="253">
        <v>72.379943499999996</v>
      </c>
      <c r="Z337" s="253">
        <v>65.333333330000002</v>
      </c>
      <c r="AA337" s="253"/>
      <c r="AB337" s="253"/>
      <c r="AC337" s="253"/>
      <c r="AD337" s="253"/>
      <c r="AE337" s="253"/>
    </row>
    <row r="338" spans="1:31">
      <c r="A338" s="33">
        <v>337</v>
      </c>
      <c r="B338" s="69" t="s">
        <v>2318</v>
      </c>
      <c r="C338" s="151" t="s">
        <v>740</v>
      </c>
      <c r="D338" s="56">
        <v>42042</v>
      </c>
      <c r="F338" s="56"/>
      <c r="G338" s="69" t="str">
        <f t="shared" si="5"/>
        <v>E-Commerce</v>
      </c>
      <c r="H338" s="69" t="s">
        <v>749</v>
      </c>
      <c r="J338" s="69" t="s">
        <v>2318</v>
      </c>
      <c r="K338" s="69" t="s">
        <v>2330</v>
      </c>
      <c r="L338" s="253">
        <v>64.430303031999998</v>
      </c>
      <c r="M338" s="253">
        <v>62.562869200701762</v>
      </c>
      <c r="N338" s="253">
        <v>63.674151558965519</v>
      </c>
      <c r="O338" s="253">
        <v>69.126879954736836</v>
      </c>
      <c r="P338" s="253">
        <v>64.666666669999998</v>
      </c>
      <c r="Q338" s="253">
        <v>62.469586369999995</v>
      </c>
      <c r="R338" s="253">
        <v>60.849002849999998</v>
      </c>
      <c r="S338" s="253">
        <v>61.173260569999997</v>
      </c>
      <c r="T338" s="253"/>
      <c r="U338" s="253">
        <v>64.279835390000002</v>
      </c>
      <c r="V338" s="253">
        <v>64.702380950000006</v>
      </c>
      <c r="W338" s="253"/>
      <c r="X338" s="253"/>
      <c r="Y338" s="253">
        <v>75.064562409999994</v>
      </c>
      <c r="Z338" s="253">
        <v>63.484848479999997</v>
      </c>
      <c r="AA338" s="253"/>
      <c r="AB338" s="253"/>
      <c r="AC338" s="253"/>
      <c r="AD338" s="253"/>
      <c r="AE338" s="253"/>
    </row>
    <row r="339" spans="1:31">
      <c r="A339" s="33">
        <v>338</v>
      </c>
      <c r="B339" s="69" t="s">
        <v>2319</v>
      </c>
      <c r="C339" s="69" t="s">
        <v>2241</v>
      </c>
      <c r="D339" s="56">
        <v>42047</v>
      </c>
      <c r="F339" s="56"/>
      <c r="G339" s="69" t="str">
        <f t="shared" si="5"/>
        <v>E-Commerce</v>
      </c>
      <c r="H339" s="69" t="s">
        <v>2320</v>
      </c>
      <c r="J339" s="69" t="s">
        <v>2319</v>
      </c>
      <c r="K339" s="89" t="s">
        <v>2321</v>
      </c>
      <c r="L339" s="253">
        <v>63.233913136455513</v>
      </c>
      <c r="M339" s="253">
        <v>58.524034026412465</v>
      </c>
      <c r="N339" s="253">
        <v>46.541734415037254</v>
      </c>
      <c r="O339" s="253">
        <v>59.477993771105353</v>
      </c>
      <c r="P339" s="253">
        <v>62.215468343646307</v>
      </c>
      <c r="Q339" s="253">
        <v>59.542857142857137</v>
      </c>
      <c r="R339" s="253">
        <v>53.081362565922582</v>
      </c>
      <c r="S339" s="253">
        <v>57.837837837837832</v>
      </c>
      <c r="T339" s="253"/>
      <c r="U339" s="253">
        <v>66.785714285714278</v>
      </c>
      <c r="V339" s="253">
        <v>56.556291390728475</v>
      </c>
      <c r="W339" s="253"/>
      <c r="X339" s="253">
        <v>53</v>
      </c>
      <c r="Y339" s="253">
        <v>56.999999999999993</v>
      </c>
      <c r="Z339" s="253">
        <v>67.307692307692307</v>
      </c>
      <c r="AA339" s="253"/>
      <c r="AB339" s="253"/>
      <c r="AC339" s="253"/>
      <c r="AD339" s="253"/>
      <c r="AE339" s="253"/>
    </row>
    <row r="340" spans="1:31">
      <c r="A340" s="33">
        <v>339</v>
      </c>
      <c r="B340" s="69" t="s">
        <v>2319</v>
      </c>
      <c r="C340" s="69" t="s">
        <v>2241</v>
      </c>
      <c r="D340" s="56">
        <v>42047</v>
      </c>
      <c r="F340" s="56"/>
      <c r="G340" s="69" t="str">
        <f t="shared" si="5"/>
        <v>E-Commerce</v>
      </c>
      <c r="H340" s="69" t="s">
        <v>2320</v>
      </c>
      <c r="J340" s="69" t="s">
        <v>2319</v>
      </c>
      <c r="K340" s="89" t="s">
        <v>2322</v>
      </c>
      <c r="L340" s="253">
        <v>68.203370131995371</v>
      </c>
      <c r="M340" s="253">
        <v>66.188183390761864</v>
      </c>
      <c r="N340" s="253">
        <v>45.974664620992741</v>
      </c>
      <c r="O340" s="253">
        <v>74.008581150463101</v>
      </c>
      <c r="P340" s="253">
        <v>68.3888280496096</v>
      </c>
      <c r="Q340" s="253">
        <v>58.267857142857146</v>
      </c>
      <c r="R340" s="253">
        <v>64.573025483403939</v>
      </c>
      <c r="S340" s="253">
        <v>71.441441441441441</v>
      </c>
      <c r="T340" s="253"/>
      <c r="U340" s="253">
        <v>69.464285714285708</v>
      </c>
      <c r="V340" s="253">
        <v>67.105960264900659</v>
      </c>
      <c r="W340" s="253"/>
      <c r="X340" s="253">
        <v>48</v>
      </c>
      <c r="Y340" s="253">
        <v>81</v>
      </c>
      <c r="Z340" s="253">
        <v>67.461538461538467</v>
      </c>
      <c r="AA340" s="253"/>
      <c r="AB340" s="253"/>
      <c r="AC340" s="253"/>
      <c r="AD340" s="253"/>
      <c r="AE340" s="253"/>
    </row>
    <row r="341" spans="1:31">
      <c r="A341" s="33">
        <v>340</v>
      </c>
      <c r="B341" s="69" t="s">
        <v>2319</v>
      </c>
      <c r="C341" s="69" t="s">
        <v>2241</v>
      </c>
      <c r="D341" s="56">
        <v>42047</v>
      </c>
      <c r="F341" s="56"/>
      <c r="G341" s="69" t="str">
        <f t="shared" si="5"/>
        <v>E-Commerce</v>
      </c>
      <c r="H341" s="69" t="s">
        <v>2320</v>
      </c>
      <c r="J341" s="69" t="s">
        <v>2319</v>
      </c>
      <c r="K341" s="89" t="s">
        <v>2323</v>
      </c>
      <c r="L341" s="253">
        <v>51.205956002566168</v>
      </c>
      <c r="M341" s="253">
        <v>51.303333665895153</v>
      </c>
      <c r="N341" s="253">
        <v>37.813918999306892</v>
      </c>
      <c r="O341" s="253">
        <v>56.395341371432913</v>
      </c>
      <c r="P341" s="253">
        <v>48.430521926284634</v>
      </c>
      <c r="Q341" s="253">
        <v>42.357142857142861</v>
      </c>
      <c r="R341" s="253">
        <v>47.659292182161927</v>
      </c>
      <c r="S341" s="253">
        <v>52.297297297297298</v>
      </c>
      <c r="T341" s="253"/>
      <c r="U341" s="253">
        <v>61.25</v>
      </c>
      <c r="V341" s="253">
        <v>47.913907284768214</v>
      </c>
      <c r="W341" s="253"/>
      <c r="X341" s="253">
        <v>61</v>
      </c>
      <c r="Y341" s="253">
        <v>56.999999999999993</v>
      </c>
      <c r="Z341" s="253">
        <v>62.307692307692307</v>
      </c>
      <c r="AA341" s="253"/>
      <c r="AB341" s="253"/>
      <c r="AC341" s="253"/>
      <c r="AD341" s="253"/>
      <c r="AE341" s="253"/>
    </row>
    <row r="342" spans="1:31">
      <c r="A342" s="33">
        <v>341</v>
      </c>
      <c r="B342" s="69" t="s">
        <v>2319</v>
      </c>
      <c r="C342" s="69" t="s">
        <v>2241</v>
      </c>
      <c r="D342" s="56">
        <v>42047</v>
      </c>
      <c r="F342" s="56"/>
      <c r="G342" s="69" t="str">
        <f t="shared" si="5"/>
        <v>E-Commerce</v>
      </c>
      <c r="H342" s="69" t="s">
        <v>2320</v>
      </c>
      <c r="J342" s="69" t="s">
        <v>2319</v>
      </c>
      <c r="K342" s="89" t="s">
        <v>2324</v>
      </c>
      <c r="L342" s="253">
        <v>65.227722782901694</v>
      </c>
      <c r="M342" s="253">
        <v>62.700694384056234</v>
      </c>
      <c r="N342" s="253">
        <v>53.387540273591213</v>
      </c>
      <c r="O342" s="253">
        <v>68.776151661763222</v>
      </c>
      <c r="P342" s="253">
        <v>65.573115017088639</v>
      </c>
      <c r="Q342" s="253">
        <v>43.964285714285715</v>
      </c>
      <c r="R342" s="253">
        <v>59.546183584493313</v>
      </c>
      <c r="S342" s="253">
        <v>64.459459459459453</v>
      </c>
      <c r="T342" s="253"/>
      <c r="U342" s="253">
        <v>75.178571428571431</v>
      </c>
      <c r="V342" s="253">
        <v>66.145695364238406</v>
      </c>
      <c r="W342" s="253"/>
      <c r="X342" s="253">
        <v>63</v>
      </c>
      <c r="Y342" s="253">
        <v>76</v>
      </c>
      <c r="Z342" s="253">
        <v>63.84615384615384</v>
      </c>
      <c r="AA342" s="253"/>
      <c r="AB342" s="253"/>
      <c r="AC342" s="253"/>
      <c r="AD342" s="253"/>
      <c r="AE342" s="253"/>
    </row>
    <row r="343" spans="1:31">
      <c r="A343" s="33">
        <v>342</v>
      </c>
      <c r="B343" s="151" t="s">
        <v>2319</v>
      </c>
      <c r="C343" s="69" t="s">
        <v>2241</v>
      </c>
      <c r="D343" s="56">
        <v>42047</v>
      </c>
      <c r="F343" s="56"/>
      <c r="G343" s="69" t="str">
        <f t="shared" si="5"/>
        <v>E-Commerce</v>
      </c>
      <c r="H343" s="69" t="s">
        <v>2320</v>
      </c>
      <c r="J343" s="151" t="s">
        <v>2319</v>
      </c>
      <c r="K343" s="277" t="s">
        <v>1644</v>
      </c>
      <c r="L343" s="253">
        <v>43.659232461233401</v>
      </c>
      <c r="M343" s="253">
        <v>38.344157107828096</v>
      </c>
      <c r="N343" s="253">
        <v>32.090180272052741</v>
      </c>
      <c r="O343" s="253">
        <v>45.188292070077232</v>
      </c>
      <c r="P343" s="253">
        <v>41.6509636534648</v>
      </c>
      <c r="Q343" s="253">
        <v>47.982142857142861</v>
      </c>
      <c r="R343" s="253">
        <v>40.593961033420058</v>
      </c>
      <c r="S343" s="253">
        <v>30.945945945945947</v>
      </c>
      <c r="T343" s="253"/>
      <c r="U343" s="253">
        <v>36.071428571428569</v>
      </c>
      <c r="V343" s="253">
        <v>28.099337748344372</v>
      </c>
      <c r="W343" s="253"/>
      <c r="X343" s="253">
        <v>41</v>
      </c>
      <c r="Y343" s="253">
        <v>44</v>
      </c>
      <c r="Z343" s="253">
        <v>51.692307692307693</v>
      </c>
      <c r="AA343" s="253"/>
      <c r="AB343" s="253"/>
      <c r="AC343" s="253"/>
      <c r="AD343" s="253"/>
      <c r="AE343" s="253"/>
    </row>
    <row r="344" spans="1:31">
      <c r="A344" s="33">
        <v>343</v>
      </c>
      <c r="B344" s="151" t="s">
        <v>2319</v>
      </c>
      <c r="C344" s="69" t="s">
        <v>2241</v>
      </c>
      <c r="D344" s="56">
        <v>42047</v>
      </c>
      <c r="F344" s="56"/>
      <c r="G344" s="69" t="str">
        <f t="shared" si="5"/>
        <v>E-Commerce</v>
      </c>
      <c r="H344" s="69" t="s">
        <v>2320</v>
      </c>
      <c r="J344" s="151" t="s">
        <v>2319</v>
      </c>
      <c r="K344" s="277" t="s">
        <v>2325</v>
      </c>
      <c r="L344" s="253">
        <v>50.634742658471474</v>
      </c>
      <c r="M344" s="253">
        <v>51.338516819953149</v>
      </c>
      <c r="N344" s="253">
        <v>46.77803118402425</v>
      </c>
      <c r="O344" s="253">
        <v>57.00507672726642</v>
      </c>
      <c r="P344" s="253">
        <v>46.562659092320111</v>
      </c>
      <c r="Q344" s="253">
        <v>57.721428571428568</v>
      </c>
      <c r="R344" s="253">
        <v>47.609552045354228</v>
      </c>
      <c r="S344" s="253">
        <v>45.54054054054054</v>
      </c>
      <c r="T344" s="253"/>
      <c r="U344" s="253">
        <v>56.25</v>
      </c>
      <c r="V344" s="253">
        <v>45.741721854304636</v>
      </c>
      <c r="W344" s="253"/>
      <c r="X344" s="253">
        <v>57.999999999999993</v>
      </c>
      <c r="Y344" s="253">
        <v>55</v>
      </c>
      <c r="Z344" s="253">
        <v>66.92307692307692</v>
      </c>
      <c r="AA344" s="253"/>
      <c r="AB344" s="253"/>
      <c r="AC344" s="253"/>
      <c r="AD344" s="253"/>
      <c r="AE344" s="253"/>
    </row>
    <row r="345" spans="1:31">
      <c r="A345" s="33">
        <v>344</v>
      </c>
      <c r="B345" s="151" t="s">
        <v>2319</v>
      </c>
      <c r="C345" s="69" t="s">
        <v>2241</v>
      </c>
      <c r="D345" s="56">
        <v>42047</v>
      </c>
      <c r="F345" s="56"/>
      <c r="G345" s="69" t="str">
        <f t="shared" si="5"/>
        <v>E-Commerce</v>
      </c>
      <c r="H345" s="69" t="s">
        <v>2320</v>
      </c>
      <c r="J345" s="151" t="s">
        <v>2319</v>
      </c>
      <c r="K345" s="277" t="s">
        <v>2326</v>
      </c>
      <c r="L345" s="253">
        <v>54.057558825355436</v>
      </c>
      <c r="M345" s="253">
        <v>60.752347823745843</v>
      </c>
      <c r="N345" s="253">
        <v>52.661658435287286</v>
      </c>
      <c r="O345" s="253">
        <v>56.136161110598991</v>
      </c>
      <c r="P345" s="253">
        <v>51.129640839386603</v>
      </c>
      <c r="Q345" s="253">
        <v>66.903571428571425</v>
      </c>
      <c r="R345" s="253">
        <v>59.405154399814265</v>
      </c>
      <c r="S345" s="253">
        <v>52.027027027027025</v>
      </c>
      <c r="T345" s="253"/>
      <c r="U345" s="253">
        <v>62.5</v>
      </c>
      <c r="V345" s="253">
        <v>60.735099337748345</v>
      </c>
      <c r="W345" s="253"/>
      <c r="X345" s="253">
        <v>65</v>
      </c>
      <c r="Y345" s="253">
        <v>50</v>
      </c>
      <c r="Z345" s="253">
        <v>65.769230769230774</v>
      </c>
      <c r="AA345" s="253"/>
      <c r="AB345" s="253"/>
      <c r="AC345" s="253"/>
      <c r="AD345" s="253"/>
      <c r="AE345" s="253"/>
    </row>
    <row r="346" spans="1:31">
      <c r="A346" s="33">
        <v>345</v>
      </c>
      <c r="B346" s="270" t="s">
        <v>2310</v>
      </c>
      <c r="C346" s="151" t="s">
        <v>740</v>
      </c>
      <c r="D346" s="268">
        <v>42056</v>
      </c>
      <c r="E346" s="269"/>
      <c r="F346" s="268"/>
      <c r="G346" s="69" t="str">
        <f t="shared" si="5"/>
        <v>User Registration</v>
      </c>
      <c r="H346" s="151" t="s">
        <v>922</v>
      </c>
      <c r="I346" s="151"/>
      <c r="J346" s="270" t="s">
        <v>2310</v>
      </c>
      <c r="K346" s="270" t="s">
        <v>2311</v>
      </c>
      <c r="L346" s="253">
        <v>58.456308131999997</v>
      </c>
      <c r="M346" s="253">
        <v>61.465860998297863</v>
      </c>
      <c r="N346" s="253">
        <v>54.152054430000007</v>
      </c>
      <c r="O346" s="253">
        <v>60.96682276736842</v>
      </c>
      <c r="P346" s="253">
        <v>57.164979760000001</v>
      </c>
      <c r="Q346" s="253">
        <v>71.895973150000003</v>
      </c>
      <c r="R346" s="253">
        <v>59.841052029999993</v>
      </c>
      <c r="S346" s="253">
        <v>55.112018669999998</v>
      </c>
      <c r="T346" s="253"/>
      <c r="U346" s="253">
        <v>61.191836729999991</v>
      </c>
      <c r="V346" s="253"/>
      <c r="W346" s="253">
        <v>45</v>
      </c>
      <c r="X346" s="253">
        <v>62.124999999999993</v>
      </c>
      <c r="Y346" s="253">
        <v>59.357142859999996</v>
      </c>
      <c r="Z346" s="253">
        <v>63.621621619999999</v>
      </c>
      <c r="AA346" s="253"/>
      <c r="AB346" s="253"/>
      <c r="AC346" s="253"/>
      <c r="AD346" s="253"/>
      <c r="AE346" s="253"/>
    </row>
    <row r="347" spans="1:31">
      <c r="A347" s="33">
        <v>346</v>
      </c>
      <c r="B347" s="69" t="s">
        <v>2310</v>
      </c>
      <c r="C347" s="69" t="s">
        <v>740</v>
      </c>
      <c r="D347" s="56">
        <v>42056</v>
      </c>
      <c r="G347" s="69" t="str">
        <f t="shared" si="5"/>
        <v>User Registration</v>
      </c>
      <c r="H347" s="69" t="s">
        <v>922</v>
      </c>
      <c r="J347" s="69" t="s">
        <v>2310</v>
      </c>
      <c r="K347" s="69" t="s">
        <v>2312</v>
      </c>
      <c r="L347" s="253">
        <v>55.469082229999998</v>
      </c>
      <c r="M347" s="253">
        <v>60.989777465319158</v>
      </c>
      <c r="N347" s="253">
        <v>54.012814670975608</v>
      </c>
      <c r="O347" s="253">
        <v>64.086315905263163</v>
      </c>
      <c r="P347" s="253">
        <v>55.067346939999993</v>
      </c>
      <c r="Q347" s="253">
        <v>66.493288590000006</v>
      </c>
      <c r="R347" s="253">
        <v>63.507589289999999</v>
      </c>
      <c r="S347" s="253">
        <v>51.807372180000002</v>
      </c>
      <c r="T347" s="253"/>
      <c r="U347" s="253">
        <v>60.11836735</v>
      </c>
      <c r="V347" s="253"/>
      <c r="W347" s="253">
        <v>40</v>
      </c>
      <c r="X347" s="253">
        <v>69.5</v>
      </c>
      <c r="Y347" s="253">
        <v>68.694404590000005</v>
      </c>
      <c r="Z347" s="253">
        <v>57.07602339000001</v>
      </c>
      <c r="AA347" s="253"/>
      <c r="AB347" s="253"/>
      <c r="AC347" s="253"/>
      <c r="AD347" s="253"/>
      <c r="AE347" s="253"/>
    </row>
    <row r="348" spans="1:31">
      <c r="A348" s="33">
        <v>347</v>
      </c>
      <c r="B348" s="69" t="s">
        <v>2313</v>
      </c>
      <c r="C348" s="69" t="s">
        <v>740</v>
      </c>
      <c r="D348" s="56">
        <v>42056</v>
      </c>
      <c r="G348" s="69" t="str">
        <f t="shared" si="5"/>
        <v>User Registration</v>
      </c>
      <c r="H348" s="69" t="s">
        <v>922</v>
      </c>
      <c r="J348" s="69" t="s">
        <v>2313</v>
      </c>
      <c r="K348" s="69" t="s">
        <v>1626</v>
      </c>
      <c r="L348" s="253">
        <v>55.202224358000009</v>
      </c>
      <c r="M348" s="253">
        <v>58.358213557659575</v>
      </c>
      <c r="N348" s="253">
        <v>63.311988171794866</v>
      </c>
      <c r="O348" s="253">
        <v>57.729218446315791</v>
      </c>
      <c r="P348" s="253">
        <v>53.066951570000001</v>
      </c>
      <c r="Q348" s="253">
        <v>65.899280579999996</v>
      </c>
      <c r="R348" s="253">
        <v>56.911616160000001</v>
      </c>
      <c r="S348" s="253">
        <v>49.378205130000005</v>
      </c>
      <c r="T348" s="253"/>
      <c r="U348" s="253">
        <v>59.422222219999995</v>
      </c>
      <c r="V348" s="253"/>
      <c r="W348" s="253">
        <v>57.999999999999993</v>
      </c>
      <c r="X348" s="253">
        <v>77</v>
      </c>
      <c r="Y348" s="253">
        <v>54.903785489999997</v>
      </c>
      <c r="Z348" s="253">
        <v>63.743315509999995</v>
      </c>
      <c r="AA348" s="253"/>
      <c r="AB348" s="253"/>
      <c r="AC348" s="253"/>
      <c r="AD348" s="253"/>
      <c r="AE348" s="253"/>
    </row>
    <row r="349" spans="1:31">
      <c r="A349" s="33">
        <v>348</v>
      </c>
      <c r="B349" s="69" t="s">
        <v>2313</v>
      </c>
      <c r="C349" s="69" t="s">
        <v>740</v>
      </c>
      <c r="D349" s="56">
        <v>42056</v>
      </c>
      <c r="G349" s="69" t="str">
        <f t="shared" si="5"/>
        <v>User Registration</v>
      </c>
      <c r="H349" s="69" t="s">
        <v>922</v>
      </c>
      <c r="J349" s="69" t="s">
        <v>2313</v>
      </c>
      <c r="K349" s="69" t="s">
        <v>1807</v>
      </c>
      <c r="L349" s="253">
        <v>56.044764387999997</v>
      </c>
      <c r="M349" s="253">
        <v>54.512749781276604</v>
      </c>
      <c r="N349" s="253">
        <v>59.982834728717947</v>
      </c>
      <c r="O349" s="253">
        <v>52.672713042105265</v>
      </c>
      <c r="P349" s="253">
        <v>55.098290599999999</v>
      </c>
      <c r="Q349" s="253">
        <v>65.563549159999994</v>
      </c>
      <c r="R349" s="253">
        <v>50.439984490000001</v>
      </c>
      <c r="S349" s="253">
        <v>52.608974360000005</v>
      </c>
      <c r="T349" s="253"/>
      <c r="U349" s="253">
        <v>48.257575759999995</v>
      </c>
      <c r="V349" s="253"/>
      <c r="W349" s="253">
        <v>62</v>
      </c>
      <c r="X349" s="253">
        <v>60</v>
      </c>
      <c r="Y349" s="253">
        <v>55.257575760000002</v>
      </c>
      <c r="Z349" s="253">
        <v>59.830659539999999</v>
      </c>
      <c r="AA349" s="253"/>
      <c r="AB349" s="253"/>
      <c r="AC349" s="253"/>
      <c r="AD349" s="253"/>
      <c r="AE349" s="253"/>
    </row>
    <row r="350" spans="1:31">
      <c r="A350" s="33">
        <v>349</v>
      </c>
      <c r="B350" s="69" t="s">
        <v>2310</v>
      </c>
      <c r="C350" s="69" t="s">
        <v>740</v>
      </c>
      <c r="D350" s="56">
        <v>42056</v>
      </c>
      <c r="G350" s="69" t="str">
        <f t="shared" si="5"/>
        <v>User Registration</v>
      </c>
      <c r="H350" s="69" t="s">
        <v>922</v>
      </c>
      <c r="J350" s="69" t="s">
        <v>2310</v>
      </c>
      <c r="K350" s="69" t="s">
        <v>2314</v>
      </c>
      <c r="L350" s="253">
        <v>49.367680178000001</v>
      </c>
      <c r="M350" s="253">
        <v>50.08962398276595</v>
      </c>
      <c r="N350" s="253">
        <v>46.411314794634151</v>
      </c>
      <c r="O350" s="253">
        <v>50.294933427368413</v>
      </c>
      <c r="P350" s="253">
        <v>44.942708330000002</v>
      </c>
      <c r="Q350" s="253">
        <v>64.345637580000002</v>
      </c>
      <c r="R350" s="253">
        <v>49.721165640000002</v>
      </c>
      <c r="S350" s="253">
        <v>38.692214110000002</v>
      </c>
      <c r="T350" s="253"/>
      <c r="U350" s="253">
        <v>40.622406640000001</v>
      </c>
      <c r="V350" s="253"/>
      <c r="W350" s="253">
        <v>33</v>
      </c>
      <c r="X350" s="253">
        <v>62.624999999999993</v>
      </c>
      <c r="Y350" s="253">
        <v>41.77857143</v>
      </c>
      <c r="Z350" s="253">
        <v>67.067567569999994</v>
      </c>
      <c r="AA350" s="253"/>
      <c r="AB350" s="253"/>
      <c r="AC350" s="253"/>
      <c r="AD350" s="253"/>
      <c r="AE350" s="253"/>
    </row>
    <row r="351" spans="1:31">
      <c r="A351" s="33">
        <v>350</v>
      </c>
      <c r="B351" s="69" t="s">
        <v>2313</v>
      </c>
      <c r="C351" s="69" t="s">
        <v>740</v>
      </c>
      <c r="D351" s="56">
        <v>42056</v>
      </c>
      <c r="G351" s="69" t="str">
        <f t="shared" si="5"/>
        <v>User Registration</v>
      </c>
      <c r="H351" s="69" t="s">
        <v>922</v>
      </c>
      <c r="J351" s="69" t="s">
        <v>2313</v>
      </c>
      <c r="K351" s="69" t="s">
        <v>2014</v>
      </c>
      <c r="L351" s="253">
        <v>53.855749044</v>
      </c>
      <c r="M351" s="253">
        <v>55.147061790638297</v>
      </c>
      <c r="N351" s="253">
        <v>62.547621293846156</v>
      </c>
      <c r="O351" s="253">
        <v>52.765787865263157</v>
      </c>
      <c r="P351" s="253">
        <v>54.50997151</v>
      </c>
      <c r="Q351" s="253">
        <v>64.124700239999996</v>
      </c>
      <c r="R351" s="253">
        <v>54.497188289999997</v>
      </c>
      <c r="S351" s="253">
        <v>48.61538462</v>
      </c>
      <c r="T351" s="253"/>
      <c r="U351" s="253">
        <v>56.933333330000004</v>
      </c>
      <c r="V351" s="253"/>
      <c r="W351" s="253">
        <v>68</v>
      </c>
      <c r="X351" s="253">
        <v>56.000000000000007</v>
      </c>
      <c r="Y351" s="253">
        <v>52.462121209999999</v>
      </c>
      <c r="Z351" s="253">
        <v>51.238859179999992</v>
      </c>
      <c r="AA351" s="253"/>
      <c r="AB351" s="253"/>
      <c r="AC351" s="253"/>
      <c r="AD351" s="253"/>
      <c r="AE351" s="253"/>
    </row>
    <row r="352" spans="1:31">
      <c r="A352" s="33">
        <v>351</v>
      </c>
      <c r="B352" s="69" t="s">
        <v>2313</v>
      </c>
      <c r="C352" s="69" t="s">
        <v>740</v>
      </c>
      <c r="D352" s="56">
        <v>42056</v>
      </c>
      <c r="G352" s="69" t="str">
        <f t="shared" si="5"/>
        <v>User Registration</v>
      </c>
      <c r="H352" s="69" t="s">
        <v>922</v>
      </c>
      <c r="J352" s="69" t="s">
        <v>2313</v>
      </c>
      <c r="K352" s="69" t="s">
        <v>2315</v>
      </c>
      <c r="L352" s="253">
        <v>54.154906527999998</v>
      </c>
      <c r="M352" s="253">
        <v>55.589486196170213</v>
      </c>
      <c r="N352" s="253">
        <v>66.170743233076919</v>
      </c>
      <c r="O352" s="253">
        <v>52.755943942105262</v>
      </c>
      <c r="P352" s="253">
        <v>54.952991449999999</v>
      </c>
      <c r="Q352" s="253">
        <v>63.980815349999993</v>
      </c>
      <c r="R352" s="253">
        <v>58.119423339999997</v>
      </c>
      <c r="S352" s="253">
        <v>47.121794870000002</v>
      </c>
      <c r="T352" s="253"/>
      <c r="U352" s="253">
        <v>52.888888889999997</v>
      </c>
      <c r="V352" s="253"/>
      <c r="W352" s="253">
        <v>67</v>
      </c>
      <c r="X352" s="253">
        <v>70</v>
      </c>
      <c r="Y352" s="253">
        <v>52.020864379999999</v>
      </c>
      <c r="Z352" s="253">
        <v>50.962566840000001</v>
      </c>
      <c r="AA352" s="253"/>
      <c r="AB352" s="253"/>
      <c r="AC352" s="253"/>
      <c r="AD352" s="253"/>
      <c r="AE352" s="253"/>
    </row>
    <row r="353" spans="1:31">
      <c r="A353" s="33">
        <v>352</v>
      </c>
      <c r="B353" s="69" t="s">
        <v>2310</v>
      </c>
      <c r="C353" s="69" t="s">
        <v>740</v>
      </c>
      <c r="D353" s="56">
        <v>42056</v>
      </c>
      <c r="G353" s="69" t="str">
        <f t="shared" si="5"/>
        <v>User Registration</v>
      </c>
      <c r="H353" s="69" t="s">
        <v>922</v>
      </c>
      <c r="J353" s="69" t="s">
        <v>2310</v>
      </c>
      <c r="K353" s="69" t="s">
        <v>2310</v>
      </c>
      <c r="L353" s="253">
        <v>45.348856550000001</v>
      </c>
      <c r="M353" s="253">
        <v>50.902823943617022</v>
      </c>
      <c r="N353" s="253">
        <v>37.502091507073168</v>
      </c>
      <c r="O353" s="253">
        <v>53.075651314210525</v>
      </c>
      <c r="P353" s="253">
        <v>40.80769231</v>
      </c>
      <c r="Q353" s="253">
        <v>62.718120810000002</v>
      </c>
      <c r="R353" s="253">
        <v>50.155231560000004</v>
      </c>
      <c r="S353" s="253">
        <v>45.198366389999997</v>
      </c>
      <c r="T353" s="253"/>
      <c r="U353" s="253">
        <v>42.426160340000003</v>
      </c>
      <c r="V353" s="253"/>
      <c r="W353" s="253">
        <v>18</v>
      </c>
      <c r="X353" s="253">
        <v>57.375</v>
      </c>
      <c r="Y353" s="253">
        <v>48.264285710000003</v>
      </c>
      <c r="Z353" s="253">
        <v>63.51351351000001</v>
      </c>
      <c r="AA353" s="253"/>
      <c r="AB353" s="253"/>
      <c r="AC353" s="253"/>
      <c r="AD353" s="253"/>
      <c r="AE353" s="253"/>
    </row>
    <row r="354" spans="1:31">
      <c r="A354" s="33">
        <v>353</v>
      </c>
      <c r="B354" s="151" t="s">
        <v>2313</v>
      </c>
      <c r="C354" s="151" t="s">
        <v>740</v>
      </c>
      <c r="D354" s="268">
        <v>42056</v>
      </c>
      <c r="F354" s="268"/>
      <c r="G354" s="69" t="str">
        <f t="shared" si="5"/>
        <v>User Registration</v>
      </c>
      <c r="H354" s="151" t="s">
        <v>922</v>
      </c>
      <c r="I354" s="151"/>
      <c r="J354" s="151" t="s">
        <v>2313</v>
      </c>
      <c r="K354" s="151" t="s">
        <v>2313</v>
      </c>
      <c r="L354" s="253">
        <v>48.097092106000005</v>
      </c>
      <c r="M354" s="253">
        <v>52.159586354255325</v>
      </c>
      <c r="N354" s="253">
        <v>50.309122213589738</v>
      </c>
      <c r="O354" s="253">
        <v>52.073296345789466</v>
      </c>
      <c r="P354" s="253">
        <v>46.492131620000002</v>
      </c>
      <c r="Q354" s="253">
        <v>53.364508389999997</v>
      </c>
      <c r="R354" s="253">
        <v>51.993706859999996</v>
      </c>
      <c r="S354" s="253">
        <v>45.512820509999997</v>
      </c>
      <c r="T354" s="253"/>
      <c r="U354" s="253">
        <v>54.577777780000005</v>
      </c>
      <c r="V354" s="253"/>
      <c r="W354" s="253">
        <v>51</v>
      </c>
      <c r="X354" s="253">
        <v>46.999999999999993</v>
      </c>
      <c r="Y354" s="253">
        <v>51.394321769999998</v>
      </c>
      <c r="Z354" s="253">
        <v>54.516934049999996</v>
      </c>
      <c r="AA354" s="253"/>
      <c r="AB354" s="253"/>
      <c r="AC354" s="253"/>
      <c r="AD354" s="253"/>
      <c r="AE354" s="253"/>
    </row>
    <row r="355" spans="1:31">
      <c r="A355" s="33">
        <v>354</v>
      </c>
      <c r="B355" s="270" t="s">
        <v>2310</v>
      </c>
      <c r="C355" s="151" t="s">
        <v>740</v>
      </c>
      <c r="D355" s="268">
        <v>42056</v>
      </c>
      <c r="F355" s="268"/>
      <c r="G355" s="69" t="str">
        <f t="shared" si="5"/>
        <v>User Registration</v>
      </c>
      <c r="H355" s="151" t="s">
        <v>922</v>
      </c>
      <c r="I355" s="151"/>
      <c r="J355" s="270" t="s">
        <v>2310</v>
      </c>
      <c r="K355" s="270" t="s">
        <v>2316</v>
      </c>
      <c r="L355" s="253">
        <v>51.492088854000002</v>
      </c>
      <c r="M355" s="253">
        <v>51.657014929574473</v>
      </c>
      <c r="N355" s="253">
        <v>47.09354752707317</v>
      </c>
      <c r="O355" s="253">
        <v>53.379588251578944</v>
      </c>
      <c r="P355" s="253">
        <v>50.067813770000001</v>
      </c>
      <c r="Q355" s="253">
        <v>49.949664429999991</v>
      </c>
      <c r="R355" s="253">
        <v>51.414409220000003</v>
      </c>
      <c r="S355" s="253">
        <v>46.48774796</v>
      </c>
      <c r="T355" s="253"/>
      <c r="U355" s="253">
        <v>53.502109699999998</v>
      </c>
      <c r="V355" s="253"/>
      <c r="W355" s="253">
        <v>44</v>
      </c>
      <c r="X355" s="253">
        <v>49.375</v>
      </c>
      <c r="Y355" s="253">
        <v>52.9</v>
      </c>
      <c r="Z355" s="253">
        <v>57.18918919</v>
      </c>
      <c r="AA355" s="256"/>
      <c r="AB355" s="253"/>
      <c r="AC355" s="253"/>
      <c r="AD355" s="253"/>
      <c r="AE355" s="253"/>
    </row>
    <row r="356" spans="1:31">
      <c r="A356" s="33">
        <v>355</v>
      </c>
      <c r="B356" s="270" t="s">
        <v>2317</v>
      </c>
      <c r="C356" s="151" t="s">
        <v>740</v>
      </c>
      <c r="D356" s="268">
        <v>42056</v>
      </c>
      <c r="F356" s="268"/>
      <c r="G356" s="69" t="str">
        <f t="shared" si="5"/>
        <v>ERROR</v>
      </c>
      <c r="H356" s="151" t="s">
        <v>922</v>
      </c>
      <c r="I356" s="151"/>
      <c r="J356" s="270" t="s">
        <v>2317</v>
      </c>
      <c r="K356" s="270" t="s">
        <v>2317</v>
      </c>
      <c r="L356" s="253">
        <v>40.438364546000003</v>
      </c>
      <c r="M356" s="253">
        <v>42.66444438234042</v>
      </c>
      <c r="N356" s="253">
        <v>45.140322307948715</v>
      </c>
      <c r="O356" s="253">
        <v>43.332738498421051</v>
      </c>
      <c r="P356" s="253">
        <v>47.421853390000003</v>
      </c>
      <c r="Q356" s="253">
        <v>44.384787469999999</v>
      </c>
      <c r="R356" s="253">
        <v>49.553034599999997</v>
      </c>
      <c r="S356" s="253">
        <v>35.889570550000002</v>
      </c>
      <c r="T356" s="253"/>
      <c r="U356" s="253">
        <v>46.999999999999993</v>
      </c>
      <c r="V356" s="253"/>
      <c r="W356" s="253"/>
      <c r="X356" s="253">
        <v>51</v>
      </c>
      <c r="Y356" s="253">
        <v>58.141955840000001</v>
      </c>
      <c r="Z356" s="253"/>
      <c r="AA356" s="256"/>
      <c r="AB356" s="253"/>
      <c r="AC356" s="253"/>
      <c r="AD356" s="253"/>
      <c r="AE356" s="253"/>
    </row>
    <row r="357" spans="1:31">
      <c r="A357" s="33">
        <v>356</v>
      </c>
      <c r="B357" s="270" t="s">
        <v>2317</v>
      </c>
      <c r="C357" s="151" t="s">
        <v>740</v>
      </c>
      <c r="D357" s="268">
        <v>42056</v>
      </c>
      <c r="F357" s="268"/>
      <c r="G357" s="69" t="str">
        <f t="shared" si="5"/>
        <v>ERROR</v>
      </c>
      <c r="H357" s="151" t="s">
        <v>922</v>
      </c>
      <c r="I357" s="151"/>
      <c r="J357" s="270" t="s">
        <v>2317</v>
      </c>
      <c r="K357" s="270" t="s">
        <v>1628</v>
      </c>
      <c r="L357" s="253">
        <v>45.623223226</v>
      </c>
      <c r="M357" s="253">
        <v>49.003810605319153</v>
      </c>
      <c r="N357" s="253">
        <v>49.463266452564099</v>
      </c>
      <c r="O357" s="253">
        <v>53.177455651052639</v>
      </c>
      <c r="P357" s="253">
        <v>39.907407409999998</v>
      </c>
      <c r="Q357" s="253">
        <v>53.020134229999989</v>
      </c>
      <c r="R357" s="253">
        <v>48.334498160000003</v>
      </c>
      <c r="S357" s="253">
        <v>44.322649570000003</v>
      </c>
      <c r="T357" s="253"/>
      <c r="U357" s="253">
        <v>41</v>
      </c>
      <c r="V357" s="253"/>
      <c r="W357" s="253"/>
      <c r="X357" s="253">
        <v>50</v>
      </c>
      <c r="Y357" s="253">
        <v>47.392744479999998</v>
      </c>
      <c r="Z357" s="253">
        <v>68.486486490000004</v>
      </c>
      <c r="AA357" s="256"/>
      <c r="AB357" s="253"/>
      <c r="AC357" s="253"/>
      <c r="AD357" s="253"/>
      <c r="AE357" s="253"/>
    </row>
    <row r="358" spans="1:31">
      <c r="A358" s="33">
        <v>357</v>
      </c>
      <c r="B358" s="270" t="s">
        <v>2317</v>
      </c>
      <c r="C358" s="151" t="s">
        <v>740</v>
      </c>
      <c r="D358" s="268">
        <v>42056</v>
      </c>
      <c r="F358" s="268"/>
      <c r="G358" s="69" t="str">
        <f t="shared" si="5"/>
        <v>ERROR</v>
      </c>
      <c r="H358" s="151" t="s">
        <v>922</v>
      </c>
      <c r="I358" s="151"/>
      <c r="J358" s="270" t="s">
        <v>2317</v>
      </c>
      <c r="K358" s="270" t="s">
        <v>2045</v>
      </c>
      <c r="L358" s="253">
        <v>38.60552268</v>
      </c>
      <c r="M358" s="253">
        <v>40.94203425659574</v>
      </c>
      <c r="N358" s="253">
        <v>37.436277246666663</v>
      </c>
      <c r="O358" s="253">
        <v>42.503310907894736</v>
      </c>
      <c r="P358" s="253">
        <v>37.243589739999997</v>
      </c>
      <c r="Q358" s="253">
        <v>44.619686799999997</v>
      </c>
      <c r="R358" s="253">
        <v>42.692625370000002</v>
      </c>
      <c r="S358" s="253">
        <v>40.406451609999998</v>
      </c>
      <c r="T358" s="253"/>
      <c r="U358" s="253">
        <v>34</v>
      </c>
      <c r="V358" s="253"/>
      <c r="W358" s="253"/>
      <c r="X358" s="253">
        <v>43</v>
      </c>
      <c r="Y358" s="253">
        <v>41.68852459</v>
      </c>
      <c r="Z358" s="253">
        <v>44.053254440000003</v>
      </c>
      <c r="AA358" s="253"/>
      <c r="AB358" s="253"/>
      <c r="AC358" s="253"/>
      <c r="AD358" s="253"/>
      <c r="AE358" s="253"/>
    </row>
    <row r="359" spans="1:31">
      <c r="A359" s="33">
        <v>358</v>
      </c>
      <c r="B359" s="270" t="s">
        <v>2317</v>
      </c>
      <c r="C359" s="151" t="s">
        <v>740</v>
      </c>
      <c r="D359" s="268">
        <v>42056</v>
      </c>
      <c r="F359" s="268"/>
      <c r="G359" s="69" t="str">
        <f t="shared" si="5"/>
        <v>ERROR</v>
      </c>
      <c r="H359" s="151" t="s">
        <v>922</v>
      </c>
      <c r="I359" s="151"/>
      <c r="J359" s="270" t="s">
        <v>2317</v>
      </c>
      <c r="K359" s="270" t="s">
        <v>1626</v>
      </c>
      <c r="L359" s="253">
        <v>55.202224358000009</v>
      </c>
      <c r="M359" s="253">
        <v>58.358213557659575</v>
      </c>
      <c r="N359" s="253">
        <v>63.311988171794866</v>
      </c>
      <c r="O359" s="253">
        <v>57.729218446315791</v>
      </c>
      <c r="P359" s="253">
        <v>53.066951570000001</v>
      </c>
      <c r="Q359" s="253">
        <v>65.899280579999996</v>
      </c>
      <c r="R359" s="253">
        <v>56.911616160000001</v>
      </c>
      <c r="S359" s="253">
        <v>49.378205130000005</v>
      </c>
      <c r="T359" s="253"/>
      <c r="U359" s="253">
        <v>59.422222219999995</v>
      </c>
      <c r="V359" s="253"/>
      <c r="W359" s="253"/>
      <c r="X359" s="253">
        <v>77</v>
      </c>
      <c r="Y359" s="253">
        <v>54.903785489999997</v>
      </c>
      <c r="Z359" s="253">
        <v>63.743315509999995</v>
      </c>
      <c r="AA359" s="253"/>
      <c r="AB359" s="253"/>
      <c r="AC359" s="253"/>
      <c r="AD359" s="253"/>
      <c r="AE359" s="253"/>
    </row>
    <row r="360" spans="1:31">
      <c r="A360" s="33">
        <v>359</v>
      </c>
      <c r="B360" s="270" t="s">
        <v>2317</v>
      </c>
      <c r="C360" s="151" t="s">
        <v>740</v>
      </c>
      <c r="D360" s="268">
        <v>42056</v>
      </c>
      <c r="F360" s="268"/>
      <c r="G360" s="69" t="str">
        <f t="shared" si="5"/>
        <v>ERROR</v>
      </c>
      <c r="H360" s="151" t="s">
        <v>922</v>
      </c>
      <c r="I360" s="151"/>
      <c r="J360" s="270" t="s">
        <v>2317</v>
      </c>
      <c r="K360" s="270" t="s">
        <v>1807</v>
      </c>
      <c r="L360" s="253">
        <v>56.044764387999997</v>
      </c>
      <c r="M360" s="253">
        <v>54.512749781276604</v>
      </c>
      <c r="N360" s="253">
        <v>59.982834728717947</v>
      </c>
      <c r="O360" s="253">
        <v>52.672713042105265</v>
      </c>
      <c r="P360" s="253">
        <v>55.098290599999999</v>
      </c>
      <c r="Q360" s="253">
        <v>65.563549159999994</v>
      </c>
      <c r="R360" s="253">
        <v>50.439984490000001</v>
      </c>
      <c r="S360" s="253">
        <v>52.608974360000005</v>
      </c>
      <c r="T360" s="253"/>
      <c r="U360" s="253">
        <v>54.511111109999995</v>
      </c>
      <c r="V360" s="253"/>
      <c r="W360" s="253"/>
      <c r="X360" s="253">
        <v>60</v>
      </c>
      <c r="Y360" s="253">
        <v>48.257575759999995</v>
      </c>
      <c r="Z360" s="253">
        <v>59.830659539999999</v>
      </c>
      <c r="AA360" s="253"/>
      <c r="AB360" s="253"/>
      <c r="AC360" s="253"/>
      <c r="AD360" s="253"/>
      <c r="AE360" s="253"/>
    </row>
    <row r="361" spans="1:31">
      <c r="A361" s="33">
        <v>360</v>
      </c>
      <c r="B361" s="69" t="s">
        <v>2318</v>
      </c>
      <c r="C361" s="69" t="s">
        <v>1639</v>
      </c>
      <c r="D361" s="268">
        <v>42056</v>
      </c>
      <c r="F361" s="268"/>
      <c r="G361" s="69" t="str">
        <f t="shared" si="5"/>
        <v>E-Commerce</v>
      </c>
      <c r="H361" s="69" t="s">
        <v>749</v>
      </c>
      <c r="J361" s="69" t="s">
        <v>2318</v>
      </c>
      <c r="K361" s="69" t="s">
        <v>2318</v>
      </c>
      <c r="L361" s="253">
        <v>56.357113817999995</v>
      </c>
      <c r="M361" s="253">
        <v>57.679893042982457</v>
      </c>
      <c r="N361" s="253">
        <v>55.5737260024138</v>
      </c>
      <c r="O361" s="253">
        <v>64.756487047894737</v>
      </c>
      <c r="P361" s="253">
        <v>0</v>
      </c>
      <c r="Q361" s="253">
        <v>62.87104622999999</v>
      </c>
      <c r="R361" s="253">
        <v>56.559708129999997</v>
      </c>
      <c r="S361" s="253">
        <v>55.193621869999994</v>
      </c>
      <c r="T361" s="253">
        <v>56.000000000000007</v>
      </c>
      <c r="U361" s="253">
        <v>62.007722009999995</v>
      </c>
      <c r="V361" s="253">
        <v>54.400000000000006</v>
      </c>
      <c r="W361" s="253"/>
      <c r="X361" s="253"/>
      <c r="Y361" s="253"/>
      <c r="Z361" s="253">
        <v>51.452235769999994</v>
      </c>
      <c r="AA361" s="253"/>
      <c r="AB361" s="253"/>
      <c r="AC361" s="253"/>
      <c r="AD361" s="253"/>
      <c r="AE361" s="253"/>
    </row>
    <row r="362" spans="1:31">
      <c r="A362" s="33">
        <v>361</v>
      </c>
      <c r="B362" s="63" t="s">
        <v>2306</v>
      </c>
      <c r="C362" s="69" t="s">
        <v>740</v>
      </c>
      <c r="D362" s="56">
        <v>42065</v>
      </c>
      <c r="F362" s="56"/>
      <c r="G362" s="69" t="str">
        <f t="shared" si="5"/>
        <v>E-Commerce</v>
      </c>
      <c r="H362" s="69" t="s">
        <v>749</v>
      </c>
      <c r="J362" s="63" t="s">
        <v>2306</v>
      </c>
      <c r="K362" s="63" t="s">
        <v>2306</v>
      </c>
      <c r="L362" s="253">
        <v>50.483643990000004</v>
      </c>
      <c r="M362" s="253">
        <v>54.716754134561405</v>
      </c>
      <c r="N362" s="253">
        <v>51.954828339999992</v>
      </c>
      <c r="O362" s="253">
        <v>65.396069010000005</v>
      </c>
      <c r="P362" s="253">
        <v>47.00900901</v>
      </c>
      <c r="Q362" s="253">
        <v>52.5859375</v>
      </c>
      <c r="R362" s="253">
        <v>53.900982259999992</v>
      </c>
      <c r="S362" s="253">
        <v>54.94318182</v>
      </c>
      <c r="T362" s="253"/>
      <c r="U362" s="253">
        <v>56.098654709999991</v>
      </c>
      <c r="V362" s="253">
        <v>51.276315789999991</v>
      </c>
      <c r="W362" s="253"/>
      <c r="X362" s="253">
        <v>57.375</v>
      </c>
      <c r="Y362" s="253">
        <v>70.528330780000005</v>
      </c>
      <c r="Z362" s="253">
        <v>64.382183909999995</v>
      </c>
      <c r="AA362" s="253"/>
      <c r="AB362" s="253"/>
      <c r="AC362" s="253"/>
      <c r="AD362" s="253"/>
      <c r="AE362" s="253"/>
    </row>
    <row r="363" spans="1:31">
      <c r="A363" s="33">
        <v>362</v>
      </c>
      <c r="B363" s="63" t="s">
        <v>2306</v>
      </c>
      <c r="C363" s="69" t="s">
        <v>740</v>
      </c>
      <c r="D363" s="56">
        <v>42065</v>
      </c>
      <c r="F363" s="56"/>
      <c r="G363" s="69" t="str">
        <f t="shared" si="5"/>
        <v>E-Commerce</v>
      </c>
      <c r="H363" s="69" t="s">
        <v>749</v>
      </c>
      <c r="J363" s="63" t="s">
        <v>2306</v>
      </c>
      <c r="K363" s="69" t="s">
        <v>2307</v>
      </c>
      <c r="L363" s="253">
        <v>57.939272025999998</v>
      </c>
      <c r="M363" s="253">
        <v>58.018886014210523</v>
      </c>
      <c r="N363" s="253">
        <v>58.081393661034483</v>
      </c>
      <c r="O363" s="253">
        <v>68.663436542105245</v>
      </c>
      <c r="P363" s="253">
        <v>54.661877390000001</v>
      </c>
      <c r="Q363" s="253">
        <v>57.71484375</v>
      </c>
      <c r="R363" s="253">
        <v>57.42486971999999</v>
      </c>
      <c r="S363" s="253">
        <v>51.128385160000001</v>
      </c>
      <c r="T363" s="253"/>
      <c r="U363" s="253">
        <v>56.69421487999999</v>
      </c>
      <c r="V363" s="253">
        <v>58.333333330000002</v>
      </c>
      <c r="W363" s="253"/>
      <c r="X363" s="253">
        <v>49.375</v>
      </c>
      <c r="Y363" s="253">
        <v>72.566807310000002</v>
      </c>
      <c r="Z363" s="253">
        <v>71.048850569999999</v>
      </c>
      <c r="AA363" s="253"/>
      <c r="AB363" s="253"/>
      <c r="AC363" s="253"/>
      <c r="AD363" s="253"/>
      <c r="AE363" s="253"/>
    </row>
    <row r="364" spans="1:31">
      <c r="A364" s="33">
        <v>363</v>
      </c>
      <c r="B364" s="63" t="s">
        <v>2306</v>
      </c>
      <c r="C364" s="69" t="s">
        <v>740</v>
      </c>
      <c r="D364" s="56">
        <v>42065</v>
      </c>
      <c r="F364" s="56"/>
      <c r="G364" s="69" t="str">
        <f t="shared" si="5"/>
        <v>E-Commerce</v>
      </c>
      <c r="H364" s="69" t="s">
        <v>749</v>
      </c>
      <c r="J364" s="63" t="s">
        <v>2306</v>
      </c>
      <c r="K364" s="69" t="s">
        <v>2308</v>
      </c>
      <c r="L364" s="253">
        <v>54.118307966000003</v>
      </c>
      <c r="M364" s="253">
        <v>55.232809529649117</v>
      </c>
      <c r="N364" s="253">
        <v>55.972702859999998</v>
      </c>
      <c r="O364" s="253">
        <v>61.419346906315788</v>
      </c>
      <c r="P364" s="253">
        <v>50.375375379999994</v>
      </c>
      <c r="Q364" s="253">
        <v>46.390625</v>
      </c>
      <c r="R364" s="253">
        <v>47.497661989999997</v>
      </c>
      <c r="S364" s="253">
        <v>57.18571429</v>
      </c>
      <c r="T364" s="253"/>
      <c r="U364" s="253">
        <v>63.18834081</v>
      </c>
      <c r="V364" s="253">
        <v>59.952526800000001</v>
      </c>
      <c r="W364" s="253"/>
      <c r="X364" s="253">
        <v>62.624999999999993</v>
      </c>
      <c r="Y364" s="253">
        <v>62.294573640000003</v>
      </c>
      <c r="Z364" s="253">
        <v>69.090038309999997</v>
      </c>
      <c r="AA364" s="253"/>
      <c r="AB364" s="253"/>
      <c r="AC364" s="253"/>
      <c r="AD364" s="253"/>
      <c r="AE364" s="253"/>
    </row>
    <row r="365" spans="1:31">
      <c r="A365" s="33">
        <v>364</v>
      </c>
      <c r="B365" s="63" t="s">
        <v>2306</v>
      </c>
      <c r="C365" s="69" t="s">
        <v>740</v>
      </c>
      <c r="D365" s="56">
        <v>42065</v>
      </c>
      <c r="F365" s="56"/>
      <c r="G365" s="69" t="str">
        <f t="shared" si="5"/>
        <v>E-Commerce</v>
      </c>
      <c r="H365" s="69" t="s">
        <v>749</v>
      </c>
      <c r="J365" s="63" t="s">
        <v>2306</v>
      </c>
      <c r="K365" s="69" t="s">
        <v>1979</v>
      </c>
      <c r="L365" s="253">
        <v>55.407657661999998</v>
      </c>
      <c r="M365" s="253">
        <v>56.873014387192974</v>
      </c>
      <c r="N365" s="253">
        <v>53.424156335517239</v>
      </c>
      <c r="O365" s="253">
        <v>65.495792427894727</v>
      </c>
      <c r="P365" s="253">
        <v>51.40540541</v>
      </c>
      <c r="Q365" s="253">
        <v>67.05859375</v>
      </c>
      <c r="R365" s="253">
        <v>58.020792079999993</v>
      </c>
      <c r="S365" s="253">
        <v>53.771428569999998</v>
      </c>
      <c r="T365" s="253"/>
      <c r="U365" s="253">
        <v>49.928251119999999</v>
      </c>
      <c r="V365" s="253">
        <v>50</v>
      </c>
      <c r="W365" s="253"/>
      <c r="X365" s="253">
        <v>69.5</v>
      </c>
      <c r="Y365" s="253">
        <v>65.046511629999998</v>
      </c>
      <c r="Z365" s="253">
        <v>71.416666669999998</v>
      </c>
      <c r="AA365" s="253"/>
      <c r="AB365" s="253"/>
      <c r="AC365" s="253"/>
      <c r="AD365" s="253"/>
      <c r="AE365" s="253"/>
    </row>
    <row r="366" spans="1:31">
      <c r="A366" s="33">
        <v>365</v>
      </c>
      <c r="B366" s="63" t="s">
        <v>2306</v>
      </c>
      <c r="C366" s="69" t="s">
        <v>740</v>
      </c>
      <c r="D366" s="56">
        <v>42065</v>
      </c>
      <c r="F366" s="56"/>
      <c r="G366" s="69" t="str">
        <f t="shared" si="5"/>
        <v>E-Commerce</v>
      </c>
      <c r="H366" s="69" t="s">
        <v>749</v>
      </c>
      <c r="J366" s="63" t="s">
        <v>2306</v>
      </c>
      <c r="K366" s="276" t="s">
        <v>2309</v>
      </c>
      <c r="L366" s="253">
        <v>50.184726105999999</v>
      </c>
      <c r="M366" s="253">
        <v>57.896512378070163</v>
      </c>
      <c r="N366" s="253">
        <v>57.30119923793103</v>
      </c>
      <c r="O366" s="253">
        <v>65.126035665789473</v>
      </c>
      <c r="P366" s="253">
        <v>44.168168170000001</v>
      </c>
      <c r="Q366" s="253">
        <v>50</v>
      </c>
      <c r="R366" s="253">
        <v>54.39823874999999</v>
      </c>
      <c r="S366" s="253">
        <v>53.7</v>
      </c>
      <c r="T366" s="253"/>
      <c r="U366" s="253">
        <v>62.600896859999999</v>
      </c>
      <c r="V366" s="253">
        <v>59.267267269999998</v>
      </c>
      <c r="W366" s="253"/>
      <c r="X366" s="253">
        <v>62.124999999999993</v>
      </c>
      <c r="Y366" s="253">
        <v>65.364341089999996</v>
      </c>
      <c r="Z366" s="253">
        <v>74.250957849999992</v>
      </c>
      <c r="AA366" s="253"/>
      <c r="AB366" s="253"/>
      <c r="AC366" s="253"/>
      <c r="AD366" s="253"/>
      <c r="AE366" s="253"/>
    </row>
    <row r="367" spans="1:31">
      <c r="A367" s="33">
        <v>366</v>
      </c>
      <c r="B367" s="13" t="s">
        <v>826</v>
      </c>
      <c r="C367" s="69" t="s">
        <v>740</v>
      </c>
      <c r="D367" s="56">
        <v>42068</v>
      </c>
      <c r="F367" s="56"/>
      <c r="G367" s="69" t="str">
        <f t="shared" si="5"/>
        <v>Both</v>
      </c>
      <c r="H367" s="69" t="s">
        <v>922</v>
      </c>
      <c r="J367" s="13" t="s">
        <v>826</v>
      </c>
      <c r="K367" s="13" t="s">
        <v>826</v>
      </c>
      <c r="L367" s="253">
        <v>53.209944448000002</v>
      </c>
      <c r="M367" s="253">
        <v>52.936698564680853</v>
      </c>
      <c r="N367" s="253">
        <v>63.310344827586214</v>
      </c>
      <c r="O367" s="253">
        <v>60.080821820526317</v>
      </c>
      <c r="P367" s="253">
        <v>50.826666669999994</v>
      </c>
      <c r="Q367" s="253">
        <v>46</v>
      </c>
      <c r="R367" s="253">
        <v>53</v>
      </c>
      <c r="S367" s="253">
        <v>55.08862949000001</v>
      </c>
      <c r="T367" s="253"/>
      <c r="U367" s="253">
        <v>50.777777780000001</v>
      </c>
      <c r="V367" s="253">
        <v>50.816831679999993</v>
      </c>
      <c r="W367" s="253">
        <v>69</v>
      </c>
      <c r="X367" s="253"/>
      <c r="Y367" s="253">
        <v>62.073170730000001</v>
      </c>
      <c r="Z367" s="253">
        <v>62.743055560000002</v>
      </c>
      <c r="AA367" s="253"/>
      <c r="AB367" s="253"/>
      <c r="AC367" s="253"/>
      <c r="AD367" s="253"/>
      <c r="AE367" s="253"/>
    </row>
    <row r="368" spans="1:31">
      <c r="A368" s="33">
        <v>367</v>
      </c>
      <c r="B368" s="13" t="s">
        <v>826</v>
      </c>
      <c r="C368" s="69" t="s">
        <v>740</v>
      </c>
      <c r="D368" s="56">
        <v>42068</v>
      </c>
      <c r="F368" s="56"/>
      <c r="G368" s="69" t="str">
        <f t="shared" si="5"/>
        <v>Both</v>
      </c>
      <c r="H368" s="69" t="s">
        <v>922</v>
      </c>
      <c r="J368" s="13" t="s">
        <v>826</v>
      </c>
      <c r="K368" s="13" t="s">
        <v>1345</v>
      </c>
      <c r="L368" s="253">
        <v>51.904705267999994</v>
      </c>
      <c r="M368" s="253">
        <v>60.504207627234031</v>
      </c>
      <c r="N368" s="253">
        <v>59.206896551724128</v>
      </c>
      <c r="O368" s="253">
        <v>59.746541951578955</v>
      </c>
      <c r="P368" s="253">
        <v>46.940740740000003</v>
      </c>
      <c r="Q368" s="253">
        <v>65</v>
      </c>
      <c r="R368" s="253">
        <v>56.999999999999993</v>
      </c>
      <c r="S368" s="253">
        <v>54.593601380000003</v>
      </c>
      <c r="T368" s="253"/>
      <c r="U368" s="253">
        <v>62.733333329999994</v>
      </c>
      <c r="V368" s="253">
        <v>56.336633660000004</v>
      </c>
      <c r="W368" s="253">
        <v>58.999999999999993</v>
      </c>
      <c r="X368" s="253"/>
      <c r="Y368" s="253">
        <v>54.278787880000003</v>
      </c>
      <c r="Z368" s="253">
        <v>71.760563379999994</v>
      </c>
      <c r="AA368" s="253"/>
      <c r="AB368" s="253"/>
      <c r="AC368" s="253"/>
      <c r="AD368" s="253"/>
      <c r="AE368" s="253"/>
    </row>
    <row r="369" spans="1:31">
      <c r="A369" s="33">
        <v>368</v>
      </c>
      <c r="B369" s="13" t="s">
        <v>826</v>
      </c>
      <c r="C369" s="69" t="s">
        <v>740</v>
      </c>
      <c r="D369" s="56">
        <v>42068</v>
      </c>
      <c r="F369" s="56"/>
      <c r="G369" s="69" t="str">
        <f t="shared" si="5"/>
        <v>Both</v>
      </c>
      <c r="H369" s="69" t="s">
        <v>922</v>
      </c>
      <c r="J369" s="13" t="s">
        <v>826</v>
      </c>
      <c r="K369" s="13" t="s">
        <v>2304</v>
      </c>
      <c r="L369" s="253">
        <v>56.391828899999993</v>
      </c>
      <c r="M369" s="253">
        <v>54.931484442127662</v>
      </c>
      <c r="N369" s="253">
        <v>54.644238855172418</v>
      </c>
      <c r="O369" s="253">
        <v>59.715191172631584</v>
      </c>
      <c r="P369" s="253">
        <v>54.278518519999999</v>
      </c>
      <c r="Q369" s="253">
        <v>52</v>
      </c>
      <c r="R369" s="253">
        <v>54.780487799999996</v>
      </c>
      <c r="S369" s="253">
        <v>53.398184179999994</v>
      </c>
      <c r="T369" s="253"/>
      <c r="U369" s="253">
        <v>52.955555560000001</v>
      </c>
      <c r="V369" s="253">
        <v>54.628712869999994</v>
      </c>
      <c r="W369" s="253">
        <v>55</v>
      </c>
      <c r="X369" s="253"/>
      <c r="Y369" s="253">
        <v>59.54041204</v>
      </c>
      <c r="Z369" s="253">
        <v>64.845070419999999</v>
      </c>
      <c r="AA369" s="253"/>
      <c r="AB369" s="253"/>
      <c r="AC369" s="253"/>
      <c r="AD369" s="253"/>
      <c r="AE369" s="253"/>
    </row>
    <row r="370" spans="1:31">
      <c r="A370" s="33">
        <v>369</v>
      </c>
      <c r="B370" s="13" t="s">
        <v>826</v>
      </c>
      <c r="C370" s="69" t="s">
        <v>740</v>
      </c>
      <c r="D370" s="56">
        <v>42068</v>
      </c>
      <c r="F370" s="56"/>
      <c r="G370" s="69" t="str">
        <f t="shared" si="5"/>
        <v>Both</v>
      </c>
      <c r="H370" s="69" t="s">
        <v>922</v>
      </c>
      <c r="J370" s="13" t="s">
        <v>826</v>
      </c>
      <c r="K370" s="13" t="s">
        <v>2305</v>
      </c>
      <c r="L370" s="253">
        <v>56.816402114000006</v>
      </c>
      <c r="M370" s="253">
        <v>58.326871501063827</v>
      </c>
      <c r="N370" s="253">
        <v>61.655172413793103</v>
      </c>
      <c r="O370" s="253">
        <v>62.469924813157895</v>
      </c>
      <c r="P370" s="253">
        <v>58.074074070000002</v>
      </c>
      <c r="Q370" s="253">
        <v>56.000000000000007</v>
      </c>
      <c r="R370" s="253">
        <v>60</v>
      </c>
      <c r="S370" s="253">
        <v>62</v>
      </c>
      <c r="T370" s="253"/>
      <c r="U370" s="253">
        <v>57.443438909999998</v>
      </c>
      <c r="V370" s="253">
        <v>57.999999999999993</v>
      </c>
      <c r="W370" s="253">
        <v>63</v>
      </c>
      <c r="X370" s="253"/>
      <c r="Y370" s="253">
        <v>71.779661020000006</v>
      </c>
      <c r="Z370" s="253">
        <v>51.785714290000008</v>
      </c>
      <c r="AA370" s="253"/>
      <c r="AB370" s="253"/>
      <c r="AC370" s="253"/>
      <c r="AD370" s="253"/>
      <c r="AE370" s="253"/>
    </row>
    <row r="371" spans="1:31">
      <c r="A371" s="33">
        <v>370</v>
      </c>
      <c r="B371" s="13" t="s">
        <v>826</v>
      </c>
      <c r="C371" s="69" t="s">
        <v>740</v>
      </c>
      <c r="D371" s="56">
        <v>42068</v>
      </c>
      <c r="F371" s="56"/>
      <c r="G371" s="69" t="str">
        <f t="shared" si="5"/>
        <v>Both</v>
      </c>
      <c r="H371" s="69" t="s">
        <v>922</v>
      </c>
      <c r="J371" s="13" t="s">
        <v>826</v>
      </c>
      <c r="K371" s="13" t="s">
        <v>924</v>
      </c>
      <c r="L371" s="253">
        <v>46.499381642000003</v>
      </c>
      <c r="M371" s="253">
        <v>57.068601257659566</v>
      </c>
      <c r="N371" s="253">
        <v>61.529325424137937</v>
      </c>
      <c r="O371" s="253">
        <v>53.846067639999994</v>
      </c>
      <c r="P371" s="253">
        <v>46.231111110000001</v>
      </c>
      <c r="Q371" s="253">
        <v>63</v>
      </c>
      <c r="R371" s="253">
        <v>55.891739549999997</v>
      </c>
      <c r="S371" s="253">
        <v>51.262820509999997</v>
      </c>
      <c r="T371" s="253"/>
      <c r="U371" s="253">
        <v>64.095022619999995</v>
      </c>
      <c r="V371" s="253">
        <v>64.078282830000006</v>
      </c>
      <c r="W371" s="253">
        <v>63</v>
      </c>
      <c r="X371" s="253"/>
      <c r="Y371" s="253">
        <v>55.916666669999991</v>
      </c>
      <c r="Z371" s="253">
        <v>47.572463769999999</v>
      </c>
      <c r="AA371" s="253"/>
      <c r="AB371" s="253"/>
      <c r="AC371" s="253"/>
      <c r="AD371" s="253"/>
      <c r="AE371" s="253"/>
    </row>
    <row r="372" spans="1:31">
      <c r="A372" s="33">
        <v>371</v>
      </c>
      <c r="B372" s="63" t="s">
        <v>1562</v>
      </c>
      <c r="C372" s="69" t="s">
        <v>740</v>
      </c>
      <c r="D372" s="56">
        <v>42069</v>
      </c>
      <c r="F372" s="56"/>
      <c r="G372" s="69" t="str">
        <f t="shared" si="5"/>
        <v>ERROR</v>
      </c>
      <c r="H372" s="69" t="s">
        <v>2172</v>
      </c>
      <c r="J372" s="63" t="s">
        <v>1562</v>
      </c>
      <c r="K372" s="63" t="s">
        <v>1562</v>
      </c>
      <c r="L372" s="253">
        <v>69.83521494</v>
      </c>
      <c r="M372" s="253">
        <v>61.744379772765953</v>
      </c>
      <c r="N372" s="253">
        <v>64.00707639257142</v>
      </c>
      <c r="O372" s="253">
        <v>59.166090955263151</v>
      </c>
      <c r="P372" s="253">
        <v>69.265957450000002</v>
      </c>
      <c r="Q372" s="253">
        <v>60.4</v>
      </c>
      <c r="R372" s="253">
        <v>57.174612290000006</v>
      </c>
      <c r="S372" s="253">
        <v>67.625766870000007</v>
      </c>
      <c r="T372" s="253"/>
      <c r="U372" s="253">
        <v>62.977777779999997</v>
      </c>
      <c r="V372" s="253">
        <v>0</v>
      </c>
      <c r="W372" s="253"/>
      <c r="X372" s="253"/>
      <c r="Y372" s="253">
        <v>52.121951219999993</v>
      </c>
      <c r="Z372" s="253">
        <v>72.112244899999993</v>
      </c>
      <c r="AA372" s="253"/>
      <c r="AB372" s="253"/>
      <c r="AC372" s="253"/>
      <c r="AD372" s="253"/>
      <c r="AE372" s="253"/>
    </row>
    <row r="373" spans="1:31">
      <c r="A373" s="33">
        <v>372</v>
      </c>
      <c r="B373" s="63" t="s">
        <v>1562</v>
      </c>
      <c r="C373" s="69" t="s">
        <v>740</v>
      </c>
      <c r="D373" s="56">
        <v>42069</v>
      </c>
      <c r="F373" s="56"/>
      <c r="G373" s="69" t="str">
        <f t="shared" si="5"/>
        <v>ERROR</v>
      </c>
      <c r="H373" s="69" t="s">
        <v>2172</v>
      </c>
      <c r="J373" s="63" t="s">
        <v>1562</v>
      </c>
      <c r="K373" s="69" t="s">
        <v>1563</v>
      </c>
      <c r="L373" s="253">
        <v>50.553095962000008</v>
      </c>
      <c r="M373" s="253">
        <v>54.228429352553199</v>
      </c>
      <c r="N373" s="253">
        <v>68.55270624857144</v>
      </c>
      <c r="O373" s="253">
        <v>55.978466456315786</v>
      </c>
      <c r="P373" s="253">
        <v>48.051063829999997</v>
      </c>
      <c r="Q373" s="253">
        <v>64.75</v>
      </c>
      <c r="R373" s="253">
        <v>54.51578645</v>
      </c>
      <c r="S373" s="253">
        <v>43.99503722</v>
      </c>
      <c r="T373" s="253"/>
      <c r="U373" s="253">
        <v>50.314410480000006</v>
      </c>
      <c r="V373" s="253">
        <v>0</v>
      </c>
      <c r="W373" s="253"/>
      <c r="X373" s="253"/>
      <c r="Y373" s="253">
        <v>54.300813010000006</v>
      </c>
      <c r="Z373" s="253">
        <v>60.561224490000001</v>
      </c>
      <c r="AA373" s="253"/>
      <c r="AB373" s="253"/>
      <c r="AC373" s="253"/>
      <c r="AD373" s="253"/>
      <c r="AE373" s="253"/>
    </row>
    <row r="374" spans="1:31">
      <c r="A374" s="33">
        <v>373</v>
      </c>
      <c r="B374" s="63" t="s">
        <v>1562</v>
      </c>
      <c r="C374" s="69" t="s">
        <v>740</v>
      </c>
      <c r="D374" s="56">
        <v>42069</v>
      </c>
      <c r="F374" s="56"/>
      <c r="G374" s="69" t="str">
        <f t="shared" si="5"/>
        <v>ERROR</v>
      </c>
      <c r="H374" s="69" t="s">
        <v>2172</v>
      </c>
      <c r="J374" s="63" t="s">
        <v>1562</v>
      </c>
      <c r="K374" s="69" t="s">
        <v>1567</v>
      </c>
      <c r="L374" s="253">
        <v>56.385254019999984</v>
      </c>
      <c r="M374" s="253">
        <v>52.44454422638298</v>
      </c>
      <c r="N374" s="253">
        <v>53.057682557714294</v>
      </c>
      <c r="O374" s="253">
        <v>58.918738680526317</v>
      </c>
      <c r="P374" s="253">
        <v>55.07340425999999</v>
      </c>
      <c r="Q374" s="253">
        <v>49</v>
      </c>
      <c r="R374" s="253">
        <v>52.66981492</v>
      </c>
      <c r="S374" s="253">
        <v>52.481595089999999</v>
      </c>
      <c r="T374" s="253"/>
      <c r="U374" s="253">
        <v>49.444444439999998</v>
      </c>
      <c r="V374" s="253">
        <v>0</v>
      </c>
      <c r="W374" s="253"/>
      <c r="X374" s="253"/>
      <c r="Y374" s="253">
        <v>60.447154469999994</v>
      </c>
      <c r="Z374" s="253">
        <v>61.632653059999996</v>
      </c>
      <c r="AA374" s="253"/>
      <c r="AB374" s="253"/>
      <c r="AC374" s="253"/>
      <c r="AD374" s="253"/>
      <c r="AE374" s="253"/>
    </row>
    <row r="375" spans="1:31">
      <c r="A375" s="33">
        <v>374</v>
      </c>
      <c r="B375" s="63" t="s">
        <v>1562</v>
      </c>
      <c r="C375" s="69" t="s">
        <v>740</v>
      </c>
      <c r="D375" s="56">
        <v>42069</v>
      </c>
      <c r="F375" s="56"/>
      <c r="G375" s="69" t="str">
        <f t="shared" si="5"/>
        <v>ERROR</v>
      </c>
      <c r="H375" s="69" t="s">
        <v>2172</v>
      </c>
      <c r="J375" s="63" t="s">
        <v>1562</v>
      </c>
      <c r="K375" s="69" t="s">
        <v>1565</v>
      </c>
      <c r="L375" s="253">
        <v>53.586817197999999</v>
      </c>
      <c r="M375" s="253">
        <v>50.357335399787239</v>
      </c>
      <c r="N375" s="253">
        <v>50.189708753428576</v>
      </c>
      <c r="O375" s="253">
        <v>54.893627150526321</v>
      </c>
      <c r="P375" s="253">
        <v>52.621276600000002</v>
      </c>
      <c r="Q375" s="253">
        <v>45.166666669999998</v>
      </c>
      <c r="R375" s="253">
        <v>53.523301060000001</v>
      </c>
      <c r="S375" s="253">
        <v>48.236196319999998</v>
      </c>
      <c r="T375" s="253"/>
      <c r="U375" s="253">
        <v>44.866666670000001</v>
      </c>
      <c r="V375" s="253">
        <v>0</v>
      </c>
      <c r="W375" s="253"/>
      <c r="X375" s="253"/>
      <c r="Y375" s="253">
        <v>55.528455279999996</v>
      </c>
      <c r="Z375" s="253">
        <v>57.44897959</v>
      </c>
      <c r="AA375" s="253"/>
      <c r="AB375" s="253"/>
      <c r="AC375" s="253"/>
      <c r="AD375" s="253"/>
      <c r="AE375" s="253"/>
    </row>
    <row r="376" spans="1:31">
      <c r="A376" s="33">
        <v>375</v>
      </c>
      <c r="B376" s="63" t="s">
        <v>1562</v>
      </c>
      <c r="C376" s="69" t="s">
        <v>740</v>
      </c>
      <c r="D376" s="56">
        <v>42069</v>
      </c>
      <c r="F376" s="56"/>
      <c r="G376" s="69" t="str">
        <f t="shared" si="5"/>
        <v>ERROR</v>
      </c>
      <c r="H376" s="69" t="s">
        <v>2172</v>
      </c>
      <c r="J376" s="63" t="s">
        <v>1562</v>
      </c>
      <c r="K376" s="69" t="s">
        <v>1566</v>
      </c>
      <c r="L376" s="253">
        <v>62.007294836</v>
      </c>
      <c r="M376" s="253">
        <v>57.269679976170217</v>
      </c>
      <c r="N376" s="253">
        <v>60.759703812285714</v>
      </c>
      <c r="O376" s="253">
        <v>63.787924151052628</v>
      </c>
      <c r="P376" s="253">
        <v>60.723404260000002</v>
      </c>
      <c r="Q376" s="253">
        <v>48.666666669999998</v>
      </c>
      <c r="R376" s="253">
        <v>56.431605569999995</v>
      </c>
      <c r="S376" s="253">
        <v>58.628834360000006</v>
      </c>
      <c r="T376" s="253"/>
      <c r="U376" s="253">
        <v>58.355555560000006</v>
      </c>
      <c r="V376" s="253">
        <v>0</v>
      </c>
      <c r="W376" s="253"/>
      <c r="X376" s="253"/>
      <c r="Y376" s="253">
        <v>65.609756099999998</v>
      </c>
      <c r="Z376" s="253">
        <v>67.142857140000004</v>
      </c>
      <c r="AA376" s="253"/>
      <c r="AB376" s="253"/>
      <c r="AC376" s="253"/>
      <c r="AD376" s="253"/>
      <c r="AE376" s="253"/>
    </row>
    <row r="377" spans="1:31">
      <c r="A377" s="33">
        <v>376</v>
      </c>
      <c r="B377" s="69" t="s">
        <v>2298</v>
      </c>
      <c r="C377" s="69" t="s">
        <v>2241</v>
      </c>
      <c r="D377" s="56">
        <v>42069</v>
      </c>
      <c r="F377" s="56"/>
      <c r="G377" s="69" t="str">
        <f t="shared" si="5"/>
        <v>E-Commerce</v>
      </c>
      <c r="H377" s="69" t="s">
        <v>2299</v>
      </c>
      <c r="J377" s="69" t="s">
        <v>2298</v>
      </c>
      <c r="K377" s="69" t="s">
        <v>2300</v>
      </c>
      <c r="L377" s="253">
        <v>60.755816622172553</v>
      </c>
      <c r="M377" s="253">
        <v>63.332183212217586</v>
      </c>
      <c r="N377" s="253">
        <v>63.707386362519436</v>
      </c>
      <c r="O377" s="253">
        <v>61.596682458294836</v>
      </c>
      <c r="P377" s="253">
        <v>60.367847700792616</v>
      </c>
      <c r="Q377" s="253">
        <v>49.101785714285704</v>
      </c>
      <c r="R377" s="253">
        <v>65.374675516901007</v>
      </c>
      <c r="S377" s="253">
        <v>48.94736842105263</v>
      </c>
      <c r="T377" s="253"/>
      <c r="U377" s="253">
        <v>76.928571428571416</v>
      </c>
      <c r="V377" s="253">
        <v>65.188481675392666</v>
      </c>
      <c r="W377" s="253"/>
      <c r="X377" s="253"/>
      <c r="Y377" s="253">
        <v>63</v>
      </c>
      <c r="Z377" s="253">
        <v>62.307692307692307</v>
      </c>
      <c r="AA377" s="253"/>
      <c r="AB377" s="253"/>
      <c r="AC377" s="253"/>
      <c r="AD377" s="253"/>
      <c r="AE377" s="253"/>
    </row>
    <row r="378" spans="1:31">
      <c r="A378" s="33">
        <v>377</v>
      </c>
      <c r="B378" s="69" t="s">
        <v>2298</v>
      </c>
      <c r="C378" s="69" t="s">
        <v>2241</v>
      </c>
      <c r="D378" s="56">
        <v>42069</v>
      </c>
      <c r="F378" s="56"/>
      <c r="G378" s="69" t="str">
        <f t="shared" si="5"/>
        <v>E-Commerce</v>
      </c>
      <c r="H378" s="69" t="s">
        <v>2299</v>
      </c>
      <c r="J378" s="69" t="s">
        <v>2298</v>
      </c>
      <c r="K378" s="69" t="s">
        <v>942</v>
      </c>
      <c r="L378" s="253">
        <v>63.034028683181219</v>
      </c>
      <c r="M378" s="253">
        <v>55.317737794041079</v>
      </c>
      <c r="N378" s="253">
        <v>43.0633630383835</v>
      </c>
      <c r="O378" s="253">
        <v>62.596670501224196</v>
      </c>
      <c r="P378" s="253">
        <v>63.023305084745758</v>
      </c>
      <c r="Q378" s="253">
        <v>67.149999999999991</v>
      </c>
      <c r="R378" s="253">
        <v>41.756325227216898</v>
      </c>
      <c r="S378" s="253">
        <v>63.289473684210527</v>
      </c>
      <c r="T378" s="253"/>
      <c r="U378" s="253">
        <v>66.678571428571431</v>
      </c>
      <c r="V378" s="253">
        <v>56.319371727748688</v>
      </c>
      <c r="W378" s="253"/>
      <c r="X378" s="253"/>
      <c r="Y378" s="253">
        <v>66</v>
      </c>
      <c r="Z378" s="253">
        <v>63.076923076923073</v>
      </c>
      <c r="AA378" s="253"/>
      <c r="AB378" s="253"/>
      <c r="AC378" s="253"/>
      <c r="AD378" s="253"/>
      <c r="AE378" s="253"/>
    </row>
    <row r="379" spans="1:31">
      <c r="A379" s="33">
        <v>378</v>
      </c>
      <c r="B379" s="69" t="s">
        <v>2298</v>
      </c>
      <c r="C379" s="69" t="s">
        <v>2241</v>
      </c>
      <c r="D379" s="56">
        <v>42069</v>
      </c>
      <c r="F379" s="56"/>
      <c r="G379" s="69" t="str">
        <f t="shared" si="5"/>
        <v>E-Commerce</v>
      </c>
      <c r="H379" s="69" t="s">
        <v>2299</v>
      </c>
      <c r="J379" s="69" t="s">
        <v>2298</v>
      </c>
      <c r="K379" s="69" t="s">
        <v>2301</v>
      </c>
      <c r="L379" s="253">
        <v>40.488258935038594</v>
      </c>
      <c r="M379" s="253">
        <v>34.252469390258682</v>
      </c>
      <c r="N379" s="253">
        <v>20.768280489520706</v>
      </c>
      <c r="O379" s="253">
        <v>41.419512404677462</v>
      </c>
      <c r="P379" s="253">
        <v>40.225708284182858</v>
      </c>
      <c r="Q379" s="253">
        <v>54.1</v>
      </c>
      <c r="R379" s="253">
        <v>32.062898208808306</v>
      </c>
      <c r="S379" s="253">
        <v>21.052631578947366</v>
      </c>
      <c r="T379" s="253"/>
      <c r="U379" s="253">
        <v>31</v>
      </c>
      <c r="V379" s="253">
        <v>18.701570680628272</v>
      </c>
      <c r="W379" s="253"/>
      <c r="X379" s="253"/>
      <c r="Y379" s="253">
        <v>44</v>
      </c>
      <c r="Z379" s="253">
        <v>41.53846153846154</v>
      </c>
      <c r="AA379" s="253"/>
      <c r="AB379" s="253"/>
      <c r="AC379" s="253"/>
      <c r="AD379" s="253"/>
      <c r="AE379" s="253"/>
    </row>
    <row r="380" spans="1:31">
      <c r="A380" s="33">
        <v>379</v>
      </c>
      <c r="B380" s="69" t="s">
        <v>2298</v>
      </c>
      <c r="C380" s="69" t="s">
        <v>2241</v>
      </c>
      <c r="D380" s="56">
        <v>42069</v>
      </c>
      <c r="F380" s="56"/>
      <c r="G380" s="69" t="str">
        <f t="shared" si="5"/>
        <v>E-Commerce</v>
      </c>
      <c r="H380" s="69" t="s">
        <v>2299</v>
      </c>
      <c r="J380" s="69" t="s">
        <v>2298</v>
      </c>
      <c r="K380" s="69" t="s">
        <v>2302</v>
      </c>
      <c r="L380" s="253">
        <v>75.375772024585586</v>
      </c>
      <c r="M380" s="253">
        <v>68.895366621581644</v>
      </c>
      <c r="N380" s="253">
        <v>63.552733359728805</v>
      </c>
      <c r="O380" s="253">
        <v>76.43635651203796</v>
      </c>
      <c r="P380" s="253">
        <v>76.335099646116589</v>
      </c>
      <c r="Q380" s="253">
        <v>54.228571428571428</v>
      </c>
      <c r="R380" s="253">
        <v>64.948105198657885</v>
      </c>
      <c r="S380" s="253">
        <v>80.473684210526315</v>
      </c>
      <c r="T380" s="253"/>
      <c r="U380" s="253">
        <v>77.321428571428569</v>
      </c>
      <c r="V380" s="253">
        <v>72.633507853403145</v>
      </c>
      <c r="W380" s="253"/>
      <c r="X380" s="253"/>
      <c r="Y380" s="253">
        <v>83</v>
      </c>
      <c r="Z380" s="253">
        <v>71.538461538461533</v>
      </c>
      <c r="AA380" s="253"/>
      <c r="AB380" s="253"/>
      <c r="AC380" s="253"/>
      <c r="AD380" s="253"/>
      <c r="AE380" s="253"/>
    </row>
    <row r="381" spans="1:31">
      <c r="A381" s="33">
        <v>380</v>
      </c>
      <c r="B381" s="69" t="s">
        <v>2298</v>
      </c>
      <c r="C381" s="69" t="s">
        <v>2241</v>
      </c>
      <c r="D381" s="56">
        <v>42069</v>
      </c>
      <c r="F381" s="56"/>
      <c r="G381" s="69" t="str">
        <f t="shared" si="5"/>
        <v>E-Commerce</v>
      </c>
      <c r="H381" s="69" t="s">
        <v>2299</v>
      </c>
      <c r="J381" s="69" t="s">
        <v>2298</v>
      </c>
      <c r="K381" s="69" t="s">
        <v>2303</v>
      </c>
      <c r="L381" s="253">
        <v>43.371453038486933</v>
      </c>
      <c r="M381" s="253">
        <v>47.397993849194066</v>
      </c>
      <c r="N381" s="253">
        <v>24.885044090634764</v>
      </c>
      <c r="O381" s="253">
        <v>47.148013528255021</v>
      </c>
      <c r="P381" s="253">
        <v>48.829700913493276</v>
      </c>
      <c r="Q381" s="253">
        <v>57.491071428571423</v>
      </c>
      <c r="R381" s="253">
        <v>43.867070536930527</v>
      </c>
      <c r="S381" s="253">
        <v>52.89473684210526</v>
      </c>
      <c r="T381" s="253"/>
      <c r="U381" s="253">
        <v>58.035714285714292</v>
      </c>
      <c r="V381" s="253">
        <v>35.685863874345543</v>
      </c>
      <c r="W381" s="253"/>
      <c r="X381" s="253"/>
      <c r="Y381" s="253">
        <v>58.999999999999993</v>
      </c>
      <c r="Z381" s="253">
        <v>21.53846153846154</v>
      </c>
      <c r="AA381" s="253"/>
      <c r="AB381" s="253"/>
      <c r="AC381" s="253"/>
      <c r="AD381" s="253"/>
      <c r="AE381" s="253"/>
    </row>
    <row r="382" spans="1:31">
      <c r="A382" s="33">
        <v>381</v>
      </c>
      <c r="B382" s="69" t="s">
        <v>2277</v>
      </c>
      <c r="C382" s="69" t="s">
        <v>1203</v>
      </c>
      <c r="D382" s="56">
        <v>42080</v>
      </c>
      <c r="F382" s="56"/>
      <c r="G382" s="69" t="str">
        <f t="shared" si="5"/>
        <v>E-Commerce</v>
      </c>
      <c r="H382" s="69" t="s">
        <v>1339</v>
      </c>
      <c r="J382" s="69" t="s">
        <v>2278</v>
      </c>
      <c r="K382" s="63" t="s">
        <v>2279</v>
      </c>
      <c r="L382" s="253">
        <v>71.265181968000007</v>
      </c>
      <c r="M382" s="253">
        <v>74.371351191489367</v>
      </c>
      <c r="N382" s="253">
        <v>72.287622483793086</v>
      </c>
      <c r="O382" s="253">
        <v>71.163882256315787</v>
      </c>
      <c r="P382" s="253">
        <v>70.891001270000004</v>
      </c>
      <c r="Q382" s="253">
        <v>73.813596489999981</v>
      </c>
      <c r="R382" s="253">
        <v>72.555555560000002</v>
      </c>
      <c r="S382" s="253">
        <v>77.386326460000006</v>
      </c>
      <c r="T382" s="253"/>
      <c r="U382" s="253">
        <v>77.333333330000002</v>
      </c>
      <c r="V382" s="253">
        <v>71.978346459999997</v>
      </c>
      <c r="W382" s="253"/>
      <c r="X382" s="253"/>
      <c r="Y382" s="253">
        <v>69.199320499999999</v>
      </c>
      <c r="Z382" s="253">
        <v>72.761904759999993</v>
      </c>
      <c r="AA382" s="253"/>
      <c r="AB382" s="253"/>
      <c r="AC382" s="253"/>
      <c r="AD382" s="253"/>
      <c r="AE382" s="253"/>
    </row>
    <row r="383" spans="1:31">
      <c r="A383" s="33">
        <v>382</v>
      </c>
      <c r="B383" s="69" t="s">
        <v>2277</v>
      </c>
      <c r="C383" s="69" t="s">
        <v>1203</v>
      </c>
      <c r="D383" s="56">
        <v>42080</v>
      </c>
      <c r="F383" s="56"/>
      <c r="G383" s="69" t="str">
        <f t="shared" si="5"/>
        <v>E-Commerce</v>
      </c>
      <c r="H383" s="69" t="s">
        <v>1339</v>
      </c>
      <c r="J383" s="69" t="s">
        <v>2278</v>
      </c>
      <c r="K383" s="63" t="s">
        <v>2280</v>
      </c>
      <c r="L383" s="253">
        <v>60.902119395999996</v>
      </c>
      <c r="M383" s="253">
        <v>62.528352953191487</v>
      </c>
      <c r="N383" s="253">
        <v>65.465083125517239</v>
      </c>
      <c r="O383" s="253">
        <v>63.589969220000008</v>
      </c>
      <c r="P383" s="253">
        <v>62.46387833</v>
      </c>
      <c r="Q383" s="253">
        <v>67.675438600000007</v>
      </c>
      <c r="R383" s="253">
        <v>63.039502440000007</v>
      </c>
      <c r="S383" s="253">
        <v>60.907752700000003</v>
      </c>
      <c r="T383" s="253"/>
      <c r="U383" s="253">
        <v>63.326797389999989</v>
      </c>
      <c r="V383" s="253">
        <v>65.861204009999994</v>
      </c>
      <c r="W383" s="253"/>
      <c r="X383" s="253"/>
      <c r="Y383" s="253">
        <v>68.027180069999986</v>
      </c>
      <c r="Z383" s="253">
        <v>54.655083660000003</v>
      </c>
      <c r="AA383" s="253"/>
      <c r="AB383" s="253"/>
      <c r="AC383" s="253"/>
      <c r="AD383" s="253"/>
      <c r="AE383" s="253"/>
    </row>
    <row r="384" spans="1:31">
      <c r="A384" s="33">
        <v>383</v>
      </c>
      <c r="B384" s="69" t="s">
        <v>2277</v>
      </c>
      <c r="C384" s="69" t="s">
        <v>1203</v>
      </c>
      <c r="D384" s="56">
        <v>42080</v>
      </c>
      <c r="F384" s="56"/>
      <c r="G384" s="69" t="str">
        <f t="shared" si="5"/>
        <v>E-Commerce</v>
      </c>
      <c r="H384" s="69" t="s">
        <v>1339</v>
      </c>
      <c r="J384" s="69" t="s">
        <v>2278</v>
      </c>
      <c r="K384" s="63" t="s">
        <v>2281</v>
      </c>
      <c r="L384" s="253">
        <v>59.930877832000007</v>
      </c>
      <c r="M384" s="253">
        <v>61.936795398723383</v>
      </c>
      <c r="N384" s="253">
        <v>52.784208875517237</v>
      </c>
      <c r="O384" s="253">
        <v>65.667131329473676</v>
      </c>
      <c r="P384" s="253">
        <v>57.854716980000006</v>
      </c>
      <c r="Q384" s="253">
        <v>72.848684209999988</v>
      </c>
      <c r="R384" s="253">
        <v>56.710383859999993</v>
      </c>
      <c r="S384" s="253">
        <v>56.686770429999989</v>
      </c>
      <c r="T384" s="253"/>
      <c r="U384" s="253">
        <v>65.843137249999998</v>
      </c>
      <c r="V384" s="253">
        <v>48.59668508</v>
      </c>
      <c r="W384" s="253"/>
      <c r="X384" s="253"/>
      <c r="Y384" s="253">
        <v>66.354166669999984</v>
      </c>
      <c r="Z384" s="253">
        <v>68.235521239999997</v>
      </c>
      <c r="AA384" s="253"/>
      <c r="AB384" s="253"/>
      <c r="AC384" s="253"/>
      <c r="AD384" s="253"/>
      <c r="AE384" s="253"/>
    </row>
    <row r="385" spans="1:31">
      <c r="A385" s="33">
        <v>384</v>
      </c>
      <c r="B385" s="69" t="s">
        <v>2277</v>
      </c>
      <c r="C385" s="69" t="s">
        <v>1203</v>
      </c>
      <c r="D385" s="56">
        <v>42080</v>
      </c>
      <c r="F385" s="56"/>
      <c r="G385" s="69" t="str">
        <f t="shared" si="5"/>
        <v>ERROR</v>
      </c>
      <c r="H385" s="69" t="s">
        <v>1339</v>
      </c>
      <c r="J385" s="69" t="s">
        <v>2278</v>
      </c>
      <c r="K385" s="274" t="s">
        <v>2282</v>
      </c>
      <c r="L385" s="253">
        <v>50.07605060800001</v>
      </c>
      <c r="M385" s="253">
        <v>50.484425545957443</v>
      </c>
      <c r="N385" s="253">
        <v>41.146615213448271</v>
      </c>
      <c r="O385" s="253">
        <v>49.783987544736839</v>
      </c>
      <c r="P385" s="253">
        <v>50.67421384</v>
      </c>
      <c r="Q385" s="253">
        <v>49.438596490000009</v>
      </c>
      <c r="R385" s="253">
        <v>52.03129732</v>
      </c>
      <c r="S385" s="253">
        <v>49.624513619999995</v>
      </c>
      <c r="T385" s="253"/>
      <c r="U385" s="253">
        <v>49.934640520000002</v>
      </c>
      <c r="V385" s="253">
        <v>0</v>
      </c>
      <c r="W385" s="253"/>
      <c r="X385" s="253"/>
      <c r="Y385" s="253">
        <v>50.435307019999996</v>
      </c>
      <c r="Z385" s="253">
        <v>47.683397679999992</v>
      </c>
      <c r="AA385" s="253"/>
      <c r="AB385" s="253"/>
      <c r="AC385" s="253"/>
      <c r="AD385" s="253"/>
      <c r="AE385" s="253"/>
    </row>
    <row r="386" spans="1:31">
      <c r="A386" s="33">
        <v>385</v>
      </c>
      <c r="B386" s="69" t="s">
        <v>2277</v>
      </c>
      <c r="C386" s="69" t="s">
        <v>1203</v>
      </c>
      <c r="D386" s="56">
        <v>42080</v>
      </c>
      <c r="F386" s="56"/>
      <c r="G386" s="69" t="str">
        <f t="shared" ref="G386:G449" si="6">IF(V386&gt;0,IF(W386&gt;0,"Both","E-Commerce"),IF(W386=0, "ERROR","User Registration"))</f>
        <v>E-Commerce</v>
      </c>
      <c r="H386" s="69" t="s">
        <v>1339</v>
      </c>
      <c r="J386" s="69" t="s">
        <v>2278</v>
      </c>
      <c r="K386" s="69" t="s">
        <v>2278</v>
      </c>
      <c r="L386" s="253">
        <v>62.933539250000003</v>
      </c>
      <c r="M386" s="253">
        <v>63.147743543617018</v>
      </c>
      <c r="N386" s="253">
        <v>56.843217788620692</v>
      </c>
      <c r="O386" s="253">
        <v>58.999458266315798</v>
      </c>
      <c r="P386" s="253">
        <v>61.933333330000004</v>
      </c>
      <c r="Q386" s="253">
        <v>66.046052630000005</v>
      </c>
      <c r="R386" s="253">
        <v>62.106516929999998</v>
      </c>
      <c r="S386" s="253">
        <v>59.79784102</v>
      </c>
      <c r="T386" s="253"/>
      <c r="U386" s="253">
        <v>63.607843140000007</v>
      </c>
      <c r="V386" s="253">
        <v>53.883802819999993</v>
      </c>
      <c r="W386" s="253"/>
      <c r="X386" s="253"/>
      <c r="Y386" s="253">
        <v>53.626096490000009</v>
      </c>
      <c r="Z386" s="253">
        <v>66.934362930000006</v>
      </c>
      <c r="AA386" s="253"/>
      <c r="AB386" s="253"/>
      <c r="AC386" s="253"/>
      <c r="AD386" s="253"/>
      <c r="AE386" s="253"/>
    </row>
    <row r="387" spans="1:31">
      <c r="A387" s="33">
        <v>386</v>
      </c>
      <c r="B387" s="69" t="s">
        <v>2277</v>
      </c>
      <c r="C387" s="69" t="s">
        <v>1203</v>
      </c>
      <c r="D387" s="56">
        <v>42080</v>
      </c>
      <c r="F387" s="56"/>
      <c r="G387" s="69" t="str">
        <f t="shared" si="6"/>
        <v>ERROR</v>
      </c>
      <c r="H387" s="69" t="s">
        <v>1339</v>
      </c>
      <c r="J387" s="69" t="s">
        <v>2278</v>
      </c>
      <c r="K387" s="63" t="s">
        <v>2283</v>
      </c>
      <c r="L387" s="253">
        <v>50.25847727</v>
      </c>
      <c r="M387" s="253">
        <v>57.031371939787221</v>
      </c>
      <c r="N387" s="253">
        <v>44.830145991034478</v>
      </c>
      <c r="O387" s="253">
        <v>58.496039845263155</v>
      </c>
      <c r="P387" s="253">
        <v>49.26947637</v>
      </c>
      <c r="Q387" s="253">
        <v>65.695175440000014</v>
      </c>
      <c r="R387" s="253">
        <v>60.983090569999995</v>
      </c>
      <c r="S387" s="253">
        <v>50.339966829999995</v>
      </c>
      <c r="T387" s="253"/>
      <c r="U387" s="253">
        <v>49.352941180000002</v>
      </c>
      <c r="V387" s="253">
        <v>0</v>
      </c>
      <c r="W387" s="253"/>
      <c r="X387" s="253"/>
      <c r="Y387" s="253">
        <v>60.235102930000004</v>
      </c>
      <c r="Z387" s="253">
        <v>54.214480870000003</v>
      </c>
      <c r="AA387" s="253"/>
      <c r="AB387" s="253"/>
      <c r="AC387" s="253"/>
      <c r="AD387" s="253"/>
      <c r="AE387" s="253"/>
    </row>
    <row r="388" spans="1:31">
      <c r="A388" s="33">
        <v>387</v>
      </c>
      <c r="B388" s="69" t="s">
        <v>2277</v>
      </c>
      <c r="C388" s="69" t="s">
        <v>1203</v>
      </c>
      <c r="D388" s="56">
        <v>42080</v>
      </c>
      <c r="F388" s="56"/>
      <c r="G388" s="69" t="str">
        <f t="shared" si="6"/>
        <v>E-Commerce</v>
      </c>
      <c r="H388" s="69" t="s">
        <v>1339</v>
      </c>
      <c r="J388" s="69" t="s">
        <v>2278</v>
      </c>
      <c r="K388" s="63" t="s">
        <v>2284</v>
      </c>
      <c r="L388" s="253">
        <v>65.733878246000003</v>
      </c>
      <c r="M388" s="253">
        <v>63.40622594148936</v>
      </c>
      <c r="N388" s="253">
        <v>60.900093032068966</v>
      </c>
      <c r="O388" s="253">
        <v>69.760691679473695</v>
      </c>
      <c r="P388" s="253">
        <v>67.428930819999991</v>
      </c>
      <c r="Q388" s="253">
        <v>60.581140349999991</v>
      </c>
      <c r="R388" s="253">
        <v>62.09978558000001</v>
      </c>
      <c r="S388" s="253">
        <v>66.738326850000007</v>
      </c>
      <c r="T388" s="253"/>
      <c r="U388" s="253">
        <v>67.941176470000002</v>
      </c>
      <c r="V388" s="253">
        <v>60.588028169999994</v>
      </c>
      <c r="W388" s="253"/>
      <c r="X388" s="253"/>
      <c r="Y388" s="253">
        <v>77.916576379999995</v>
      </c>
      <c r="Z388" s="253">
        <v>58.953667949999996</v>
      </c>
      <c r="AA388" s="253"/>
      <c r="AB388" s="253"/>
      <c r="AC388" s="253"/>
      <c r="AD388" s="253"/>
      <c r="AE388" s="253"/>
    </row>
    <row r="389" spans="1:31">
      <c r="A389" s="33">
        <v>388</v>
      </c>
      <c r="B389" s="69" t="s">
        <v>2277</v>
      </c>
      <c r="C389" s="69" t="s">
        <v>1203</v>
      </c>
      <c r="D389" s="56">
        <v>42080</v>
      </c>
      <c r="F389" s="56"/>
      <c r="G389" s="69" t="str">
        <f t="shared" si="6"/>
        <v>ERROR</v>
      </c>
      <c r="H389" s="69" t="s">
        <v>1339</v>
      </c>
      <c r="J389" s="69" t="s">
        <v>2278</v>
      </c>
      <c r="K389" s="63" t="s">
        <v>2285</v>
      </c>
      <c r="L389" s="253">
        <v>58.055372355999999</v>
      </c>
      <c r="M389" s="253">
        <v>63.949587754893606</v>
      </c>
      <c r="N389" s="253">
        <v>56.946216621724119</v>
      </c>
      <c r="O389" s="253">
        <v>58.292047082105256</v>
      </c>
      <c r="P389" s="253">
        <v>58.540868449999991</v>
      </c>
      <c r="Q389" s="253">
        <v>70.083333330000002</v>
      </c>
      <c r="R389" s="253">
        <v>64.910821639999995</v>
      </c>
      <c r="S389" s="253">
        <v>64.184236949999999</v>
      </c>
      <c r="T389" s="253"/>
      <c r="U389" s="253">
        <v>62.124183009999989</v>
      </c>
      <c r="V389" s="253">
        <v>0</v>
      </c>
      <c r="W389" s="253"/>
      <c r="X389" s="253"/>
      <c r="Y389" s="253">
        <v>56.289274109999994</v>
      </c>
      <c r="Z389" s="253">
        <v>56.113387979999992</v>
      </c>
      <c r="AA389" s="253"/>
      <c r="AB389" s="253"/>
      <c r="AC389" s="253"/>
      <c r="AD389" s="253"/>
      <c r="AE389" s="253"/>
    </row>
    <row r="390" spans="1:31">
      <c r="A390" s="33">
        <v>389</v>
      </c>
      <c r="B390" s="69" t="s">
        <v>2277</v>
      </c>
      <c r="C390" s="69" t="s">
        <v>1203</v>
      </c>
      <c r="D390" s="56">
        <v>42080</v>
      </c>
      <c r="F390" s="56"/>
      <c r="G390" s="69" t="str">
        <f t="shared" si="6"/>
        <v>ERROR</v>
      </c>
      <c r="H390" s="69" t="s">
        <v>1339</v>
      </c>
      <c r="J390" s="69" t="s">
        <v>2278</v>
      </c>
      <c r="K390" s="63" t="s">
        <v>2286</v>
      </c>
      <c r="L390" s="253">
        <v>60.004995510000001</v>
      </c>
      <c r="M390" s="253">
        <v>56.064530914255307</v>
      </c>
      <c r="N390" s="253">
        <v>35.672972277241371</v>
      </c>
      <c r="O390" s="253">
        <v>55.642999582631568</v>
      </c>
      <c r="P390" s="253">
        <v>58.827672960000001</v>
      </c>
      <c r="Q390" s="253">
        <v>71.552631579999996</v>
      </c>
      <c r="R390" s="253">
        <v>52.386544649999998</v>
      </c>
      <c r="S390" s="253">
        <v>58.295719840000004</v>
      </c>
      <c r="T390" s="253"/>
      <c r="U390" s="253">
        <v>48.464052290000005</v>
      </c>
      <c r="V390" s="253">
        <v>0</v>
      </c>
      <c r="W390" s="253"/>
      <c r="X390" s="253"/>
      <c r="Y390" s="253">
        <v>49.902412279999993</v>
      </c>
      <c r="Z390" s="253">
        <v>64.714285709999999</v>
      </c>
      <c r="AA390" s="253"/>
      <c r="AB390" s="253"/>
      <c r="AC390" s="253"/>
      <c r="AD390" s="253"/>
      <c r="AE390" s="253"/>
    </row>
    <row r="391" spans="1:31">
      <c r="A391" s="33">
        <v>390</v>
      </c>
      <c r="B391" s="69" t="s">
        <v>2277</v>
      </c>
      <c r="C391" s="69" t="s">
        <v>1203</v>
      </c>
      <c r="D391" s="56">
        <v>42080</v>
      </c>
      <c r="F391" s="56"/>
      <c r="G391" s="69" t="str">
        <f t="shared" si="6"/>
        <v>E-Commerce</v>
      </c>
      <c r="H391" s="69" t="s">
        <v>1339</v>
      </c>
      <c r="J391" s="69" t="s">
        <v>2278</v>
      </c>
      <c r="K391" s="63" t="s">
        <v>2287</v>
      </c>
      <c r="L391" s="253">
        <v>66.918609071999995</v>
      </c>
      <c r="M391" s="253">
        <v>72.05079997914892</v>
      </c>
      <c r="N391" s="253">
        <v>73.920188304827576</v>
      </c>
      <c r="O391" s="253">
        <v>69.30464699947369</v>
      </c>
      <c r="P391" s="253">
        <v>66.919496859999995</v>
      </c>
      <c r="Q391" s="253">
        <v>75.217105260000011</v>
      </c>
      <c r="R391" s="253">
        <v>68.334158009999996</v>
      </c>
      <c r="S391" s="253">
        <v>74.450389110000003</v>
      </c>
      <c r="T391" s="253"/>
      <c r="U391" s="253">
        <v>78.712418299999996</v>
      </c>
      <c r="V391" s="253">
        <v>75.401459849999995</v>
      </c>
      <c r="W391" s="253"/>
      <c r="X391" s="253"/>
      <c r="Y391" s="253">
        <v>69.587719300000003</v>
      </c>
      <c r="Z391" s="253">
        <v>66.915057919999981</v>
      </c>
      <c r="AA391" s="253"/>
      <c r="AB391" s="253"/>
      <c r="AC391" s="253"/>
      <c r="AD391" s="253"/>
      <c r="AE391" s="253"/>
    </row>
    <row r="392" spans="1:31">
      <c r="A392" s="33">
        <v>391</v>
      </c>
      <c r="B392" s="69" t="s">
        <v>2277</v>
      </c>
      <c r="C392" s="69" t="s">
        <v>1203</v>
      </c>
      <c r="D392" s="56">
        <v>42080</v>
      </c>
      <c r="F392" s="56"/>
      <c r="G392" s="69" t="str">
        <f t="shared" si="6"/>
        <v>E-Commerce</v>
      </c>
      <c r="H392" s="69" t="s">
        <v>1339</v>
      </c>
      <c r="J392" s="69" t="s">
        <v>2278</v>
      </c>
      <c r="K392" s="63" t="s">
        <v>2288</v>
      </c>
      <c r="L392" s="253">
        <v>40.505065639999998</v>
      </c>
      <c r="M392" s="253">
        <v>45.916999090638292</v>
      </c>
      <c r="N392" s="253">
        <v>37.82026846172414</v>
      </c>
      <c r="O392" s="253">
        <v>47.174286323157894</v>
      </c>
      <c r="P392" s="253">
        <v>38.570881229999998</v>
      </c>
      <c r="Q392" s="253">
        <v>52.368421049999988</v>
      </c>
      <c r="R392" s="253">
        <v>48.063567839999997</v>
      </c>
      <c r="S392" s="253">
        <v>38.328358209999998</v>
      </c>
      <c r="T392" s="253"/>
      <c r="U392" s="253">
        <v>41.143790850000002</v>
      </c>
      <c r="V392" s="253">
        <v>32.56505576</v>
      </c>
      <c r="W392" s="253"/>
      <c r="X392" s="253"/>
      <c r="Y392" s="253">
        <v>46.82785088</v>
      </c>
      <c r="Z392" s="253">
        <v>48.241803279999992</v>
      </c>
      <c r="AA392" s="253"/>
      <c r="AB392" s="253"/>
      <c r="AC392" s="253"/>
      <c r="AD392" s="253"/>
      <c r="AE392" s="253"/>
    </row>
    <row r="393" spans="1:31">
      <c r="A393" s="33">
        <v>392</v>
      </c>
      <c r="B393" s="69" t="s">
        <v>2277</v>
      </c>
      <c r="C393" s="69" t="s">
        <v>1203</v>
      </c>
      <c r="D393" s="56">
        <v>42080</v>
      </c>
      <c r="F393" s="56"/>
      <c r="G393" s="69" t="str">
        <f t="shared" si="6"/>
        <v>E-Commerce</v>
      </c>
      <c r="H393" s="69" t="s">
        <v>1339</v>
      </c>
      <c r="J393" s="69" t="s">
        <v>2278</v>
      </c>
      <c r="K393" s="69" t="s">
        <v>2289</v>
      </c>
      <c r="L393" s="253">
        <v>56.028951215999996</v>
      </c>
      <c r="M393" s="253">
        <v>60.40275840170213</v>
      </c>
      <c r="N393" s="253">
        <v>66.14187145103449</v>
      </c>
      <c r="O393" s="253">
        <v>57.438958982631583</v>
      </c>
      <c r="P393" s="253">
        <v>56.07672955999999</v>
      </c>
      <c r="Q393" s="253">
        <v>56.535087720000007</v>
      </c>
      <c r="R393" s="253">
        <v>63.413473319999987</v>
      </c>
      <c r="S393" s="253">
        <v>55.278704609999991</v>
      </c>
      <c r="T393" s="253"/>
      <c r="U393" s="253">
        <v>62.058823529999998</v>
      </c>
      <c r="V393" s="253">
        <v>68.401408450000005</v>
      </c>
      <c r="W393" s="253"/>
      <c r="X393" s="253"/>
      <c r="Y393" s="253">
        <v>57.351029250000003</v>
      </c>
      <c r="Z393" s="253">
        <v>55.837837840000006</v>
      </c>
      <c r="AA393" s="253"/>
      <c r="AB393" s="253"/>
      <c r="AC393" s="253"/>
      <c r="AD393" s="253"/>
      <c r="AE393" s="253"/>
    </row>
    <row r="394" spans="1:31">
      <c r="A394" s="33">
        <v>393</v>
      </c>
      <c r="B394" s="69" t="s">
        <v>2277</v>
      </c>
      <c r="C394" s="69" t="s">
        <v>1203</v>
      </c>
      <c r="D394" s="56">
        <v>42080</v>
      </c>
      <c r="F394" s="56"/>
      <c r="G394" s="69" t="str">
        <f t="shared" si="6"/>
        <v>E-Commerce</v>
      </c>
      <c r="H394" s="69" t="s">
        <v>1339</v>
      </c>
      <c r="J394" s="69" t="s">
        <v>2278</v>
      </c>
      <c r="K394" s="63" t="s">
        <v>2253</v>
      </c>
      <c r="L394" s="253">
        <v>59.951975912000002</v>
      </c>
      <c r="M394" s="253">
        <v>61.597930482553188</v>
      </c>
      <c r="N394" s="253">
        <v>63.945339626206895</v>
      </c>
      <c r="O394" s="253">
        <v>61.326074461578941</v>
      </c>
      <c r="P394" s="253">
        <v>59.230188679999998</v>
      </c>
      <c r="Q394" s="253">
        <v>61.353070180000003</v>
      </c>
      <c r="R394" s="253">
        <v>63.12173327</v>
      </c>
      <c r="S394" s="253">
        <v>65.407587550000002</v>
      </c>
      <c r="T394" s="253"/>
      <c r="U394" s="253">
        <v>55.79084967</v>
      </c>
      <c r="V394" s="253">
        <v>64.581261949999984</v>
      </c>
      <c r="W394" s="253"/>
      <c r="X394" s="253"/>
      <c r="Y394" s="253">
        <v>59.799566630000001</v>
      </c>
      <c r="Z394" s="253">
        <v>62.83912483999999</v>
      </c>
      <c r="AA394" s="253"/>
      <c r="AB394" s="253"/>
      <c r="AC394" s="253"/>
      <c r="AD394" s="253"/>
      <c r="AE394" s="253"/>
    </row>
    <row r="395" spans="1:31">
      <c r="A395" s="33">
        <v>394</v>
      </c>
      <c r="B395" s="69" t="s">
        <v>2277</v>
      </c>
      <c r="C395" s="69" t="s">
        <v>1203</v>
      </c>
      <c r="D395" s="56">
        <v>42080</v>
      </c>
      <c r="F395" s="56"/>
      <c r="G395" s="69" t="str">
        <f t="shared" si="6"/>
        <v>E-Commerce</v>
      </c>
      <c r="H395" s="69" t="s">
        <v>1339</v>
      </c>
      <c r="J395" s="69" t="s">
        <v>2278</v>
      </c>
      <c r="K395" s="63" t="s">
        <v>2290</v>
      </c>
      <c r="L395" s="253">
        <v>66.2382128112</v>
      </c>
      <c r="M395" s="253">
        <v>66.667562077319133</v>
      </c>
      <c r="N395" s="253">
        <v>64.721522250206903</v>
      </c>
      <c r="O395" s="253">
        <v>70.713602952473678</v>
      </c>
      <c r="P395" s="253">
        <v>65.933101348999998</v>
      </c>
      <c r="Q395" s="253">
        <v>71.778508773999988</v>
      </c>
      <c r="R395" s="253">
        <v>62.818407048999987</v>
      </c>
      <c r="S395" s="253">
        <v>68.402579954999979</v>
      </c>
      <c r="T395" s="253"/>
      <c r="U395" s="253">
        <v>69.862745097999991</v>
      </c>
      <c r="V395" s="253">
        <v>64.233908831999997</v>
      </c>
      <c r="W395" s="253"/>
      <c r="X395" s="253"/>
      <c r="Y395" s="253">
        <v>74.044725996999986</v>
      </c>
      <c r="Z395" s="253">
        <v>67.458658659999998</v>
      </c>
      <c r="AA395" s="253"/>
      <c r="AB395" s="253"/>
      <c r="AC395" s="253"/>
      <c r="AD395" s="253"/>
      <c r="AE395" s="253"/>
    </row>
    <row r="396" spans="1:31">
      <c r="A396" s="33">
        <v>395</v>
      </c>
      <c r="B396" s="69" t="s">
        <v>2277</v>
      </c>
      <c r="C396" s="69" t="s">
        <v>1203</v>
      </c>
      <c r="D396" s="56">
        <v>42080</v>
      </c>
      <c r="F396" s="56"/>
      <c r="G396" s="69" t="str">
        <f t="shared" si="6"/>
        <v>E-Commerce</v>
      </c>
      <c r="H396" s="69" t="s">
        <v>1339</v>
      </c>
      <c r="J396" s="69" t="s">
        <v>2278</v>
      </c>
      <c r="K396" s="63" t="s">
        <v>2291</v>
      </c>
      <c r="L396" s="253">
        <v>59.73762399200001</v>
      </c>
      <c r="M396" s="253">
        <v>64.030454186382983</v>
      </c>
      <c r="N396" s="253">
        <v>66.10930726827587</v>
      </c>
      <c r="O396" s="253">
        <v>67.192000711052629</v>
      </c>
      <c r="P396" s="253">
        <v>59.652724970000001</v>
      </c>
      <c r="Q396" s="253">
        <v>61.642543860000011</v>
      </c>
      <c r="R396" s="253">
        <v>62.396015800000001</v>
      </c>
      <c r="S396" s="253">
        <v>68.621197249999994</v>
      </c>
      <c r="T396" s="253"/>
      <c r="U396" s="253">
        <v>67.954248370000002</v>
      </c>
      <c r="V396" s="253">
        <v>67.893309220000006</v>
      </c>
      <c r="W396" s="253"/>
      <c r="X396" s="253"/>
      <c r="Y396" s="253">
        <v>72.120614040000007</v>
      </c>
      <c r="Z396" s="253">
        <v>60.077220080000004</v>
      </c>
      <c r="AA396" s="253"/>
      <c r="AB396" s="253"/>
      <c r="AC396" s="253"/>
      <c r="AD396" s="253"/>
      <c r="AE396" s="253"/>
    </row>
    <row r="397" spans="1:31">
      <c r="A397" s="33">
        <v>396</v>
      </c>
      <c r="B397" s="69" t="s">
        <v>2277</v>
      </c>
      <c r="C397" s="69" t="s">
        <v>1203</v>
      </c>
      <c r="D397" s="56">
        <v>42080</v>
      </c>
      <c r="F397" s="56"/>
      <c r="G397" s="69" t="str">
        <f t="shared" si="6"/>
        <v>E-Commerce</v>
      </c>
      <c r="H397" s="69" t="s">
        <v>1339</v>
      </c>
      <c r="J397" s="69" t="s">
        <v>2278</v>
      </c>
      <c r="K397" s="275" t="s">
        <v>2292</v>
      </c>
      <c r="L397" s="253">
        <v>63.613985420000006</v>
      </c>
      <c r="M397" s="253">
        <v>62.884448430638294</v>
      </c>
      <c r="N397" s="253">
        <v>54.306799144137926</v>
      </c>
      <c r="O397" s="253">
        <v>66.982098162894744</v>
      </c>
      <c r="P397" s="253">
        <v>63.187044194999999</v>
      </c>
      <c r="Q397" s="253">
        <v>65.089912279999993</v>
      </c>
      <c r="R397" s="253">
        <v>59.528207389999999</v>
      </c>
      <c r="S397" s="253">
        <v>68.422740284999989</v>
      </c>
      <c r="T397" s="253"/>
      <c r="U397" s="253">
        <v>63.732026145000006</v>
      </c>
      <c r="V397" s="253">
        <v>51.122909700000008</v>
      </c>
      <c r="W397" s="253"/>
      <c r="X397" s="253"/>
      <c r="Y397" s="253">
        <v>69.348204615</v>
      </c>
      <c r="Z397" s="253">
        <v>65.321750320000007</v>
      </c>
      <c r="AA397" s="253"/>
      <c r="AB397" s="253"/>
      <c r="AC397" s="253"/>
      <c r="AD397" s="253"/>
      <c r="AE397" s="253"/>
    </row>
    <row r="398" spans="1:31">
      <c r="A398" s="33">
        <v>397</v>
      </c>
      <c r="B398" s="69" t="s">
        <v>2277</v>
      </c>
      <c r="C398" s="69" t="s">
        <v>1203</v>
      </c>
      <c r="D398" s="56">
        <v>42080</v>
      </c>
      <c r="F398" s="56"/>
      <c r="G398" s="69" t="str">
        <f t="shared" si="6"/>
        <v>ERROR</v>
      </c>
      <c r="H398" s="69" t="s">
        <v>1339</v>
      </c>
      <c r="J398" s="69" t="s">
        <v>2278</v>
      </c>
      <c r="K398" s="63" t="s">
        <v>2293</v>
      </c>
      <c r="L398" s="253">
        <v>56.044332989200008</v>
      </c>
      <c r="M398" s="253">
        <v>61.183933038553185</v>
      </c>
      <c r="N398" s="253">
        <v>60.885975090068968</v>
      </c>
      <c r="O398" s="253">
        <v>59.843836184263168</v>
      </c>
      <c r="P398" s="253">
        <v>55.982057163999997</v>
      </c>
      <c r="Q398" s="253">
        <v>70.711622809999994</v>
      </c>
      <c r="R398" s="253">
        <v>59.625673566999993</v>
      </c>
      <c r="S398" s="253">
        <v>57.098764016999993</v>
      </c>
      <c r="T398" s="253"/>
      <c r="U398" s="253">
        <v>63.480187906000005</v>
      </c>
      <c r="V398" s="253"/>
      <c r="W398" s="253"/>
      <c r="X398" s="253"/>
      <c r="Y398" s="253">
        <v>60.850397209000008</v>
      </c>
      <c r="Z398" s="253">
        <v>56.29343629000001</v>
      </c>
      <c r="AA398" s="253"/>
      <c r="AB398" s="253"/>
      <c r="AC398" s="253"/>
      <c r="AD398" s="253"/>
      <c r="AE398" s="253"/>
    </row>
    <row r="399" spans="1:31">
      <c r="A399" s="33">
        <v>398</v>
      </c>
      <c r="B399" s="69" t="s">
        <v>2277</v>
      </c>
      <c r="C399" s="69" t="s">
        <v>1203</v>
      </c>
      <c r="D399" s="56">
        <v>42080</v>
      </c>
      <c r="F399" s="56"/>
      <c r="G399" s="69" t="str">
        <f t="shared" si="6"/>
        <v>ERROR</v>
      </c>
      <c r="H399" s="69" t="s">
        <v>1339</v>
      </c>
      <c r="J399" s="69" t="s">
        <v>2278</v>
      </c>
      <c r="K399" s="63" t="s">
        <v>2294</v>
      </c>
      <c r="L399" s="253">
        <v>53.411989777999999</v>
      </c>
      <c r="M399" s="253">
        <v>57.139341701319147</v>
      </c>
      <c r="N399" s="253">
        <v>55.264246635862065</v>
      </c>
      <c r="O399" s="253">
        <v>52.465201446210529</v>
      </c>
      <c r="P399" s="253">
        <v>52.87180833</v>
      </c>
      <c r="Q399" s="253">
        <v>69.223684214000002</v>
      </c>
      <c r="R399" s="253">
        <v>55.761743152999983</v>
      </c>
      <c r="S399" s="253">
        <v>56.043140098000009</v>
      </c>
      <c r="T399" s="253"/>
      <c r="U399" s="253">
        <v>54.084967318000011</v>
      </c>
      <c r="V399" s="253"/>
      <c r="W399" s="253"/>
      <c r="X399" s="253"/>
      <c r="Y399" s="253">
        <v>48.218493900999995</v>
      </c>
      <c r="Z399" s="253">
        <v>55.57271557</v>
      </c>
      <c r="AA399" s="253"/>
      <c r="AB399" s="253"/>
      <c r="AC399" s="253"/>
      <c r="AD399" s="253"/>
      <c r="AE399" s="253"/>
    </row>
    <row r="400" spans="1:31">
      <c r="A400" s="33">
        <v>399</v>
      </c>
      <c r="B400" s="69" t="s">
        <v>2277</v>
      </c>
      <c r="C400" s="69" t="s">
        <v>1203</v>
      </c>
      <c r="D400" s="56">
        <v>42080</v>
      </c>
      <c r="F400" s="56"/>
      <c r="G400" s="69" t="str">
        <f t="shared" si="6"/>
        <v>E-Commerce</v>
      </c>
      <c r="H400" s="69" t="s">
        <v>1339</v>
      </c>
      <c r="J400" s="69" t="s">
        <v>2278</v>
      </c>
      <c r="K400" s="63" t="s">
        <v>2295</v>
      </c>
      <c r="L400" s="253">
        <v>58.020108015200009</v>
      </c>
      <c r="M400" s="253">
        <v>55.91664915085105</v>
      </c>
      <c r="N400" s="253">
        <v>48.261272051758617</v>
      </c>
      <c r="O400" s="253">
        <v>61.524823209684222</v>
      </c>
      <c r="P400" s="253">
        <v>55.898591808999996</v>
      </c>
      <c r="Q400" s="253">
        <v>59.982456142999993</v>
      </c>
      <c r="R400" s="253">
        <v>50.425973342000006</v>
      </c>
      <c r="S400" s="253">
        <v>57.671055176999992</v>
      </c>
      <c r="T400" s="253"/>
      <c r="U400" s="253">
        <v>58.111111112999993</v>
      </c>
      <c r="V400" s="253">
        <v>45.853684050999995</v>
      </c>
      <c r="W400" s="253"/>
      <c r="X400" s="253"/>
      <c r="Y400" s="253">
        <v>61.793531878000003</v>
      </c>
      <c r="Z400" s="253">
        <v>66.506172840000005</v>
      </c>
      <c r="AA400" s="253"/>
      <c r="AB400" s="253"/>
      <c r="AC400" s="253"/>
      <c r="AD400" s="253"/>
      <c r="AE400" s="253"/>
    </row>
    <row r="401" spans="1:31">
      <c r="A401" s="33">
        <v>400</v>
      </c>
      <c r="B401" s="69" t="s">
        <v>2277</v>
      </c>
      <c r="C401" s="69" t="s">
        <v>1203</v>
      </c>
      <c r="D401" s="56">
        <v>42080</v>
      </c>
      <c r="F401" s="56"/>
      <c r="G401" s="69" t="str">
        <f t="shared" si="6"/>
        <v>E-Commerce</v>
      </c>
      <c r="H401" s="69" t="s">
        <v>1339</v>
      </c>
      <c r="J401" s="69" t="s">
        <v>2278</v>
      </c>
      <c r="K401" s="63" t="s">
        <v>1520</v>
      </c>
      <c r="L401" s="253">
        <v>56.712500967999986</v>
      </c>
      <c r="M401" s="253">
        <v>61.180315640680838</v>
      </c>
      <c r="N401" s="253">
        <v>57.94995353593103</v>
      </c>
      <c r="O401" s="253">
        <v>62.761373629684222</v>
      </c>
      <c r="P401" s="253">
        <v>55.842272299999983</v>
      </c>
      <c r="Q401" s="253">
        <v>70.264912281999983</v>
      </c>
      <c r="R401" s="253">
        <v>55.726548535999989</v>
      </c>
      <c r="S401" s="253">
        <v>62.922939889999995</v>
      </c>
      <c r="T401" s="253"/>
      <c r="U401" s="253">
        <v>66.084967316000004</v>
      </c>
      <c r="V401" s="253">
        <v>56.769731223999997</v>
      </c>
      <c r="W401" s="253"/>
      <c r="X401" s="253"/>
      <c r="Y401" s="253">
        <v>64.68580715200001</v>
      </c>
      <c r="Z401" s="253">
        <v>60.193415639999991</v>
      </c>
      <c r="AA401" s="253"/>
      <c r="AB401" s="253"/>
      <c r="AC401" s="253"/>
      <c r="AD401" s="253"/>
      <c r="AE401" s="253"/>
    </row>
    <row r="402" spans="1:31">
      <c r="A402" s="33">
        <v>401</v>
      </c>
      <c r="B402" s="69" t="s">
        <v>2277</v>
      </c>
      <c r="C402" s="69" t="s">
        <v>1203</v>
      </c>
      <c r="D402" s="56">
        <v>42080</v>
      </c>
      <c r="F402" s="56"/>
      <c r="G402" s="69" t="str">
        <f t="shared" si="6"/>
        <v>E-Commerce</v>
      </c>
      <c r="H402" s="69" t="s">
        <v>1339</v>
      </c>
      <c r="J402" s="69" t="s">
        <v>2278</v>
      </c>
      <c r="K402" s="63" t="s">
        <v>2296</v>
      </c>
      <c r="L402" s="253">
        <v>46.628002156000001</v>
      </c>
      <c r="M402" s="253">
        <v>49.035132025248231</v>
      </c>
      <c r="N402" s="253">
        <v>55.763350790574719</v>
      </c>
      <c r="O402" s="253">
        <v>50.944452372631574</v>
      </c>
      <c r="P402" s="253">
        <v>45.680755589999997</v>
      </c>
      <c r="Q402" s="253">
        <v>49.238304093333333</v>
      </c>
      <c r="R402" s="253">
        <v>48.968178763333334</v>
      </c>
      <c r="S402" s="253">
        <v>44.617917293333328</v>
      </c>
      <c r="T402" s="253"/>
      <c r="U402" s="253">
        <v>51.00653595</v>
      </c>
      <c r="V402" s="253">
        <v>58.780659403333331</v>
      </c>
      <c r="W402" s="253"/>
      <c r="X402" s="253"/>
      <c r="Y402" s="253">
        <v>52.406707406666662</v>
      </c>
      <c r="Z402" s="253">
        <v>50.416988419999996</v>
      </c>
      <c r="AA402" s="253"/>
      <c r="AB402" s="253"/>
      <c r="AC402" s="253"/>
      <c r="AD402" s="253"/>
      <c r="AE402" s="253"/>
    </row>
    <row r="403" spans="1:31">
      <c r="A403" s="33">
        <v>402</v>
      </c>
      <c r="B403" s="69" t="s">
        <v>2277</v>
      </c>
      <c r="C403" s="69" t="s">
        <v>1203</v>
      </c>
      <c r="D403" s="56">
        <v>42080</v>
      </c>
      <c r="F403" s="56"/>
      <c r="G403" s="69" t="str">
        <f t="shared" si="6"/>
        <v>ERROR</v>
      </c>
      <c r="H403" s="69" t="s">
        <v>1339</v>
      </c>
      <c r="J403" s="69" t="s">
        <v>2278</v>
      </c>
      <c r="K403" s="63" t="s">
        <v>2297</v>
      </c>
      <c r="L403" s="253">
        <v>56.392859610000002</v>
      </c>
      <c r="M403" s="253">
        <v>57.891812880851056</v>
      </c>
      <c r="N403" s="253">
        <v>48.299453500000006</v>
      </c>
      <c r="O403" s="253">
        <v>55.791038689210517</v>
      </c>
      <c r="P403" s="253">
        <v>56.343391114999996</v>
      </c>
      <c r="Q403" s="253">
        <v>65.07785088</v>
      </c>
      <c r="R403" s="253">
        <v>58.079754909999991</v>
      </c>
      <c r="S403" s="253">
        <v>60.220695094999996</v>
      </c>
      <c r="T403" s="253"/>
      <c r="U403" s="253">
        <v>52.457516339999998</v>
      </c>
      <c r="V403" s="253">
        <v>0</v>
      </c>
      <c r="W403" s="253"/>
      <c r="X403" s="253"/>
      <c r="Y403" s="253">
        <v>53.561801134999989</v>
      </c>
      <c r="Z403" s="253">
        <v>56.590733589999999</v>
      </c>
      <c r="AA403" s="253"/>
      <c r="AB403" s="253"/>
      <c r="AC403" s="253"/>
      <c r="AD403" s="253"/>
      <c r="AE403" s="253"/>
    </row>
    <row r="404" spans="1:31">
      <c r="A404" s="33">
        <v>403</v>
      </c>
      <c r="B404" s="69" t="s">
        <v>2271</v>
      </c>
      <c r="C404" s="69" t="s">
        <v>740</v>
      </c>
      <c r="D404" s="56">
        <v>42081</v>
      </c>
      <c r="E404" s="266"/>
      <c r="F404" s="56"/>
      <c r="G404" s="69" t="str">
        <f t="shared" si="6"/>
        <v>User Registration</v>
      </c>
      <c r="H404" s="13" t="s">
        <v>2272</v>
      </c>
      <c r="I404" s="13"/>
      <c r="J404" s="69" t="s">
        <v>2271</v>
      </c>
      <c r="K404" s="69" t="s">
        <v>2273</v>
      </c>
      <c r="L404" s="253">
        <v>61.383599140000001</v>
      </c>
      <c r="M404" s="253">
        <v>56.253691230212766</v>
      </c>
      <c r="N404" s="253">
        <v>63.571341441707318</v>
      </c>
      <c r="O404" s="253">
        <v>65.736235978947363</v>
      </c>
      <c r="P404" s="253">
        <v>58.786504419999993</v>
      </c>
      <c r="Q404" s="253">
        <v>74.289215689999992</v>
      </c>
      <c r="R404" s="253">
        <v>49.926225340000002</v>
      </c>
      <c r="S404" s="253">
        <v>56.674846629999998</v>
      </c>
      <c r="T404" s="253"/>
      <c r="U404" s="253">
        <v>50.075471699999994</v>
      </c>
      <c r="V404" s="253"/>
      <c r="W404" s="253">
        <v>67</v>
      </c>
      <c r="X404" s="253"/>
      <c r="Y404" s="253">
        <v>65.931208049999995</v>
      </c>
      <c r="Z404" s="253">
        <v>71.771978020000006</v>
      </c>
      <c r="AA404" s="253"/>
      <c r="AB404" s="253"/>
      <c r="AC404" s="253"/>
      <c r="AD404" s="253"/>
      <c r="AE404" s="253"/>
    </row>
    <row r="405" spans="1:31">
      <c r="A405" s="33">
        <v>404</v>
      </c>
      <c r="B405" s="69" t="s">
        <v>2271</v>
      </c>
      <c r="C405" s="69" t="s">
        <v>740</v>
      </c>
      <c r="D405" s="56">
        <v>42081</v>
      </c>
      <c r="G405" s="69" t="str">
        <f t="shared" si="6"/>
        <v>User Registration</v>
      </c>
      <c r="H405" s="69" t="s">
        <v>2272</v>
      </c>
      <c r="J405" s="69" t="s">
        <v>2271</v>
      </c>
      <c r="K405" s="69" t="s">
        <v>2274</v>
      </c>
      <c r="L405" s="253">
        <v>57.127503051999994</v>
      </c>
      <c r="M405" s="253">
        <v>61.413404135744685</v>
      </c>
      <c r="N405" s="253">
        <v>61.379391734146338</v>
      </c>
      <c r="O405" s="253">
        <v>66.856603767368426</v>
      </c>
      <c r="P405" s="253">
        <v>56.279914529999999</v>
      </c>
      <c r="Q405" s="253">
        <v>65.95</v>
      </c>
      <c r="R405" s="253">
        <v>59.784176850000001</v>
      </c>
      <c r="S405" s="253">
        <v>55.576923079999993</v>
      </c>
      <c r="T405" s="253"/>
      <c r="U405" s="253">
        <v>65.899563319999999</v>
      </c>
      <c r="V405" s="253"/>
      <c r="W405" s="253">
        <v>62</v>
      </c>
      <c r="X405" s="253"/>
      <c r="Y405" s="253">
        <v>72.659090910000003</v>
      </c>
      <c r="Z405" s="253">
        <v>60.517857139999997</v>
      </c>
      <c r="AA405" s="253"/>
      <c r="AB405" s="253"/>
      <c r="AC405" s="253"/>
      <c r="AD405" s="253"/>
      <c r="AE405" s="253"/>
    </row>
    <row r="406" spans="1:31">
      <c r="A406" s="33">
        <v>405</v>
      </c>
      <c r="B406" s="69" t="s">
        <v>2271</v>
      </c>
      <c r="C406" s="69" t="s">
        <v>740</v>
      </c>
      <c r="D406" s="56">
        <v>42081</v>
      </c>
      <c r="G406" s="69" t="str">
        <f t="shared" si="6"/>
        <v>User Registration</v>
      </c>
      <c r="H406" s="69" t="s">
        <v>2272</v>
      </c>
      <c r="J406" s="69" t="s">
        <v>2271</v>
      </c>
      <c r="K406" s="69" t="s">
        <v>2275</v>
      </c>
      <c r="L406" s="253">
        <v>60.803139717999997</v>
      </c>
      <c r="M406" s="253">
        <v>61.920465417659578</v>
      </c>
      <c r="N406" s="253">
        <v>57.795699463658536</v>
      </c>
      <c r="O406" s="253">
        <v>66.893595877894739</v>
      </c>
      <c r="P406" s="253">
        <v>59.89423077</v>
      </c>
      <c r="Q406" s="253">
        <v>64.166666669999998</v>
      </c>
      <c r="R406" s="253">
        <v>65.270612999999997</v>
      </c>
      <c r="S406" s="253">
        <v>65.700992560000003</v>
      </c>
      <c r="T406" s="253"/>
      <c r="U406" s="253">
        <v>50.344978169999997</v>
      </c>
      <c r="V406" s="253"/>
      <c r="W406" s="253">
        <v>57.999999999999993</v>
      </c>
      <c r="X406" s="253"/>
      <c r="Y406" s="253">
        <v>68.837555890000004</v>
      </c>
      <c r="Z406" s="253">
        <v>64.438775509999999</v>
      </c>
      <c r="AA406" s="253"/>
      <c r="AB406" s="253"/>
      <c r="AC406" s="253"/>
      <c r="AD406" s="253"/>
      <c r="AE406" s="253"/>
    </row>
    <row r="407" spans="1:31">
      <c r="A407" s="33">
        <v>406</v>
      </c>
      <c r="B407" s="69" t="s">
        <v>2271</v>
      </c>
      <c r="C407" s="69" t="s">
        <v>740</v>
      </c>
      <c r="D407" s="56">
        <v>42081</v>
      </c>
      <c r="G407" s="69" t="str">
        <f t="shared" si="6"/>
        <v>User Registration</v>
      </c>
      <c r="H407" s="69" t="s">
        <v>2272</v>
      </c>
      <c r="J407" s="69" t="s">
        <v>2271</v>
      </c>
      <c r="K407" s="69" t="s">
        <v>2271</v>
      </c>
      <c r="L407" s="253">
        <v>62.120905284000003</v>
      </c>
      <c r="M407" s="253">
        <v>58.808711536170208</v>
      </c>
      <c r="N407" s="253">
        <v>55.27316630756097</v>
      </c>
      <c r="O407" s="253">
        <v>64.057051304736845</v>
      </c>
      <c r="P407" s="253">
        <v>62.746794870000002</v>
      </c>
      <c r="Q407" s="253">
        <v>63.333333329999995</v>
      </c>
      <c r="R407" s="253">
        <v>56.199969770000003</v>
      </c>
      <c r="S407" s="253">
        <v>58.566997519999994</v>
      </c>
      <c r="T407" s="253"/>
      <c r="U407" s="253">
        <v>61.052132699999994</v>
      </c>
      <c r="V407" s="253"/>
      <c r="W407" s="253">
        <v>57.999999999999993</v>
      </c>
      <c r="X407" s="253"/>
      <c r="Y407" s="253">
        <v>68.469696970000001</v>
      </c>
      <c r="Z407" s="253">
        <v>59.61734693999999</v>
      </c>
      <c r="AA407" s="253"/>
      <c r="AB407" s="253"/>
      <c r="AC407" s="253"/>
      <c r="AD407" s="253"/>
      <c r="AE407" s="253"/>
    </row>
    <row r="408" spans="1:31">
      <c r="A408" s="33">
        <v>407</v>
      </c>
      <c r="B408" s="69" t="s">
        <v>2271</v>
      </c>
      <c r="C408" s="69" t="s">
        <v>740</v>
      </c>
      <c r="D408" s="56">
        <v>42081</v>
      </c>
      <c r="G408" s="69" t="str">
        <f t="shared" si="6"/>
        <v>User Registration</v>
      </c>
      <c r="H408" s="69" t="s">
        <v>2272</v>
      </c>
      <c r="J408" s="69" t="s">
        <v>2271</v>
      </c>
      <c r="K408" s="69" t="s">
        <v>2276</v>
      </c>
      <c r="L408" s="253">
        <v>51.012881021999988</v>
      </c>
      <c r="M408" s="253">
        <v>53.539200489574455</v>
      </c>
      <c r="N408" s="253">
        <v>40.330218377804876</v>
      </c>
      <c r="O408" s="253">
        <v>50.835718985263163</v>
      </c>
      <c r="P408" s="253">
        <v>48.935106380000001</v>
      </c>
      <c r="Q408" s="253">
        <v>59.416666669999998</v>
      </c>
      <c r="R408" s="253">
        <v>54.214825580000003</v>
      </c>
      <c r="S408" s="253">
        <v>57.251861039999994</v>
      </c>
      <c r="T408" s="253"/>
      <c r="U408" s="253">
        <v>43.54148472</v>
      </c>
      <c r="V408" s="253"/>
      <c r="W408" s="253">
        <v>38</v>
      </c>
      <c r="X408" s="253"/>
      <c r="Y408" s="253">
        <v>44.416058390000003</v>
      </c>
      <c r="Z408" s="253">
        <v>59.323979589999993</v>
      </c>
      <c r="AA408" s="253"/>
      <c r="AB408" s="253"/>
      <c r="AC408" s="253"/>
      <c r="AD408" s="253"/>
      <c r="AE408" s="253"/>
    </row>
    <row r="409" spans="1:31">
      <c r="A409" s="33">
        <v>408</v>
      </c>
      <c r="B409" s="69" t="s">
        <v>2268</v>
      </c>
      <c r="C409" s="69" t="s">
        <v>740</v>
      </c>
      <c r="D409" s="56">
        <v>42083</v>
      </c>
      <c r="F409" s="56"/>
      <c r="G409" s="69" t="str">
        <f t="shared" si="6"/>
        <v>E-Commerce</v>
      </c>
      <c r="H409" s="13" t="s">
        <v>2269</v>
      </c>
      <c r="I409" s="13"/>
      <c r="J409" s="69" t="s">
        <v>2268</v>
      </c>
      <c r="K409" s="69" t="s">
        <v>2268</v>
      </c>
      <c r="L409" s="253">
        <v>60.553239199999993</v>
      </c>
      <c r="M409" s="253">
        <v>55.871926575744681</v>
      </c>
      <c r="N409" s="253">
        <v>52.976788358823534</v>
      </c>
      <c r="O409" s="253">
        <v>64.857479973684207</v>
      </c>
      <c r="P409" s="253">
        <v>57.674107139999997</v>
      </c>
      <c r="Q409" s="253">
        <v>62.300847459999993</v>
      </c>
      <c r="R409" s="253">
        <v>53.450476619999996</v>
      </c>
      <c r="S409" s="253">
        <v>53.048701299999998</v>
      </c>
      <c r="T409" s="253"/>
      <c r="U409" s="253">
        <v>50.45248869000001</v>
      </c>
      <c r="V409" s="253">
        <v>57.93791281</v>
      </c>
      <c r="W409" s="253"/>
      <c r="X409" s="253"/>
      <c r="Y409" s="253">
        <v>64.969278029999998</v>
      </c>
      <c r="Z409" s="253">
        <v>72.069767439999993</v>
      </c>
      <c r="AA409" s="253"/>
      <c r="AB409" s="253"/>
      <c r="AC409" s="253"/>
      <c r="AD409" s="253"/>
      <c r="AE409" s="253"/>
    </row>
    <row r="410" spans="1:31">
      <c r="A410" s="33">
        <v>409</v>
      </c>
      <c r="B410" s="69" t="s">
        <v>2268</v>
      </c>
      <c r="C410" s="69" t="s">
        <v>740</v>
      </c>
      <c r="D410" s="56">
        <v>42083</v>
      </c>
      <c r="F410" s="56"/>
      <c r="G410" s="69" t="str">
        <f t="shared" si="6"/>
        <v>E-Commerce</v>
      </c>
      <c r="H410" s="13" t="s">
        <v>2269</v>
      </c>
      <c r="I410" s="13"/>
      <c r="J410" s="69" t="s">
        <v>2268</v>
      </c>
      <c r="K410" s="69" t="s">
        <v>1425</v>
      </c>
      <c r="L410" s="253">
        <v>63.848048175999992</v>
      </c>
      <c r="M410" s="253">
        <v>63.991518007234035</v>
      </c>
      <c r="N410" s="253">
        <v>54.206334751176477</v>
      </c>
      <c r="O410" s="253">
        <v>68.484736734736856</v>
      </c>
      <c r="P410" s="253">
        <v>63.520089290000001</v>
      </c>
      <c r="Q410" s="253">
        <v>64.190677969999996</v>
      </c>
      <c r="R410" s="253">
        <v>65.655942809999999</v>
      </c>
      <c r="S410" s="253">
        <v>62.408015769999999</v>
      </c>
      <c r="T410" s="253"/>
      <c r="U410" s="253">
        <v>60.909090910000003</v>
      </c>
      <c r="V410" s="253">
        <v>70.034615380000005</v>
      </c>
      <c r="W410" s="253"/>
      <c r="X410" s="253"/>
      <c r="Y410" s="253">
        <v>71.75</v>
      </c>
      <c r="Z410" s="253">
        <v>65.159883719999996</v>
      </c>
      <c r="AA410" s="253"/>
      <c r="AB410" s="253"/>
      <c r="AC410" s="253"/>
      <c r="AD410" s="253"/>
      <c r="AE410" s="253"/>
    </row>
    <row r="411" spans="1:31">
      <c r="A411" s="33">
        <v>410</v>
      </c>
      <c r="B411" s="69" t="s">
        <v>2268</v>
      </c>
      <c r="C411" s="69" t="s">
        <v>740</v>
      </c>
      <c r="D411" s="56">
        <v>42083</v>
      </c>
      <c r="F411" s="56"/>
      <c r="G411" s="69" t="str">
        <f t="shared" si="6"/>
        <v>E-Commerce</v>
      </c>
      <c r="H411" s="13" t="s">
        <v>2269</v>
      </c>
      <c r="I411" s="13"/>
      <c r="J411" s="69" t="s">
        <v>2268</v>
      </c>
      <c r="K411" s="69" t="s">
        <v>393</v>
      </c>
      <c r="L411" s="253">
        <v>68.406388317999998</v>
      </c>
      <c r="M411" s="253">
        <v>64.048459505744688</v>
      </c>
      <c r="N411" s="253">
        <v>69.704418052352935</v>
      </c>
      <c r="O411" s="253">
        <v>75.889336243157899</v>
      </c>
      <c r="P411" s="253">
        <v>65.993212670000005</v>
      </c>
      <c r="Q411" s="253">
        <v>68.453389829999992</v>
      </c>
      <c r="R411" s="253">
        <v>59.935822899999998</v>
      </c>
      <c r="S411" s="253">
        <v>65.350631140000004</v>
      </c>
      <c r="T411" s="253"/>
      <c r="U411" s="253">
        <v>61.844155839999999</v>
      </c>
      <c r="V411" s="253">
        <v>69.974093260000004</v>
      </c>
      <c r="W411" s="253"/>
      <c r="X411" s="253"/>
      <c r="Y411" s="253">
        <v>79.792626729999995</v>
      </c>
      <c r="Z411" s="253">
        <v>78.059090909999995</v>
      </c>
      <c r="AA411" s="253"/>
      <c r="AB411" s="253"/>
      <c r="AC411" s="253"/>
      <c r="AD411" s="253"/>
      <c r="AE411" s="253"/>
    </row>
    <row r="412" spans="1:31">
      <c r="A412" s="33">
        <v>411</v>
      </c>
      <c r="B412" s="69" t="s">
        <v>2268</v>
      </c>
      <c r="C412" s="69" t="s">
        <v>740</v>
      </c>
      <c r="D412" s="56">
        <v>42083</v>
      </c>
      <c r="F412" s="56"/>
      <c r="G412" s="69" t="str">
        <f t="shared" si="6"/>
        <v>E-Commerce</v>
      </c>
      <c r="H412" s="13" t="s">
        <v>2269</v>
      </c>
      <c r="I412" s="13"/>
      <c r="J412" s="69" t="s">
        <v>2268</v>
      </c>
      <c r="K412" s="69" t="s">
        <v>78</v>
      </c>
      <c r="L412" s="253">
        <v>69.907516614000002</v>
      </c>
      <c r="M412" s="253">
        <v>65.527122720638303</v>
      </c>
      <c r="N412" s="253">
        <v>68.130965904705874</v>
      </c>
      <c r="O412" s="253">
        <v>73.023341193684217</v>
      </c>
      <c r="P412" s="253">
        <v>71.560267859999996</v>
      </c>
      <c r="Q412" s="253">
        <v>74.355932199999998</v>
      </c>
      <c r="R412" s="253">
        <v>63.85977063</v>
      </c>
      <c r="S412" s="253">
        <v>66.977660970000002</v>
      </c>
      <c r="T412" s="253"/>
      <c r="U412" s="253">
        <v>63.809523810000002</v>
      </c>
      <c r="V412" s="253">
        <v>72.551546389999999</v>
      </c>
      <c r="W412" s="253"/>
      <c r="X412" s="253"/>
      <c r="Y412" s="253">
        <v>80.19077901</v>
      </c>
      <c r="Z412" s="253">
        <v>63.296511629999998</v>
      </c>
      <c r="AA412" s="253"/>
      <c r="AB412" s="253"/>
      <c r="AC412" s="253"/>
      <c r="AD412" s="253"/>
      <c r="AE412" s="253"/>
    </row>
    <row r="413" spans="1:31">
      <c r="A413" s="33">
        <v>412</v>
      </c>
      <c r="B413" s="69" t="s">
        <v>2268</v>
      </c>
      <c r="C413" s="69" t="s">
        <v>740</v>
      </c>
      <c r="D413" s="56">
        <v>42083</v>
      </c>
      <c r="F413" s="56"/>
      <c r="G413" s="69" t="str">
        <f t="shared" si="6"/>
        <v>E-Commerce</v>
      </c>
      <c r="H413" s="13" t="s">
        <v>2269</v>
      </c>
      <c r="I413" s="13"/>
      <c r="J413" s="69" t="s">
        <v>2268</v>
      </c>
      <c r="K413" s="69" t="s">
        <v>2270</v>
      </c>
      <c r="L413" s="253">
        <v>56.450802878000005</v>
      </c>
      <c r="M413" s="253">
        <v>60.863087108297876</v>
      </c>
      <c r="N413" s="253">
        <v>70.042899664705885</v>
      </c>
      <c r="O413" s="253">
        <v>67.010038347368422</v>
      </c>
      <c r="P413" s="253">
        <v>54.793154759999993</v>
      </c>
      <c r="Q413" s="253">
        <v>66.915254239999996</v>
      </c>
      <c r="R413" s="253">
        <v>71.663921930000001</v>
      </c>
      <c r="S413" s="253">
        <v>46.603153749999997</v>
      </c>
      <c r="T413" s="253"/>
      <c r="U413" s="253">
        <v>43.07692308</v>
      </c>
      <c r="V413" s="253">
        <v>50.798675500000002</v>
      </c>
      <c r="W413" s="253"/>
      <c r="X413" s="253"/>
      <c r="Y413" s="253">
        <v>70.09375</v>
      </c>
      <c r="Z413" s="253">
        <v>63.081395350000001</v>
      </c>
      <c r="AA413" s="253"/>
      <c r="AB413" s="253"/>
      <c r="AC413" s="253"/>
      <c r="AD413" s="253"/>
      <c r="AE413" s="253"/>
    </row>
    <row r="414" spans="1:31">
      <c r="A414" s="33">
        <v>413</v>
      </c>
      <c r="B414" s="69" t="s">
        <v>2263</v>
      </c>
      <c r="C414" s="69" t="s">
        <v>740</v>
      </c>
      <c r="D414" s="56">
        <v>42084</v>
      </c>
      <c r="E414" s="266"/>
      <c r="F414" s="56"/>
      <c r="G414" s="69" t="str">
        <f t="shared" si="6"/>
        <v>User Registration</v>
      </c>
      <c r="H414" s="13" t="s">
        <v>2205</v>
      </c>
      <c r="I414" s="13"/>
      <c r="J414" s="69" t="s">
        <v>2263</v>
      </c>
      <c r="K414" s="69" t="s">
        <v>2264</v>
      </c>
      <c r="L414" s="253">
        <v>54</v>
      </c>
      <c r="M414" s="253">
        <v>55</v>
      </c>
      <c r="N414" s="253">
        <v>54</v>
      </c>
      <c r="O414" s="253">
        <v>65</v>
      </c>
      <c r="P414" s="253">
        <v>51.349344979999998</v>
      </c>
      <c r="Q414" s="253">
        <v>69</v>
      </c>
      <c r="R414" s="253">
        <v>57.42253788</v>
      </c>
      <c r="S414" s="253">
        <v>43.950131229999997</v>
      </c>
      <c r="T414" s="253"/>
      <c r="U414" s="253">
        <v>42.042253520000003</v>
      </c>
      <c r="V414" s="253"/>
      <c r="W414" s="253">
        <v>50</v>
      </c>
      <c r="X414" s="253"/>
      <c r="Y414" s="253">
        <v>68</v>
      </c>
      <c r="Z414" s="253">
        <v>65.514184400000005</v>
      </c>
      <c r="AA414" s="253"/>
      <c r="AB414" s="253"/>
      <c r="AC414" s="253"/>
      <c r="AD414" s="253"/>
      <c r="AE414" s="253"/>
    </row>
    <row r="415" spans="1:31">
      <c r="A415" s="33">
        <v>414</v>
      </c>
      <c r="B415" s="69" t="s">
        <v>2263</v>
      </c>
      <c r="C415" s="69" t="s">
        <v>740</v>
      </c>
      <c r="D415" s="56">
        <v>42084</v>
      </c>
      <c r="G415" s="69" t="str">
        <f t="shared" si="6"/>
        <v>User Registration</v>
      </c>
      <c r="H415" s="69" t="s">
        <v>2205</v>
      </c>
      <c r="J415" s="69" t="s">
        <v>2263</v>
      </c>
      <c r="K415" s="69" t="s">
        <v>2265</v>
      </c>
      <c r="L415" s="253">
        <v>56.999999999999993</v>
      </c>
      <c r="M415" s="253">
        <v>64</v>
      </c>
      <c r="N415" s="253">
        <v>56.000000000000007</v>
      </c>
      <c r="O415" s="253">
        <v>64</v>
      </c>
      <c r="P415" s="253">
        <v>56.74638298</v>
      </c>
      <c r="Q415" s="253">
        <v>67</v>
      </c>
      <c r="R415" s="253">
        <v>62.183342840000002</v>
      </c>
      <c r="S415" s="253">
        <v>55.715337419999997</v>
      </c>
      <c r="T415" s="253"/>
      <c r="U415" s="253">
        <v>73.661971829999999</v>
      </c>
      <c r="V415" s="253"/>
      <c r="W415" s="253">
        <v>52</v>
      </c>
      <c r="X415" s="253"/>
      <c r="Y415" s="253">
        <v>67</v>
      </c>
      <c r="Z415" s="253">
        <v>60.173684209999998</v>
      </c>
      <c r="AA415" s="253"/>
      <c r="AB415" s="253"/>
      <c r="AC415" s="253"/>
      <c r="AD415" s="253"/>
      <c r="AE415" s="253"/>
    </row>
    <row r="416" spans="1:31">
      <c r="A416" s="33">
        <v>415</v>
      </c>
      <c r="B416" s="69" t="s">
        <v>2263</v>
      </c>
      <c r="C416" s="69" t="s">
        <v>740</v>
      </c>
      <c r="D416" s="56">
        <v>42084</v>
      </c>
      <c r="G416" s="69" t="str">
        <f t="shared" si="6"/>
        <v>User Registration</v>
      </c>
      <c r="H416" s="69" t="s">
        <v>2205</v>
      </c>
      <c r="J416" s="69" t="s">
        <v>2263</v>
      </c>
      <c r="K416" s="69" t="s">
        <v>2266</v>
      </c>
      <c r="L416" s="253">
        <v>57.999999999999993</v>
      </c>
      <c r="M416" s="253">
        <v>53</v>
      </c>
      <c r="N416" s="253">
        <v>57.999999999999993</v>
      </c>
      <c r="O416" s="253">
        <v>63</v>
      </c>
      <c r="P416" s="253">
        <v>55.056919640000004</v>
      </c>
      <c r="Q416" s="253">
        <v>66</v>
      </c>
      <c r="R416" s="253">
        <v>54.019725559999998</v>
      </c>
      <c r="S416" s="253">
        <v>46.30014327</v>
      </c>
      <c r="T416" s="253"/>
      <c r="U416" s="253">
        <v>37.464788730000002</v>
      </c>
      <c r="V416" s="253"/>
      <c r="W416" s="253">
        <v>57.999999999999993</v>
      </c>
      <c r="X416" s="253"/>
      <c r="Y416" s="253">
        <v>64</v>
      </c>
      <c r="Z416" s="253">
        <v>68.522727270000004</v>
      </c>
      <c r="AA416" s="253"/>
      <c r="AB416" s="253"/>
      <c r="AC416" s="253"/>
      <c r="AD416" s="253"/>
      <c r="AE416" s="253"/>
    </row>
    <row r="417" spans="1:31">
      <c r="A417" s="33">
        <v>416</v>
      </c>
      <c r="B417" s="69" t="s">
        <v>2263</v>
      </c>
      <c r="C417" s="69" t="s">
        <v>740</v>
      </c>
      <c r="D417" s="56">
        <v>42084</v>
      </c>
      <c r="G417" s="69" t="str">
        <f t="shared" si="6"/>
        <v>User Registration</v>
      </c>
      <c r="H417" s="69" t="s">
        <v>2205</v>
      </c>
      <c r="J417" s="69" t="s">
        <v>2263</v>
      </c>
      <c r="K417" s="69" t="s">
        <v>2267</v>
      </c>
      <c r="L417" s="253">
        <v>48</v>
      </c>
      <c r="M417" s="253">
        <v>55</v>
      </c>
      <c r="N417" s="253">
        <v>50</v>
      </c>
      <c r="O417" s="253">
        <v>57.999999999999993</v>
      </c>
      <c r="P417" s="253">
        <v>42.18723404</v>
      </c>
      <c r="Q417" s="253">
        <v>63</v>
      </c>
      <c r="R417" s="253">
        <v>49.008731619999999</v>
      </c>
      <c r="S417" s="253">
        <v>35.273006129999999</v>
      </c>
      <c r="T417" s="253"/>
      <c r="U417" s="253">
        <v>64.507042249999998</v>
      </c>
      <c r="V417" s="253"/>
      <c r="W417" s="253">
        <v>48</v>
      </c>
      <c r="X417" s="253"/>
      <c r="Y417" s="253">
        <v>54</v>
      </c>
      <c r="Z417" s="253">
        <v>71.979166669999998</v>
      </c>
      <c r="AA417" s="253"/>
      <c r="AB417" s="253"/>
      <c r="AC417" s="253"/>
      <c r="AD417" s="253"/>
      <c r="AE417" s="253"/>
    </row>
    <row r="418" spans="1:31">
      <c r="A418" s="33">
        <v>417</v>
      </c>
      <c r="B418" s="69" t="s">
        <v>2263</v>
      </c>
      <c r="C418" s="69" t="s">
        <v>740</v>
      </c>
      <c r="D418" s="56">
        <v>42084</v>
      </c>
      <c r="F418" s="56"/>
      <c r="G418" s="69" t="str">
        <f t="shared" si="6"/>
        <v>User Registration</v>
      </c>
      <c r="H418" s="13" t="s">
        <v>2205</v>
      </c>
      <c r="I418" s="13"/>
      <c r="J418" s="69" t="s">
        <v>2263</v>
      </c>
      <c r="K418" s="69" t="s">
        <v>2263</v>
      </c>
      <c r="L418" s="253">
        <v>53</v>
      </c>
      <c r="M418" s="253">
        <v>49</v>
      </c>
      <c r="N418" s="253">
        <v>43</v>
      </c>
      <c r="O418" s="253">
        <v>56.000000000000007</v>
      </c>
      <c r="P418" s="253">
        <v>49.740425530000003</v>
      </c>
      <c r="Q418" s="253">
        <v>46</v>
      </c>
      <c r="R418" s="253">
        <v>53.653692040000003</v>
      </c>
      <c r="S418" s="253">
        <v>40.794334980000002</v>
      </c>
      <c r="T418" s="253"/>
      <c r="U418" s="253">
        <v>36.619718310000003</v>
      </c>
      <c r="V418" s="253"/>
      <c r="W418" s="253">
        <v>40</v>
      </c>
      <c r="X418" s="253"/>
      <c r="Y418" s="253">
        <v>54</v>
      </c>
      <c r="Z418" s="253">
        <v>66.774869109999997</v>
      </c>
      <c r="AA418" s="253"/>
      <c r="AB418" s="253"/>
      <c r="AC418" s="253"/>
      <c r="AD418" s="253"/>
      <c r="AE418" s="253"/>
    </row>
    <row r="419" spans="1:31">
      <c r="A419" s="33">
        <v>418</v>
      </c>
      <c r="B419" s="69" t="s">
        <v>2255</v>
      </c>
      <c r="C419" s="69" t="s">
        <v>2256</v>
      </c>
      <c r="D419" s="56">
        <v>42097</v>
      </c>
      <c r="F419" s="56"/>
      <c r="G419" s="69" t="str">
        <f t="shared" si="6"/>
        <v>E-Commerce</v>
      </c>
      <c r="H419" s="69" t="s">
        <v>2257</v>
      </c>
      <c r="J419" s="69" t="s">
        <v>2255</v>
      </c>
      <c r="K419" s="69" t="s">
        <v>2255</v>
      </c>
      <c r="L419" s="253">
        <v>49.637440759999997</v>
      </c>
      <c r="M419" s="253">
        <v>56.422507879999991</v>
      </c>
      <c r="N419" s="253">
        <v>59.046762269835227</v>
      </c>
      <c r="O419" s="253">
        <v>63.230746574999998</v>
      </c>
      <c r="P419" s="253">
        <v>49.637440759999997</v>
      </c>
      <c r="Q419" s="253">
        <v>67.916666669999998</v>
      </c>
      <c r="R419" s="253">
        <v>54.621681420000002</v>
      </c>
      <c r="S419" s="253">
        <v>54.651360539999992</v>
      </c>
      <c r="T419" s="253"/>
      <c r="U419" s="253">
        <v>53.236111109999996</v>
      </c>
      <c r="V419" s="253">
        <v>57.376750700000002</v>
      </c>
      <c r="W419" s="253"/>
      <c r="X419" s="253"/>
      <c r="Y419" s="253">
        <v>65.341906199999997</v>
      </c>
      <c r="Z419" s="253"/>
      <c r="AA419" s="253"/>
      <c r="AB419" s="253"/>
      <c r="AC419" s="253"/>
      <c r="AD419" s="253"/>
      <c r="AE419" s="253"/>
    </row>
    <row r="420" spans="1:31">
      <c r="A420" s="33">
        <v>419</v>
      </c>
      <c r="B420" s="69" t="s">
        <v>2255</v>
      </c>
      <c r="C420" s="69" t="s">
        <v>2256</v>
      </c>
      <c r="D420" s="56">
        <v>42097</v>
      </c>
      <c r="F420" s="56"/>
      <c r="G420" s="69" t="str">
        <f t="shared" si="6"/>
        <v>E-Commerce</v>
      </c>
      <c r="H420" s="69" t="s">
        <v>2257</v>
      </c>
      <c r="J420" s="69" t="s">
        <v>2255</v>
      </c>
      <c r="K420" s="69" t="s">
        <v>2258</v>
      </c>
      <c r="L420" s="253">
        <v>44.576190480000001</v>
      </c>
      <c r="M420" s="253">
        <v>53.237560086923075</v>
      </c>
      <c r="N420" s="253">
        <v>42.574859227750252</v>
      </c>
      <c r="O420" s="253">
        <v>25.617502883571429</v>
      </c>
      <c r="P420" s="253">
        <v>44.576190480000001</v>
      </c>
      <c r="Q420" s="253">
        <v>55.816666670000004</v>
      </c>
      <c r="R420" s="253">
        <v>62.348387100000004</v>
      </c>
      <c r="S420" s="253">
        <v>40.606649400000002</v>
      </c>
      <c r="T420" s="253"/>
      <c r="U420" s="253">
        <v>48.111111109999996</v>
      </c>
      <c r="V420" s="253">
        <v>46.173437499999999</v>
      </c>
      <c r="W420" s="253"/>
      <c r="X420" s="253"/>
      <c r="Y420" s="253">
        <v>13.752495010000001</v>
      </c>
      <c r="Z420" s="253"/>
      <c r="AA420" s="253"/>
      <c r="AB420" s="253"/>
      <c r="AC420" s="253"/>
      <c r="AD420" s="253"/>
      <c r="AE420" s="253"/>
    </row>
    <row r="421" spans="1:31">
      <c r="A421" s="33">
        <v>420</v>
      </c>
      <c r="B421" s="69" t="s">
        <v>2255</v>
      </c>
      <c r="C421" s="69" t="s">
        <v>2256</v>
      </c>
      <c r="D421" s="56">
        <v>42097</v>
      </c>
      <c r="F421" s="56"/>
      <c r="G421" s="69" t="str">
        <f t="shared" si="6"/>
        <v>E-Commerce</v>
      </c>
      <c r="H421" s="69" t="s">
        <v>2257</v>
      </c>
      <c r="J421" s="69" t="s">
        <v>2255</v>
      </c>
      <c r="K421" s="69" t="s">
        <v>2259</v>
      </c>
      <c r="L421" s="253">
        <v>58.42018779</v>
      </c>
      <c r="M421" s="253">
        <v>58.61740824846153</v>
      </c>
      <c r="N421" s="253">
        <v>65.287720015095616</v>
      </c>
      <c r="O421" s="253">
        <v>62.005845324285715</v>
      </c>
      <c r="P421" s="253">
        <v>58.42018779</v>
      </c>
      <c r="Q421" s="253">
        <v>69.483333329999994</v>
      </c>
      <c r="R421" s="253">
        <v>57.406391659999997</v>
      </c>
      <c r="S421" s="253">
        <v>50.107039190000002</v>
      </c>
      <c r="T421" s="253"/>
      <c r="U421" s="253">
        <v>56.694444439999998</v>
      </c>
      <c r="V421" s="253">
        <v>61.549071619999992</v>
      </c>
      <c r="W421" s="253"/>
      <c r="X421" s="253"/>
      <c r="Y421" s="253">
        <v>63.367867870000005</v>
      </c>
      <c r="Z421" s="253"/>
      <c r="AA421" s="253"/>
      <c r="AB421" s="253"/>
      <c r="AC421" s="253"/>
      <c r="AD421" s="253"/>
      <c r="AE421" s="253"/>
    </row>
    <row r="422" spans="1:31">
      <c r="A422" s="33">
        <v>421</v>
      </c>
      <c r="B422" s="69" t="s">
        <v>2255</v>
      </c>
      <c r="C422" s="69" t="s">
        <v>2256</v>
      </c>
      <c r="D422" s="56">
        <v>42097</v>
      </c>
      <c r="F422" s="56"/>
      <c r="G422" s="69" t="str">
        <f t="shared" si="6"/>
        <v>E-Commerce</v>
      </c>
      <c r="H422" s="69" t="s">
        <v>2257</v>
      </c>
      <c r="J422" s="69" t="s">
        <v>2255</v>
      </c>
      <c r="K422" s="69" t="s">
        <v>2260</v>
      </c>
      <c r="L422" s="253">
        <v>40.28873239</v>
      </c>
      <c r="M422" s="253">
        <v>56.766039991153839</v>
      </c>
      <c r="N422" s="253">
        <v>61.292834805946868</v>
      </c>
      <c r="O422" s="253">
        <v>55.030429024285709</v>
      </c>
      <c r="P422" s="253">
        <v>40.28873239</v>
      </c>
      <c r="Q422" s="253">
        <v>65.866666670000001</v>
      </c>
      <c r="R422" s="253">
        <v>57.077163249999998</v>
      </c>
      <c r="S422" s="253">
        <v>42.83744557</v>
      </c>
      <c r="T422" s="253"/>
      <c r="U422" s="253">
        <v>55.166666669999998</v>
      </c>
      <c r="V422" s="253">
        <v>60.639947439999993</v>
      </c>
      <c r="W422" s="253"/>
      <c r="X422" s="253"/>
      <c r="Y422" s="253">
        <v>54.756756760000002</v>
      </c>
      <c r="Z422" s="253"/>
      <c r="AA422" s="253"/>
      <c r="AB422" s="253"/>
      <c r="AC422" s="253"/>
      <c r="AD422" s="253"/>
      <c r="AE422" s="253"/>
    </row>
    <row r="423" spans="1:31">
      <c r="A423" s="33">
        <v>422</v>
      </c>
      <c r="B423" s="69" t="s">
        <v>2255</v>
      </c>
      <c r="C423" s="69" t="s">
        <v>2256</v>
      </c>
      <c r="D423" s="56">
        <v>42097</v>
      </c>
      <c r="F423" s="56"/>
      <c r="G423" s="69" t="str">
        <f t="shared" si="6"/>
        <v>E-Commerce</v>
      </c>
      <c r="H423" s="69" t="s">
        <v>2257</v>
      </c>
      <c r="J423" s="69" t="s">
        <v>2255</v>
      </c>
      <c r="K423" s="69" t="s">
        <v>2261</v>
      </c>
      <c r="L423" s="253">
        <v>43.732394369999994</v>
      </c>
      <c r="M423" s="253">
        <v>52.633813552307693</v>
      </c>
      <c r="N423" s="253">
        <v>50.070461750795843</v>
      </c>
      <c r="O423" s="253">
        <v>29.982634944285717</v>
      </c>
      <c r="P423" s="253">
        <v>43.732394370000002</v>
      </c>
      <c r="Q423" s="253">
        <v>50.433333330000004</v>
      </c>
      <c r="R423" s="253">
        <v>48.498602050000002</v>
      </c>
      <c r="S423" s="253">
        <v>39.435007390000003</v>
      </c>
      <c r="T423" s="253"/>
      <c r="U423" s="253">
        <v>66.222222220000006</v>
      </c>
      <c r="V423" s="253">
        <v>56.555399719999997</v>
      </c>
      <c r="W423" s="253"/>
      <c r="X423" s="253"/>
      <c r="Y423" s="253">
        <v>23.289134440000002</v>
      </c>
      <c r="Z423" s="253"/>
      <c r="AA423" s="253"/>
      <c r="AB423" s="253"/>
      <c r="AC423" s="253"/>
      <c r="AD423" s="253"/>
      <c r="AE423" s="253"/>
    </row>
    <row r="424" spans="1:31">
      <c r="A424" s="33">
        <v>423</v>
      </c>
      <c r="B424" s="69" t="s">
        <v>2255</v>
      </c>
      <c r="C424" s="69" t="s">
        <v>2256</v>
      </c>
      <c r="D424" s="56">
        <v>42097</v>
      </c>
      <c r="F424" s="56"/>
      <c r="G424" s="69" t="str">
        <f t="shared" si="6"/>
        <v>E-Commerce</v>
      </c>
      <c r="H424" s="69" t="s">
        <v>2257</v>
      </c>
      <c r="J424" s="69" t="s">
        <v>2255</v>
      </c>
      <c r="K424" s="69" t="s">
        <v>2262</v>
      </c>
      <c r="L424" s="253">
        <v>42.562796209999995</v>
      </c>
      <c r="M424" s="253">
        <v>53.737528580769229</v>
      </c>
      <c r="N424" s="253">
        <v>48.984912042041536</v>
      </c>
      <c r="O424" s="253">
        <v>29.054117883571433</v>
      </c>
      <c r="P424" s="253">
        <v>42.562796210000002</v>
      </c>
      <c r="Q424" s="253">
        <v>65.783333330000005</v>
      </c>
      <c r="R424" s="253">
        <v>53.872293310000003</v>
      </c>
      <c r="S424" s="253">
        <v>38.015975820000001</v>
      </c>
      <c r="T424" s="253"/>
      <c r="U424" s="253">
        <v>58.875</v>
      </c>
      <c r="V424" s="253">
        <v>50.535976510000005</v>
      </c>
      <c r="W424" s="253"/>
      <c r="X424" s="253"/>
      <c r="Y424" s="253">
        <v>19.521375460000002</v>
      </c>
      <c r="Z424" s="253"/>
      <c r="AA424" s="253"/>
      <c r="AB424" s="253"/>
      <c r="AC424" s="253"/>
      <c r="AD424" s="253"/>
      <c r="AE424" s="253"/>
    </row>
    <row r="425" spans="1:31">
      <c r="A425" s="33">
        <v>424</v>
      </c>
      <c r="B425" s="63" t="s">
        <v>2253</v>
      </c>
      <c r="C425" s="69" t="s">
        <v>1203</v>
      </c>
      <c r="D425" s="56">
        <v>42101</v>
      </c>
      <c r="F425" s="56"/>
      <c r="G425" s="69" t="str">
        <f t="shared" si="6"/>
        <v>Both</v>
      </c>
      <c r="H425" s="69" t="s">
        <v>1339</v>
      </c>
      <c r="J425" s="63" t="s">
        <v>2253</v>
      </c>
      <c r="K425" s="54" t="s">
        <v>2254</v>
      </c>
      <c r="L425" s="253">
        <v>70.315476189999998</v>
      </c>
      <c r="M425" s="253">
        <v>68.288220550000005</v>
      </c>
      <c r="N425" s="253">
        <v>53.309623429999995</v>
      </c>
      <c r="O425" s="253">
        <v>68.900541610000005</v>
      </c>
      <c r="P425" s="253">
        <v>62.979874209999998</v>
      </c>
      <c r="Q425" s="253">
        <v>45.822368419999997</v>
      </c>
      <c r="R425" s="253">
        <v>62.774716099999992</v>
      </c>
      <c r="S425" s="253">
        <v>65.591763940000007</v>
      </c>
      <c r="T425" s="253"/>
      <c r="U425" s="253">
        <v>75</v>
      </c>
      <c r="V425" s="253">
        <v>51.428571430000005</v>
      </c>
      <c r="W425" s="253">
        <v>58.999999999999993</v>
      </c>
      <c r="X425" s="253"/>
      <c r="Y425" s="253">
        <v>68.80482456</v>
      </c>
      <c r="Z425" s="253">
        <v>60.65637066</v>
      </c>
      <c r="AA425" s="253"/>
      <c r="AB425" s="253"/>
      <c r="AC425" s="253"/>
      <c r="AD425" s="253"/>
      <c r="AE425" s="253"/>
    </row>
    <row r="426" spans="1:31">
      <c r="A426" s="33">
        <v>425</v>
      </c>
      <c r="B426" s="69" t="s">
        <v>2190</v>
      </c>
      <c r="C426" s="69" t="s">
        <v>740</v>
      </c>
      <c r="D426" s="56">
        <v>42107</v>
      </c>
      <c r="E426" s="266"/>
      <c r="F426" s="56"/>
      <c r="G426" s="69" t="str">
        <f t="shared" si="6"/>
        <v>User Registration</v>
      </c>
      <c r="H426" s="69" t="s">
        <v>2191</v>
      </c>
      <c r="J426" s="69" t="s">
        <v>2192</v>
      </c>
      <c r="K426" s="69" t="s">
        <v>2193</v>
      </c>
      <c r="L426" s="253">
        <v>56.586287683999998</v>
      </c>
      <c r="M426" s="253">
        <v>64.497608491914889</v>
      </c>
      <c r="N426" s="253">
        <v>64.092821572972966</v>
      </c>
      <c r="O426" s="253">
        <v>63.521697966842105</v>
      </c>
      <c r="P426" s="253">
        <v>56.847639479999998</v>
      </c>
      <c r="Q426" s="253">
        <v>78</v>
      </c>
      <c r="R426" s="253">
        <v>63.572399699999991</v>
      </c>
      <c r="S426" s="253">
        <v>64.226993870000001</v>
      </c>
      <c r="T426" s="253"/>
      <c r="U426" s="253">
        <v>62.887323940000002</v>
      </c>
      <c r="V426" s="253"/>
      <c r="W426" s="253">
        <v>67</v>
      </c>
      <c r="X426" s="253">
        <v>61</v>
      </c>
      <c r="Y426" s="253">
        <v>65.983606559999998</v>
      </c>
      <c r="Z426" s="253">
        <v>55.5408805</v>
      </c>
      <c r="AA426" s="253"/>
      <c r="AB426" s="253"/>
      <c r="AC426" s="253"/>
      <c r="AD426" s="253"/>
      <c r="AE426" s="253"/>
    </row>
    <row r="427" spans="1:31">
      <c r="A427" s="33">
        <v>426</v>
      </c>
      <c r="B427" s="69" t="s">
        <v>2190</v>
      </c>
      <c r="C427" s="69" t="s">
        <v>740</v>
      </c>
      <c r="D427" s="56">
        <v>42107</v>
      </c>
      <c r="E427" s="266"/>
      <c r="F427" s="56"/>
      <c r="G427" s="69" t="str">
        <f t="shared" si="6"/>
        <v>User Registration</v>
      </c>
      <c r="H427" s="69" t="s">
        <v>2191</v>
      </c>
      <c r="J427" s="69" t="s">
        <v>2192</v>
      </c>
      <c r="K427" s="69" t="s">
        <v>2196</v>
      </c>
      <c r="L427" s="253">
        <v>58.426737640000006</v>
      </c>
      <c r="M427" s="253">
        <v>57.290942449361694</v>
      </c>
      <c r="N427" s="253">
        <v>59.956756756216208</v>
      </c>
      <c r="O427" s="253">
        <v>52.499811093684208</v>
      </c>
      <c r="P427" s="253">
        <v>57.390804600000003</v>
      </c>
      <c r="Q427" s="253">
        <v>70</v>
      </c>
      <c r="R427" s="253">
        <v>54.733333330000001</v>
      </c>
      <c r="S427" s="253">
        <v>62.525879920000001</v>
      </c>
      <c r="T427" s="253"/>
      <c r="U427" s="253">
        <v>49</v>
      </c>
      <c r="V427" s="253"/>
      <c r="W427" s="253">
        <v>50</v>
      </c>
      <c r="X427" s="253">
        <v>64</v>
      </c>
      <c r="Y427" s="253">
        <v>44.265151520000003</v>
      </c>
      <c r="Z427" s="253">
        <v>62.570469799999991</v>
      </c>
      <c r="AA427" s="253"/>
      <c r="AB427" s="253"/>
      <c r="AC427" s="253"/>
      <c r="AD427" s="253"/>
      <c r="AE427" s="253"/>
    </row>
    <row r="428" spans="1:31">
      <c r="A428" s="33">
        <v>427</v>
      </c>
      <c r="B428" s="69" t="s">
        <v>2190</v>
      </c>
      <c r="C428" s="69" t="s">
        <v>740</v>
      </c>
      <c r="D428" s="56">
        <v>42107</v>
      </c>
      <c r="G428" s="69" t="str">
        <f t="shared" si="6"/>
        <v>User Registration</v>
      </c>
      <c r="H428" s="69" t="s">
        <v>2191</v>
      </c>
      <c r="J428" s="69" t="s">
        <v>2192</v>
      </c>
      <c r="K428" s="69" t="s">
        <v>2195</v>
      </c>
      <c r="L428" s="253">
        <v>52.500990629999997</v>
      </c>
      <c r="M428" s="253">
        <v>59.179671047872347</v>
      </c>
      <c r="N428" s="253">
        <v>57.715909457837832</v>
      </c>
      <c r="O428" s="253">
        <v>50.561048367368421</v>
      </c>
      <c r="P428" s="253">
        <v>51.693848350000003</v>
      </c>
      <c r="Q428" s="253">
        <v>67</v>
      </c>
      <c r="R428" s="253">
        <v>54.414774990000005</v>
      </c>
      <c r="S428" s="253">
        <v>55.416873450000004</v>
      </c>
      <c r="T428" s="253"/>
      <c r="U428" s="253">
        <v>68</v>
      </c>
      <c r="V428" s="253"/>
      <c r="W428" s="253">
        <v>51</v>
      </c>
      <c r="X428" s="253">
        <v>60</v>
      </c>
      <c r="Y428" s="253">
        <v>45.076569679999999</v>
      </c>
      <c r="Z428" s="253">
        <v>55.72955975</v>
      </c>
      <c r="AA428" s="253"/>
      <c r="AB428" s="253"/>
      <c r="AC428" s="253"/>
      <c r="AD428" s="253"/>
      <c r="AE428" s="253"/>
    </row>
    <row r="429" spans="1:31">
      <c r="A429" s="33">
        <v>428</v>
      </c>
      <c r="B429" s="69" t="s">
        <v>2190</v>
      </c>
      <c r="C429" s="69" t="s">
        <v>740</v>
      </c>
      <c r="D429" s="56">
        <v>42107</v>
      </c>
      <c r="G429" s="69" t="str">
        <f t="shared" si="6"/>
        <v>User Registration</v>
      </c>
      <c r="H429" s="69" t="s">
        <v>2191</v>
      </c>
      <c r="J429" s="69" t="s">
        <v>2192</v>
      </c>
      <c r="K429" s="69" t="s">
        <v>2194</v>
      </c>
      <c r="L429" s="253">
        <v>54.109323537999998</v>
      </c>
      <c r="M429" s="253">
        <v>52.335087447872333</v>
      </c>
      <c r="N429" s="253">
        <v>62.355896805405393</v>
      </c>
      <c r="O429" s="253">
        <v>53.274648371052635</v>
      </c>
      <c r="P429" s="253">
        <v>58.092261899999997</v>
      </c>
      <c r="Q429" s="253">
        <v>64.5</v>
      </c>
      <c r="R429" s="253">
        <v>56.27803029999999</v>
      </c>
      <c r="S429" s="253">
        <v>42.716775599999998</v>
      </c>
      <c r="T429" s="253"/>
      <c r="U429" s="253">
        <v>50</v>
      </c>
      <c r="V429" s="253"/>
      <c r="W429" s="253">
        <v>62</v>
      </c>
      <c r="X429" s="253">
        <v>64</v>
      </c>
      <c r="Y429" s="253">
        <v>60.155763240000006</v>
      </c>
      <c r="Z429" s="253">
        <v>38.177570090000003</v>
      </c>
      <c r="AA429" s="253"/>
      <c r="AB429" s="253"/>
      <c r="AC429" s="253"/>
      <c r="AD429" s="253"/>
      <c r="AE429" s="253"/>
    </row>
    <row r="430" spans="1:31">
      <c r="A430" s="33">
        <v>429</v>
      </c>
      <c r="B430" s="69" t="s">
        <v>2190</v>
      </c>
      <c r="C430" s="69" t="s">
        <v>740</v>
      </c>
      <c r="D430" s="56">
        <v>42107</v>
      </c>
      <c r="F430" s="56"/>
      <c r="G430" s="69" t="str">
        <f t="shared" si="6"/>
        <v>User Registration</v>
      </c>
      <c r="H430" s="69" t="s">
        <v>2191</v>
      </c>
      <c r="J430" s="69" t="s">
        <v>2192</v>
      </c>
      <c r="K430" s="69" t="s">
        <v>2192</v>
      </c>
      <c r="L430" s="253">
        <v>52.119156746000002</v>
      </c>
      <c r="M430" s="253">
        <v>50.026789436382977</v>
      </c>
      <c r="N430" s="253">
        <v>60.398888818378381</v>
      </c>
      <c r="O430" s="253">
        <v>48.52759373789474</v>
      </c>
      <c r="P430" s="253">
        <v>49.670958509999998</v>
      </c>
      <c r="Q430" s="253">
        <v>56.499999999999993</v>
      </c>
      <c r="R430" s="253">
        <v>50.209814379999997</v>
      </c>
      <c r="S430" s="253">
        <v>51.417177909999999</v>
      </c>
      <c r="T430" s="253"/>
      <c r="U430" s="253">
        <v>39</v>
      </c>
      <c r="V430" s="253"/>
      <c r="W430" s="253">
        <v>53</v>
      </c>
      <c r="X430" s="253">
        <v>67</v>
      </c>
      <c r="Y430" s="253">
        <v>40.412772590000003</v>
      </c>
      <c r="Z430" s="253">
        <v>61.91194969</v>
      </c>
      <c r="AA430" s="253"/>
      <c r="AB430" s="253"/>
      <c r="AC430" s="253"/>
      <c r="AD430" s="253"/>
      <c r="AE430" s="253"/>
    </row>
    <row r="431" spans="1:31">
      <c r="A431" s="33">
        <v>430</v>
      </c>
      <c r="B431" s="69" t="s">
        <v>2247</v>
      </c>
      <c r="C431" s="69" t="s">
        <v>740</v>
      </c>
      <c r="D431" s="56">
        <v>42110</v>
      </c>
      <c r="F431" s="56"/>
      <c r="G431" s="69" t="str">
        <f t="shared" si="6"/>
        <v>ERROR</v>
      </c>
      <c r="H431" s="69" t="s">
        <v>2248</v>
      </c>
      <c r="J431" s="69" t="s">
        <v>2249</v>
      </c>
      <c r="K431" s="69" t="s">
        <v>2249</v>
      </c>
      <c r="L431" s="253">
        <v>45.841624365999998</v>
      </c>
      <c r="M431" s="253">
        <v>53.524566037234045</v>
      </c>
      <c r="N431" s="253">
        <v>43.881339344848492</v>
      </c>
      <c r="O431" s="253">
        <v>50.46095686543859</v>
      </c>
      <c r="P431" s="253">
        <v>43</v>
      </c>
      <c r="Q431" s="253">
        <v>53</v>
      </c>
      <c r="R431" s="253">
        <v>58.180699729999994</v>
      </c>
      <c r="S431" s="253">
        <v>51.333333333333329</v>
      </c>
      <c r="T431" s="253"/>
      <c r="U431" s="253">
        <v>44</v>
      </c>
      <c r="V431" s="253"/>
      <c r="W431" s="253"/>
      <c r="X431" s="253"/>
      <c r="Y431" s="253">
        <v>45.202283850000001</v>
      </c>
      <c r="Z431" s="253">
        <v>57.208121830000003</v>
      </c>
      <c r="AA431" s="253"/>
      <c r="AB431" s="253"/>
      <c r="AC431" s="253"/>
      <c r="AD431" s="253"/>
      <c r="AE431" s="253"/>
    </row>
    <row r="432" spans="1:31">
      <c r="A432" s="33">
        <v>431</v>
      </c>
      <c r="B432" s="69" t="s">
        <v>2247</v>
      </c>
      <c r="C432" s="69" t="s">
        <v>740</v>
      </c>
      <c r="D432" s="56">
        <v>42110</v>
      </c>
      <c r="F432" s="56"/>
      <c r="G432" s="69" t="str">
        <f t="shared" si="6"/>
        <v>ERROR</v>
      </c>
      <c r="H432" s="69" t="s">
        <v>2248</v>
      </c>
      <c r="J432" s="69" t="s">
        <v>2249</v>
      </c>
      <c r="K432" s="69" t="s">
        <v>2250</v>
      </c>
      <c r="L432" s="253">
        <v>68.241624365999996</v>
      </c>
      <c r="M432" s="253">
        <v>61.153072845744681</v>
      </c>
      <c r="N432" s="253">
        <v>56.58321649636364</v>
      </c>
      <c r="O432" s="253">
        <v>45.94824938473684</v>
      </c>
      <c r="P432" s="253">
        <v>71</v>
      </c>
      <c r="Q432" s="253">
        <v>80</v>
      </c>
      <c r="R432" s="253">
        <v>61.20769073000001</v>
      </c>
      <c r="S432" s="253">
        <v>44</v>
      </c>
      <c r="T432" s="253"/>
      <c r="U432" s="253">
        <v>62</v>
      </c>
      <c r="V432" s="253"/>
      <c r="W432" s="253"/>
      <c r="X432" s="253"/>
      <c r="Y432" s="253">
        <v>34.056074770000002</v>
      </c>
      <c r="Z432" s="253">
        <v>57.208121830000003</v>
      </c>
      <c r="AA432" s="253"/>
      <c r="AB432" s="253"/>
      <c r="AC432" s="253"/>
      <c r="AD432" s="253"/>
      <c r="AE432" s="253"/>
    </row>
    <row r="433" spans="1:31">
      <c r="A433" s="33">
        <v>432</v>
      </c>
      <c r="B433" s="69" t="s">
        <v>2247</v>
      </c>
      <c r="C433" s="69" t="s">
        <v>740</v>
      </c>
      <c r="D433" s="56">
        <v>42110</v>
      </c>
      <c r="F433" s="56"/>
      <c r="G433" s="69" t="str">
        <f t="shared" si="6"/>
        <v>ERROR</v>
      </c>
      <c r="H433" s="69" t="s">
        <v>2248</v>
      </c>
      <c r="J433" s="69" t="s">
        <v>2249</v>
      </c>
      <c r="K433" s="69" t="s">
        <v>2251</v>
      </c>
      <c r="L433" s="253">
        <v>66.452839506000004</v>
      </c>
      <c r="M433" s="253">
        <v>66.8683394180851</v>
      </c>
      <c r="N433" s="253">
        <v>63.274160287878786</v>
      </c>
      <c r="O433" s="253">
        <v>52.722757341228068</v>
      </c>
      <c r="P433" s="253">
        <v>65</v>
      </c>
      <c r="Q433" s="253">
        <v>77</v>
      </c>
      <c r="R433" s="253">
        <v>66.174548250000001</v>
      </c>
      <c r="S433" s="253">
        <v>59.333333333333336</v>
      </c>
      <c r="T433" s="253"/>
      <c r="U433" s="253">
        <v>64</v>
      </c>
      <c r="V433" s="253"/>
      <c r="W433" s="253"/>
      <c r="X433" s="253"/>
      <c r="Y433" s="253">
        <v>37.172897200000001</v>
      </c>
      <c r="Z433" s="253">
        <v>72.264197530000004</v>
      </c>
      <c r="AA433" s="253"/>
      <c r="AB433" s="253"/>
      <c r="AC433" s="253"/>
      <c r="AD433" s="253"/>
      <c r="AE433" s="253"/>
    </row>
    <row r="434" spans="1:31">
      <c r="A434" s="33">
        <v>433</v>
      </c>
      <c r="B434" s="69" t="s">
        <v>2247</v>
      </c>
      <c r="C434" s="69" t="s">
        <v>740</v>
      </c>
      <c r="D434" s="56">
        <v>42110</v>
      </c>
      <c r="F434" s="56"/>
      <c r="G434" s="69" t="str">
        <f t="shared" si="6"/>
        <v>ERROR</v>
      </c>
      <c r="H434" s="69" t="s">
        <v>2248</v>
      </c>
      <c r="J434" s="69" t="s">
        <v>2249</v>
      </c>
      <c r="K434" s="69" t="s">
        <v>2252</v>
      </c>
      <c r="L434" s="253">
        <v>53.356345179999984</v>
      </c>
      <c r="M434" s="253">
        <v>51.017523517021282</v>
      </c>
      <c r="N434" s="253">
        <v>53.944681598787881</v>
      </c>
      <c r="O434" s="253">
        <v>48.004318865964919</v>
      </c>
      <c r="P434" s="253">
        <v>52.166666669999991</v>
      </c>
      <c r="Q434" s="253">
        <v>55</v>
      </c>
      <c r="R434" s="253">
        <v>55.862415460000001</v>
      </c>
      <c r="S434" s="253">
        <v>43.333333333333336</v>
      </c>
      <c r="T434" s="253"/>
      <c r="U434" s="253">
        <v>40</v>
      </c>
      <c r="V434" s="253"/>
      <c r="W434" s="253"/>
      <c r="X434" s="253"/>
      <c r="Y434" s="253">
        <v>41.14485981</v>
      </c>
      <c r="Z434" s="253">
        <v>58.115059219999999</v>
      </c>
      <c r="AA434" s="253"/>
      <c r="AB434" s="253"/>
      <c r="AC434" s="253"/>
      <c r="AD434" s="253"/>
      <c r="AE434" s="253"/>
    </row>
    <row r="435" spans="1:31">
      <c r="A435" s="33">
        <v>434</v>
      </c>
      <c r="B435" s="69" t="s">
        <v>2247</v>
      </c>
      <c r="C435" s="69" t="s">
        <v>740</v>
      </c>
      <c r="D435" s="56">
        <v>42110</v>
      </c>
      <c r="F435" s="56"/>
      <c r="G435" s="69" t="str">
        <f t="shared" si="6"/>
        <v>ERROR</v>
      </c>
      <c r="H435" s="69" t="s">
        <v>2248</v>
      </c>
      <c r="J435" s="69" t="s">
        <v>2249</v>
      </c>
      <c r="K435" s="69" t="s">
        <v>1635</v>
      </c>
      <c r="L435" s="253">
        <v>63.739424704000001</v>
      </c>
      <c r="M435" s="253">
        <v>67.930138468085104</v>
      </c>
      <c r="N435" s="253">
        <v>69.241492943030295</v>
      </c>
      <c r="O435" s="253">
        <v>60.174388396842104</v>
      </c>
      <c r="P435" s="253">
        <v>61</v>
      </c>
      <c r="Q435" s="253">
        <v>83</v>
      </c>
      <c r="R435" s="253">
        <v>62.66154452</v>
      </c>
      <c r="S435" s="253">
        <v>63</v>
      </c>
      <c r="T435" s="253"/>
      <c r="U435" s="253">
        <v>69</v>
      </c>
      <c r="V435" s="253"/>
      <c r="W435" s="253"/>
      <c r="X435" s="253"/>
      <c r="Y435" s="253">
        <v>49.850467289999997</v>
      </c>
      <c r="Z435" s="253">
        <v>74.697123520000005</v>
      </c>
      <c r="AA435" s="253"/>
      <c r="AB435" s="253"/>
      <c r="AC435" s="253"/>
      <c r="AD435" s="253"/>
      <c r="AE435" s="253"/>
    </row>
    <row r="436" spans="1:31">
      <c r="A436" s="33">
        <v>435</v>
      </c>
      <c r="B436" s="69" t="s">
        <v>2243</v>
      </c>
      <c r="C436" s="69" t="s">
        <v>740</v>
      </c>
      <c r="D436" s="56">
        <v>42117</v>
      </c>
      <c r="F436" s="56"/>
      <c r="G436" s="69" t="str">
        <f t="shared" si="6"/>
        <v>Both</v>
      </c>
      <c r="H436" s="69" t="s">
        <v>2244</v>
      </c>
      <c r="J436" s="69" t="s">
        <v>2243</v>
      </c>
      <c r="K436" s="69" t="s">
        <v>2243</v>
      </c>
      <c r="L436" s="253">
        <v>65.004182856</v>
      </c>
      <c r="M436" s="253">
        <v>67.430301828070185</v>
      </c>
      <c r="N436" s="253">
        <v>68.674677941234535</v>
      </c>
      <c r="O436" s="253">
        <v>68.999658128947388</v>
      </c>
      <c r="P436" s="253">
        <v>64.134114580000002</v>
      </c>
      <c r="Q436" s="253">
        <v>66.416666669999998</v>
      </c>
      <c r="R436" s="253">
        <v>65.0781092</v>
      </c>
      <c r="S436" s="253">
        <v>72.267397880000004</v>
      </c>
      <c r="T436" s="253"/>
      <c r="U436" s="253">
        <v>68.077669900000004</v>
      </c>
      <c r="V436" s="253">
        <v>68.666165410000005</v>
      </c>
      <c r="W436" s="253">
        <v>66.363636363636374</v>
      </c>
      <c r="X436" s="253"/>
      <c r="Y436" s="253">
        <v>69.97309417000001</v>
      </c>
      <c r="Z436" s="253">
        <v>68.484455960000005</v>
      </c>
      <c r="AA436" s="253"/>
      <c r="AB436" s="253"/>
      <c r="AC436" s="253"/>
      <c r="AD436" s="253"/>
      <c r="AE436" s="253"/>
    </row>
    <row r="437" spans="1:31">
      <c r="A437" s="33">
        <v>436</v>
      </c>
      <c r="B437" s="69" t="s">
        <v>2243</v>
      </c>
      <c r="C437" s="69" t="s">
        <v>740</v>
      </c>
      <c r="D437" s="56">
        <v>42117</v>
      </c>
      <c r="F437" s="56"/>
      <c r="G437" s="69" t="str">
        <f t="shared" si="6"/>
        <v>Both</v>
      </c>
      <c r="H437" s="69" t="s">
        <v>2244</v>
      </c>
      <c r="J437" s="69" t="s">
        <v>2243</v>
      </c>
      <c r="K437" s="69" t="s">
        <v>2245</v>
      </c>
      <c r="L437" s="253">
        <v>65.884677248000003</v>
      </c>
      <c r="M437" s="253">
        <v>65.713256310877185</v>
      </c>
      <c r="N437" s="253">
        <v>60.957401553395016</v>
      </c>
      <c r="O437" s="253">
        <v>68.867652075789479</v>
      </c>
      <c r="P437" s="253">
        <v>65.678385419999998</v>
      </c>
      <c r="Q437" s="253">
        <v>69.8125</v>
      </c>
      <c r="R437" s="253">
        <v>66.045956509999996</v>
      </c>
      <c r="S437" s="253">
        <v>63.061649019999997</v>
      </c>
      <c r="T437" s="253"/>
      <c r="U437" s="253">
        <v>62.941747569999997</v>
      </c>
      <c r="V437" s="253">
        <v>66.452488689999996</v>
      </c>
      <c r="W437" s="253">
        <v>44.040404040404042</v>
      </c>
      <c r="X437" s="253"/>
      <c r="Y437" s="253">
        <v>70.997010459999998</v>
      </c>
      <c r="Z437" s="253">
        <v>66.709844559999993</v>
      </c>
      <c r="AA437" s="253"/>
      <c r="AB437" s="253"/>
      <c r="AC437" s="253"/>
      <c r="AD437" s="253"/>
      <c r="AE437" s="253"/>
    </row>
    <row r="438" spans="1:31">
      <c r="A438" s="33">
        <v>437</v>
      </c>
      <c r="B438" s="151" t="s">
        <v>2243</v>
      </c>
      <c r="C438" s="69" t="s">
        <v>740</v>
      </c>
      <c r="D438" s="56">
        <v>42117</v>
      </c>
      <c r="F438" s="56"/>
      <c r="G438" s="69" t="str">
        <f t="shared" si="6"/>
        <v>Both</v>
      </c>
      <c r="H438" s="69" t="s">
        <v>2244</v>
      </c>
      <c r="J438" s="151" t="s">
        <v>2243</v>
      </c>
      <c r="K438" s="151" t="s">
        <v>2246</v>
      </c>
      <c r="L438" s="253">
        <v>55.686864881999995</v>
      </c>
      <c r="M438" s="253">
        <v>59.688597377719297</v>
      </c>
      <c r="N438" s="253">
        <v>66.473521806884065</v>
      </c>
      <c r="O438" s="253">
        <v>56.47970522789474</v>
      </c>
      <c r="P438" s="253">
        <v>57.290575919999995</v>
      </c>
      <c r="Q438" s="253">
        <v>53.4375</v>
      </c>
      <c r="R438" s="253">
        <v>60.435542799999993</v>
      </c>
      <c r="S438" s="253">
        <v>57.647503779999994</v>
      </c>
      <c r="T438" s="253"/>
      <c r="U438" s="253">
        <v>64.252427179999998</v>
      </c>
      <c r="V438" s="253">
        <v>63.814479639999995</v>
      </c>
      <c r="W438" s="253">
        <v>72.676767676767668</v>
      </c>
      <c r="X438" s="253"/>
      <c r="Y438" s="253">
        <v>59.479820629999999</v>
      </c>
      <c r="Z438" s="253">
        <v>49.272020730000001</v>
      </c>
      <c r="AA438" s="253"/>
      <c r="AB438" s="253"/>
      <c r="AC438" s="253"/>
      <c r="AD438" s="253"/>
      <c r="AE438" s="253"/>
    </row>
    <row r="439" spans="1:31">
      <c r="A439" s="33">
        <v>438</v>
      </c>
      <c r="B439" s="151" t="s">
        <v>2243</v>
      </c>
      <c r="C439" s="69" t="s">
        <v>740</v>
      </c>
      <c r="D439" s="56">
        <v>42117</v>
      </c>
      <c r="F439" s="56"/>
      <c r="G439" s="69" t="str">
        <f t="shared" si="6"/>
        <v>Both</v>
      </c>
      <c r="H439" s="69" t="s">
        <v>2244</v>
      </c>
      <c r="J439" s="151" t="s">
        <v>2243</v>
      </c>
      <c r="K439" s="151" t="s">
        <v>738</v>
      </c>
      <c r="L439" s="253">
        <v>66.219302723999988</v>
      </c>
      <c r="M439" s="253">
        <v>64.852741234385974</v>
      </c>
      <c r="N439" s="253">
        <v>66.843263349213203</v>
      </c>
      <c r="O439" s="253">
        <v>68.153360288421055</v>
      </c>
      <c r="P439" s="253">
        <v>64.901041669999998</v>
      </c>
      <c r="Q439" s="253">
        <v>64.791666669999998</v>
      </c>
      <c r="R439" s="253">
        <v>57.005767910000003</v>
      </c>
      <c r="S439" s="253">
        <v>66.242331289999996</v>
      </c>
      <c r="T439" s="253"/>
      <c r="U439" s="253">
        <v>71.80582523999999</v>
      </c>
      <c r="V439" s="253">
        <v>69.476691729999999</v>
      </c>
      <c r="W439" s="253">
        <v>61.111111111111114</v>
      </c>
      <c r="X439" s="253"/>
      <c r="Y439" s="253">
        <v>69.2406577</v>
      </c>
      <c r="Z439" s="253">
        <v>71.492346940000004</v>
      </c>
      <c r="AA439" s="253"/>
      <c r="AB439" s="253"/>
      <c r="AC439" s="253"/>
      <c r="AD439" s="253"/>
      <c r="AE439" s="253"/>
    </row>
    <row r="440" spans="1:31">
      <c r="A440" s="33">
        <v>439</v>
      </c>
      <c r="B440" s="151" t="s">
        <v>2243</v>
      </c>
      <c r="C440" s="69" t="s">
        <v>740</v>
      </c>
      <c r="D440" s="56">
        <v>42117</v>
      </c>
      <c r="F440" s="56"/>
      <c r="G440" s="69" t="str">
        <f t="shared" si="6"/>
        <v>Both</v>
      </c>
      <c r="H440" s="69" t="s">
        <v>2244</v>
      </c>
      <c r="J440" s="151" t="s">
        <v>2243</v>
      </c>
      <c r="K440" s="151" t="s">
        <v>1350</v>
      </c>
      <c r="L440" s="253">
        <v>61.804329584000008</v>
      </c>
      <c r="M440" s="253">
        <v>68.320091785614039</v>
      </c>
      <c r="N440" s="253">
        <v>56.81875992923829</v>
      </c>
      <c r="O440" s="253">
        <v>73.820534768421069</v>
      </c>
      <c r="P440" s="253">
        <v>57.885514020000002</v>
      </c>
      <c r="Q440" s="253">
        <v>74.333333329999988</v>
      </c>
      <c r="R440" s="253">
        <v>61.710232560000001</v>
      </c>
      <c r="S440" s="253">
        <v>69.067700450000004</v>
      </c>
      <c r="T440" s="253"/>
      <c r="U440" s="253">
        <v>73.640776700000004</v>
      </c>
      <c r="V440" s="253">
        <v>67.582865170000005</v>
      </c>
      <c r="W440" s="253">
        <v>48.777777777777771</v>
      </c>
      <c r="X440" s="253"/>
      <c r="Y440" s="253">
        <v>74.837070249999996</v>
      </c>
      <c r="Z440" s="253">
        <v>77.479591839999998</v>
      </c>
      <c r="AA440" s="253"/>
      <c r="AB440" s="253"/>
      <c r="AC440" s="253"/>
      <c r="AD440" s="253"/>
      <c r="AE440" s="253"/>
    </row>
    <row r="441" spans="1:31">
      <c r="A441" s="33">
        <v>440</v>
      </c>
      <c r="B441" s="151" t="s">
        <v>2235</v>
      </c>
      <c r="C441" s="69" t="s">
        <v>740</v>
      </c>
      <c r="D441" s="56">
        <v>42119</v>
      </c>
      <c r="F441" s="56"/>
      <c r="G441" s="69" t="str">
        <f t="shared" si="6"/>
        <v>ERROR</v>
      </c>
      <c r="H441" s="69" t="s">
        <v>2236</v>
      </c>
      <c r="J441" s="151" t="s">
        <v>2235</v>
      </c>
      <c r="K441" s="151" t="s">
        <v>2235</v>
      </c>
      <c r="L441" s="253">
        <v>60.299309153999999</v>
      </c>
      <c r="M441" s="253">
        <v>55.938523154255329</v>
      </c>
      <c r="N441" s="253">
        <v>60.396150269655166</v>
      </c>
      <c r="O441" s="253">
        <v>60.781474052105253</v>
      </c>
      <c r="P441" s="253">
        <v>57.999999999999993</v>
      </c>
      <c r="Q441" s="253">
        <v>50</v>
      </c>
      <c r="R441" s="253">
        <v>53.58139297000001</v>
      </c>
      <c r="S441" s="253">
        <v>65</v>
      </c>
      <c r="T441" s="253"/>
      <c r="U441" s="253">
        <v>52</v>
      </c>
      <c r="V441" s="253"/>
      <c r="W441" s="253"/>
      <c r="X441" s="253"/>
      <c r="Y441" s="253">
        <v>58.520249219999997</v>
      </c>
      <c r="Z441" s="253">
        <v>69.496545769999997</v>
      </c>
      <c r="AA441" s="253"/>
      <c r="AB441" s="253"/>
      <c r="AC441" s="253"/>
      <c r="AD441" s="253"/>
      <c r="AE441" s="253"/>
    </row>
    <row r="442" spans="1:31">
      <c r="A442" s="33">
        <v>441</v>
      </c>
      <c r="B442" s="151" t="s">
        <v>2235</v>
      </c>
      <c r="C442" s="69" t="s">
        <v>740</v>
      </c>
      <c r="D442" s="56">
        <v>42119</v>
      </c>
      <c r="F442" s="56"/>
      <c r="G442" s="69" t="str">
        <f t="shared" si="6"/>
        <v>ERROR</v>
      </c>
      <c r="H442" s="69" t="s">
        <v>2236</v>
      </c>
      <c r="J442" s="151" t="s">
        <v>2235</v>
      </c>
      <c r="K442" s="151" t="s">
        <v>2237</v>
      </c>
      <c r="L442" s="253">
        <v>53.229569892000008</v>
      </c>
      <c r="M442" s="253">
        <v>55.090169059574478</v>
      </c>
      <c r="N442" s="253">
        <v>54.988745759310341</v>
      </c>
      <c r="O442" s="253">
        <v>51.201898091578947</v>
      </c>
      <c r="P442" s="253">
        <v>53</v>
      </c>
      <c r="Q442" s="253">
        <v>70</v>
      </c>
      <c r="R442" s="253">
        <v>54.11227117</v>
      </c>
      <c r="S442" s="253">
        <v>53</v>
      </c>
      <c r="T442" s="253"/>
      <c r="U442" s="253">
        <v>49.825327510000001</v>
      </c>
      <c r="V442" s="253"/>
      <c r="W442" s="253"/>
      <c r="X442" s="253"/>
      <c r="Y442" s="253">
        <v>47.087227409999997</v>
      </c>
      <c r="Z442" s="253">
        <v>54.14784946000001</v>
      </c>
      <c r="AA442" s="253"/>
      <c r="AB442" s="253"/>
      <c r="AC442" s="253"/>
      <c r="AD442" s="253"/>
      <c r="AE442" s="253"/>
    </row>
    <row r="443" spans="1:31">
      <c r="A443" s="33">
        <v>442</v>
      </c>
      <c r="B443" s="69" t="s">
        <v>2235</v>
      </c>
      <c r="C443" s="69" t="s">
        <v>740</v>
      </c>
      <c r="D443" s="56">
        <v>42119</v>
      </c>
      <c r="F443" s="56"/>
      <c r="G443" s="69" t="str">
        <f t="shared" si="6"/>
        <v>ERROR</v>
      </c>
      <c r="H443" s="69" t="s">
        <v>2236</v>
      </c>
      <c r="J443" s="69" t="s">
        <v>2235</v>
      </c>
      <c r="K443" s="69" t="s">
        <v>2238</v>
      </c>
      <c r="L443" s="253">
        <v>49.077894736000005</v>
      </c>
      <c r="M443" s="253">
        <v>47.373544199999998</v>
      </c>
      <c r="N443" s="253">
        <v>54.389060782758612</v>
      </c>
      <c r="O443" s="253">
        <v>49.553761015789476</v>
      </c>
      <c r="P443" s="253">
        <v>50</v>
      </c>
      <c r="Q443" s="253">
        <v>52</v>
      </c>
      <c r="R443" s="253">
        <v>46.880460450000001</v>
      </c>
      <c r="S443" s="253">
        <v>45</v>
      </c>
      <c r="T443" s="253"/>
      <c r="U443" s="253">
        <v>48</v>
      </c>
      <c r="V443" s="253"/>
      <c r="W443" s="253"/>
      <c r="X443" s="253"/>
      <c r="Y443" s="253">
        <v>52.381317000000003</v>
      </c>
      <c r="Z443" s="253">
        <v>45.389473680000002</v>
      </c>
      <c r="AA443" s="253"/>
      <c r="AB443" s="253"/>
      <c r="AC443" s="253"/>
      <c r="AD443" s="253"/>
      <c r="AE443" s="253"/>
    </row>
    <row r="444" spans="1:31">
      <c r="A444" s="33">
        <v>443</v>
      </c>
      <c r="B444" s="69" t="s">
        <v>2235</v>
      </c>
      <c r="C444" s="69" t="s">
        <v>740</v>
      </c>
      <c r="D444" s="56">
        <v>42119</v>
      </c>
      <c r="F444" s="56"/>
      <c r="G444" s="69" t="str">
        <f t="shared" si="6"/>
        <v>ERROR</v>
      </c>
      <c r="H444" s="69" t="s">
        <v>2236</v>
      </c>
      <c r="J444" s="69" t="s">
        <v>2235</v>
      </c>
      <c r="K444" s="69" t="s">
        <v>872</v>
      </c>
      <c r="L444" s="253">
        <v>63.93368421000001</v>
      </c>
      <c r="M444" s="253">
        <v>64.464466701063841</v>
      </c>
      <c r="N444" s="253">
        <v>66.961393449655176</v>
      </c>
      <c r="O444" s="253">
        <v>65.279065364736837</v>
      </c>
      <c r="P444" s="253">
        <v>64</v>
      </c>
      <c r="Q444" s="253">
        <v>70</v>
      </c>
      <c r="R444" s="253">
        <v>61.980068340000003</v>
      </c>
      <c r="S444" s="253">
        <v>68</v>
      </c>
      <c r="T444" s="253"/>
      <c r="U444" s="253">
        <v>64.388646289999997</v>
      </c>
      <c r="V444" s="253"/>
      <c r="W444" s="253"/>
      <c r="X444" s="253"/>
      <c r="Y444" s="253">
        <v>66</v>
      </c>
      <c r="Z444" s="253">
        <v>63.668421049999999</v>
      </c>
      <c r="AA444" s="253"/>
      <c r="AB444" s="253"/>
      <c r="AC444" s="253"/>
      <c r="AD444" s="253"/>
      <c r="AE444" s="253"/>
    </row>
    <row r="445" spans="1:31">
      <c r="A445" s="33">
        <v>444</v>
      </c>
      <c r="B445" s="69" t="s">
        <v>2235</v>
      </c>
      <c r="C445" s="69" t="s">
        <v>740</v>
      </c>
      <c r="D445" s="56">
        <v>42119</v>
      </c>
      <c r="F445" s="56"/>
      <c r="G445" s="69" t="str">
        <f t="shared" si="6"/>
        <v>ERROR</v>
      </c>
      <c r="H445" s="69" t="s">
        <v>2236</v>
      </c>
      <c r="J445" s="69" t="s">
        <v>2235</v>
      </c>
      <c r="K445" s="69" t="s">
        <v>2239</v>
      </c>
      <c r="L445" s="253">
        <v>50.926533287999995</v>
      </c>
      <c r="M445" s="253">
        <v>54.035564375319147</v>
      </c>
      <c r="N445" s="253">
        <v>66.34159160620689</v>
      </c>
      <c r="O445" s="253">
        <v>59.788051642105273</v>
      </c>
      <c r="P445" s="253">
        <v>47.977754240000003</v>
      </c>
      <c r="Q445" s="253">
        <v>55</v>
      </c>
      <c r="R445" s="253">
        <v>56.484359429999998</v>
      </c>
      <c r="S445" s="253">
        <v>44.396014940000001</v>
      </c>
      <c r="T445" s="253"/>
      <c r="U445" s="253">
        <v>50</v>
      </c>
      <c r="V445" s="253"/>
      <c r="W445" s="253"/>
      <c r="X445" s="253"/>
      <c r="Y445" s="253">
        <v>61</v>
      </c>
      <c r="Z445" s="253">
        <v>62.721649480000004</v>
      </c>
      <c r="AA445" s="253"/>
      <c r="AB445" s="253"/>
      <c r="AC445" s="253"/>
      <c r="AD445" s="253"/>
      <c r="AE445" s="253"/>
    </row>
    <row r="446" spans="1:31">
      <c r="A446" s="33">
        <v>445</v>
      </c>
      <c r="B446" s="69" t="s">
        <v>2240</v>
      </c>
      <c r="C446" s="69" t="s">
        <v>2241</v>
      </c>
      <c r="D446" s="56">
        <v>42119</v>
      </c>
      <c r="F446" s="56"/>
      <c r="G446" s="69" t="str">
        <f t="shared" si="6"/>
        <v>E-Commerce</v>
      </c>
      <c r="H446" s="69" t="s">
        <v>2157</v>
      </c>
      <c r="J446" s="69" t="s">
        <v>2240</v>
      </c>
      <c r="K446" s="69" t="s">
        <v>2240</v>
      </c>
      <c r="L446" s="253">
        <v>54.66783069200001</v>
      </c>
      <c r="M446" s="253">
        <v>55.078801074736852</v>
      </c>
      <c r="N446" s="253">
        <v>59.135000000000005</v>
      </c>
      <c r="O446" s="253">
        <v>51.010615005789468</v>
      </c>
      <c r="P446" s="253">
        <v>56.260714290000003</v>
      </c>
      <c r="Q446" s="253">
        <v>63.249999999999993</v>
      </c>
      <c r="R446" s="253">
        <v>62.51782025</v>
      </c>
      <c r="S446" s="253">
        <v>48.104434909999995</v>
      </c>
      <c r="T446" s="253"/>
      <c r="U446" s="253">
        <v>46.943231439999998</v>
      </c>
      <c r="V446" s="253">
        <v>51.009485089999991</v>
      </c>
      <c r="W446" s="253"/>
      <c r="X446" s="253"/>
      <c r="Y446" s="253">
        <v>49.133012819999998</v>
      </c>
      <c r="Z446" s="253">
        <v>48.296296300000002</v>
      </c>
      <c r="AA446" s="253"/>
      <c r="AB446" s="253"/>
      <c r="AC446" s="253"/>
      <c r="AD446" s="253"/>
      <c r="AE446" s="253"/>
    </row>
    <row r="447" spans="1:31">
      <c r="A447" s="33">
        <v>446</v>
      </c>
      <c r="B447" s="69" t="s">
        <v>2240</v>
      </c>
      <c r="C447" s="69" t="s">
        <v>2241</v>
      </c>
      <c r="D447" s="56">
        <v>42119</v>
      </c>
      <c r="F447" s="56"/>
      <c r="G447" s="69" t="str">
        <f t="shared" si="6"/>
        <v>E-Commerce</v>
      </c>
      <c r="H447" s="69" t="s">
        <v>2157</v>
      </c>
      <c r="J447" s="69" t="s">
        <v>2240</v>
      </c>
      <c r="K447" s="69" t="s">
        <v>2242</v>
      </c>
      <c r="L447" s="253">
        <v>61.861650191999992</v>
      </c>
      <c r="M447" s="253">
        <v>60.782594201403519</v>
      </c>
      <c r="N447" s="253">
        <v>62.051000000000002</v>
      </c>
      <c r="O447" s="253">
        <v>58.919534254736838</v>
      </c>
      <c r="P447" s="253">
        <v>61.616745279999996</v>
      </c>
      <c r="Q447" s="253">
        <v>64.083333330000002</v>
      </c>
      <c r="R447" s="253">
        <v>62.26839623</v>
      </c>
      <c r="S447" s="253">
        <v>47.72670025</v>
      </c>
      <c r="T447" s="253"/>
      <c r="U447" s="253">
        <v>61.419913420000007</v>
      </c>
      <c r="V447" s="253">
        <v>61.997425999999997</v>
      </c>
      <c r="W447" s="253"/>
      <c r="X447" s="253"/>
      <c r="Y447" s="253">
        <v>56.891797560000001</v>
      </c>
      <c r="Z447" s="253">
        <v>62.841269840000002</v>
      </c>
      <c r="AA447" s="253"/>
      <c r="AB447" s="253"/>
      <c r="AC447" s="253"/>
      <c r="AD447" s="253"/>
      <c r="AE447" s="253"/>
    </row>
    <row r="448" spans="1:31">
      <c r="A448" s="33">
        <v>447</v>
      </c>
      <c r="B448" s="69" t="s">
        <v>2240</v>
      </c>
      <c r="C448" s="69" t="s">
        <v>2241</v>
      </c>
      <c r="D448" s="56">
        <v>42119</v>
      </c>
      <c r="F448" s="56"/>
      <c r="G448" s="69" t="str">
        <f t="shared" si="6"/>
        <v>E-Commerce</v>
      </c>
      <c r="H448" s="69" t="s">
        <v>2157</v>
      </c>
      <c r="J448" s="69" t="s">
        <v>2240</v>
      </c>
      <c r="K448" s="69" t="s">
        <v>729</v>
      </c>
      <c r="L448" s="253">
        <v>63.840473401999994</v>
      </c>
      <c r="M448" s="253">
        <v>64.362775498771924</v>
      </c>
      <c r="N448" s="253">
        <v>68.05</v>
      </c>
      <c r="O448" s="253">
        <v>64.556377127894748</v>
      </c>
      <c r="P448" s="253">
        <v>60.813157889999999</v>
      </c>
      <c r="Q448" s="253">
        <v>71.395833330000002</v>
      </c>
      <c r="R448" s="253">
        <v>65.601308899999992</v>
      </c>
      <c r="S448" s="253">
        <v>49.645340749999995</v>
      </c>
      <c r="T448" s="253"/>
      <c r="U448" s="253">
        <v>61.086580089999998</v>
      </c>
      <c r="V448" s="253">
        <v>63.979050280000003</v>
      </c>
      <c r="W448" s="253"/>
      <c r="X448" s="253"/>
      <c r="Y448" s="253">
        <v>59.457869630000005</v>
      </c>
      <c r="Z448" s="253">
        <v>75.949735449999991</v>
      </c>
      <c r="AA448" s="253"/>
      <c r="AB448" s="253"/>
      <c r="AC448" s="253"/>
      <c r="AD448" s="253"/>
      <c r="AE448" s="253"/>
    </row>
    <row r="449" spans="1:31">
      <c r="A449" s="33">
        <v>448</v>
      </c>
      <c r="B449" s="69" t="s">
        <v>2240</v>
      </c>
      <c r="C449" s="69" t="s">
        <v>2241</v>
      </c>
      <c r="D449" s="56">
        <v>42119</v>
      </c>
      <c r="F449" s="56"/>
      <c r="G449" s="69" t="str">
        <f t="shared" si="6"/>
        <v>E-Commerce</v>
      </c>
      <c r="H449" s="69" t="s">
        <v>2157</v>
      </c>
      <c r="J449" s="69" t="s">
        <v>2240</v>
      </c>
      <c r="K449" s="69" t="s">
        <v>728</v>
      </c>
      <c r="L449" s="253">
        <v>60.149184072000004</v>
      </c>
      <c r="M449" s="253">
        <v>61.093424999298236</v>
      </c>
      <c r="N449" s="253">
        <v>66.484415843793101</v>
      </c>
      <c r="O449" s="253">
        <v>59.354995982631586</v>
      </c>
      <c r="P449" s="253">
        <v>58.755263160000005</v>
      </c>
      <c r="Q449" s="253">
        <v>65.958333329999988</v>
      </c>
      <c r="R449" s="253">
        <v>59.180484479999997</v>
      </c>
      <c r="S449" s="253">
        <v>50.858516479999992</v>
      </c>
      <c r="T449" s="253"/>
      <c r="U449" s="253">
        <v>58.164502159999998</v>
      </c>
      <c r="V449" s="253">
        <v>68.754507629999992</v>
      </c>
      <c r="W449" s="253"/>
      <c r="X449" s="253"/>
      <c r="Y449" s="253">
        <v>56.394276629999993</v>
      </c>
      <c r="Z449" s="253">
        <v>65.724867720000006</v>
      </c>
      <c r="AA449" s="253"/>
      <c r="AB449" s="253"/>
      <c r="AC449" s="253"/>
      <c r="AD449" s="253"/>
      <c r="AE449" s="253"/>
    </row>
    <row r="450" spans="1:31">
      <c r="A450" s="33">
        <v>449</v>
      </c>
      <c r="B450" s="69" t="s">
        <v>2240</v>
      </c>
      <c r="C450" s="69" t="s">
        <v>2241</v>
      </c>
      <c r="D450" s="56">
        <v>42119</v>
      </c>
      <c r="F450" s="56"/>
      <c r="G450" s="69" t="str">
        <f t="shared" ref="G450:G513" si="7">IF(V450&gt;0,IF(W450&gt;0,"Both","E-Commerce"),IF(W450=0, "ERROR","User Registration"))</f>
        <v>E-Commerce</v>
      </c>
      <c r="H450" s="69" t="s">
        <v>2157</v>
      </c>
      <c r="J450" s="69" t="s">
        <v>2240</v>
      </c>
      <c r="K450" s="69" t="s">
        <v>731</v>
      </c>
      <c r="L450" s="253">
        <v>60.307337527999991</v>
      </c>
      <c r="M450" s="253">
        <v>59.283461502456149</v>
      </c>
      <c r="N450" s="253">
        <v>61.053999999999995</v>
      </c>
      <c r="O450" s="253">
        <v>61.752587166315784</v>
      </c>
      <c r="P450" s="253">
        <v>59.995283020000002</v>
      </c>
      <c r="Q450" s="253">
        <v>68.104166669999998</v>
      </c>
      <c r="R450" s="253">
        <v>61.41634981</v>
      </c>
      <c r="S450" s="253">
        <v>53.140743069999992</v>
      </c>
      <c r="T450" s="253"/>
      <c r="U450" s="253">
        <v>51.532467530000005</v>
      </c>
      <c r="V450" s="253">
        <v>60.025839789999999</v>
      </c>
      <c r="W450" s="253"/>
      <c r="X450" s="253"/>
      <c r="Y450" s="253">
        <v>62.144376899999997</v>
      </c>
      <c r="Z450" s="253">
        <v>61.555555559999995</v>
      </c>
      <c r="AA450" s="253"/>
      <c r="AB450" s="253"/>
      <c r="AC450" s="253"/>
      <c r="AD450" s="253"/>
      <c r="AE450" s="253"/>
    </row>
    <row r="451" spans="1:31">
      <c r="A451" s="33">
        <v>450</v>
      </c>
      <c r="B451" s="69" t="s">
        <v>2240</v>
      </c>
      <c r="C451" s="69" t="s">
        <v>2241</v>
      </c>
      <c r="D451" s="56">
        <v>42119</v>
      </c>
      <c r="F451" s="56"/>
      <c r="G451" s="69" t="str">
        <f t="shared" si="7"/>
        <v>E-Commerce</v>
      </c>
      <c r="H451" s="69" t="s">
        <v>2157</v>
      </c>
      <c r="J451" s="69" t="s">
        <v>2240</v>
      </c>
      <c r="K451" s="69" t="s">
        <v>669</v>
      </c>
      <c r="L451" s="253">
        <v>65.684310780000004</v>
      </c>
      <c r="M451" s="253">
        <v>68.213962448421043</v>
      </c>
      <c r="N451" s="253">
        <v>66.014499999999998</v>
      </c>
      <c r="O451" s="253">
        <v>72.332582767368407</v>
      </c>
      <c r="P451" s="253">
        <v>64.831578949999994</v>
      </c>
      <c r="Q451" s="253">
        <v>68.958333330000002</v>
      </c>
      <c r="R451" s="253">
        <v>71.158949010000001</v>
      </c>
      <c r="S451" s="253">
        <v>57.988525729999992</v>
      </c>
      <c r="T451" s="253"/>
      <c r="U451" s="253">
        <v>68.484848479999997</v>
      </c>
      <c r="V451" s="253">
        <v>67.301104969999997</v>
      </c>
      <c r="W451" s="253"/>
      <c r="X451" s="253"/>
      <c r="Y451" s="253">
        <v>75.957812500000003</v>
      </c>
      <c r="Z451" s="253">
        <v>69.095238100000003</v>
      </c>
      <c r="AA451" s="253"/>
      <c r="AB451" s="253"/>
      <c r="AC451" s="253"/>
      <c r="AD451" s="253"/>
      <c r="AE451" s="253"/>
    </row>
    <row r="452" spans="1:31">
      <c r="A452" s="33">
        <v>451</v>
      </c>
      <c r="B452" s="69" t="s">
        <v>2231</v>
      </c>
      <c r="C452" s="69" t="s">
        <v>1232</v>
      </c>
      <c r="D452" s="56">
        <v>42128</v>
      </c>
      <c r="E452" s="266"/>
      <c r="F452" s="56"/>
      <c r="G452" s="69" t="str">
        <f t="shared" si="7"/>
        <v>User Registration</v>
      </c>
      <c r="H452" s="69" t="s">
        <v>2232</v>
      </c>
      <c r="J452" s="69" t="s">
        <v>2231</v>
      </c>
      <c r="K452" s="69" t="s">
        <v>2233</v>
      </c>
      <c r="L452" s="253">
        <v>61.8</v>
      </c>
      <c r="M452" s="253">
        <v>60.408163265306122</v>
      </c>
      <c r="N452" s="253">
        <v>66.034482758620697</v>
      </c>
      <c r="O452" s="253">
        <v>60.789473684210527</v>
      </c>
      <c r="P452" s="253">
        <v>61</v>
      </c>
      <c r="Q452" s="253">
        <v>77</v>
      </c>
      <c r="R452" s="253">
        <v>64</v>
      </c>
      <c r="S452" s="253">
        <v>55</v>
      </c>
      <c r="T452" s="253"/>
      <c r="U452" s="253">
        <v>51</v>
      </c>
      <c r="V452" s="253"/>
      <c r="W452" s="253">
        <v>65</v>
      </c>
      <c r="X452" s="253"/>
      <c r="Y452" s="253">
        <v>56.999999999999993</v>
      </c>
      <c r="Z452" s="253">
        <v>65</v>
      </c>
      <c r="AA452" s="253"/>
      <c r="AB452" s="253"/>
      <c r="AC452" s="253"/>
      <c r="AD452" s="253"/>
      <c r="AE452" s="253"/>
    </row>
    <row r="453" spans="1:31">
      <c r="A453" s="33">
        <v>452</v>
      </c>
      <c r="B453" s="69" t="s">
        <v>2231</v>
      </c>
      <c r="C453" s="69" t="s">
        <v>1232</v>
      </c>
      <c r="D453" s="56">
        <v>42128</v>
      </c>
      <c r="F453" s="56"/>
      <c r="G453" s="69" t="str">
        <f t="shared" si="7"/>
        <v>User Registration</v>
      </c>
      <c r="H453" s="69" t="s">
        <v>2232</v>
      </c>
      <c r="J453" s="69" t="s">
        <v>2231</v>
      </c>
      <c r="K453" s="69" t="s">
        <v>396</v>
      </c>
      <c r="L453" s="253">
        <v>72.199999999999989</v>
      </c>
      <c r="M453" s="253">
        <v>58.790204081632659</v>
      </c>
      <c r="N453" s="253">
        <v>65.655862068965504</v>
      </c>
      <c r="O453" s="253">
        <v>66.75473684210526</v>
      </c>
      <c r="P453" s="253">
        <v>69</v>
      </c>
      <c r="Q453" s="253">
        <v>57.34</v>
      </c>
      <c r="R453" s="253">
        <v>62</v>
      </c>
      <c r="S453" s="253">
        <v>52</v>
      </c>
      <c r="T453" s="253"/>
      <c r="U453" s="253">
        <v>56.999999999999993</v>
      </c>
      <c r="V453" s="253"/>
      <c r="W453" s="253">
        <v>68</v>
      </c>
      <c r="X453" s="253"/>
      <c r="Y453" s="253">
        <v>61</v>
      </c>
      <c r="Z453" s="253">
        <v>85</v>
      </c>
      <c r="AA453" s="253"/>
      <c r="AB453" s="253"/>
      <c r="AC453" s="253"/>
      <c r="AD453" s="253"/>
      <c r="AE453" s="253"/>
    </row>
    <row r="454" spans="1:31">
      <c r="A454" s="33">
        <v>453</v>
      </c>
      <c r="B454" s="69" t="s">
        <v>2231</v>
      </c>
      <c r="C454" s="69" t="s">
        <v>1232</v>
      </c>
      <c r="D454" s="56">
        <v>42128</v>
      </c>
      <c r="F454" s="56"/>
      <c r="G454" s="69" t="str">
        <f t="shared" si="7"/>
        <v>User Registration</v>
      </c>
      <c r="H454" s="69" t="s">
        <v>2232</v>
      </c>
      <c r="J454" s="69" t="s">
        <v>2231</v>
      </c>
      <c r="K454" s="69" t="s">
        <v>1110</v>
      </c>
      <c r="L454" s="253">
        <v>60.199999999999996</v>
      </c>
      <c r="M454" s="253">
        <v>54.448979591836732</v>
      </c>
      <c r="N454" s="253">
        <v>47.517241379310349</v>
      </c>
      <c r="O454" s="253">
        <v>62.157894736842103</v>
      </c>
      <c r="P454" s="253">
        <v>58.999999999999993</v>
      </c>
      <c r="Q454" s="253">
        <v>56.000000000000007</v>
      </c>
      <c r="R454" s="253">
        <v>55</v>
      </c>
      <c r="S454" s="253">
        <v>60</v>
      </c>
      <c r="T454" s="253"/>
      <c r="U454" s="253">
        <v>48</v>
      </c>
      <c r="V454" s="253"/>
      <c r="W454" s="253">
        <v>44</v>
      </c>
      <c r="X454" s="253"/>
      <c r="Y454" s="253">
        <v>63</v>
      </c>
      <c r="Z454" s="253">
        <v>65</v>
      </c>
      <c r="AA454" s="253"/>
      <c r="AB454" s="253"/>
      <c r="AC454" s="253"/>
      <c r="AD454" s="253"/>
      <c r="AE454" s="253"/>
    </row>
    <row r="455" spans="1:31">
      <c r="A455" s="33">
        <v>454</v>
      </c>
      <c r="B455" s="69" t="s">
        <v>2231</v>
      </c>
      <c r="C455" s="69" t="s">
        <v>1232</v>
      </c>
      <c r="D455" s="56">
        <v>42128</v>
      </c>
      <c r="F455" s="56"/>
      <c r="G455" s="69" t="str">
        <f t="shared" si="7"/>
        <v>User Registration</v>
      </c>
      <c r="H455" s="69" t="s">
        <v>2232</v>
      </c>
      <c r="J455" s="69" t="s">
        <v>2231</v>
      </c>
      <c r="K455" s="69" t="s">
        <v>2231</v>
      </c>
      <c r="L455" s="253">
        <v>59.4</v>
      </c>
      <c r="M455" s="253">
        <v>54</v>
      </c>
      <c r="N455" s="253">
        <v>58.379310344827594</v>
      </c>
      <c r="O455" s="253">
        <v>58.526315789473678</v>
      </c>
      <c r="P455" s="253">
        <v>60</v>
      </c>
      <c r="Q455" s="253">
        <v>55</v>
      </c>
      <c r="R455" s="253">
        <v>57.999999999999993</v>
      </c>
      <c r="S455" s="253">
        <v>56.000000000000007</v>
      </c>
      <c r="T455" s="253"/>
      <c r="U455" s="253">
        <v>49</v>
      </c>
      <c r="V455" s="253"/>
      <c r="W455" s="253">
        <v>58.999999999999993</v>
      </c>
      <c r="X455" s="253"/>
      <c r="Y455" s="253">
        <v>60</v>
      </c>
      <c r="Z455" s="253">
        <v>56.999999999999993</v>
      </c>
      <c r="AA455" s="253"/>
      <c r="AB455" s="253"/>
      <c r="AC455" s="253"/>
      <c r="AD455" s="253"/>
      <c r="AE455" s="253"/>
    </row>
    <row r="456" spans="1:31">
      <c r="A456" s="33">
        <v>455</v>
      </c>
      <c r="B456" s="69" t="s">
        <v>2231</v>
      </c>
      <c r="C456" s="69" t="s">
        <v>1232</v>
      </c>
      <c r="D456" s="56">
        <v>42128</v>
      </c>
      <c r="F456" s="56"/>
      <c r="G456" s="69" t="str">
        <f t="shared" si="7"/>
        <v>User Registration</v>
      </c>
      <c r="H456" s="69" t="s">
        <v>2232</v>
      </c>
      <c r="J456" s="69" t="s">
        <v>2231</v>
      </c>
      <c r="K456" s="69" t="s">
        <v>2234</v>
      </c>
      <c r="L456" s="253">
        <v>60.199999999999996</v>
      </c>
      <c r="M456" s="253">
        <v>52.860408163265312</v>
      </c>
      <c r="N456" s="253">
        <v>56.381379310344812</v>
      </c>
      <c r="O456" s="253">
        <v>62.316842105263156</v>
      </c>
      <c r="P456" s="253">
        <v>58.999999999999993</v>
      </c>
      <c r="Q456" s="253">
        <v>53.019999999999996</v>
      </c>
      <c r="R456" s="253">
        <v>56.000000000000007</v>
      </c>
      <c r="S456" s="253">
        <v>54</v>
      </c>
      <c r="T456" s="253"/>
      <c r="U456" s="253">
        <v>46.999999999999993</v>
      </c>
      <c r="V456" s="253"/>
      <c r="W456" s="253">
        <v>56.999999999999993</v>
      </c>
      <c r="X456" s="253"/>
      <c r="Y456" s="253">
        <v>64</v>
      </c>
      <c r="Z456" s="253">
        <v>65</v>
      </c>
      <c r="AA456" s="253"/>
      <c r="AB456" s="253"/>
      <c r="AC456" s="253"/>
      <c r="AD456" s="253"/>
      <c r="AE456" s="253"/>
    </row>
    <row r="457" spans="1:31">
      <c r="A457" s="33">
        <v>456</v>
      </c>
      <c r="B457" s="69" t="s">
        <v>2226</v>
      </c>
      <c r="C457" s="69" t="s">
        <v>740</v>
      </c>
      <c r="D457" s="56">
        <v>42132</v>
      </c>
      <c r="F457" s="56"/>
      <c r="G457" s="69" t="str">
        <f t="shared" si="7"/>
        <v>ERROR</v>
      </c>
      <c r="H457" s="69" t="s">
        <v>2221</v>
      </c>
      <c r="J457" s="69" t="s">
        <v>2226</v>
      </c>
      <c r="K457" s="69" t="s">
        <v>2226</v>
      </c>
      <c r="L457" s="253">
        <v>60.334364826000005</v>
      </c>
      <c r="M457" s="253">
        <v>61.086984468297878</v>
      </c>
      <c r="N457" s="253">
        <v>59.385165137213626</v>
      </c>
      <c r="O457" s="253">
        <v>64.462859193157897</v>
      </c>
      <c r="P457" s="253">
        <v>58.911504420000007</v>
      </c>
      <c r="Q457" s="253">
        <v>71.089999999999989</v>
      </c>
      <c r="R457" s="253">
        <v>58.151564379999996</v>
      </c>
      <c r="S457" s="253">
        <v>51.608974359999991</v>
      </c>
      <c r="T457" s="253"/>
      <c r="U457" s="253">
        <v>64.173410399999995</v>
      </c>
      <c r="V457" s="253"/>
      <c r="W457" s="253"/>
      <c r="X457" s="253">
        <v>55.921052631578945</v>
      </c>
      <c r="Y457" s="253">
        <v>65.566318929999994</v>
      </c>
      <c r="Z457" s="253">
        <v>66.025806450000005</v>
      </c>
      <c r="AA457" s="253"/>
      <c r="AB457" s="253"/>
      <c r="AC457" s="253"/>
      <c r="AD457" s="253"/>
      <c r="AE457" s="253"/>
    </row>
    <row r="458" spans="1:31">
      <c r="A458" s="33">
        <v>457</v>
      </c>
      <c r="B458" s="69" t="s">
        <v>2226</v>
      </c>
      <c r="C458" s="69" t="s">
        <v>740</v>
      </c>
      <c r="D458" s="56">
        <v>42132</v>
      </c>
      <c r="F458" s="56"/>
      <c r="G458" s="69" t="str">
        <f t="shared" si="7"/>
        <v>ERROR</v>
      </c>
      <c r="H458" s="69" t="s">
        <v>2221</v>
      </c>
      <c r="J458" s="69" t="s">
        <v>2226</v>
      </c>
      <c r="K458" s="69" t="s">
        <v>2227</v>
      </c>
      <c r="L458" s="253">
        <v>54.368616918000001</v>
      </c>
      <c r="M458" s="253">
        <v>54.957893794425523</v>
      </c>
      <c r="N458" s="253">
        <v>53.637766820297216</v>
      </c>
      <c r="O458" s="253">
        <v>58.861085421473682</v>
      </c>
      <c r="P458" s="253">
        <v>51.191416310000001</v>
      </c>
      <c r="Q458" s="253">
        <v>67.045454548000009</v>
      </c>
      <c r="R458" s="253">
        <v>48.62638398</v>
      </c>
      <c r="S458" s="253">
        <v>50.26993865</v>
      </c>
      <c r="T458" s="253"/>
      <c r="U458" s="253">
        <v>57.12138728</v>
      </c>
      <c r="V458" s="253"/>
      <c r="W458" s="253"/>
      <c r="X458" s="253">
        <v>52.368421052631575</v>
      </c>
      <c r="Y458" s="253">
        <v>56.840536509999993</v>
      </c>
      <c r="Z458" s="253">
        <v>67.07741935</v>
      </c>
      <c r="AA458" s="253"/>
      <c r="AB458" s="253"/>
      <c r="AC458" s="253"/>
      <c r="AD458" s="253"/>
      <c r="AE458" s="253"/>
    </row>
    <row r="459" spans="1:31">
      <c r="A459" s="33">
        <v>458</v>
      </c>
      <c r="B459" s="69" t="s">
        <v>2226</v>
      </c>
      <c r="C459" s="69" t="s">
        <v>740</v>
      </c>
      <c r="D459" s="56">
        <v>42132</v>
      </c>
      <c r="F459" s="56"/>
      <c r="G459" s="69" t="str">
        <f t="shared" si="7"/>
        <v>ERROR</v>
      </c>
      <c r="H459" s="69" t="s">
        <v>2221</v>
      </c>
      <c r="J459" s="69" t="s">
        <v>2226</v>
      </c>
      <c r="K459" s="69" t="s">
        <v>2228</v>
      </c>
      <c r="L459" s="253">
        <v>49.684552790000005</v>
      </c>
      <c r="M459" s="253">
        <v>55.2815176600851</v>
      </c>
      <c r="N459" s="253">
        <v>54.357552645860672</v>
      </c>
      <c r="O459" s="253">
        <v>57.65475305257894</v>
      </c>
      <c r="P459" s="253">
        <v>47.918584070000001</v>
      </c>
      <c r="Q459" s="253">
        <v>61.767309088999987</v>
      </c>
      <c r="R459" s="253">
        <v>51.901341109999997</v>
      </c>
      <c r="S459" s="253">
        <v>52.238461540000003</v>
      </c>
      <c r="T459" s="253"/>
      <c r="U459" s="253">
        <v>59.242774570000002</v>
      </c>
      <c r="V459" s="253"/>
      <c r="W459" s="253"/>
      <c r="X459" s="253">
        <v>53.421052631578945</v>
      </c>
      <c r="Y459" s="253">
        <v>59.388971680000004</v>
      </c>
      <c r="Z459" s="253">
        <v>56.748427669999998</v>
      </c>
      <c r="AA459" s="253"/>
      <c r="AB459" s="253"/>
      <c r="AC459" s="253"/>
      <c r="AD459" s="253"/>
      <c r="AE459" s="253"/>
    </row>
    <row r="460" spans="1:31">
      <c r="A460" s="33">
        <v>459</v>
      </c>
      <c r="B460" s="69" t="s">
        <v>2226</v>
      </c>
      <c r="C460" s="69" t="s">
        <v>740</v>
      </c>
      <c r="D460" s="56">
        <v>42132</v>
      </c>
      <c r="F460" s="56"/>
      <c r="G460" s="69" t="str">
        <f t="shared" si="7"/>
        <v>ERROR</v>
      </c>
      <c r="H460" s="69" t="s">
        <v>2221</v>
      </c>
      <c r="J460" s="69" t="s">
        <v>2226</v>
      </c>
      <c r="K460" s="69" t="s">
        <v>2229</v>
      </c>
      <c r="L460" s="253">
        <v>61.377128013999993</v>
      </c>
      <c r="M460" s="253">
        <v>65.165685012425527</v>
      </c>
      <c r="N460" s="253">
        <v>54.133885152052628</v>
      </c>
      <c r="O460" s="253">
        <v>63.996918463631587</v>
      </c>
      <c r="P460" s="253">
        <v>58.176824029999992</v>
      </c>
      <c r="Q460" s="253">
        <v>79.71170908900001</v>
      </c>
      <c r="R460" s="253">
        <v>56.505942860000005</v>
      </c>
      <c r="S460" s="253">
        <v>59.852216749999997</v>
      </c>
      <c r="T460" s="253"/>
      <c r="U460" s="253">
        <v>72.439306360000003</v>
      </c>
      <c r="V460" s="253"/>
      <c r="W460" s="253"/>
      <c r="X460" s="253">
        <v>42.763157894736842</v>
      </c>
      <c r="Y460" s="253">
        <v>59.247391950000008</v>
      </c>
      <c r="Z460" s="253">
        <v>74.178343949999999</v>
      </c>
      <c r="AA460" s="253"/>
      <c r="AB460" s="253"/>
      <c r="AC460" s="253"/>
      <c r="AD460" s="253"/>
      <c r="AE460" s="253"/>
    </row>
    <row r="461" spans="1:31">
      <c r="A461" s="33">
        <v>460</v>
      </c>
      <c r="B461" s="69" t="s">
        <v>2226</v>
      </c>
      <c r="C461" s="69" t="s">
        <v>740</v>
      </c>
      <c r="D461" s="56">
        <v>42132</v>
      </c>
      <c r="F461" s="56"/>
      <c r="G461" s="69" t="str">
        <f t="shared" si="7"/>
        <v>ERROR</v>
      </c>
      <c r="H461" s="69" t="s">
        <v>2221</v>
      </c>
      <c r="J461" s="69" t="s">
        <v>2226</v>
      </c>
      <c r="K461" s="69" t="s">
        <v>2230</v>
      </c>
      <c r="L461" s="253">
        <v>56.561970278000004</v>
      </c>
      <c r="M461" s="253">
        <v>62.6235815993617</v>
      </c>
      <c r="N461" s="253">
        <v>52.846683060990706</v>
      </c>
      <c r="O461" s="253">
        <v>63.711515411578944</v>
      </c>
      <c r="P461" s="253">
        <v>56.876991150000002</v>
      </c>
      <c r="Q461" s="253">
        <v>73.850400000000008</v>
      </c>
      <c r="R461" s="253">
        <v>58.947419549999999</v>
      </c>
      <c r="S461" s="253">
        <v>52.621794870000002</v>
      </c>
      <c r="T461" s="253"/>
      <c r="U461" s="253">
        <v>72.901734099999999</v>
      </c>
      <c r="V461" s="253"/>
      <c r="W461" s="253"/>
      <c r="X461" s="253">
        <v>40.39473684210526</v>
      </c>
      <c r="Y461" s="253">
        <v>68.964232490000001</v>
      </c>
      <c r="Z461" s="253">
        <v>55.301886789999998</v>
      </c>
      <c r="AA461" s="253"/>
      <c r="AB461" s="253"/>
      <c r="AC461" s="253"/>
      <c r="AD461" s="253"/>
      <c r="AE461" s="253"/>
    </row>
    <row r="462" spans="1:31">
      <c r="A462" s="33">
        <v>461</v>
      </c>
      <c r="B462" s="270" t="s">
        <v>2220</v>
      </c>
      <c r="C462" s="69" t="s">
        <v>740</v>
      </c>
      <c r="D462" s="56">
        <v>42135</v>
      </c>
      <c r="F462" s="56"/>
      <c r="G462" s="69" t="str">
        <f t="shared" si="7"/>
        <v>ERROR</v>
      </c>
      <c r="H462" s="69" t="s">
        <v>2221</v>
      </c>
      <c r="J462" s="270" t="s">
        <v>2220</v>
      </c>
      <c r="K462" s="270" t="s">
        <v>2220</v>
      </c>
      <c r="L462" s="253">
        <v>49.049526063999998</v>
      </c>
      <c r="M462" s="253">
        <v>52.150145451914895</v>
      </c>
      <c r="N462" s="253">
        <v>51.328071765882356</v>
      </c>
      <c r="O462" s="253">
        <v>53.20525332263157</v>
      </c>
      <c r="P462" s="253">
        <v>44.874407579999996</v>
      </c>
      <c r="Q462" s="253">
        <v>64.952500000000001</v>
      </c>
      <c r="R462" s="253">
        <v>50.453286669999997</v>
      </c>
      <c r="S462" s="253">
        <v>44.726439790000001</v>
      </c>
      <c r="T462" s="253"/>
      <c r="U462" s="253">
        <v>45.516746409999996</v>
      </c>
      <c r="V462" s="253"/>
      <c r="W462" s="253"/>
      <c r="X462" s="253">
        <v>46.875</v>
      </c>
      <c r="Y462" s="253">
        <v>47.15643</v>
      </c>
      <c r="Z462" s="253">
        <v>65.75</v>
      </c>
      <c r="AA462" s="253"/>
      <c r="AB462" s="253"/>
      <c r="AC462" s="253"/>
      <c r="AD462" s="253"/>
      <c r="AE462" s="253"/>
    </row>
    <row r="463" spans="1:31">
      <c r="A463" s="33">
        <v>462</v>
      </c>
      <c r="B463" s="270" t="s">
        <v>2220</v>
      </c>
      <c r="C463" s="69" t="s">
        <v>740</v>
      </c>
      <c r="D463" s="56">
        <v>42135</v>
      </c>
      <c r="F463" s="56"/>
      <c r="G463" s="69" t="str">
        <f t="shared" si="7"/>
        <v>ERROR</v>
      </c>
      <c r="H463" s="69" t="s">
        <v>2221</v>
      </c>
      <c r="J463" s="270" t="s">
        <v>2220</v>
      </c>
      <c r="K463" s="270" t="s">
        <v>2222</v>
      </c>
      <c r="L463" s="253">
        <v>51.946582521999993</v>
      </c>
      <c r="M463" s="253">
        <v>57.729594104893621</v>
      </c>
      <c r="N463" s="253">
        <v>54.89887269647059</v>
      </c>
      <c r="O463" s="253">
        <v>62.369934742631585</v>
      </c>
      <c r="P463" s="253">
        <v>47.136150229999991</v>
      </c>
      <c r="Q463" s="253">
        <v>64.284999999999997</v>
      </c>
      <c r="R463" s="253">
        <v>56.070972640000001</v>
      </c>
      <c r="S463" s="253">
        <v>49.32692308</v>
      </c>
      <c r="T463" s="253"/>
      <c r="U463" s="253">
        <v>55.425837320000007</v>
      </c>
      <c r="V463" s="253"/>
      <c r="W463" s="253"/>
      <c r="X463" s="253">
        <v>50.5</v>
      </c>
      <c r="Y463" s="253">
        <v>60.333333330000002</v>
      </c>
      <c r="Z463" s="253">
        <v>71.188311690000006</v>
      </c>
      <c r="AA463" s="253"/>
      <c r="AB463" s="253"/>
      <c r="AC463" s="253"/>
      <c r="AD463" s="253"/>
      <c r="AE463" s="253"/>
    </row>
    <row r="464" spans="1:31">
      <c r="A464" s="33">
        <v>463</v>
      </c>
      <c r="B464" s="270" t="s">
        <v>2220</v>
      </c>
      <c r="C464" s="69" t="s">
        <v>740</v>
      </c>
      <c r="D464" s="56">
        <v>42135</v>
      </c>
      <c r="F464" s="56"/>
      <c r="G464" s="69" t="str">
        <f t="shared" si="7"/>
        <v>ERROR</v>
      </c>
      <c r="H464" s="69" t="s">
        <v>2221</v>
      </c>
      <c r="J464" s="270" t="s">
        <v>2220</v>
      </c>
      <c r="K464" s="270" t="s">
        <v>2223</v>
      </c>
      <c r="L464" s="253">
        <v>55.781883222000005</v>
      </c>
      <c r="M464" s="253">
        <v>59.985031012978716</v>
      </c>
      <c r="N464" s="253">
        <v>56.754767305882361</v>
      </c>
      <c r="O464" s="253">
        <v>59.078810245263156</v>
      </c>
      <c r="P464" s="253">
        <v>50.51956182</v>
      </c>
      <c r="Q464" s="253">
        <v>61.034999999999997</v>
      </c>
      <c r="R464" s="253">
        <v>57.954340700000003</v>
      </c>
      <c r="S464" s="253">
        <v>54.870298309999995</v>
      </c>
      <c r="T464" s="253"/>
      <c r="U464" s="253">
        <v>58.062200959999998</v>
      </c>
      <c r="V464" s="253"/>
      <c r="W464" s="253"/>
      <c r="X464" s="253">
        <v>54.25</v>
      </c>
      <c r="Y464" s="253">
        <v>50.652757080000001</v>
      </c>
      <c r="Z464" s="253">
        <v>76.831168829999996</v>
      </c>
      <c r="AA464" s="253"/>
      <c r="AB464" s="253"/>
      <c r="AC464" s="253"/>
      <c r="AD464" s="253"/>
      <c r="AE464" s="253"/>
    </row>
    <row r="465" spans="1:31">
      <c r="A465" s="33">
        <v>464</v>
      </c>
      <c r="B465" s="270" t="s">
        <v>2220</v>
      </c>
      <c r="C465" s="69" t="s">
        <v>740</v>
      </c>
      <c r="D465" s="56">
        <v>42135</v>
      </c>
      <c r="F465" s="56"/>
      <c r="G465" s="69" t="str">
        <f t="shared" si="7"/>
        <v>ERROR</v>
      </c>
      <c r="H465" s="69" t="s">
        <v>2221</v>
      </c>
      <c r="J465" s="270" t="s">
        <v>2220</v>
      </c>
      <c r="K465" s="270" t="s">
        <v>2224</v>
      </c>
      <c r="L465" s="253">
        <v>56.265114037999993</v>
      </c>
      <c r="M465" s="253">
        <v>60.266407166170211</v>
      </c>
      <c r="N465" s="253">
        <v>58.926820134117641</v>
      </c>
      <c r="O465" s="253">
        <v>52.976757664210524</v>
      </c>
      <c r="P465" s="253">
        <v>52.029668409999992</v>
      </c>
      <c r="Q465" s="253">
        <v>73.036999999999992</v>
      </c>
      <c r="R465" s="253">
        <v>52.107490379999994</v>
      </c>
      <c r="S465" s="253">
        <v>52.135568509999999</v>
      </c>
      <c r="T465" s="253"/>
      <c r="U465" s="253">
        <v>67.330143539999995</v>
      </c>
      <c r="V465" s="253"/>
      <c r="W465" s="253"/>
      <c r="X465" s="253">
        <v>58.75</v>
      </c>
      <c r="Y465" s="253">
        <v>41.113636360000001</v>
      </c>
      <c r="Z465" s="253">
        <v>73.206896549999996</v>
      </c>
      <c r="AA465" s="253"/>
      <c r="AB465" s="253"/>
      <c r="AC465" s="253"/>
      <c r="AD465" s="253"/>
      <c r="AE465" s="253"/>
    </row>
    <row r="466" spans="1:31">
      <c r="A466" s="33">
        <v>465</v>
      </c>
      <c r="B466" s="270" t="s">
        <v>2220</v>
      </c>
      <c r="C466" s="69" t="s">
        <v>740</v>
      </c>
      <c r="D466" s="56">
        <v>42135</v>
      </c>
      <c r="F466" s="56"/>
      <c r="G466" s="69" t="str">
        <f t="shared" si="7"/>
        <v>ERROR</v>
      </c>
      <c r="H466" s="69" t="s">
        <v>2221</v>
      </c>
      <c r="J466" s="270" t="s">
        <v>2220</v>
      </c>
      <c r="K466" s="270" t="s">
        <v>2225</v>
      </c>
      <c r="L466" s="253">
        <v>44.952148308000005</v>
      </c>
      <c r="M466" s="253">
        <v>54.101659991489356</v>
      </c>
      <c r="N466" s="253">
        <v>54.06071272470588</v>
      </c>
      <c r="O466" s="253">
        <v>56.023159983684209</v>
      </c>
      <c r="P466" s="253">
        <v>42.34285714</v>
      </c>
      <c r="Q466" s="253">
        <v>61.237499999999997</v>
      </c>
      <c r="R466" s="253">
        <v>49.886602719999999</v>
      </c>
      <c r="S466" s="253">
        <v>40.854026850000004</v>
      </c>
      <c r="T466" s="253"/>
      <c r="U466" s="253">
        <v>65.555023919999996</v>
      </c>
      <c r="V466" s="253"/>
      <c r="W466" s="253"/>
      <c r="X466" s="253">
        <v>54.5</v>
      </c>
      <c r="Y466" s="253">
        <v>58.562874249999993</v>
      </c>
      <c r="Z466" s="253">
        <v>55.389312980000007</v>
      </c>
      <c r="AA466" s="253"/>
      <c r="AB466" s="253"/>
      <c r="AC466" s="253"/>
      <c r="AD466" s="253"/>
      <c r="AE466" s="253"/>
    </row>
    <row r="467" spans="1:31">
      <c r="A467" s="33">
        <v>466</v>
      </c>
      <c r="B467" s="69" t="s">
        <v>2215</v>
      </c>
      <c r="C467" s="69" t="s">
        <v>740</v>
      </c>
      <c r="D467" s="56">
        <v>42136</v>
      </c>
      <c r="F467" s="56"/>
      <c r="G467" s="69" t="str">
        <f t="shared" si="7"/>
        <v>E-Commerce</v>
      </c>
      <c r="H467" s="69" t="s">
        <v>2157</v>
      </c>
      <c r="J467" s="69" t="s">
        <v>2215</v>
      </c>
      <c r="K467" s="69" t="s">
        <v>2215</v>
      </c>
      <c r="L467" s="253">
        <v>52.787341772000005</v>
      </c>
      <c r="M467" s="253">
        <v>59.477838930508476</v>
      </c>
      <c r="N467" s="253">
        <v>66.58182832989965</v>
      </c>
      <c r="O467" s="253">
        <v>55.328729134210526</v>
      </c>
      <c r="P467" s="253">
        <v>53</v>
      </c>
      <c r="Q467" s="253">
        <v>64.875</v>
      </c>
      <c r="R467" s="253">
        <v>62.02240325999999</v>
      </c>
      <c r="S467" s="253">
        <v>48.008720930000003</v>
      </c>
      <c r="T467" s="253"/>
      <c r="U467" s="253">
        <v>66</v>
      </c>
      <c r="V467" s="253">
        <v>65</v>
      </c>
      <c r="W467" s="253"/>
      <c r="X467" s="253"/>
      <c r="Y467" s="253">
        <v>55.463378179999999</v>
      </c>
      <c r="Z467" s="253">
        <v>51.936708860000003</v>
      </c>
      <c r="AA467" s="253"/>
      <c r="AB467" s="253"/>
      <c r="AC467" s="253"/>
      <c r="AD467" s="253"/>
      <c r="AE467" s="253"/>
    </row>
    <row r="468" spans="1:31">
      <c r="A468" s="33">
        <v>467</v>
      </c>
      <c r="B468" s="69" t="s">
        <v>2215</v>
      </c>
      <c r="C468" s="69" t="s">
        <v>740</v>
      </c>
      <c r="D468" s="56">
        <v>42136</v>
      </c>
      <c r="F468" s="56"/>
      <c r="G468" s="69" t="str">
        <f t="shared" si="7"/>
        <v>E-Commerce</v>
      </c>
      <c r="H468" s="69" t="s">
        <v>2157</v>
      </c>
      <c r="J468" s="69" t="s">
        <v>2215</v>
      </c>
      <c r="K468" s="69" t="s">
        <v>2216</v>
      </c>
      <c r="L468" s="253">
        <v>59.574683543999996</v>
      </c>
      <c r="M468" s="253">
        <v>56.698401601355926</v>
      </c>
      <c r="N468" s="253">
        <v>62.243213075475552</v>
      </c>
      <c r="O468" s="253">
        <v>62.903762791578941</v>
      </c>
      <c r="P468" s="253">
        <v>58.999999999999993</v>
      </c>
      <c r="Q468" s="253">
        <v>68.95</v>
      </c>
      <c r="R468" s="253">
        <v>49.679884449999996</v>
      </c>
      <c r="S468" s="253">
        <v>47.847938139999997</v>
      </c>
      <c r="T468" s="253"/>
      <c r="U468" s="253">
        <v>64</v>
      </c>
      <c r="V468" s="253">
        <v>63.275449100000003</v>
      </c>
      <c r="W468" s="253"/>
      <c r="X468" s="253"/>
      <c r="Y468" s="253">
        <v>66.964669740000005</v>
      </c>
      <c r="Z468" s="253">
        <v>61.873417719999999</v>
      </c>
      <c r="AA468" s="253"/>
      <c r="AB468" s="253"/>
      <c r="AC468" s="253"/>
      <c r="AD468" s="253"/>
      <c r="AE468" s="253"/>
    </row>
    <row r="469" spans="1:31">
      <c r="A469" s="33">
        <v>468</v>
      </c>
      <c r="B469" s="69" t="s">
        <v>2215</v>
      </c>
      <c r="C469" s="69" t="s">
        <v>740</v>
      </c>
      <c r="D469" s="56">
        <v>42136</v>
      </c>
      <c r="F469" s="56"/>
      <c r="G469" s="69" t="str">
        <f t="shared" si="7"/>
        <v>E-Commerce</v>
      </c>
      <c r="H469" s="69" t="s">
        <v>2157</v>
      </c>
      <c r="J469" s="69" t="s">
        <v>2215</v>
      </c>
      <c r="K469" s="69" t="s">
        <v>2217</v>
      </c>
      <c r="L469" s="253">
        <v>59.399999999999984</v>
      </c>
      <c r="M469" s="253">
        <v>59.235612924067794</v>
      </c>
      <c r="N469" s="253">
        <v>60.43888126404314</v>
      </c>
      <c r="O469" s="253">
        <v>66.705684265263159</v>
      </c>
      <c r="P469" s="253">
        <v>56.999999999999993</v>
      </c>
      <c r="Q469" s="253">
        <v>63.724999999999994</v>
      </c>
      <c r="R469" s="253">
        <v>62.218675519999998</v>
      </c>
      <c r="S469" s="253">
        <v>54.141016200000003</v>
      </c>
      <c r="T469" s="253"/>
      <c r="U469" s="253">
        <v>53</v>
      </c>
      <c r="V469" s="253">
        <v>64.219219219999999</v>
      </c>
      <c r="W469" s="253"/>
      <c r="X469" s="253"/>
      <c r="Y469" s="253">
        <v>68.010463380000004</v>
      </c>
      <c r="Z469" s="253">
        <v>69</v>
      </c>
      <c r="AA469" s="253"/>
      <c r="AB469" s="253"/>
      <c r="AC469" s="253"/>
      <c r="AD469" s="253"/>
      <c r="AE469" s="253"/>
    </row>
    <row r="470" spans="1:31">
      <c r="A470" s="33">
        <v>469</v>
      </c>
      <c r="B470" s="69" t="s">
        <v>2215</v>
      </c>
      <c r="C470" s="69" t="s">
        <v>740</v>
      </c>
      <c r="D470" s="56">
        <v>42136</v>
      </c>
      <c r="F470" s="56"/>
      <c r="G470" s="69" t="str">
        <f t="shared" si="7"/>
        <v>E-Commerce</v>
      </c>
      <c r="H470" s="69" t="s">
        <v>2157</v>
      </c>
      <c r="J470" s="69" t="s">
        <v>2215</v>
      </c>
      <c r="K470" s="69" t="s">
        <v>2218</v>
      </c>
      <c r="L470" s="253">
        <v>52.582550335999997</v>
      </c>
      <c r="M470" s="253">
        <v>60.670274999322039</v>
      </c>
      <c r="N470" s="253">
        <v>62.753482276041737</v>
      </c>
      <c r="O470" s="253">
        <v>56.304373535789466</v>
      </c>
      <c r="P470" s="253">
        <v>51</v>
      </c>
      <c r="Q470" s="253">
        <v>64.949999999999989</v>
      </c>
      <c r="R470" s="253">
        <v>60.268451140000003</v>
      </c>
      <c r="S470" s="253">
        <v>49</v>
      </c>
      <c r="T470" s="253"/>
      <c r="U470" s="253">
        <v>67</v>
      </c>
      <c r="V470" s="253">
        <v>70</v>
      </c>
      <c r="W470" s="253"/>
      <c r="X470" s="253"/>
      <c r="Y470" s="253">
        <v>54.073243650000002</v>
      </c>
      <c r="Z470" s="253">
        <v>58.91275168</v>
      </c>
      <c r="AA470" s="253"/>
      <c r="AB470" s="253"/>
      <c r="AC470" s="253"/>
      <c r="AD470" s="253"/>
      <c r="AE470" s="253"/>
    </row>
    <row r="471" spans="1:31">
      <c r="A471" s="33">
        <v>470</v>
      </c>
      <c r="B471" s="151" t="s">
        <v>2215</v>
      </c>
      <c r="C471" s="151" t="s">
        <v>740</v>
      </c>
      <c r="D471" s="268">
        <v>42136</v>
      </c>
      <c r="F471" s="268"/>
      <c r="G471" s="69" t="str">
        <f t="shared" si="7"/>
        <v>E-Commerce</v>
      </c>
      <c r="H471" s="151" t="s">
        <v>2157</v>
      </c>
      <c r="I471" s="151"/>
      <c r="J471" s="151" t="s">
        <v>2215</v>
      </c>
      <c r="K471" s="151" t="s">
        <v>2219</v>
      </c>
      <c r="L471" s="253">
        <v>53.79999999999999</v>
      </c>
      <c r="M471" s="253">
        <v>57.555932203389823</v>
      </c>
      <c r="N471" s="253">
        <v>62.69414705676769</v>
      </c>
      <c r="O471" s="253">
        <v>60.06495876842105</v>
      </c>
      <c r="P471" s="253">
        <v>51</v>
      </c>
      <c r="Q471" s="253">
        <v>74.224999999999994</v>
      </c>
      <c r="R471" s="253">
        <v>56.999999999999993</v>
      </c>
      <c r="S471" s="253">
        <v>44</v>
      </c>
      <c r="T471" s="253"/>
      <c r="U471" s="253">
        <v>56.999999999999993</v>
      </c>
      <c r="V471" s="253">
        <v>62</v>
      </c>
      <c r="W471" s="253"/>
      <c r="X471" s="253"/>
      <c r="Y471" s="253">
        <v>58.400921660000002</v>
      </c>
      <c r="Z471" s="253">
        <v>65</v>
      </c>
      <c r="AA471" s="253"/>
      <c r="AB471" s="253"/>
      <c r="AC471" s="253"/>
      <c r="AD471" s="253"/>
      <c r="AE471" s="253"/>
    </row>
    <row r="472" spans="1:31">
      <c r="A472" s="33">
        <v>471</v>
      </c>
      <c r="B472" s="69" t="s">
        <v>2204</v>
      </c>
      <c r="C472" s="69" t="s">
        <v>740</v>
      </c>
      <c r="D472" s="56">
        <v>42139</v>
      </c>
      <c r="G472" s="69" t="str">
        <f t="shared" si="7"/>
        <v>User Registration</v>
      </c>
      <c r="H472" s="69" t="s">
        <v>2205</v>
      </c>
      <c r="J472" s="69" t="s">
        <v>2204</v>
      </c>
      <c r="K472" s="69" t="s">
        <v>2206</v>
      </c>
      <c r="L472" s="253">
        <v>63.51167062799999</v>
      </c>
      <c r="M472" s="253">
        <v>61.113492235782303</v>
      </c>
      <c r="N472" s="253">
        <v>45.53448275862069</v>
      </c>
      <c r="O472" s="253">
        <v>62.619827462982457</v>
      </c>
      <c r="P472" s="253">
        <v>65.232371790000002</v>
      </c>
      <c r="Q472" s="253">
        <v>68.166666666666657</v>
      </c>
      <c r="R472" s="253">
        <v>66</v>
      </c>
      <c r="S472" s="253">
        <v>55.21961933</v>
      </c>
      <c r="T472" s="253"/>
      <c r="U472" s="253">
        <v>61.451612899999994</v>
      </c>
      <c r="V472" s="253"/>
      <c r="W472" s="253">
        <v>36</v>
      </c>
      <c r="X472" s="253"/>
      <c r="Y472" s="253">
        <v>65.124610590000003</v>
      </c>
      <c r="Z472" s="253">
        <v>56.62886598</v>
      </c>
      <c r="AA472" s="253"/>
      <c r="AB472" s="253"/>
      <c r="AC472" s="253"/>
      <c r="AD472" s="253"/>
      <c r="AE472" s="253"/>
    </row>
    <row r="473" spans="1:31">
      <c r="A473" s="33">
        <v>472</v>
      </c>
      <c r="B473" s="69" t="s">
        <v>2204</v>
      </c>
      <c r="C473" s="69" t="s">
        <v>740</v>
      </c>
      <c r="D473" s="56">
        <v>42139</v>
      </c>
      <c r="G473" s="69" t="str">
        <f t="shared" si="7"/>
        <v>User Registration</v>
      </c>
      <c r="H473" s="69" t="s">
        <v>2205</v>
      </c>
      <c r="J473" s="69" t="s">
        <v>2204</v>
      </c>
      <c r="K473" s="69" t="s">
        <v>2207</v>
      </c>
      <c r="L473" s="253">
        <v>28.735398307999997</v>
      </c>
      <c r="M473" s="253">
        <v>37.993887788707482</v>
      </c>
      <c r="N473" s="253">
        <v>38.166459628275859</v>
      </c>
      <c r="O473" s="253">
        <v>40.37260061964912</v>
      </c>
      <c r="P473" s="253">
        <v>25.879101900000002</v>
      </c>
      <c r="Q473" s="253">
        <v>59.333333333333336</v>
      </c>
      <c r="R473" s="253">
        <v>44.804554869999997</v>
      </c>
      <c r="S473" s="253">
        <v>16.8013245</v>
      </c>
      <c r="T473" s="253"/>
      <c r="U473" s="253">
        <v>34.150537630000002</v>
      </c>
      <c r="V473" s="253"/>
      <c r="W473" s="253">
        <v>33</v>
      </c>
      <c r="X473" s="253"/>
      <c r="Y473" s="253">
        <v>40.053272450000001</v>
      </c>
      <c r="Z473" s="253">
        <v>40.160583940000002</v>
      </c>
      <c r="AA473" s="253"/>
      <c r="AB473" s="253"/>
      <c r="AC473" s="253"/>
      <c r="AD473" s="253"/>
      <c r="AE473" s="253"/>
    </row>
    <row r="474" spans="1:31">
      <c r="A474" s="33">
        <v>473</v>
      </c>
      <c r="B474" s="69" t="s">
        <v>2204</v>
      </c>
      <c r="C474" s="69" t="s">
        <v>740</v>
      </c>
      <c r="D474" s="56">
        <v>42139</v>
      </c>
      <c r="G474" s="69" t="str">
        <f t="shared" si="7"/>
        <v>User Registration</v>
      </c>
      <c r="H474" s="69" t="s">
        <v>2205</v>
      </c>
      <c r="J474" s="69" t="s">
        <v>2204</v>
      </c>
      <c r="K474" s="69" t="s">
        <v>2208</v>
      </c>
      <c r="L474" s="253">
        <v>40.283021823999995</v>
      </c>
      <c r="M474" s="253">
        <v>46.009464451972789</v>
      </c>
      <c r="N474" s="253">
        <v>47.044843403448283</v>
      </c>
      <c r="O474" s="253">
        <v>43.559714715964915</v>
      </c>
      <c r="P474" s="253">
        <v>40.418502199999999</v>
      </c>
      <c r="Q474" s="253">
        <v>58.833333333333336</v>
      </c>
      <c r="R474" s="253">
        <v>51.300076449999999</v>
      </c>
      <c r="S474" s="253">
        <v>33.383442270000003</v>
      </c>
      <c r="T474" s="253"/>
      <c r="U474" s="253">
        <v>47.019704429999997</v>
      </c>
      <c r="V474" s="253"/>
      <c r="W474" s="253">
        <v>44</v>
      </c>
      <c r="X474" s="253"/>
      <c r="Y474" s="253">
        <v>43.411214949999994</v>
      </c>
      <c r="Z474" s="253">
        <v>39.741100320000001</v>
      </c>
      <c r="AA474" s="253"/>
      <c r="AB474" s="253"/>
      <c r="AC474" s="253"/>
      <c r="AD474" s="253"/>
      <c r="AE474" s="253"/>
    </row>
    <row r="475" spans="1:31">
      <c r="A475" s="33">
        <v>474</v>
      </c>
      <c r="B475" s="273" t="s">
        <v>2204</v>
      </c>
      <c r="C475" s="151" t="s">
        <v>740</v>
      </c>
      <c r="D475" s="268">
        <v>42139</v>
      </c>
      <c r="F475" s="268"/>
      <c r="G475" s="69" t="str">
        <f t="shared" si="7"/>
        <v>User Registration</v>
      </c>
      <c r="H475" s="83" t="s">
        <v>2205</v>
      </c>
      <c r="I475" s="83"/>
      <c r="J475" s="273" t="s">
        <v>2204</v>
      </c>
      <c r="K475" s="273" t="s">
        <v>2204</v>
      </c>
      <c r="L475" s="253">
        <v>53.629371653999989</v>
      </c>
      <c r="M475" s="253">
        <v>55.036290725306124</v>
      </c>
      <c r="N475" s="253">
        <v>50.044511405517241</v>
      </c>
      <c r="O475" s="253">
        <v>55.642593194736847</v>
      </c>
      <c r="P475" s="253">
        <v>53.90284359999999</v>
      </c>
      <c r="Q475" s="253">
        <v>56.999999999999993</v>
      </c>
      <c r="R475" s="253">
        <v>60.229538460000001</v>
      </c>
      <c r="S475" s="253">
        <v>55.820793430000002</v>
      </c>
      <c r="T475" s="253"/>
      <c r="U475" s="253">
        <v>50.875576040000006</v>
      </c>
      <c r="V475" s="253"/>
      <c r="W475" s="253">
        <v>45.945679999999996</v>
      </c>
      <c r="X475" s="253"/>
      <c r="Y475" s="253">
        <v>56.125198099999992</v>
      </c>
      <c r="Z475" s="253">
        <v>52.53548387</v>
      </c>
      <c r="AA475" s="253"/>
      <c r="AB475" s="253"/>
      <c r="AC475" s="253"/>
      <c r="AD475" s="253"/>
      <c r="AE475" s="253"/>
    </row>
    <row r="476" spans="1:31">
      <c r="A476" s="33">
        <v>475</v>
      </c>
      <c r="B476" s="273" t="s">
        <v>2204</v>
      </c>
      <c r="C476" s="151" t="s">
        <v>740</v>
      </c>
      <c r="D476" s="268">
        <v>42139</v>
      </c>
      <c r="F476" s="268"/>
      <c r="G476" s="69" t="str">
        <f t="shared" si="7"/>
        <v>User Registration</v>
      </c>
      <c r="H476" s="83" t="s">
        <v>2205</v>
      </c>
      <c r="I476" s="83"/>
      <c r="J476" s="273" t="s">
        <v>2204</v>
      </c>
      <c r="K476" s="273" t="s">
        <v>2209</v>
      </c>
      <c r="L476" s="253">
        <v>36.443556848</v>
      </c>
      <c r="M476" s="253">
        <v>44.929358999591834</v>
      </c>
      <c r="N476" s="253">
        <v>42.63987448965517</v>
      </c>
      <c r="O476" s="253">
        <v>40.600780976315789</v>
      </c>
      <c r="P476" s="253">
        <v>35.61917098</v>
      </c>
      <c r="Q476" s="253">
        <v>52.249999999999993</v>
      </c>
      <c r="R476" s="253">
        <v>49.9677267</v>
      </c>
      <c r="S476" s="253">
        <v>29.052835049999999</v>
      </c>
      <c r="T476" s="253"/>
      <c r="U476" s="253">
        <v>53.456221199999995</v>
      </c>
      <c r="V476" s="253"/>
      <c r="W476" s="253">
        <v>39</v>
      </c>
      <c r="X476" s="253"/>
      <c r="Y476" s="253">
        <v>39.147104849999998</v>
      </c>
      <c r="Z476" s="253">
        <v>39.741100320000001</v>
      </c>
      <c r="AA476" s="253"/>
      <c r="AB476" s="253"/>
      <c r="AC476" s="253"/>
      <c r="AD476" s="253"/>
      <c r="AE476" s="253"/>
    </row>
    <row r="477" spans="1:31">
      <c r="A477" s="33">
        <v>476</v>
      </c>
      <c r="B477" s="69" t="s">
        <v>2210</v>
      </c>
      <c r="C477" s="151" t="s">
        <v>740</v>
      </c>
      <c r="D477" s="268">
        <v>42139</v>
      </c>
      <c r="F477" s="268"/>
      <c r="G477" s="69" t="str">
        <f t="shared" si="7"/>
        <v>E-Commerce</v>
      </c>
      <c r="H477" s="83" t="s">
        <v>1604</v>
      </c>
      <c r="I477" s="83"/>
      <c r="J477" s="69" t="s">
        <v>2210</v>
      </c>
      <c r="K477" s="69" t="s">
        <v>2210</v>
      </c>
      <c r="L477" s="253">
        <v>61.836687295999994</v>
      </c>
      <c r="M477" s="253">
        <v>58.300378190148436</v>
      </c>
      <c r="N477" s="253">
        <v>58.822285307904508</v>
      </c>
      <c r="O477" s="253">
        <v>57.783912104898782</v>
      </c>
      <c r="P477" s="253">
        <v>66.626047799999995</v>
      </c>
      <c r="Q477" s="253">
        <v>65.811076923076911</v>
      </c>
      <c r="R477" s="253">
        <v>60.046014859999993</v>
      </c>
      <c r="S477" s="253">
        <v>53.836932449999999</v>
      </c>
      <c r="T477" s="253"/>
      <c r="U477" s="253">
        <v>61.684850000000004</v>
      </c>
      <c r="V477" s="253">
        <v>57.406847699999993</v>
      </c>
      <c r="W477" s="253"/>
      <c r="X477" s="253"/>
      <c r="Y477" s="253">
        <v>64.475806449999993</v>
      </c>
      <c r="Z477" s="253">
        <v>42.679245279999996</v>
      </c>
      <c r="AA477" s="253"/>
      <c r="AB477" s="253"/>
      <c r="AC477" s="253"/>
      <c r="AD477" s="253"/>
      <c r="AE477" s="253"/>
    </row>
    <row r="478" spans="1:31">
      <c r="A478" s="33">
        <v>477</v>
      </c>
      <c r="B478" s="69" t="s">
        <v>2210</v>
      </c>
      <c r="C478" s="151" t="s">
        <v>740</v>
      </c>
      <c r="D478" s="268">
        <v>42139</v>
      </c>
      <c r="F478" s="268"/>
      <c r="G478" s="69" t="str">
        <f t="shared" si="7"/>
        <v>E-Commerce</v>
      </c>
      <c r="H478" s="83" t="s">
        <v>1604</v>
      </c>
      <c r="I478" s="83"/>
      <c r="J478" s="69" t="s">
        <v>2210</v>
      </c>
      <c r="K478" s="69" t="s">
        <v>2211</v>
      </c>
      <c r="L478" s="253">
        <v>64.772315150000011</v>
      </c>
      <c r="M478" s="253">
        <v>61.523050934777309</v>
      </c>
      <c r="N478" s="253">
        <v>60.094971854005294</v>
      </c>
      <c r="O478" s="253">
        <v>66.014366496248314</v>
      </c>
      <c r="P478" s="253">
        <v>64.656952380000007</v>
      </c>
      <c r="Q478" s="253">
        <v>78.663717948717931</v>
      </c>
      <c r="R478" s="253">
        <v>56.616117219999992</v>
      </c>
      <c r="S478" s="253">
        <v>62.659792789999997</v>
      </c>
      <c r="T478" s="253"/>
      <c r="U478" s="253">
        <v>61.684850000000004</v>
      </c>
      <c r="V478" s="253">
        <v>58.353316329999991</v>
      </c>
      <c r="W478" s="253"/>
      <c r="X478" s="253"/>
      <c r="Y478" s="253">
        <v>67.354838709999996</v>
      </c>
      <c r="Z478" s="253">
        <v>65.233766230000001</v>
      </c>
      <c r="AA478" s="253"/>
      <c r="AB478" s="253"/>
      <c r="AC478" s="253"/>
      <c r="AD478" s="253"/>
      <c r="AE478" s="253"/>
    </row>
    <row r="479" spans="1:31">
      <c r="A479" s="33">
        <v>478</v>
      </c>
      <c r="B479" s="69" t="s">
        <v>2210</v>
      </c>
      <c r="C479" s="151" t="s">
        <v>740</v>
      </c>
      <c r="D479" s="268">
        <v>42139</v>
      </c>
      <c r="F479" s="268"/>
      <c r="G479" s="69" t="str">
        <f t="shared" si="7"/>
        <v>E-Commerce</v>
      </c>
      <c r="H479" s="83" t="s">
        <v>1604</v>
      </c>
      <c r="I479" s="83"/>
      <c r="J479" s="69" t="s">
        <v>2210</v>
      </c>
      <c r="K479" s="69" t="s">
        <v>2212</v>
      </c>
      <c r="L479" s="253">
        <v>61.442311687999997</v>
      </c>
      <c r="M479" s="253">
        <v>65.458071490256401</v>
      </c>
      <c r="N479" s="253">
        <v>63.483274941114054</v>
      </c>
      <c r="O479" s="253">
        <v>66.858986428461535</v>
      </c>
      <c r="P479" s="253">
        <v>60.942499999999995</v>
      </c>
      <c r="Q479" s="253">
        <v>77.398769230769219</v>
      </c>
      <c r="R479" s="253">
        <v>64.369492100000002</v>
      </c>
      <c r="S479" s="253">
        <v>59.878422309999998</v>
      </c>
      <c r="T479" s="253"/>
      <c r="U479" s="253">
        <v>69.154843499999998</v>
      </c>
      <c r="V479" s="253">
        <v>61.130085649999998</v>
      </c>
      <c r="W479" s="253"/>
      <c r="X479" s="253"/>
      <c r="Y479" s="253">
        <v>68.709677420000006</v>
      </c>
      <c r="Z479" s="253">
        <v>63.441558440000001</v>
      </c>
      <c r="AA479" s="253"/>
      <c r="AB479" s="253"/>
      <c r="AC479" s="253"/>
      <c r="AD479" s="253"/>
      <c r="AE479" s="253"/>
    </row>
    <row r="480" spans="1:31">
      <c r="A480" s="33">
        <v>479</v>
      </c>
      <c r="B480" s="69" t="s">
        <v>2210</v>
      </c>
      <c r="C480" s="151" t="s">
        <v>740</v>
      </c>
      <c r="D480" s="268">
        <v>42139</v>
      </c>
      <c r="F480" s="268"/>
      <c r="G480" s="69" t="str">
        <f t="shared" si="7"/>
        <v>E-Commerce</v>
      </c>
      <c r="H480" s="83" t="s">
        <v>1604</v>
      </c>
      <c r="I480" s="83"/>
      <c r="J480" s="69" t="s">
        <v>2210</v>
      </c>
      <c r="K480" s="69" t="s">
        <v>2213</v>
      </c>
      <c r="L480" s="253">
        <v>61.29800707399999</v>
      </c>
      <c r="M480" s="253">
        <v>57.334786445762475</v>
      </c>
      <c r="N480" s="253">
        <v>59.775785705145886</v>
      </c>
      <c r="O480" s="253">
        <v>53.766289187881235</v>
      </c>
      <c r="P480" s="253">
        <v>66.862704919999999</v>
      </c>
      <c r="Q480" s="253">
        <v>71.801743589743566</v>
      </c>
      <c r="R480" s="253">
        <v>53.329487180000001</v>
      </c>
      <c r="S480" s="253">
        <v>53.628504669999998</v>
      </c>
      <c r="T480" s="253"/>
      <c r="U480" s="253">
        <v>65.465770000000006</v>
      </c>
      <c r="V480" s="253">
        <v>59.905781580000003</v>
      </c>
      <c r="W480" s="253"/>
      <c r="X480" s="253"/>
      <c r="Y480" s="253">
        <v>59.427419350000001</v>
      </c>
      <c r="Z480" s="253">
        <v>39.039215689999999</v>
      </c>
      <c r="AA480" s="253"/>
      <c r="AB480" s="253"/>
      <c r="AC480" s="253"/>
      <c r="AD480" s="253"/>
      <c r="AE480" s="253"/>
    </row>
    <row r="481" spans="1:31">
      <c r="A481" s="33">
        <v>480</v>
      </c>
      <c r="B481" s="69" t="s">
        <v>2210</v>
      </c>
      <c r="C481" s="151" t="s">
        <v>740</v>
      </c>
      <c r="D481" s="268">
        <v>42139</v>
      </c>
      <c r="F481" s="268"/>
      <c r="G481" s="69" t="str">
        <f t="shared" si="7"/>
        <v>E-Commerce</v>
      </c>
      <c r="H481" s="83" t="s">
        <v>1604</v>
      </c>
      <c r="I481" s="83"/>
      <c r="J481" s="69" t="s">
        <v>2210</v>
      </c>
      <c r="K481" s="69" t="s">
        <v>2214</v>
      </c>
      <c r="L481" s="253">
        <v>65.247199999999992</v>
      </c>
      <c r="M481" s="253">
        <v>59.74044065441295</v>
      </c>
      <c r="N481" s="253">
        <v>61.544009049336864</v>
      </c>
      <c r="O481" s="253">
        <v>61.340546653522274</v>
      </c>
      <c r="P481" s="253">
        <v>66.683999999999997</v>
      </c>
      <c r="Q481" s="253">
        <v>79.092923076923057</v>
      </c>
      <c r="R481" s="253">
        <v>55.710681399999991</v>
      </c>
      <c r="S481" s="253">
        <v>62.052874739999993</v>
      </c>
      <c r="T481" s="253"/>
      <c r="U481" s="253">
        <v>54</v>
      </c>
      <c r="V481" s="253">
        <v>60.661670239999999</v>
      </c>
      <c r="W481" s="253"/>
      <c r="X481" s="253"/>
      <c r="Y481" s="253">
        <v>61.540322580000009</v>
      </c>
      <c r="Z481" s="253">
        <v>59.499999999999993</v>
      </c>
      <c r="AA481" s="253"/>
      <c r="AB481" s="253"/>
      <c r="AC481" s="253"/>
      <c r="AD481" s="253"/>
      <c r="AE481" s="253"/>
    </row>
    <row r="482" spans="1:31">
      <c r="A482" s="33">
        <v>481</v>
      </c>
      <c r="B482" s="69" t="s">
        <v>1036</v>
      </c>
      <c r="C482" s="151" t="s">
        <v>740</v>
      </c>
      <c r="D482" s="56">
        <v>42142</v>
      </c>
      <c r="F482" s="56"/>
      <c r="G482" s="69" t="str">
        <f t="shared" si="7"/>
        <v>E-Commerce</v>
      </c>
      <c r="H482" s="83" t="s">
        <v>2042</v>
      </c>
      <c r="I482" s="83"/>
      <c r="J482" s="69" t="s">
        <v>1036</v>
      </c>
      <c r="K482" s="69" t="s">
        <v>1036</v>
      </c>
      <c r="L482" s="253">
        <v>62.118421052000002</v>
      </c>
      <c r="M482" s="253">
        <v>60.793325348135596</v>
      </c>
      <c r="N482" s="253">
        <v>61.998364870937138</v>
      </c>
      <c r="O482" s="253">
        <v>73.260752828947375</v>
      </c>
      <c r="P482" s="253">
        <v>62</v>
      </c>
      <c r="Q482" s="253">
        <v>61.750000000000007</v>
      </c>
      <c r="R482" s="253">
        <v>60</v>
      </c>
      <c r="S482" s="253">
        <v>69</v>
      </c>
      <c r="T482" s="253"/>
      <c r="U482" s="253">
        <v>60</v>
      </c>
      <c r="V482" s="253">
        <v>61</v>
      </c>
      <c r="W482" s="253"/>
      <c r="X482" s="253"/>
      <c r="Y482" s="253">
        <v>83</v>
      </c>
      <c r="Z482" s="253">
        <v>62.592105259999997</v>
      </c>
      <c r="AA482" s="253"/>
      <c r="AB482" s="253"/>
      <c r="AC482" s="253"/>
      <c r="AD482" s="253"/>
      <c r="AE482" s="253"/>
    </row>
    <row r="483" spans="1:31">
      <c r="A483" s="33">
        <v>482</v>
      </c>
      <c r="B483" s="69" t="s">
        <v>1036</v>
      </c>
      <c r="C483" s="151" t="s">
        <v>740</v>
      </c>
      <c r="D483" s="56">
        <v>42142</v>
      </c>
      <c r="F483" s="56"/>
      <c r="G483" s="69" t="str">
        <f t="shared" si="7"/>
        <v>E-Commerce</v>
      </c>
      <c r="H483" s="83" t="s">
        <v>2042</v>
      </c>
      <c r="I483" s="83"/>
      <c r="J483" s="69" t="s">
        <v>1036</v>
      </c>
      <c r="K483" s="69" t="s">
        <v>389</v>
      </c>
      <c r="L483" s="253">
        <v>57.2</v>
      </c>
      <c r="M483" s="253">
        <v>67.592220355932199</v>
      </c>
      <c r="N483" s="253">
        <v>66.005911676004786</v>
      </c>
      <c r="O483" s="253">
        <v>64.576548983157892</v>
      </c>
      <c r="P483" s="253">
        <v>64</v>
      </c>
      <c r="Q483" s="253">
        <v>72.5</v>
      </c>
      <c r="R483" s="253">
        <v>69.150826449999997</v>
      </c>
      <c r="S483" s="253">
        <v>66.152777779999994</v>
      </c>
      <c r="T483" s="253"/>
      <c r="U483" s="253">
        <v>82</v>
      </c>
      <c r="V483" s="253">
        <v>70</v>
      </c>
      <c r="W483" s="253"/>
      <c r="X483" s="253"/>
      <c r="Y483" s="253">
        <v>80</v>
      </c>
      <c r="Z483" s="253">
        <v>30</v>
      </c>
      <c r="AA483" s="253"/>
      <c r="AB483" s="253"/>
      <c r="AC483" s="253"/>
      <c r="AD483" s="253"/>
      <c r="AE483" s="253"/>
    </row>
    <row r="484" spans="1:31">
      <c r="A484" s="33">
        <v>483</v>
      </c>
      <c r="B484" s="69" t="s">
        <v>1036</v>
      </c>
      <c r="C484" s="151" t="s">
        <v>740</v>
      </c>
      <c r="D484" s="56">
        <v>42142</v>
      </c>
      <c r="F484" s="56"/>
      <c r="G484" s="69" t="str">
        <f t="shared" si="7"/>
        <v>E-Commerce</v>
      </c>
      <c r="H484" s="83" t="s">
        <v>2042</v>
      </c>
      <c r="I484" s="83"/>
      <c r="J484" s="69" t="s">
        <v>1036</v>
      </c>
      <c r="K484" s="69" t="s">
        <v>1599</v>
      </c>
      <c r="L484" s="253">
        <v>57.561038961999998</v>
      </c>
      <c r="M484" s="253">
        <v>56.463778972881364</v>
      </c>
      <c r="N484" s="253">
        <v>56.000838949401377</v>
      </c>
      <c r="O484" s="253">
        <v>65.331249819473683</v>
      </c>
      <c r="P484" s="253">
        <v>56.999999999999993</v>
      </c>
      <c r="Q484" s="253">
        <v>57.499999999999993</v>
      </c>
      <c r="R484" s="253">
        <v>51.383886259999997</v>
      </c>
      <c r="S484" s="253">
        <v>62</v>
      </c>
      <c r="T484" s="253"/>
      <c r="U484" s="253">
        <v>61</v>
      </c>
      <c r="V484" s="253">
        <v>57.999999999999993</v>
      </c>
      <c r="W484" s="253"/>
      <c r="X484" s="253"/>
      <c r="Y484" s="253">
        <v>72</v>
      </c>
      <c r="Z484" s="253">
        <v>59.805194810000003</v>
      </c>
      <c r="AA484" s="253"/>
      <c r="AB484" s="253"/>
      <c r="AC484" s="253"/>
      <c r="AD484" s="253"/>
      <c r="AE484" s="253"/>
    </row>
    <row r="485" spans="1:31">
      <c r="A485" s="33">
        <v>484</v>
      </c>
      <c r="B485" s="69" t="s">
        <v>1036</v>
      </c>
      <c r="C485" s="151" t="s">
        <v>740</v>
      </c>
      <c r="D485" s="56">
        <v>42142</v>
      </c>
      <c r="F485" s="56"/>
      <c r="G485" s="69" t="str">
        <f t="shared" si="7"/>
        <v>E-Commerce</v>
      </c>
      <c r="H485" s="83" t="s">
        <v>2042</v>
      </c>
      <c r="I485" s="83"/>
      <c r="J485" s="69" t="s">
        <v>1036</v>
      </c>
      <c r="K485" s="69" t="s">
        <v>561</v>
      </c>
      <c r="L485" s="253">
        <v>66.149367088000005</v>
      </c>
      <c r="M485" s="253">
        <v>60.198396082372881</v>
      </c>
      <c r="N485" s="253">
        <v>58.002888988097254</v>
      </c>
      <c r="O485" s="253">
        <v>69.273520144736835</v>
      </c>
      <c r="P485" s="253">
        <v>66</v>
      </c>
      <c r="Q485" s="253">
        <v>64.625</v>
      </c>
      <c r="R485" s="253">
        <v>57.66475710000001</v>
      </c>
      <c r="S485" s="253">
        <v>62.508191349999997</v>
      </c>
      <c r="T485" s="253"/>
      <c r="U485" s="253">
        <v>62</v>
      </c>
      <c r="V485" s="253">
        <v>60</v>
      </c>
      <c r="W485" s="253"/>
      <c r="X485" s="253"/>
      <c r="Y485" s="253">
        <v>74</v>
      </c>
      <c r="Z485" s="253">
        <v>66.746835439999998</v>
      </c>
      <c r="AA485" s="253"/>
      <c r="AB485" s="253"/>
      <c r="AC485" s="253"/>
      <c r="AD485" s="253"/>
      <c r="AE485" s="253"/>
    </row>
    <row r="486" spans="1:31">
      <c r="A486" s="33">
        <v>485</v>
      </c>
      <c r="B486" s="69" t="s">
        <v>1036</v>
      </c>
      <c r="C486" s="151" t="s">
        <v>740</v>
      </c>
      <c r="D486" s="56">
        <v>42142</v>
      </c>
      <c r="F486" s="56"/>
      <c r="G486" s="69" t="str">
        <f t="shared" si="7"/>
        <v>E-Commerce</v>
      </c>
      <c r="H486" s="83" t="s">
        <v>2042</v>
      </c>
      <c r="I486" s="83"/>
      <c r="J486" s="69" t="s">
        <v>1036</v>
      </c>
      <c r="K486" s="69" t="s">
        <v>2203</v>
      </c>
      <c r="L486" s="253">
        <v>61.370042193999993</v>
      </c>
      <c r="M486" s="253">
        <v>61.683856593220341</v>
      </c>
      <c r="N486" s="253">
        <v>65.996175434096543</v>
      </c>
      <c r="O486" s="253">
        <v>67.27748643842105</v>
      </c>
      <c r="P486" s="253">
        <v>60</v>
      </c>
      <c r="Q486" s="253">
        <v>61</v>
      </c>
      <c r="R486" s="253">
        <v>59.066294919999997</v>
      </c>
      <c r="S486" s="253">
        <v>64.88859764</v>
      </c>
      <c r="T486" s="253"/>
      <c r="U486" s="253">
        <v>64</v>
      </c>
      <c r="V486" s="253">
        <v>65</v>
      </c>
      <c r="W486" s="253"/>
      <c r="X486" s="253"/>
      <c r="Y486" s="253">
        <v>70</v>
      </c>
      <c r="Z486" s="253">
        <v>66.850210970000006</v>
      </c>
      <c r="AA486" s="253"/>
      <c r="AB486" s="253"/>
      <c r="AC486" s="253"/>
      <c r="AD486" s="253"/>
      <c r="AE486" s="253"/>
    </row>
    <row r="487" spans="1:31">
      <c r="A487" s="33">
        <v>486</v>
      </c>
      <c r="B487" s="69" t="s">
        <v>566</v>
      </c>
      <c r="C487" s="69" t="s">
        <v>1203</v>
      </c>
      <c r="D487" s="56">
        <v>42146</v>
      </c>
      <c r="F487" s="56"/>
      <c r="G487" s="69" t="str">
        <f t="shared" si="7"/>
        <v>E-Commerce</v>
      </c>
      <c r="H487" s="83" t="s">
        <v>517</v>
      </c>
      <c r="I487" s="83"/>
      <c r="J487" s="69" t="s">
        <v>566</v>
      </c>
      <c r="K487" s="69" t="s">
        <v>566</v>
      </c>
      <c r="L487" s="253">
        <v>52.544607673999998</v>
      </c>
      <c r="M487" s="253">
        <v>47.798919332807017</v>
      </c>
      <c r="N487" s="253">
        <v>43.093354900000001</v>
      </c>
      <c r="O487" s="253">
        <v>52.901027511578945</v>
      </c>
      <c r="P487" s="253">
        <v>50.056916999999999</v>
      </c>
      <c r="Q487" s="253">
        <v>59.4</v>
      </c>
      <c r="R487" s="253">
        <v>43.729962550000003</v>
      </c>
      <c r="S487" s="253">
        <v>47.981238269999999</v>
      </c>
      <c r="T487" s="253"/>
      <c r="U487" s="253">
        <v>41.611111109999996</v>
      </c>
      <c r="V487" s="253">
        <v>47.70637584</v>
      </c>
      <c r="W487" s="253"/>
      <c r="X487" s="253"/>
      <c r="Y487" s="253">
        <v>49.780150749999997</v>
      </c>
      <c r="Z487" s="253">
        <v>62.495370370000003</v>
      </c>
      <c r="AA487" s="253"/>
      <c r="AB487" s="253"/>
      <c r="AC487" s="253"/>
      <c r="AD487" s="253"/>
      <c r="AE487" s="253"/>
    </row>
    <row r="488" spans="1:31">
      <c r="A488" s="33">
        <v>487</v>
      </c>
      <c r="B488" s="69" t="s">
        <v>566</v>
      </c>
      <c r="C488" s="69" t="s">
        <v>1203</v>
      </c>
      <c r="D488" s="56">
        <v>42146</v>
      </c>
      <c r="F488" s="56"/>
      <c r="G488" s="69" t="str">
        <f t="shared" si="7"/>
        <v>E-Commerce</v>
      </c>
      <c r="H488" s="83" t="s">
        <v>517</v>
      </c>
      <c r="I488" s="83"/>
      <c r="J488" s="69" t="s">
        <v>566</v>
      </c>
      <c r="K488" s="69" t="s">
        <v>1573</v>
      </c>
      <c r="L488" s="253">
        <v>60.782453103999998</v>
      </c>
      <c r="M488" s="253">
        <v>62.037567539649132</v>
      </c>
      <c r="N488" s="253">
        <v>62.179762104827596</v>
      </c>
      <c r="O488" s="253">
        <v>65.683165023157883</v>
      </c>
      <c r="P488" s="253">
        <v>59.089177489999997</v>
      </c>
      <c r="Q488" s="253">
        <v>71.16</v>
      </c>
      <c r="R488" s="253">
        <v>59.931449440000009</v>
      </c>
      <c r="S488" s="253">
        <v>60.033730159999998</v>
      </c>
      <c r="T488" s="253"/>
      <c r="U488" s="253">
        <v>59.75</v>
      </c>
      <c r="V488" s="253">
        <v>61.507220220000001</v>
      </c>
      <c r="W488" s="253"/>
      <c r="X488" s="253"/>
      <c r="Y488" s="253">
        <v>65.914572859999993</v>
      </c>
      <c r="Z488" s="253">
        <v>67.555555560000002</v>
      </c>
      <c r="AA488" s="253"/>
      <c r="AB488" s="253"/>
      <c r="AC488" s="253"/>
      <c r="AD488" s="253"/>
      <c r="AE488" s="253"/>
    </row>
    <row r="489" spans="1:31">
      <c r="A489" s="33">
        <v>488</v>
      </c>
      <c r="B489" s="69" t="s">
        <v>566</v>
      </c>
      <c r="C489" s="69" t="s">
        <v>1203</v>
      </c>
      <c r="D489" s="56">
        <v>42146</v>
      </c>
      <c r="F489" s="56"/>
      <c r="G489" s="69" t="str">
        <f t="shared" si="7"/>
        <v>E-Commerce</v>
      </c>
      <c r="H489" s="83" t="s">
        <v>517</v>
      </c>
      <c r="I489" s="83"/>
      <c r="J489" s="69" t="s">
        <v>566</v>
      </c>
      <c r="K489" s="69" t="s">
        <v>1575</v>
      </c>
      <c r="L489" s="253">
        <v>53.919035595999993</v>
      </c>
      <c r="M489" s="253">
        <v>57.5008636870175</v>
      </c>
      <c r="N489" s="253">
        <v>52.11097513517241</v>
      </c>
      <c r="O489" s="253">
        <v>54.788190878947375</v>
      </c>
      <c r="P489" s="253">
        <v>50.307359309999995</v>
      </c>
      <c r="Q489" s="253">
        <v>61.47</v>
      </c>
      <c r="R489" s="253">
        <v>51.860420419999997</v>
      </c>
      <c r="S489" s="253">
        <v>52.825428860000002</v>
      </c>
      <c r="T489" s="253"/>
      <c r="U489" s="253">
        <v>64.791666669999998</v>
      </c>
      <c r="V489" s="253">
        <v>50.782287820000001</v>
      </c>
      <c r="W489" s="253"/>
      <c r="X489" s="253"/>
      <c r="Y489" s="253">
        <v>48.113065329999998</v>
      </c>
      <c r="Z489" s="253">
        <v>68.365740740000007</v>
      </c>
      <c r="AA489" s="253"/>
      <c r="AB489" s="253"/>
      <c r="AC489" s="253"/>
      <c r="AD489" s="253"/>
      <c r="AE489" s="253"/>
    </row>
    <row r="490" spans="1:31">
      <c r="A490" s="33">
        <v>489</v>
      </c>
      <c r="B490" s="69" t="s">
        <v>566</v>
      </c>
      <c r="C490" s="69" t="s">
        <v>1203</v>
      </c>
      <c r="D490" s="56">
        <v>42146</v>
      </c>
      <c r="F490" s="56"/>
      <c r="G490" s="69" t="str">
        <f t="shared" si="7"/>
        <v>E-Commerce</v>
      </c>
      <c r="H490" s="83" t="s">
        <v>517</v>
      </c>
      <c r="I490" s="83"/>
      <c r="J490" s="69" t="s">
        <v>566</v>
      </c>
      <c r="K490" s="69" t="s">
        <v>1524</v>
      </c>
      <c r="L490" s="253">
        <v>48.015215196</v>
      </c>
      <c r="M490" s="253">
        <v>50.363598155789504</v>
      </c>
      <c r="N490" s="253">
        <v>48.107678768275861</v>
      </c>
      <c r="O490" s="253">
        <v>53.188740825789473</v>
      </c>
      <c r="P490" s="253">
        <v>44.682213439999998</v>
      </c>
      <c r="Q490" s="253">
        <v>62.860000000000007</v>
      </c>
      <c r="R490" s="253">
        <v>44.255995480000003</v>
      </c>
      <c r="S490" s="253">
        <v>44.349101229999995</v>
      </c>
      <c r="T490" s="253"/>
      <c r="U490" s="253">
        <v>45.111111110000003</v>
      </c>
      <c r="V490" s="253">
        <v>47.050335570000001</v>
      </c>
      <c r="W490" s="253"/>
      <c r="X490" s="253"/>
      <c r="Y490" s="253">
        <v>50.812887240000002</v>
      </c>
      <c r="Z490" s="253">
        <v>61.347222219999999</v>
      </c>
      <c r="AA490" s="253"/>
      <c r="AB490" s="253"/>
      <c r="AC490" s="253"/>
      <c r="AD490" s="253"/>
      <c r="AE490" s="253"/>
    </row>
    <row r="491" spans="1:31">
      <c r="A491" s="33">
        <v>490</v>
      </c>
      <c r="B491" s="69" t="s">
        <v>2197</v>
      </c>
      <c r="C491" s="69" t="s">
        <v>1232</v>
      </c>
      <c r="D491" s="56">
        <v>42152</v>
      </c>
      <c r="F491" s="56"/>
      <c r="G491" s="69" t="str">
        <f t="shared" si="7"/>
        <v>ERROR</v>
      </c>
      <c r="H491" s="83" t="s">
        <v>2198</v>
      </c>
      <c r="I491" s="83"/>
      <c r="J491" s="69" t="s">
        <v>2197</v>
      </c>
      <c r="K491" s="69" t="s">
        <v>2197</v>
      </c>
      <c r="L491" s="253">
        <v>46.532039823999995</v>
      </c>
      <c r="M491" s="253">
        <v>46.606986790212765</v>
      </c>
      <c r="N491" s="253">
        <v>47.019549070402924</v>
      </c>
      <c r="O491" s="253">
        <v>45.511434356315782</v>
      </c>
      <c r="P491" s="253">
        <v>45.021028039999997</v>
      </c>
      <c r="Q491" s="253">
        <v>54.617499999999993</v>
      </c>
      <c r="R491" s="253">
        <v>47.00326149</v>
      </c>
      <c r="S491" s="253">
        <v>37.309368190000001</v>
      </c>
      <c r="T491" s="253"/>
      <c r="U491" s="253">
        <v>43.602150539999997</v>
      </c>
      <c r="V491" s="253"/>
      <c r="W491" s="253"/>
      <c r="X491" s="253">
        <v>45.128205128205131</v>
      </c>
      <c r="Y491" s="253">
        <v>41.590342679999999</v>
      </c>
      <c r="Z491" s="253">
        <v>52.576086959999998</v>
      </c>
      <c r="AA491" s="253"/>
      <c r="AB491" s="253"/>
      <c r="AC491" s="253"/>
      <c r="AD491" s="253"/>
      <c r="AE491" s="253"/>
    </row>
    <row r="492" spans="1:31">
      <c r="A492" s="33">
        <v>491</v>
      </c>
      <c r="B492" s="69" t="s">
        <v>2197</v>
      </c>
      <c r="C492" s="69" t="s">
        <v>1232</v>
      </c>
      <c r="D492" s="56">
        <v>42152</v>
      </c>
      <c r="F492" s="56"/>
      <c r="G492" s="69" t="str">
        <f t="shared" si="7"/>
        <v>ERROR</v>
      </c>
      <c r="H492" s="83" t="s">
        <v>2198</v>
      </c>
      <c r="I492" s="83"/>
      <c r="J492" s="69" t="s">
        <v>2197</v>
      </c>
      <c r="K492" s="69" t="s">
        <v>2199</v>
      </c>
      <c r="L492" s="253">
        <v>58.525680434000002</v>
      </c>
      <c r="M492" s="253">
        <v>55.886915744553185</v>
      </c>
      <c r="N492" s="253">
        <v>50.550961237128199</v>
      </c>
      <c r="O492" s="253">
        <v>56.343659611263163</v>
      </c>
      <c r="P492" s="253">
        <v>56.674396140000006</v>
      </c>
      <c r="Q492" s="253">
        <v>62.773818184000007</v>
      </c>
      <c r="R492" s="253">
        <v>56.823506520000002</v>
      </c>
      <c r="S492" s="253">
        <v>47.803523040000002</v>
      </c>
      <c r="T492" s="253"/>
      <c r="U492" s="253">
        <v>49.709677419999998</v>
      </c>
      <c r="V492" s="253"/>
      <c r="W492" s="253"/>
      <c r="X492" s="253">
        <v>44.358974358974358</v>
      </c>
      <c r="Y492" s="253">
        <v>51.665109029999996</v>
      </c>
      <c r="Z492" s="253">
        <v>65.930817610000005</v>
      </c>
      <c r="AA492" s="253"/>
      <c r="AB492" s="253"/>
      <c r="AC492" s="253"/>
      <c r="AD492" s="253"/>
      <c r="AE492" s="253"/>
    </row>
    <row r="493" spans="1:31">
      <c r="A493" s="33">
        <v>492</v>
      </c>
      <c r="B493" s="69" t="s">
        <v>2197</v>
      </c>
      <c r="C493" s="69" t="s">
        <v>1232</v>
      </c>
      <c r="D493" s="56">
        <v>42152</v>
      </c>
      <c r="F493" s="56"/>
      <c r="G493" s="69" t="str">
        <f t="shared" si="7"/>
        <v>ERROR</v>
      </c>
      <c r="H493" s="83" t="s">
        <v>2198</v>
      </c>
      <c r="I493" s="83"/>
      <c r="J493" s="69" t="s">
        <v>2197</v>
      </c>
      <c r="K493" s="69" t="s">
        <v>2200</v>
      </c>
      <c r="L493" s="253">
        <v>41.806971090000005</v>
      </c>
      <c r="M493" s="253">
        <v>44.396692462340425</v>
      </c>
      <c r="N493" s="253">
        <v>50.256002109743577</v>
      </c>
      <c r="O493" s="253">
        <v>49.878995598421056</v>
      </c>
      <c r="P493" s="253">
        <v>38.086635940000001</v>
      </c>
      <c r="Q493" s="253">
        <v>59.119499999999988</v>
      </c>
      <c r="R493" s="253">
        <v>43.772154819999997</v>
      </c>
      <c r="S493" s="253">
        <v>31.349442379999996</v>
      </c>
      <c r="T493" s="253"/>
      <c r="U493" s="253">
        <v>38.494623659999995</v>
      </c>
      <c r="V493" s="253"/>
      <c r="W493" s="253"/>
      <c r="X493" s="253">
        <v>51.282051282051277</v>
      </c>
      <c r="Y493" s="253">
        <v>48.624610589999996</v>
      </c>
      <c r="Z493" s="253">
        <v>56.688311690000006</v>
      </c>
      <c r="AA493" s="253"/>
      <c r="AB493" s="253"/>
      <c r="AC493" s="253"/>
      <c r="AD493" s="253"/>
      <c r="AE493" s="253"/>
    </row>
    <row r="494" spans="1:31">
      <c r="A494" s="33">
        <v>493</v>
      </c>
      <c r="B494" s="69" t="s">
        <v>2197</v>
      </c>
      <c r="C494" s="69" t="s">
        <v>1232</v>
      </c>
      <c r="D494" s="56">
        <v>42152</v>
      </c>
      <c r="F494" s="56"/>
      <c r="G494" s="69" t="str">
        <f t="shared" si="7"/>
        <v>ERROR</v>
      </c>
      <c r="H494" s="83" t="s">
        <v>2198</v>
      </c>
      <c r="I494" s="83"/>
      <c r="J494" s="69" t="s">
        <v>2197</v>
      </c>
      <c r="K494" s="69" t="s">
        <v>2201</v>
      </c>
      <c r="L494" s="253">
        <v>55.197235022000001</v>
      </c>
      <c r="M494" s="253">
        <v>57.540901101063831</v>
      </c>
      <c r="N494" s="253">
        <v>57.877848613699634</v>
      </c>
      <c r="O494" s="253">
        <v>53.114055737368425</v>
      </c>
      <c r="P494" s="253">
        <v>52.889400919999993</v>
      </c>
      <c r="Q494" s="253">
        <v>65.997500000000002</v>
      </c>
      <c r="R494" s="253">
        <v>60.85577142999999</v>
      </c>
      <c r="S494" s="253">
        <v>48.769987700000001</v>
      </c>
      <c r="T494" s="253"/>
      <c r="U494" s="253">
        <v>47.655913979999994</v>
      </c>
      <c r="V494" s="253"/>
      <c r="W494" s="253"/>
      <c r="X494" s="253">
        <v>54.358974358974351</v>
      </c>
      <c r="Y494" s="253">
        <v>45.054517130000001</v>
      </c>
      <c r="Z494" s="253">
        <v>64.428571430000005</v>
      </c>
      <c r="AA494" s="253"/>
      <c r="AB494" s="253"/>
      <c r="AC494" s="253"/>
      <c r="AD494" s="253"/>
      <c r="AE494" s="253"/>
    </row>
    <row r="495" spans="1:31">
      <c r="A495" s="33">
        <v>494</v>
      </c>
      <c r="B495" s="69" t="s">
        <v>2197</v>
      </c>
      <c r="C495" s="69" t="s">
        <v>1232</v>
      </c>
      <c r="D495" s="56">
        <v>42152</v>
      </c>
      <c r="F495" s="56"/>
      <c r="G495" s="69" t="str">
        <f t="shared" si="7"/>
        <v>ERROR</v>
      </c>
      <c r="H495" s="83" t="s">
        <v>2198</v>
      </c>
      <c r="I495" s="83"/>
      <c r="J495" s="69" t="s">
        <v>2197</v>
      </c>
      <c r="K495" s="69" t="s">
        <v>2202</v>
      </c>
      <c r="L495" s="253">
        <v>28.619565216000002</v>
      </c>
      <c r="M495" s="253">
        <v>38.838430389787234</v>
      </c>
      <c r="N495" s="253">
        <v>45.048966618974362</v>
      </c>
      <c r="O495" s="253">
        <v>37.765066170526318</v>
      </c>
      <c r="P495" s="253">
        <v>29.524456520000001</v>
      </c>
      <c r="Q495" s="253">
        <v>44.14</v>
      </c>
      <c r="R495" s="253">
        <v>45.344972910000003</v>
      </c>
      <c r="S495" s="253">
        <v>31.80288462</v>
      </c>
      <c r="T495" s="253"/>
      <c r="U495" s="253">
        <v>33.784946240000004</v>
      </c>
      <c r="V495" s="253"/>
      <c r="W495" s="253"/>
      <c r="X495" s="253">
        <v>45.128205128205131</v>
      </c>
      <c r="Y495" s="253">
        <v>42.590342679999999</v>
      </c>
      <c r="Z495" s="253"/>
      <c r="AA495" s="253"/>
      <c r="AB495" s="253"/>
      <c r="AC495" s="253"/>
      <c r="AD495" s="253"/>
      <c r="AE495" s="253"/>
    </row>
    <row r="496" spans="1:31">
      <c r="A496" s="33">
        <v>495</v>
      </c>
      <c r="B496" s="69" t="s">
        <v>2184</v>
      </c>
      <c r="C496" s="69" t="s">
        <v>1639</v>
      </c>
      <c r="D496" s="56">
        <v>42160</v>
      </c>
      <c r="E496" s="266"/>
      <c r="F496" s="56"/>
      <c r="G496" s="69" t="str">
        <f t="shared" si="7"/>
        <v>User Registration</v>
      </c>
      <c r="H496" s="69" t="s">
        <v>749</v>
      </c>
      <c r="J496" s="69" t="s">
        <v>2184</v>
      </c>
      <c r="K496" s="151" t="s">
        <v>2185</v>
      </c>
      <c r="L496" s="253">
        <v>57.600000000000009</v>
      </c>
      <c r="M496" s="253">
        <v>61.191489361702125</v>
      </c>
      <c r="N496" s="253">
        <v>68.121951219512198</v>
      </c>
      <c r="O496" s="253">
        <v>74.84210526315789</v>
      </c>
      <c r="P496" s="253"/>
      <c r="Q496" s="253">
        <v>83</v>
      </c>
      <c r="R496" s="253">
        <v>57.999999999999993</v>
      </c>
      <c r="S496" s="253">
        <v>53</v>
      </c>
      <c r="T496" s="253"/>
      <c r="U496" s="253">
        <v>52</v>
      </c>
      <c r="V496" s="253"/>
      <c r="W496" s="253">
        <v>63</v>
      </c>
      <c r="X496" s="253">
        <v>78</v>
      </c>
      <c r="Y496" s="253"/>
      <c r="Z496" s="253">
        <v>76</v>
      </c>
      <c r="AA496" s="253"/>
      <c r="AB496" s="253"/>
      <c r="AC496" s="253"/>
      <c r="AD496" s="253"/>
      <c r="AE496" s="253"/>
    </row>
    <row r="497" spans="1:31">
      <c r="A497" s="33">
        <v>496</v>
      </c>
      <c r="B497" s="69" t="s">
        <v>2164</v>
      </c>
      <c r="C497" s="69" t="s">
        <v>1232</v>
      </c>
      <c r="D497" s="56">
        <v>42160</v>
      </c>
      <c r="E497" s="266"/>
      <c r="F497" s="56"/>
      <c r="G497" s="69" t="str">
        <f t="shared" si="7"/>
        <v>User Registration</v>
      </c>
      <c r="H497" s="83" t="s">
        <v>2165</v>
      </c>
      <c r="I497" s="83"/>
      <c r="J497" s="69" t="s">
        <v>2164</v>
      </c>
      <c r="K497" s="69" t="s">
        <v>1635</v>
      </c>
      <c r="L497" s="253">
        <v>60.050599077999998</v>
      </c>
      <c r="M497" s="253">
        <v>61.168699913404254</v>
      </c>
      <c r="N497" s="253">
        <v>67.461922564137936</v>
      </c>
      <c r="O497" s="253">
        <v>62.598835178947361</v>
      </c>
      <c r="P497" s="253">
        <v>62.581105989999998</v>
      </c>
      <c r="Q497" s="253">
        <v>69.575000000000003</v>
      </c>
      <c r="R497" s="253">
        <v>63.434289060000005</v>
      </c>
      <c r="S497" s="253">
        <v>54.093480930000005</v>
      </c>
      <c r="T497" s="253"/>
      <c r="U497" s="253">
        <v>61.458937199999994</v>
      </c>
      <c r="V497" s="253"/>
      <c r="W497" s="253">
        <v>68.353251</v>
      </c>
      <c r="X497" s="253"/>
      <c r="Y497" s="253">
        <v>68.919795219999997</v>
      </c>
      <c r="Z497" s="253">
        <v>49.928571429999998</v>
      </c>
      <c r="AA497" s="253"/>
      <c r="AB497" s="253"/>
      <c r="AC497" s="253"/>
      <c r="AD497" s="253"/>
      <c r="AE497" s="253"/>
    </row>
    <row r="498" spans="1:31">
      <c r="A498" s="33">
        <v>497</v>
      </c>
      <c r="B498" s="31" t="s">
        <v>2166</v>
      </c>
      <c r="C498" s="69" t="s">
        <v>1232</v>
      </c>
      <c r="D498" s="56">
        <v>42160</v>
      </c>
      <c r="E498" s="266"/>
      <c r="F498" s="56"/>
      <c r="G498" s="69" t="str">
        <f t="shared" si="7"/>
        <v>User Registration</v>
      </c>
      <c r="H498" s="83" t="s">
        <v>2167</v>
      </c>
      <c r="I498" s="83"/>
      <c r="J498" s="31" t="s">
        <v>2166</v>
      </c>
      <c r="K498" s="31" t="s">
        <v>1635</v>
      </c>
      <c r="L498" s="253">
        <v>60.050599077999998</v>
      </c>
      <c r="M498" s="253">
        <v>61.168699913404254</v>
      </c>
      <c r="N498" s="253">
        <v>67.461922564137936</v>
      </c>
      <c r="O498" s="253">
        <v>62.598835178947361</v>
      </c>
      <c r="P498" s="253">
        <v>62.581105989999998</v>
      </c>
      <c r="Q498" s="253">
        <v>69.575000000000003</v>
      </c>
      <c r="R498" s="253">
        <v>63.434289060000005</v>
      </c>
      <c r="S498" s="253">
        <v>54.093480930000005</v>
      </c>
      <c r="T498" s="253"/>
      <c r="U498" s="253">
        <v>61.458937199999994</v>
      </c>
      <c r="V498" s="253"/>
      <c r="W498" s="253">
        <v>68.353251</v>
      </c>
      <c r="X498" s="253"/>
      <c r="Y498" s="253">
        <v>68.919795219999997</v>
      </c>
      <c r="Z498" s="253">
        <v>49.928571429999998</v>
      </c>
      <c r="AA498" s="253"/>
      <c r="AB498" s="253"/>
      <c r="AC498" s="253"/>
      <c r="AD498" s="253"/>
      <c r="AE498" s="253"/>
    </row>
    <row r="499" spans="1:31">
      <c r="A499" s="33">
        <v>498</v>
      </c>
      <c r="B499" s="69" t="s">
        <v>2184</v>
      </c>
      <c r="C499" s="69" t="s">
        <v>1639</v>
      </c>
      <c r="D499" s="56">
        <v>42160</v>
      </c>
      <c r="E499" s="266"/>
      <c r="F499" s="56"/>
      <c r="G499" s="69" t="str">
        <f t="shared" si="7"/>
        <v>User Registration</v>
      </c>
      <c r="H499" s="69" t="s">
        <v>749</v>
      </c>
      <c r="J499" s="69" t="s">
        <v>2184</v>
      </c>
      <c r="K499" s="89" t="s">
        <v>2186</v>
      </c>
      <c r="L499" s="253">
        <v>52.991499153999996</v>
      </c>
      <c r="M499" s="253">
        <v>53.870120648297878</v>
      </c>
      <c r="N499" s="253">
        <v>56.000000000000007</v>
      </c>
      <c r="O499" s="253">
        <v>60.24586612736843</v>
      </c>
      <c r="P499" s="253"/>
      <c r="Q499" s="253">
        <v>68.978102190000001</v>
      </c>
      <c r="R499" s="253">
        <v>52.851851849999996</v>
      </c>
      <c r="S499" s="253">
        <v>45.94895288</v>
      </c>
      <c r="T499" s="253"/>
      <c r="U499" s="253">
        <v>49.125560540000002</v>
      </c>
      <c r="V499" s="253"/>
      <c r="W499" s="253">
        <v>44</v>
      </c>
      <c r="X499" s="253">
        <v>75</v>
      </c>
      <c r="Y499" s="253"/>
      <c r="Z499" s="253">
        <v>58.808139530000005</v>
      </c>
      <c r="AA499" s="253"/>
      <c r="AB499" s="253"/>
      <c r="AC499" s="253"/>
      <c r="AD499" s="253"/>
      <c r="AE499" s="253"/>
    </row>
    <row r="500" spans="1:31">
      <c r="A500" s="33">
        <v>499</v>
      </c>
      <c r="B500" s="69" t="s">
        <v>2184</v>
      </c>
      <c r="C500" s="69" t="s">
        <v>1639</v>
      </c>
      <c r="D500" s="56">
        <v>42160</v>
      </c>
      <c r="G500" s="69" t="str">
        <f t="shared" si="7"/>
        <v>User Registration</v>
      </c>
      <c r="H500" s="69" t="s">
        <v>749</v>
      </c>
      <c r="J500" s="69" t="s">
        <v>2184</v>
      </c>
      <c r="K500" s="69" t="s">
        <v>2187</v>
      </c>
      <c r="L500" s="253">
        <v>64.782589080000008</v>
      </c>
      <c r="M500" s="253">
        <v>63.286107783404255</v>
      </c>
      <c r="N500" s="253">
        <v>58.840859299999991</v>
      </c>
      <c r="O500" s="253">
        <v>74.646430682105262</v>
      </c>
      <c r="P500" s="253"/>
      <c r="Q500" s="253">
        <v>66.131386860000006</v>
      </c>
      <c r="R500" s="253">
        <v>62.34684511999999</v>
      </c>
      <c r="S500" s="253">
        <v>61.679738559999997</v>
      </c>
      <c r="T500" s="253"/>
      <c r="U500" s="253">
        <v>62.866666670000001</v>
      </c>
      <c r="V500" s="253"/>
      <c r="W500" s="253">
        <v>53</v>
      </c>
      <c r="X500" s="253">
        <v>65</v>
      </c>
      <c r="Y500" s="253"/>
      <c r="Z500" s="253">
        <v>66.395348839999997</v>
      </c>
      <c r="AA500" s="253"/>
      <c r="AB500" s="253"/>
      <c r="AC500" s="253"/>
      <c r="AD500" s="253"/>
      <c r="AE500" s="253"/>
    </row>
    <row r="501" spans="1:31">
      <c r="A501" s="33">
        <v>500</v>
      </c>
      <c r="B501" s="69" t="s">
        <v>2184</v>
      </c>
      <c r="C501" s="69" t="s">
        <v>1639</v>
      </c>
      <c r="D501" s="56">
        <v>42160</v>
      </c>
      <c r="G501" s="69" t="str">
        <f t="shared" si="7"/>
        <v>User Registration</v>
      </c>
      <c r="H501" s="69" t="s">
        <v>749</v>
      </c>
      <c r="J501" s="69" t="s">
        <v>2184</v>
      </c>
      <c r="K501" s="69" t="s">
        <v>2188</v>
      </c>
      <c r="L501" s="253">
        <v>57.999999999999993</v>
      </c>
      <c r="M501" s="253">
        <v>56.085106382978729</v>
      </c>
      <c r="N501" s="253">
        <v>56.439024390243908</v>
      </c>
      <c r="O501" s="253">
        <v>69.15789473684211</v>
      </c>
      <c r="P501" s="253"/>
      <c r="Q501" s="253">
        <v>66</v>
      </c>
      <c r="R501" s="253">
        <v>54</v>
      </c>
      <c r="S501" s="253">
        <v>50</v>
      </c>
      <c r="T501" s="253"/>
      <c r="U501" s="253">
        <v>51</v>
      </c>
      <c r="V501" s="253"/>
      <c r="W501" s="253">
        <v>58.999999999999993</v>
      </c>
      <c r="X501" s="253">
        <v>51</v>
      </c>
      <c r="Y501" s="253"/>
      <c r="Z501" s="253">
        <v>70</v>
      </c>
      <c r="AA501" s="253"/>
      <c r="AB501" s="253"/>
      <c r="AC501" s="253"/>
      <c r="AD501" s="253"/>
      <c r="AE501" s="253"/>
    </row>
    <row r="502" spans="1:31">
      <c r="A502" s="33">
        <v>501</v>
      </c>
      <c r="B502" s="69" t="s">
        <v>2164</v>
      </c>
      <c r="C502" s="69" t="s">
        <v>1232</v>
      </c>
      <c r="D502" s="56">
        <v>42160</v>
      </c>
      <c r="G502" s="69" t="str">
        <f t="shared" si="7"/>
        <v>User Registration</v>
      </c>
      <c r="H502" s="69" t="s">
        <v>2165</v>
      </c>
      <c r="J502" s="69" t="s">
        <v>2164</v>
      </c>
      <c r="K502" s="69" t="s">
        <v>2123</v>
      </c>
      <c r="L502" s="253">
        <v>52.43151086000001</v>
      </c>
      <c r="M502" s="253">
        <v>56.21713138851063</v>
      </c>
      <c r="N502" s="253">
        <v>58.493358979999996</v>
      </c>
      <c r="O502" s="253">
        <v>57.073452465789465</v>
      </c>
      <c r="P502" s="253">
        <v>54.145348839999997</v>
      </c>
      <c r="Q502" s="253">
        <v>65.712499999999991</v>
      </c>
      <c r="R502" s="253">
        <v>57.719910070000005</v>
      </c>
      <c r="S502" s="253">
        <v>56.889575609999994</v>
      </c>
      <c r="T502" s="253"/>
      <c r="U502" s="253">
        <v>52.431372549999999</v>
      </c>
      <c r="V502" s="253"/>
      <c r="W502" s="253">
        <v>57.642522500000005</v>
      </c>
      <c r="X502" s="253"/>
      <c r="Y502" s="253">
        <v>61.847290639999997</v>
      </c>
      <c r="Z502" s="253">
        <v>45.576158939999999</v>
      </c>
      <c r="AA502" s="253"/>
      <c r="AB502" s="253"/>
      <c r="AC502" s="253"/>
      <c r="AD502" s="253"/>
      <c r="AE502" s="253"/>
    </row>
    <row r="503" spans="1:31">
      <c r="A503" s="33">
        <v>502</v>
      </c>
      <c r="B503" s="69" t="s">
        <v>2166</v>
      </c>
      <c r="C503" s="69" t="s">
        <v>1232</v>
      </c>
      <c r="D503" s="56">
        <v>42160</v>
      </c>
      <c r="G503" s="69" t="str">
        <f t="shared" si="7"/>
        <v>User Registration</v>
      </c>
      <c r="H503" s="69" t="s">
        <v>2167</v>
      </c>
      <c r="J503" s="69" t="s">
        <v>2166</v>
      </c>
      <c r="K503" s="69" t="s">
        <v>2123</v>
      </c>
      <c r="L503" s="253">
        <v>52.43151086000001</v>
      </c>
      <c r="M503" s="253">
        <v>56.21713138851063</v>
      </c>
      <c r="N503" s="253">
        <v>58.493358979999996</v>
      </c>
      <c r="O503" s="253">
        <v>57.073452465789465</v>
      </c>
      <c r="P503" s="253">
        <v>54.145348839999997</v>
      </c>
      <c r="Q503" s="253">
        <v>65.712499999999991</v>
      </c>
      <c r="R503" s="253">
        <v>57.719910070000005</v>
      </c>
      <c r="S503" s="253">
        <v>56.889575609999994</v>
      </c>
      <c r="T503" s="253"/>
      <c r="U503" s="253">
        <v>52.431372549999999</v>
      </c>
      <c r="V503" s="253"/>
      <c r="W503" s="253">
        <v>57.642522500000005</v>
      </c>
      <c r="X503" s="253"/>
      <c r="Y503" s="253">
        <v>61.847290639999997</v>
      </c>
      <c r="Z503" s="253">
        <v>45.576158939999999</v>
      </c>
      <c r="AA503" s="253"/>
      <c r="AB503" s="253"/>
      <c r="AC503" s="253"/>
      <c r="AD503" s="253"/>
      <c r="AE503" s="253"/>
    </row>
    <row r="504" spans="1:31">
      <c r="A504" s="33">
        <v>503</v>
      </c>
      <c r="B504" s="69" t="s">
        <v>2184</v>
      </c>
      <c r="C504" s="69" t="s">
        <v>1639</v>
      </c>
      <c r="D504" s="56">
        <v>42160</v>
      </c>
      <c r="G504" s="69" t="str">
        <f t="shared" si="7"/>
        <v>User Registration</v>
      </c>
      <c r="H504" s="69" t="s">
        <v>749</v>
      </c>
      <c r="J504" s="69" t="s">
        <v>2184</v>
      </c>
      <c r="K504" s="69" t="s">
        <v>373</v>
      </c>
      <c r="L504" s="253">
        <v>64.126564480000013</v>
      </c>
      <c r="M504" s="253">
        <v>60.318276303404247</v>
      </c>
      <c r="N504" s="253">
        <v>72.468402980243908</v>
      </c>
      <c r="O504" s="253">
        <v>72.680881488421065</v>
      </c>
      <c r="P504" s="253"/>
      <c r="Q504" s="253">
        <v>61.094890509999999</v>
      </c>
      <c r="R504" s="253">
        <v>59.319975110000001</v>
      </c>
      <c r="S504" s="253">
        <v>63.00653595</v>
      </c>
      <c r="T504" s="253"/>
      <c r="U504" s="253">
        <v>60.633187769999992</v>
      </c>
      <c r="V504" s="253"/>
      <c r="W504" s="253">
        <v>76</v>
      </c>
      <c r="X504" s="253">
        <v>76</v>
      </c>
      <c r="Y504" s="253"/>
      <c r="Z504" s="253">
        <v>59.52380952</v>
      </c>
      <c r="AA504" s="253"/>
      <c r="AB504" s="253"/>
      <c r="AC504" s="253"/>
      <c r="AD504" s="253"/>
      <c r="AE504" s="253"/>
    </row>
    <row r="505" spans="1:31">
      <c r="A505" s="33">
        <v>504</v>
      </c>
      <c r="B505" s="69" t="s">
        <v>2184</v>
      </c>
      <c r="C505" s="69" t="s">
        <v>1639</v>
      </c>
      <c r="D505" s="56">
        <v>42160</v>
      </c>
      <c r="F505" s="56"/>
      <c r="G505" s="69" t="str">
        <f t="shared" si="7"/>
        <v>User Registration</v>
      </c>
      <c r="H505" s="69" t="s">
        <v>749</v>
      </c>
      <c r="J505" s="69" t="s">
        <v>2184</v>
      </c>
      <c r="K505" s="89" t="s">
        <v>2189</v>
      </c>
      <c r="L505" s="253">
        <v>41.86386916</v>
      </c>
      <c r="M505" s="253">
        <v>47.945809722978723</v>
      </c>
      <c r="N505" s="253">
        <v>48</v>
      </c>
      <c r="O505" s="253">
        <v>58.298820754210531</v>
      </c>
      <c r="P505" s="253"/>
      <c r="Q505" s="253">
        <v>57.999999999999993</v>
      </c>
      <c r="R505" s="253">
        <v>48.300264199999994</v>
      </c>
      <c r="S505" s="253">
        <v>41.58526603</v>
      </c>
      <c r="T505" s="253"/>
      <c r="U505" s="253">
        <v>49.429223739999998</v>
      </c>
      <c r="V505" s="253"/>
      <c r="W505" s="253">
        <v>45</v>
      </c>
      <c r="X505" s="253">
        <v>50</v>
      </c>
      <c r="Y505" s="253"/>
      <c r="Z505" s="253">
        <v>39.128787879999997</v>
      </c>
      <c r="AA505" s="253"/>
      <c r="AB505" s="253"/>
      <c r="AC505" s="253"/>
      <c r="AD505" s="253"/>
      <c r="AE505" s="253"/>
    </row>
    <row r="506" spans="1:31">
      <c r="A506" s="33">
        <v>505</v>
      </c>
      <c r="B506" s="69" t="s">
        <v>2164</v>
      </c>
      <c r="C506" s="69" t="s">
        <v>1232</v>
      </c>
      <c r="D506" s="56">
        <v>42160</v>
      </c>
      <c r="F506" s="56"/>
      <c r="G506" s="69" t="str">
        <f t="shared" si="7"/>
        <v>User Registration</v>
      </c>
      <c r="H506" s="83" t="s">
        <v>2165</v>
      </c>
      <c r="I506" s="83"/>
      <c r="J506" s="69" t="s">
        <v>2164</v>
      </c>
      <c r="K506" s="69" t="s">
        <v>369</v>
      </c>
      <c r="L506" s="253">
        <v>72.2</v>
      </c>
      <c r="M506" s="253">
        <v>59.382978723404257</v>
      </c>
      <c r="N506" s="253">
        <v>62.827586206896548</v>
      </c>
      <c r="O506" s="253">
        <v>70.05263157894737</v>
      </c>
      <c r="P506" s="253">
        <v>71</v>
      </c>
      <c r="Q506" s="253">
        <v>54</v>
      </c>
      <c r="R506" s="253">
        <v>60</v>
      </c>
      <c r="S506" s="253">
        <v>62</v>
      </c>
      <c r="T506" s="253"/>
      <c r="U506" s="253">
        <v>51</v>
      </c>
      <c r="V506" s="253"/>
      <c r="W506" s="253">
        <v>65</v>
      </c>
      <c r="X506" s="253"/>
      <c r="Y506" s="253">
        <v>71</v>
      </c>
      <c r="Z506" s="253">
        <v>77</v>
      </c>
      <c r="AA506" s="253"/>
      <c r="AB506" s="253"/>
      <c r="AC506" s="253"/>
      <c r="AD506" s="253"/>
      <c r="AE506" s="253"/>
    </row>
    <row r="507" spans="1:31">
      <c r="A507" s="33">
        <v>506</v>
      </c>
      <c r="B507" s="69" t="s">
        <v>2190</v>
      </c>
      <c r="C507" s="69" t="s">
        <v>1639</v>
      </c>
      <c r="D507" s="56">
        <v>42160</v>
      </c>
      <c r="F507" s="56"/>
      <c r="G507" s="69" t="str">
        <f t="shared" si="7"/>
        <v>ERROR</v>
      </c>
      <c r="H507" s="83" t="s">
        <v>2191</v>
      </c>
      <c r="I507" s="83"/>
      <c r="J507" s="69" t="s">
        <v>2192</v>
      </c>
      <c r="K507" s="69" t="s">
        <v>2192</v>
      </c>
      <c r="L507" s="253">
        <v>45.519156746</v>
      </c>
      <c r="M507" s="253">
        <v>50.593778798085111</v>
      </c>
      <c r="N507" s="253">
        <v>60.13087850486486</v>
      </c>
      <c r="O507" s="253">
        <v>46.948646369473686</v>
      </c>
      <c r="P507" s="253">
        <v>41.670958509999998</v>
      </c>
      <c r="Q507" s="253">
        <v>53.5</v>
      </c>
      <c r="R507" s="253">
        <v>51.209814379999997</v>
      </c>
      <c r="S507" s="253">
        <v>47.417177909999999</v>
      </c>
      <c r="T507" s="253"/>
      <c r="U507" s="253">
        <v>44.364849999999997</v>
      </c>
      <c r="V507" s="253"/>
      <c r="W507" s="253"/>
      <c r="X507" s="253"/>
      <c r="Y507" s="253"/>
      <c r="Z507" s="253">
        <v>60.91194969</v>
      </c>
      <c r="AA507" s="253"/>
      <c r="AB507" s="253"/>
      <c r="AC507" s="253"/>
      <c r="AD507" s="253"/>
      <c r="AE507" s="253"/>
    </row>
    <row r="508" spans="1:31">
      <c r="A508" s="33">
        <v>507</v>
      </c>
      <c r="B508" s="69" t="s">
        <v>2190</v>
      </c>
      <c r="C508" s="69" t="s">
        <v>1639</v>
      </c>
      <c r="D508" s="56">
        <v>42160</v>
      </c>
      <c r="F508" s="56"/>
      <c r="G508" s="69" t="str">
        <f t="shared" si="7"/>
        <v>ERROR</v>
      </c>
      <c r="H508" s="83" t="s">
        <v>2191</v>
      </c>
      <c r="I508" s="83"/>
      <c r="J508" s="69" t="s">
        <v>2192</v>
      </c>
      <c r="K508" s="89" t="s">
        <v>2193</v>
      </c>
      <c r="L508" s="253">
        <v>56.586287683999998</v>
      </c>
      <c r="M508" s="253">
        <v>64.816757428085111</v>
      </c>
      <c r="N508" s="253">
        <v>64.295524275675675</v>
      </c>
      <c r="O508" s="253">
        <v>63.653276914210522</v>
      </c>
      <c r="P508" s="253">
        <v>56.847639479999998</v>
      </c>
      <c r="Q508" s="253">
        <v>80.5</v>
      </c>
      <c r="R508" s="253">
        <v>63.572399699999991</v>
      </c>
      <c r="S508" s="253">
        <v>64.226993870000001</v>
      </c>
      <c r="T508" s="253"/>
      <c r="U508" s="253">
        <v>62.887323940000002</v>
      </c>
      <c r="V508" s="253"/>
      <c r="W508" s="253"/>
      <c r="X508" s="253"/>
      <c r="Y508" s="253"/>
      <c r="Z508" s="253">
        <v>55.5408805</v>
      </c>
      <c r="AA508" s="253"/>
      <c r="AB508" s="253"/>
      <c r="AC508" s="253"/>
      <c r="AD508" s="253"/>
      <c r="AE508" s="253"/>
    </row>
    <row r="509" spans="1:31">
      <c r="A509" s="33">
        <v>508</v>
      </c>
      <c r="B509" s="69" t="s">
        <v>2190</v>
      </c>
      <c r="C509" s="69" t="s">
        <v>1639</v>
      </c>
      <c r="D509" s="56">
        <v>42160</v>
      </c>
      <c r="F509" s="56"/>
      <c r="G509" s="69" t="str">
        <f t="shared" si="7"/>
        <v>ERROR</v>
      </c>
      <c r="H509" s="83" t="s">
        <v>2191</v>
      </c>
      <c r="I509" s="83"/>
      <c r="J509" s="69" t="s">
        <v>2192</v>
      </c>
      <c r="K509" s="89" t="s">
        <v>2194</v>
      </c>
      <c r="L509" s="253">
        <v>58.309323537999987</v>
      </c>
      <c r="M509" s="253">
        <v>54.696789575531909</v>
      </c>
      <c r="N509" s="253">
        <v>48.950491399999997</v>
      </c>
      <c r="O509" s="253">
        <v>61.485174686842093</v>
      </c>
      <c r="P509" s="253">
        <v>58.092261899999997</v>
      </c>
      <c r="Q509" s="253">
        <v>64.5</v>
      </c>
      <c r="R509" s="253">
        <v>56.27803029999999</v>
      </c>
      <c r="S509" s="253">
        <v>43.716775599999998</v>
      </c>
      <c r="T509" s="253"/>
      <c r="U509" s="253">
        <v>50</v>
      </c>
      <c r="V509" s="253"/>
      <c r="W509" s="253"/>
      <c r="X509" s="253"/>
      <c r="Y509" s="253"/>
      <c r="Z509" s="253">
        <v>59.177570089999996</v>
      </c>
      <c r="AA509" s="253"/>
      <c r="AB509" s="253"/>
      <c r="AC509" s="253"/>
      <c r="AD509" s="253"/>
      <c r="AE509" s="253"/>
    </row>
    <row r="510" spans="1:31">
      <c r="A510" s="33">
        <v>509</v>
      </c>
      <c r="B510" s="69" t="s">
        <v>2190</v>
      </c>
      <c r="C510" s="69" t="s">
        <v>1639</v>
      </c>
      <c r="D510" s="56">
        <v>42160</v>
      </c>
      <c r="F510" s="56"/>
      <c r="G510" s="69" t="str">
        <f t="shared" si="7"/>
        <v>ERROR</v>
      </c>
      <c r="H510" s="83" t="s">
        <v>2191</v>
      </c>
      <c r="I510" s="83"/>
      <c r="J510" s="69" t="s">
        <v>2192</v>
      </c>
      <c r="K510" s="89" t="s">
        <v>2195</v>
      </c>
      <c r="L510" s="253">
        <v>52.500990629999997</v>
      </c>
      <c r="M510" s="253">
        <v>59.179671047872347</v>
      </c>
      <c r="N510" s="253">
        <v>57.715909457837832</v>
      </c>
      <c r="O510" s="253">
        <v>50.561048367368421</v>
      </c>
      <c r="P510" s="253">
        <v>51.693848350000003</v>
      </c>
      <c r="Q510" s="253">
        <v>67</v>
      </c>
      <c r="R510" s="253">
        <v>54.414774990000005</v>
      </c>
      <c r="S510" s="253">
        <v>55.416873450000004</v>
      </c>
      <c r="T510" s="253"/>
      <c r="U510" s="253">
        <v>68</v>
      </c>
      <c r="V510" s="253"/>
      <c r="W510" s="253"/>
      <c r="X510" s="253"/>
      <c r="Y510" s="253"/>
      <c r="Z510" s="253">
        <v>55.72955975</v>
      </c>
      <c r="AA510" s="253"/>
      <c r="AB510" s="253"/>
      <c r="AC510" s="253"/>
      <c r="AD510" s="253"/>
      <c r="AE510" s="253"/>
    </row>
    <row r="511" spans="1:31">
      <c r="A511" s="33">
        <v>510</v>
      </c>
      <c r="B511" s="69" t="s">
        <v>2190</v>
      </c>
      <c r="C511" s="69" t="s">
        <v>1639</v>
      </c>
      <c r="D511" s="56">
        <v>42160</v>
      </c>
      <c r="F511" s="56"/>
      <c r="G511" s="69" t="str">
        <f t="shared" si="7"/>
        <v>ERROR</v>
      </c>
      <c r="H511" s="83" t="s">
        <v>2191</v>
      </c>
      <c r="I511" s="83"/>
      <c r="J511" s="69" t="s">
        <v>2192</v>
      </c>
      <c r="K511" s="89" t="s">
        <v>2196</v>
      </c>
      <c r="L511" s="253">
        <v>58.426737640000006</v>
      </c>
      <c r="M511" s="253">
        <v>57.290942449361694</v>
      </c>
      <c r="N511" s="253">
        <v>59.956756756216208</v>
      </c>
      <c r="O511" s="253">
        <v>52.499811093684208</v>
      </c>
      <c r="P511" s="253">
        <v>57.390804600000003</v>
      </c>
      <c r="Q511" s="253">
        <v>70</v>
      </c>
      <c r="R511" s="253">
        <v>54.733333330000001</v>
      </c>
      <c r="S511" s="253">
        <v>62.525879920000001</v>
      </c>
      <c r="T511" s="253"/>
      <c r="U511" s="253">
        <v>49</v>
      </c>
      <c r="V511" s="253"/>
      <c r="W511" s="253"/>
      <c r="X511" s="253"/>
      <c r="Y511" s="253"/>
      <c r="Z511" s="253">
        <v>62.570469799999991</v>
      </c>
      <c r="AA511" s="253"/>
      <c r="AB511" s="253"/>
      <c r="AC511" s="253"/>
      <c r="AD511" s="253"/>
      <c r="AE511" s="253"/>
    </row>
    <row r="512" spans="1:31">
      <c r="A512" s="33">
        <v>511</v>
      </c>
      <c r="B512" s="69" t="s">
        <v>2164</v>
      </c>
      <c r="C512" s="69" t="s">
        <v>1232</v>
      </c>
      <c r="D512" s="56">
        <v>42160</v>
      </c>
      <c r="F512" s="56"/>
      <c r="G512" s="69" t="str">
        <f t="shared" si="7"/>
        <v>User Registration</v>
      </c>
      <c r="H512" s="83" t="s">
        <v>2165</v>
      </c>
      <c r="I512" s="83"/>
      <c r="J512" s="69" t="s">
        <v>2164</v>
      </c>
      <c r="K512" s="69" t="s">
        <v>2168</v>
      </c>
      <c r="L512" s="253">
        <v>60.599999999999994</v>
      </c>
      <c r="M512" s="253">
        <v>55.553191489361708</v>
      </c>
      <c r="N512" s="253">
        <v>57.172413793103438</v>
      </c>
      <c r="O512" s="253">
        <v>60.473684210526301</v>
      </c>
      <c r="P512" s="253">
        <v>57.999999999999993</v>
      </c>
      <c r="Q512" s="253">
        <v>48</v>
      </c>
      <c r="R512" s="253">
        <v>58.999999999999993</v>
      </c>
      <c r="S512" s="253">
        <v>48</v>
      </c>
      <c r="T512" s="253"/>
      <c r="U512" s="253">
        <v>50</v>
      </c>
      <c r="V512" s="253"/>
      <c r="W512" s="253">
        <v>57.999999999999993</v>
      </c>
      <c r="X512" s="253"/>
      <c r="Y512" s="253">
        <v>57.999999999999993</v>
      </c>
      <c r="Z512" s="253">
        <v>71</v>
      </c>
      <c r="AA512" s="253"/>
      <c r="AB512" s="253"/>
      <c r="AC512" s="253"/>
      <c r="AD512" s="253"/>
      <c r="AE512" s="253"/>
    </row>
    <row r="513" spans="1:31">
      <c r="A513" s="33">
        <v>512</v>
      </c>
      <c r="B513" s="31" t="s">
        <v>2166</v>
      </c>
      <c r="C513" s="69" t="s">
        <v>1232</v>
      </c>
      <c r="D513" s="56">
        <v>42160</v>
      </c>
      <c r="F513" s="56"/>
      <c r="G513" s="69" t="str">
        <f t="shared" si="7"/>
        <v>User Registration</v>
      </c>
      <c r="H513" s="83" t="s">
        <v>2167</v>
      </c>
      <c r="I513" s="83"/>
      <c r="J513" s="31" t="s">
        <v>2166</v>
      </c>
      <c r="K513" s="31" t="s">
        <v>930</v>
      </c>
      <c r="L513" s="253">
        <v>57.334183434000003</v>
      </c>
      <c r="M513" s="253">
        <v>50.133083033829784</v>
      </c>
      <c r="N513" s="253">
        <v>52.257744704827587</v>
      </c>
      <c r="O513" s="253">
        <v>53.40947924842105</v>
      </c>
      <c r="P513" s="253">
        <v>58.549222800000003</v>
      </c>
      <c r="Q513" s="253">
        <v>47.037499999999994</v>
      </c>
      <c r="R513" s="253">
        <v>54.509682739999995</v>
      </c>
      <c r="S513" s="253">
        <v>45.340649290000002</v>
      </c>
      <c r="T513" s="253"/>
      <c r="U513" s="253">
        <v>44.942222219999998</v>
      </c>
      <c r="V513" s="253"/>
      <c r="W513" s="253">
        <v>52.365200000000002</v>
      </c>
      <c r="X513" s="253"/>
      <c r="Y513" s="253">
        <v>55.101246109999998</v>
      </c>
      <c r="Z513" s="253">
        <v>52.474025970000007</v>
      </c>
      <c r="AA513" s="253"/>
      <c r="AB513" s="253"/>
      <c r="AC513" s="253"/>
      <c r="AD513" s="253"/>
      <c r="AE513" s="253"/>
    </row>
    <row r="514" spans="1:31">
      <c r="A514" s="33">
        <v>513</v>
      </c>
      <c r="B514" s="31" t="s">
        <v>2166</v>
      </c>
      <c r="C514" s="69" t="s">
        <v>1232</v>
      </c>
      <c r="D514" s="56">
        <v>42160</v>
      </c>
      <c r="F514" s="56"/>
      <c r="G514" s="69" t="str">
        <f t="shared" ref="G514:G577" si="8">IF(V514&gt;0,IF(W514&gt;0,"Both","E-Commerce"),IF(W514=0, "ERROR","User Registration"))</f>
        <v>User Registration</v>
      </c>
      <c r="H514" s="83" t="s">
        <v>2167</v>
      </c>
      <c r="I514" s="83"/>
      <c r="J514" s="31" t="s">
        <v>2166</v>
      </c>
      <c r="K514" s="31" t="s">
        <v>2170</v>
      </c>
      <c r="L514" s="253">
        <v>51.729727272000005</v>
      </c>
      <c r="M514" s="253">
        <v>51.901850417872332</v>
      </c>
      <c r="N514" s="253">
        <v>48.750579407586201</v>
      </c>
      <c r="O514" s="253">
        <v>54.717066670000001</v>
      </c>
      <c r="P514" s="253">
        <v>52.946249999999992</v>
      </c>
      <c r="Q514" s="253">
        <v>43.137500000000003</v>
      </c>
      <c r="R514" s="253">
        <v>53.007050470000003</v>
      </c>
      <c r="S514" s="253">
        <v>54.851552390000002</v>
      </c>
      <c r="T514" s="253"/>
      <c r="U514" s="253">
        <v>55.699346409999997</v>
      </c>
      <c r="V514" s="253"/>
      <c r="W514" s="253">
        <v>48.315599999999996</v>
      </c>
      <c r="X514" s="253"/>
      <c r="Y514" s="253">
        <v>60.130293160000001</v>
      </c>
      <c r="Z514" s="253">
        <v>46.863636360000001</v>
      </c>
      <c r="AA514" s="253"/>
      <c r="AB514" s="253"/>
      <c r="AC514" s="253"/>
      <c r="AD514" s="253"/>
      <c r="AE514" s="253"/>
    </row>
    <row r="515" spans="1:31">
      <c r="A515" s="33">
        <v>514</v>
      </c>
      <c r="B515" s="69" t="s">
        <v>2184</v>
      </c>
      <c r="C515" s="69" t="s">
        <v>1639</v>
      </c>
      <c r="D515" s="56">
        <v>42160</v>
      </c>
      <c r="F515" s="56"/>
      <c r="G515" s="69" t="str">
        <f t="shared" si="8"/>
        <v>User Registration</v>
      </c>
      <c r="H515" s="69" t="s">
        <v>749</v>
      </c>
      <c r="J515" s="69" t="s">
        <v>2184</v>
      </c>
      <c r="K515" s="69" t="s">
        <v>2184</v>
      </c>
      <c r="L515" s="253">
        <v>46.4</v>
      </c>
      <c r="M515" s="253">
        <v>41.106382978723396</v>
      </c>
      <c r="N515" s="253">
        <v>46.243902439024389</v>
      </c>
      <c r="O515" s="253">
        <v>50.578947368421048</v>
      </c>
      <c r="P515" s="253"/>
      <c r="Q515" s="253">
        <v>36</v>
      </c>
      <c r="R515" s="253">
        <v>42</v>
      </c>
      <c r="S515" s="253">
        <v>41</v>
      </c>
      <c r="T515" s="253"/>
      <c r="U515" s="253">
        <v>33</v>
      </c>
      <c r="V515" s="253"/>
      <c r="W515" s="253">
        <v>48</v>
      </c>
      <c r="X515" s="253">
        <v>48</v>
      </c>
      <c r="Y515" s="253"/>
      <c r="Z515" s="253">
        <v>60</v>
      </c>
      <c r="AA515" s="253"/>
      <c r="AB515" s="253"/>
      <c r="AC515" s="253"/>
      <c r="AD515" s="253"/>
      <c r="AE515" s="253"/>
    </row>
    <row r="516" spans="1:31">
      <c r="A516" s="33">
        <v>515</v>
      </c>
      <c r="B516" s="69" t="s">
        <v>2164</v>
      </c>
      <c r="C516" s="69" t="s">
        <v>1232</v>
      </c>
      <c r="D516" s="56">
        <v>42160</v>
      </c>
      <c r="F516" s="56"/>
      <c r="G516" s="69" t="str">
        <f t="shared" si="8"/>
        <v>User Registration</v>
      </c>
      <c r="H516" s="83" t="s">
        <v>2165</v>
      </c>
      <c r="I516" s="83"/>
      <c r="J516" s="69" t="s">
        <v>2164</v>
      </c>
      <c r="K516" s="89" t="s">
        <v>2164</v>
      </c>
      <c r="L516" s="253">
        <v>43.001666666000006</v>
      </c>
      <c r="M516" s="253">
        <v>44.832014610130933</v>
      </c>
      <c r="N516" s="253">
        <v>41.54004641909814</v>
      </c>
      <c r="O516" s="253">
        <v>54.623851084979755</v>
      </c>
      <c r="P516" s="253">
        <v>43.199999999999996</v>
      </c>
      <c r="Q516" s="253">
        <v>35.712499999999999</v>
      </c>
      <c r="R516" s="253">
        <v>44.092307692307692</v>
      </c>
      <c r="S516" s="253">
        <v>49.271356779999998</v>
      </c>
      <c r="T516" s="253"/>
      <c r="U516" s="253">
        <v>50.431372549999999</v>
      </c>
      <c r="V516" s="253"/>
      <c r="W516" s="253">
        <v>41.648499999999999</v>
      </c>
      <c r="X516" s="253"/>
      <c r="Y516" s="253">
        <v>65.364303180000007</v>
      </c>
      <c r="Z516" s="253">
        <v>42.208333329999995</v>
      </c>
      <c r="AA516" s="253"/>
      <c r="AB516" s="253"/>
      <c r="AC516" s="253"/>
      <c r="AD516" s="253"/>
      <c r="AE516" s="253"/>
    </row>
    <row r="517" spans="1:31">
      <c r="A517" s="33">
        <v>516</v>
      </c>
      <c r="B517" s="31" t="s">
        <v>2166</v>
      </c>
      <c r="C517" s="69" t="s">
        <v>1232</v>
      </c>
      <c r="D517" s="56">
        <v>42160</v>
      </c>
      <c r="F517" s="56"/>
      <c r="G517" s="69" t="str">
        <f t="shared" si="8"/>
        <v>User Registration</v>
      </c>
      <c r="H517" s="83" t="s">
        <v>2167</v>
      </c>
      <c r="I517" s="83"/>
      <c r="J517" s="31" t="s">
        <v>2166</v>
      </c>
      <c r="K517" s="272" t="s">
        <v>2166</v>
      </c>
      <c r="L517" s="253">
        <v>43.001666666000006</v>
      </c>
      <c r="M517" s="253">
        <v>44.832014610130933</v>
      </c>
      <c r="N517" s="253">
        <v>41.54004641909814</v>
      </c>
      <c r="O517" s="253">
        <v>54.623851084979755</v>
      </c>
      <c r="P517" s="253">
        <v>43.199999999999996</v>
      </c>
      <c r="Q517" s="253">
        <v>35.712499999999999</v>
      </c>
      <c r="R517" s="253">
        <v>44.092307692307692</v>
      </c>
      <c r="S517" s="253">
        <v>49.271356779999998</v>
      </c>
      <c r="T517" s="253"/>
      <c r="U517" s="253">
        <v>50.431372549999999</v>
      </c>
      <c r="V517" s="253"/>
      <c r="W517" s="253">
        <v>41.648499999999999</v>
      </c>
      <c r="X517" s="253"/>
      <c r="Y517" s="253">
        <v>65.364303180000007</v>
      </c>
      <c r="Z517" s="253">
        <v>42.208333329999995</v>
      </c>
      <c r="AA517" s="253"/>
      <c r="AB517" s="253"/>
      <c r="AC517" s="253"/>
      <c r="AD517" s="253"/>
      <c r="AE517" s="253"/>
    </row>
    <row r="518" spans="1:31">
      <c r="A518" s="33">
        <v>517</v>
      </c>
      <c r="B518" s="69" t="s">
        <v>2181</v>
      </c>
      <c r="C518" s="69" t="s">
        <v>1232</v>
      </c>
      <c r="D518" s="56">
        <v>42163</v>
      </c>
      <c r="F518" s="56"/>
      <c r="G518" s="69" t="str">
        <f t="shared" si="8"/>
        <v>E-Commerce</v>
      </c>
      <c r="H518" s="83" t="s">
        <v>1784</v>
      </c>
      <c r="I518" s="83"/>
      <c r="J518" s="69" t="s">
        <v>2181</v>
      </c>
      <c r="K518" s="69" t="s">
        <v>2181</v>
      </c>
      <c r="L518" s="253">
        <v>67.154205270000006</v>
      </c>
      <c r="M518" s="253">
        <v>62.329912284385969</v>
      </c>
      <c r="N518" s="253">
        <v>59.84925035603338</v>
      </c>
      <c r="O518" s="253">
        <v>58.279726817894741</v>
      </c>
      <c r="P518" s="253">
        <v>68.181318680000004</v>
      </c>
      <c r="Q518" s="253">
        <v>67.81179487</v>
      </c>
      <c r="R518" s="253">
        <v>59.242743539999999</v>
      </c>
      <c r="S518" s="253">
        <v>66.761413839999989</v>
      </c>
      <c r="T518" s="253"/>
      <c r="U518" s="253">
        <v>61.913419910000002</v>
      </c>
      <c r="V518" s="253">
        <v>62.614791989999993</v>
      </c>
      <c r="W518" s="253"/>
      <c r="X518" s="253">
        <v>53.55263157894737</v>
      </c>
      <c r="Y518" s="253">
        <v>53.902735560000004</v>
      </c>
      <c r="Z518" s="253">
        <v>63.045751629999998</v>
      </c>
      <c r="AA518" s="253"/>
      <c r="AB518" s="253"/>
      <c r="AC518" s="253"/>
      <c r="AD518" s="253"/>
      <c r="AE518" s="253"/>
    </row>
    <row r="519" spans="1:31">
      <c r="A519" s="33">
        <v>518</v>
      </c>
      <c r="B519" s="69" t="s">
        <v>2181</v>
      </c>
      <c r="C519" s="69" t="s">
        <v>1232</v>
      </c>
      <c r="D519" s="56">
        <v>42163</v>
      </c>
      <c r="F519" s="56"/>
      <c r="G519" s="69" t="str">
        <f t="shared" si="8"/>
        <v>E-Commerce</v>
      </c>
      <c r="H519" s="83" t="s">
        <v>1784</v>
      </c>
      <c r="I519" s="83"/>
      <c r="J519" s="69" t="s">
        <v>2181</v>
      </c>
      <c r="K519" s="69" t="s">
        <v>548</v>
      </c>
      <c r="L519" s="253">
        <v>61.07347554199999</v>
      </c>
      <c r="M519" s="253">
        <v>56.729643489122807</v>
      </c>
      <c r="N519" s="253">
        <v>57.492668399621301</v>
      </c>
      <c r="O519" s="253">
        <v>52.963626217105251</v>
      </c>
      <c r="P519" s="253">
        <v>63.601648349999991</v>
      </c>
      <c r="Q519" s="253">
        <v>69.193589744999997</v>
      </c>
      <c r="R519" s="253">
        <v>50.761238759999991</v>
      </c>
      <c r="S519" s="253">
        <v>71.960784310000008</v>
      </c>
      <c r="T519" s="253"/>
      <c r="U519" s="253">
        <v>53.437229439999996</v>
      </c>
      <c r="V519" s="253">
        <v>58.226244340000001</v>
      </c>
      <c r="W519" s="253"/>
      <c r="X519" s="253">
        <v>56.71052631578948</v>
      </c>
      <c r="Y519" s="253">
        <v>50.882812499999993</v>
      </c>
      <c r="Z519" s="253">
        <v>50.960784309999994</v>
      </c>
      <c r="AA519" s="253"/>
      <c r="AB519" s="253"/>
      <c r="AC519" s="253"/>
      <c r="AD519" s="253"/>
      <c r="AE519" s="253"/>
    </row>
    <row r="520" spans="1:31">
      <c r="A520" s="33">
        <v>519</v>
      </c>
      <c r="B520" s="69" t="s">
        <v>2181</v>
      </c>
      <c r="C520" s="69" t="s">
        <v>1232</v>
      </c>
      <c r="D520" s="56">
        <v>42163</v>
      </c>
      <c r="F520" s="56"/>
      <c r="G520" s="69" t="str">
        <f t="shared" si="8"/>
        <v>E-Commerce</v>
      </c>
      <c r="H520" s="83" t="s">
        <v>1784</v>
      </c>
      <c r="I520" s="83"/>
      <c r="J520" s="69" t="s">
        <v>2181</v>
      </c>
      <c r="K520" s="69" t="s">
        <v>2055</v>
      </c>
      <c r="L520" s="253">
        <v>57.600678015999996</v>
      </c>
      <c r="M520" s="253">
        <v>54.295931258947384</v>
      </c>
      <c r="N520" s="253">
        <v>54.695278323145054</v>
      </c>
      <c r="O520" s="253">
        <v>56.362790799473679</v>
      </c>
      <c r="P520" s="253">
        <v>57.347252749999996</v>
      </c>
      <c r="Q520" s="253">
        <v>65.46025641</v>
      </c>
      <c r="R520" s="253">
        <v>50.271314740000008</v>
      </c>
      <c r="S520" s="253">
        <v>59.325842699999995</v>
      </c>
      <c r="T520" s="253"/>
      <c r="U520" s="253">
        <v>52.593073589999996</v>
      </c>
      <c r="V520" s="253">
        <v>52.172256099999998</v>
      </c>
      <c r="W520" s="253"/>
      <c r="X520" s="253">
        <v>58.421052631578952</v>
      </c>
      <c r="Y520" s="253">
        <v>55.249240119999996</v>
      </c>
      <c r="Z520" s="253">
        <v>58.614379079999999</v>
      </c>
      <c r="AA520" s="253"/>
      <c r="AB520" s="253"/>
      <c r="AC520" s="253"/>
      <c r="AD520" s="253"/>
      <c r="AE520" s="253"/>
    </row>
    <row r="521" spans="1:31">
      <c r="A521" s="33">
        <v>520</v>
      </c>
      <c r="B521" s="69" t="s">
        <v>2181</v>
      </c>
      <c r="C521" s="69" t="s">
        <v>1232</v>
      </c>
      <c r="D521" s="56">
        <v>42163</v>
      </c>
      <c r="F521" s="56"/>
      <c r="G521" s="69" t="str">
        <f t="shared" si="8"/>
        <v>E-Commerce</v>
      </c>
      <c r="H521" s="83" t="s">
        <v>1784</v>
      </c>
      <c r="I521" s="83"/>
      <c r="J521" s="69" t="s">
        <v>2181</v>
      </c>
      <c r="K521" s="69" t="s">
        <v>2182</v>
      </c>
      <c r="L521" s="253">
        <v>64.773856206000005</v>
      </c>
      <c r="M521" s="253">
        <v>60.965971297368412</v>
      </c>
      <c r="N521" s="253">
        <v>54.736095331540447</v>
      </c>
      <c r="O521" s="253">
        <v>61.951631812105269</v>
      </c>
      <c r="P521" s="253">
        <v>63.583333330000002</v>
      </c>
      <c r="Q521" s="253">
        <v>67.028205129999989</v>
      </c>
      <c r="R521" s="253">
        <v>61.420746889999997</v>
      </c>
      <c r="S521" s="253">
        <v>60.397708670000007</v>
      </c>
      <c r="T521" s="253"/>
      <c r="U521" s="253">
        <v>53.554585150000001</v>
      </c>
      <c r="V521" s="253">
        <v>59.886435329999998</v>
      </c>
      <c r="W521" s="253"/>
      <c r="X521" s="253">
        <v>39.736842105263158</v>
      </c>
      <c r="Y521" s="253">
        <v>57.913385829999996</v>
      </c>
      <c r="Z521" s="253">
        <v>69.535947710000002</v>
      </c>
      <c r="AA521" s="253"/>
      <c r="AB521" s="253"/>
      <c r="AC521" s="253"/>
      <c r="AD521" s="253"/>
      <c r="AE521" s="253"/>
    </row>
    <row r="522" spans="1:31">
      <c r="A522" s="33">
        <v>521</v>
      </c>
      <c r="B522" s="69" t="s">
        <v>2181</v>
      </c>
      <c r="C522" s="69" t="s">
        <v>1232</v>
      </c>
      <c r="D522" s="56">
        <v>42163</v>
      </c>
      <c r="F522" s="56"/>
      <c r="G522" s="69" t="str">
        <f t="shared" si="8"/>
        <v>E-Commerce</v>
      </c>
      <c r="H522" s="83" t="s">
        <v>1784</v>
      </c>
      <c r="I522" s="83"/>
      <c r="J522" s="69" t="s">
        <v>2181</v>
      </c>
      <c r="K522" s="69" t="s">
        <v>2183</v>
      </c>
      <c r="L522" s="253">
        <v>65.823790848000002</v>
      </c>
      <c r="M522" s="253">
        <v>58.01260165192982</v>
      </c>
      <c r="N522" s="253">
        <v>57.296584114261883</v>
      </c>
      <c r="O522" s="253">
        <v>62.19284270526316</v>
      </c>
      <c r="P522" s="253">
        <v>65.71111110999999</v>
      </c>
      <c r="Q522" s="253">
        <v>72.592307689999998</v>
      </c>
      <c r="R522" s="253">
        <v>51.661408019999996</v>
      </c>
      <c r="S522" s="253">
        <v>66.738543370000002</v>
      </c>
      <c r="T522" s="253"/>
      <c r="U522" s="253">
        <v>49.305676859999998</v>
      </c>
      <c r="V522" s="253">
        <v>61.307570980000001</v>
      </c>
      <c r="W522" s="253"/>
      <c r="X522" s="253">
        <v>49.605263157894733</v>
      </c>
      <c r="Y522" s="253">
        <v>60.763779530000008</v>
      </c>
      <c r="Z522" s="253">
        <v>66.274509800000004</v>
      </c>
      <c r="AA522" s="253"/>
      <c r="AB522" s="253"/>
      <c r="AC522" s="253"/>
      <c r="AD522" s="253"/>
      <c r="AE522" s="253"/>
    </row>
    <row r="523" spans="1:31">
      <c r="A523" s="33">
        <v>522</v>
      </c>
      <c r="B523" s="69" t="s">
        <v>2175</v>
      </c>
      <c r="C523" s="69" t="s">
        <v>1232</v>
      </c>
      <c r="D523" s="56">
        <v>42164</v>
      </c>
      <c r="E523" s="266"/>
      <c r="F523" s="56"/>
      <c r="G523" s="69" t="str">
        <f t="shared" si="8"/>
        <v>User Registration</v>
      </c>
      <c r="H523" s="83" t="s">
        <v>517</v>
      </c>
      <c r="I523" s="83"/>
      <c r="J523" s="69" t="s">
        <v>2175</v>
      </c>
      <c r="K523" s="69" t="s">
        <v>2176</v>
      </c>
      <c r="L523" s="253">
        <v>45.282352940000003</v>
      </c>
      <c r="M523" s="253">
        <v>56.478236975510207</v>
      </c>
      <c r="N523" s="253">
        <v>67.179076310344826</v>
      </c>
      <c r="O523" s="253">
        <v>42.999141736842105</v>
      </c>
      <c r="P523" s="253">
        <v>42</v>
      </c>
      <c r="Q523" s="253">
        <v>72.875</v>
      </c>
      <c r="R523" s="253">
        <v>54.928035500000007</v>
      </c>
      <c r="S523" s="253">
        <v>42.1937985</v>
      </c>
      <c r="T523" s="253"/>
      <c r="U523" s="253">
        <v>65</v>
      </c>
      <c r="V523" s="253"/>
      <c r="W523" s="253">
        <v>70</v>
      </c>
      <c r="X523" s="253"/>
      <c r="Y523" s="253">
        <v>30</v>
      </c>
      <c r="Z523" s="253">
        <v>58.411764699999999</v>
      </c>
      <c r="AA523" s="253"/>
      <c r="AB523" s="253"/>
      <c r="AC523" s="253"/>
      <c r="AD523" s="253"/>
      <c r="AE523" s="253"/>
    </row>
    <row r="524" spans="1:31">
      <c r="A524" s="33">
        <v>523</v>
      </c>
      <c r="B524" s="69" t="s">
        <v>2175</v>
      </c>
      <c r="C524" s="69" t="s">
        <v>1232</v>
      </c>
      <c r="D524" s="56">
        <v>42164</v>
      </c>
      <c r="E524" s="266"/>
      <c r="F524" s="56"/>
      <c r="G524" s="69" t="str">
        <f t="shared" si="8"/>
        <v>User Registration</v>
      </c>
      <c r="H524" s="83" t="s">
        <v>517</v>
      </c>
      <c r="I524" s="83"/>
      <c r="J524" s="69" t="s">
        <v>2175</v>
      </c>
      <c r="K524" s="69" t="s">
        <v>2177</v>
      </c>
      <c r="L524" s="253">
        <v>52</v>
      </c>
      <c r="M524" s="253">
        <v>57.202721081632646</v>
      </c>
      <c r="N524" s="253">
        <v>71.887931034482747</v>
      </c>
      <c r="O524" s="253">
        <v>47.515043473684216</v>
      </c>
      <c r="P524" s="253">
        <v>53</v>
      </c>
      <c r="Q524" s="253">
        <v>70.25</v>
      </c>
      <c r="R524" s="253">
        <v>58.999999999999993</v>
      </c>
      <c r="S524" s="253">
        <v>56.000000000000007</v>
      </c>
      <c r="T524" s="253"/>
      <c r="U524" s="253">
        <v>54.493333300000003</v>
      </c>
      <c r="V524" s="253"/>
      <c r="W524" s="253">
        <v>76</v>
      </c>
      <c r="X524" s="253"/>
      <c r="Y524" s="253">
        <v>41.853582599999996</v>
      </c>
      <c r="Z524" s="253">
        <v>48</v>
      </c>
      <c r="AA524" s="253"/>
      <c r="AB524" s="253"/>
      <c r="AC524" s="253"/>
      <c r="AD524" s="253"/>
      <c r="AE524" s="253"/>
    </row>
    <row r="525" spans="1:31">
      <c r="A525" s="33">
        <v>524</v>
      </c>
      <c r="B525" s="69" t="s">
        <v>2175</v>
      </c>
      <c r="C525" s="69" t="s">
        <v>1232</v>
      </c>
      <c r="D525" s="56">
        <v>42164</v>
      </c>
      <c r="E525" s="266"/>
      <c r="F525" s="56"/>
      <c r="G525" s="69" t="str">
        <f t="shared" si="8"/>
        <v>User Registration</v>
      </c>
      <c r="H525" s="83" t="s">
        <v>517</v>
      </c>
      <c r="I525" s="83"/>
      <c r="J525" s="69" t="s">
        <v>2175</v>
      </c>
      <c r="K525" s="69" t="s">
        <v>2178</v>
      </c>
      <c r="L525" s="253">
        <v>57.188311680000005</v>
      </c>
      <c r="M525" s="253">
        <v>57.805660093877549</v>
      </c>
      <c r="N525" s="253">
        <v>58.362068965517246</v>
      </c>
      <c r="O525" s="253">
        <v>50.728923000000002</v>
      </c>
      <c r="P525" s="253">
        <v>53</v>
      </c>
      <c r="Q525" s="253">
        <v>69.5</v>
      </c>
      <c r="R525" s="253">
        <v>54</v>
      </c>
      <c r="S525" s="253">
        <v>52</v>
      </c>
      <c r="T525" s="253"/>
      <c r="U525" s="253">
        <v>59.671111099999997</v>
      </c>
      <c r="V525" s="253"/>
      <c r="W525" s="253">
        <v>57.999999999999993</v>
      </c>
      <c r="X525" s="253"/>
      <c r="Y525" s="253">
        <v>36.464174499999999</v>
      </c>
      <c r="Z525" s="253">
        <v>73.941558399999991</v>
      </c>
      <c r="AA525" s="253"/>
      <c r="AB525" s="253"/>
      <c r="AC525" s="253"/>
      <c r="AD525" s="253"/>
      <c r="AE525" s="253"/>
    </row>
    <row r="526" spans="1:31">
      <c r="A526" s="33">
        <v>525</v>
      </c>
      <c r="B526" s="69" t="s">
        <v>2175</v>
      </c>
      <c r="C526" s="69" t="s">
        <v>1232</v>
      </c>
      <c r="D526" s="56">
        <v>42164</v>
      </c>
      <c r="G526" s="69" t="str">
        <f t="shared" si="8"/>
        <v>User Registration</v>
      </c>
      <c r="H526" s="69" t="s">
        <v>517</v>
      </c>
      <c r="J526" s="69" t="s">
        <v>2175</v>
      </c>
      <c r="K526" s="69" t="s">
        <v>2179</v>
      </c>
      <c r="L526" s="253">
        <v>46.887012980000002</v>
      </c>
      <c r="M526" s="253">
        <v>50.813185220408165</v>
      </c>
      <c r="N526" s="253">
        <v>60.42123931724138</v>
      </c>
      <c r="O526" s="253">
        <v>55.298261515789484</v>
      </c>
      <c r="P526" s="253">
        <v>43</v>
      </c>
      <c r="Q526" s="253">
        <v>67</v>
      </c>
      <c r="R526" s="253">
        <v>45.202656699999999</v>
      </c>
      <c r="S526" s="253">
        <v>41.0863309</v>
      </c>
      <c r="T526" s="253"/>
      <c r="U526" s="253">
        <v>56.999999999999993</v>
      </c>
      <c r="V526" s="253"/>
      <c r="W526" s="253">
        <v>64</v>
      </c>
      <c r="X526" s="253"/>
      <c r="Y526" s="253">
        <v>54</v>
      </c>
      <c r="Z526" s="253">
        <v>62.4350649</v>
      </c>
      <c r="AA526" s="253"/>
      <c r="AB526" s="253"/>
      <c r="AC526" s="253"/>
      <c r="AD526" s="253"/>
      <c r="AE526" s="253"/>
    </row>
    <row r="527" spans="1:31">
      <c r="A527" s="33">
        <v>526</v>
      </c>
      <c r="B527" s="69" t="s">
        <v>2175</v>
      </c>
      <c r="C527" s="69" t="s">
        <v>1232</v>
      </c>
      <c r="D527" s="56">
        <v>42164</v>
      </c>
      <c r="G527" s="69" t="str">
        <f t="shared" si="8"/>
        <v>User Registration</v>
      </c>
      <c r="H527" s="69" t="s">
        <v>517</v>
      </c>
      <c r="J527" s="69" t="s">
        <v>2175</v>
      </c>
      <c r="K527" s="69" t="s">
        <v>2180</v>
      </c>
      <c r="L527" s="253">
        <v>44</v>
      </c>
      <c r="M527" s="253">
        <v>51.320009081632655</v>
      </c>
      <c r="N527" s="253">
        <v>71</v>
      </c>
      <c r="O527" s="253">
        <v>36.572002342105257</v>
      </c>
      <c r="P527" s="253">
        <v>48</v>
      </c>
      <c r="Q527" s="253">
        <v>58.999999999999993</v>
      </c>
      <c r="R527" s="253">
        <v>56.999999999999993</v>
      </c>
      <c r="S527" s="253">
        <v>41.868044500000003</v>
      </c>
      <c r="T527" s="253"/>
      <c r="U527" s="253">
        <v>60</v>
      </c>
      <c r="V527" s="253"/>
      <c r="W527" s="253">
        <v>77</v>
      </c>
      <c r="X527" s="253"/>
      <c r="Y527" s="253">
        <v>34</v>
      </c>
      <c r="Z527" s="253">
        <v>28.000000000000004</v>
      </c>
      <c r="AA527" s="253"/>
      <c r="AB527" s="253"/>
      <c r="AC527" s="253"/>
      <c r="AD527" s="253"/>
      <c r="AE527" s="253"/>
    </row>
    <row r="528" spans="1:31">
      <c r="A528" s="33">
        <v>527</v>
      </c>
      <c r="B528" s="69" t="s">
        <v>2175</v>
      </c>
      <c r="C528" s="69" t="s">
        <v>1232</v>
      </c>
      <c r="D528" s="56">
        <v>42164</v>
      </c>
      <c r="F528" s="56"/>
      <c r="G528" s="69" t="str">
        <f t="shared" si="8"/>
        <v>User Registration</v>
      </c>
      <c r="H528" s="83" t="s">
        <v>517</v>
      </c>
      <c r="I528" s="83"/>
      <c r="J528" s="69" t="s">
        <v>2175</v>
      </c>
      <c r="K528" s="69" t="s">
        <v>2175</v>
      </c>
      <c r="L528" s="253">
        <v>51.2</v>
      </c>
      <c r="M528" s="253">
        <v>46.818968195918366</v>
      </c>
      <c r="N528" s="253">
        <v>64.130984158620691</v>
      </c>
      <c r="O528" s="253">
        <v>46.329798957894738</v>
      </c>
      <c r="P528" s="253">
        <v>51</v>
      </c>
      <c r="Q528" s="253">
        <v>52.875000000000007</v>
      </c>
      <c r="R528" s="253">
        <v>50.195590099999997</v>
      </c>
      <c r="S528" s="253">
        <v>37</v>
      </c>
      <c r="T528" s="253"/>
      <c r="U528" s="253">
        <v>49</v>
      </c>
      <c r="V528" s="253"/>
      <c r="W528" s="253">
        <v>70</v>
      </c>
      <c r="X528" s="253"/>
      <c r="Y528" s="253">
        <v>43</v>
      </c>
      <c r="Z528" s="253">
        <v>52</v>
      </c>
      <c r="AA528" s="253"/>
      <c r="AB528" s="253"/>
      <c r="AC528" s="253"/>
      <c r="AD528" s="253"/>
      <c r="AE528" s="253"/>
    </row>
    <row r="529" spans="1:31">
      <c r="A529" s="33">
        <v>528</v>
      </c>
      <c r="B529" s="69" t="s">
        <v>2148</v>
      </c>
      <c r="C529" s="69" t="s">
        <v>740</v>
      </c>
      <c r="D529" s="56">
        <v>42165</v>
      </c>
      <c r="F529" s="56"/>
      <c r="G529" s="69" t="str">
        <f t="shared" si="8"/>
        <v>E-Commerce</v>
      </c>
      <c r="H529" s="83" t="s">
        <v>1988</v>
      </c>
      <c r="I529" s="83"/>
      <c r="J529" s="69" t="s">
        <v>2148</v>
      </c>
      <c r="K529" s="69" t="s">
        <v>2148</v>
      </c>
      <c r="L529" s="253">
        <v>46.166181662</v>
      </c>
      <c r="M529" s="253">
        <v>45.797310919122815</v>
      </c>
      <c r="N529" s="253">
        <v>44.782940236348054</v>
      </c>
      <c r="O529" s="253">
        <v>49.909501560350876</v>
      </c>
      <c r="P529" s="253">
        <v>44.07231041</v>
      </c>
      <c r="Q529" s="253">
        <v>47.9866666666667</v>
      </c>
      <c r="R529" s="253">
        <v>56.540799470000003</v>
      </c>
      <c r="S529" s="253">
        <v>33.647577089999999</v>
      </c>
      <c r="T529" s="253"/>
      <c r="U529" s="253">
        <v>33.580419579999997</v>
      </c>
      <c r="V529" s="253">
        <v>38.131274130000001</v>
      </c>
      <c r="W529" s="253"/>
      <c r="X529" s="253">
        <v>49.189189189189193</v>
      </c>
      <c r="Y529" s="253">
        <v>48.085635359999998</v>
      </c>
      <c r="Z529" s="253">
        <v>54.541666669999998</v>
      </c>
      <c r="AA529" s="253"/>
      <c r="AB529" s="253"/>
      <c r="AC529" s="253"/>
      <c r="AD529" s="253"/>
      <c r="AE529" s="253"/>
    </row>
    <row r="530" spans="1:31">
      <c r="A530" s="33">
        <v>529</v>
      </c>
      <c r="B530" s="69" t="s">
        <v>2148</v>
      </c>
      <c r="C530" s="69" t="s">
        <v>740</v>
      </c>
      <c r="D530" s="56">
        <v>42165</v>
      </c>
      <c r="F530" s="56"/>
      <c r="G530" s="69" t="str">
        <f t="shared" si="8"/>
        <v>E-Commerce</v>
      </c>
      <c r="H530" s="83" t="s">
        <v>1988</v>
      </c>
      <c r="I530" s="83"/>
      <c r="J530" s="69" t="s">
        <v>2148</v>
      </c>
      <c r="K530" s="69" t="s">
        <v>2149</v>
      </c>
      <c r="L530" s="253">
        <v>54.949229594000002</v>
      </c>
      <c r="M530" s="253">
        <v>56.682886957368424</v>
      </c>
      <c r="N530" s="253">
        <v>53.482212237586204</v>
      </c>
      <c r="O530" s="253">
        <v>64.925738993684206</v>
      </c>
      <c r="P530" s="253">
        <v>52.899408280000003</v>
      </c>
      <c r="Q530" s="253">
        <v>72.329230769999995</v>
      </c>
      <c r="R530" s="253">
        <v>62.50542823</v>
      </c>
      <c r="S530" s="253">
        <v>53.216946</v>
      </c>
      <c r="T530" s="253"/>
      <c r="U530" s="253">
        <v>43.231441050000001</v>
      </c>
      <c r="V530" s="253">
        <v>47.948194659999999</v>
      </c>
      <c r="W530" s="253"/>
      <c r="X530" s="253">
        <v>31.351351351351351</v>
      </c>
      <c r="Y530" s="253">
        <v>66.728943340000001</v>
      </c>
      <c r="Z530" s="253">
        <v>63.148514850000005</v>
      </c>
      <c r="AA530" s="253"/>
      <c r="AB530" s="253"/>
      <c r="AC530" s="253"/>
      <c r="AD530" s="253"/>
      <c r="AE530" s="253"/>
    </row>
    <row r="531" spans="1:31">
      <c r="A531" s="33">
        <v>530</v>
      </c>
      <c r="B531" s="69" t="s">
        <v>2148</v>
      </c>
      <c r="C531" s="69" t="s">
        <v>740</v>
      </c>
      <c r="D531" s="56">
        <v>42165</v>
      </c>
      <c r="F531" s="56"/>
      <c r="G531" s="69" t="str">
        <f t="shared" si="8"/>
        <v>E-Commerce</v>
      </c>
      <c r="H531" s="83" t="s">
        <v>1988</v>
      </c>
      <c r="I531" s="83"/>
      <c r="J531" s="69" t="s">
        <v>2148</v>
      </c>
      <c r="K531" s="69" t="s">
        <v>2150</v>
      </c>
      <c r="L531" s="253">
        <v>51.863166058000012</v>
      </c>
      <c r="M531" s="253">
        <v>47.255057577999999</v>
      </c>
      <c r="N531" s="253">
        <v>52.967987439984178</v>
      </c>
      <c r="O531" s="253">
        <v>58.591930762947364</v>
      </c>
      <c r="P531" s="253">
        <v>49.840395479999998</v>
      </c>
      <c r="Q531" s="253">
        <v>59.115384616000007</v>
      </c>
      <c r="R531" s="253">
        <v>43.702502840000001</v>
      </c>
      <c r="S531" s="253">
        <v>41.119186050000003</v>
      </c>
      <c r="T531" s="253"/>
      <c r="U531" s="253">
        <v>47.792207789999992</v>
      </c>
      <c r="V531" s="253">
        <v>44.038748140000003</v>
      </c>
      <c r="W531" s="253"/>
      <c r="X531" s="253">
        <v>70.945945945945937</v>
      </c>
      <c r="Y531" s="253">
        <v>62.583586629999999</v>
      </c>
      <c r="Z531" s="253">
        <v>59.954248369999995</v>
      </c>
      <c r="AA531" s="253"/>
      <c r="AB531" s="253"/>
      <c r="AC531" s="253"/>
      <c r="AD531" s="253"/>
      <c r="AE531" s="253"/>
    </row>
    <row r="532" spans="1:31">
      <c r="A532" s="33">
        <v>531</v>
      </c>
      <c r="B532" s="69" t="s">
        <v>2148</v>
      </c>
      <c r="C532" s="69" t="s">
        <v>740</v>
      </c>
      <c r="D532" s="56">
        <v>42165</v>
      </c>
      <c r="F532" s="56"/>
      <c r="G532" s="69" t="str">
        <f t="shared" si="8"/>
        <v>E-Commerce</v>
      </c>
      <c r="H532" s="83" t="s">
        <v>1988</v>
      </c>
      <c r="I532" s="83"/>
      <c r="J532" s="69" t="s">
        <v>2148</v>
      </c>
      <c r="K532" s="69" t="s">
        <v>1314</v>
      </c>
      <c r="L532" s="253">
        <v>57.858646281999988</v>
      </c>
      <c r="M532" s="253">
        <v>58.054407813999994</v>
      </c>
      <c r="N532" s="253">
        <v>60.607043071172413</v>
      </c>
      <c r="O532" s="253">
        <v>64.34490399989474</v>
      </c>
      <c r="P532" s="253">
        <v>55.862523539999998</v>
      </c>
      <c r="Q532" s="253">
        <v>68.006153847999997</v>
      </c>
      <c r="R532" s="253">
        <v>58.204405919999999</v>
      </c>
      <c r="S532" s="253">
        <v>57.517441859999998</v>
      </c>
      <c r="T532" s="253"/>
      <c r="U532" s="253">
        <v>49.047619050000002</v>
      </c>
      <c r="V532" s="253">
        <v>57.217967599999994</v>
      </c>
      <c r="W532" s="253"/>
      <c r="X532" s="253"/>
      <c r="Y532" s="253">
        <v>65.140508220000001</v>
      </c>
      <c r="Z532" s="253">
        <v>65.843137249999998</v>
      </c>
      <c r="AA532" s="253"/>
      <c r="AB532" s="253"/>
      <c r="AC532" s="253"/>
      <c r="AD532" s="253"/>
      <c r="AE532" s="253"/>
    </row>
    <row r="533" spans="1:31">
      <c r="A533" s="33">
        <v>532</v>
      </c>
      <c r="B533" s="69" t="s">
        <v>2148</v>
      </c>
      <c r="C533" s="69" t="s">
        <v>740</v>
      </c>
      <c r="D533" s="56">
        <v>42165</v>
      </c>
      <c r="F533" s="56"/>
      <c r="G533" s="69" t="str">
        <f t="shared" si="8"/>
        <v>E-Commerce</v>
      </c>
      <c r="H533" s="83" t="s">
        <v>1988</v>
      </c>
      <c r="I533" s="83"/>
      <c r="J533" s="69" t="s">
        <v>2148</v>
      </c>
      <c r="K533" s="69" t="s">
        <v>2151</v>
      </c>
      <c r="L533" s="253">
        <v>55.08617740599999</v>
      </c>
      <c r="M533" s="253">
        <v>52.761194686982456</v>
      </c>
      <c r="N533" s="253">
        <v>49.063214319121954</v>
      </c>
      <c r="O533" s="253">
        <v>65.182014029894745</v>
      </c>
      <c r="P533" s="253">
        <v>52.148571429999997</v>
      </c>
      <c r="Q533" s="253">
        <v>62.890769227999996</v>
      </c>
      <c r="R533" s="253">
        <v>54.495086000000001</v>
      </c>
      <c r="S533" s="253">
        <v>53.091993189999997</v>
      </c>
      <c r="T533" s="253"/>
      <c r="U533" s="253">
        <v>40.943231439999998</v>
      </c>
      <c r="V533" s="253">
        <v>47.797448170000003</v>
      </c>
      <c r="W533" s="253"/>
      <c r="X533" s="253">
        <v>45</v>
      </c>
      <c r="Y533" s="253">
        <v>67.930232559999993</v>
      </c>
      <c r="Z533" s="253">
        <v>66.836601309999992</v>
      </c>
      <c r="AA533" s="253"/>
      <c r="AB533" s="253"/>
      <c r="AC533" s="253"/>
      <c r="AD533" s="253"/>
      <c r="AE533" s="253"/>
    </row>
    <row r="534" spans="1:31">
      <c r="A534" s="33">
        <v>533</v>
      </c>
      <c r="B534" s="69" t="s">
        <v>2148</v>
      </c>
      <c r="C534" s="69" t="s">
        <v>740</v>
      </c>
      <c r="D534" s="56">
        <v>42165</v>
      </c>
      <c r="F534" s="56"/>
      <c r="G534" s="69" t="str">
        <f t="shared" si="8"/>
        <v>E-Commerce</v>
      </c>
      <c r="H534" s="83" t="s">
        <v>1988</v>
      </c>
      <c r="I534" s="83"/>
      <c r="J534" s="69" t="s">
        <v>2148</v>
      </c>
      <c r="K534" s="69" t="s">
        <v>1313</v>
      </c>
      <c r="L534" s="253">
        <v>64.228466855999997</v>
      </c>
      <c r="M534" s="253">
        <v>60.399089059298248</v>
      </c>
      <c r="N534" s="253">
        <v>55.310943343263027</v>
      </c>
      <c r="O534" s="253">
        <v>69.444182667894722</v>
      </c>
      <c r="P534" s="253">
        <v>63.695714289999991</v>
      </c>
      <c r="Q534" s="253">
        <v>74.549230769999994</v>
      </c>
      <c r="R534" s="253">
        <v>61.442195929999997</v>
      </c>
      <c r="S534" s="253">
        <v>67.813884160000001</v>
      </c>
      <c r="T534" s="253"/>
      <c r="U534" s="253">
        <v>54.209606990000005</v>
      </c>
      <c r="V534" s="253">
        <v>48.583201270000004</v>
      </c>
      <c r="W534" s="253"/>
      <c r="X534" s="253">
        <v>58.648648648648646</v>
      </c>
      <c r="Y534" s="253">
        <v>72.239457829999992</v>
      </c>
      <c r="Z534" s="253">
        <v>66.359477119999994</v>
      </c>
      <c r="AA534" s="253"/>
      <c r="AB534" s="253"/>
      <c r="AC534" s="253"/>
      <c r="AD534" s="253"/>
      <c r="AE534" s="253"/>
    </row>
    <row r="535" spans="1:31">
      <c r="A535" s="33">
        <v>534</v>
      </c>
      <c r="B535" s="69" t="s">
        <v>2171</v>
      </c>
      <c r="C535" s="69" t="s">
        <v>1330</v>
      </c>
      <c r="D535" s="56">
        <v>42171</v>
      </c>
      <c r="G535" s="69" t="str">
        <f t="shared" si="8"/>
        <v>User Registration</v>
      </c>
      <c r="H535" s="69" t="s">
        <v>2172</v>
      </c>
      <c r="J535" s="69" t="s">
        <v>2173</v>
      </c>
      <c r="K535" s="69" t="s">
        <v>1319</v>
      </c>
      <c r="L535" s="253">
        <v>55.793705548883118</v>
      </c>
      <c r="M535" s="253">
        <v>51.585302996214423</v>
      </c>
      <c r="N535" s="253">
        <v>52.080973126206899</v>
      </c>
      <c r="O535" s="253">
        <v>59.606276773267254</v>
      </c>
      <c r="P535" s="253">
        <v>53.97102804</v>
      </c>
      <c r="Q535" s="253">
        <v>66.739999999999995</v>
      </c>
      <c r="R535" s="253">
        <v>46.547180109999999</v>
      </c>
      <c r="S535" s="253">
        <v>53.096153850000007</v>
      </c>
      <c r="T535" s="253"/>
      <c r="U535" s="253">
        <v>45.912663760000001</v>
      </c>
      <c r="V535" s="253"/>
      <c r="W535" s="253">
        <v>51.542256999999999</v>
      </c>
      <c r="X535" s="253"/>
      <c r="Y535" s="253">
        <v>60.416666669999998</v>
      </c>
      <c r="Z535" s="253">
        <v>63.084415584415574</v>
      </c>
      <c r="AA535" s="253"/>
      <c r="AB535" s="253"/>
      <c r="AC535" s="253"/>
      <c r="AD535" s="253"/>
      <c r="AE535" s="253"/>
    </row>
    <row r="536" spans="1:31">
      <c r="A536" s="33">
        <v>535</v>
      </c>
      <c r="B536" s="69" t="s">
        <v>2171</v>
      </c>
      <c r="C536" s="69" t="s">
        <v>1330</v>
      </c>
      <c r="D536" s="56">
        <v>42171</v>
      </c>
      <c r="G536" s="69" t="str">
        <f t="shared" si="8"/>
        <v>User Registration</v>
      </c>
      <c r="H536" s="69" t="s">
        <v>2172</v>
      </c>
      <c r="J536" s="69" t="s">
        <v>2173</v>
      </c>
      <c r="K536" s="69" t="s">
        <v>1317</v>
      </c>
      <c r="L536" s="253">
        <v>61.838966912831161</v>
      </c>
      <c r="M536" s="253">
        <v>59.968326464271904</v>
      </c>
      <c r="N536" s="253">
        <v>65.994947506896551</v>
      </c>
      <c r="O536" s="253">
        <v>65.650630620391865</v>
      </c>
      <c r="P536" s="253">
        <v>61.212669679999998</v>
      </c>
      <c r="Q536" s="253">
        <v>60.534166666666664</v>
      </c>
      <c r="R536" s="253">
        <v>57.187092949999993</v>
      </c>
      <c r="S536" s="253">
        <v>63.460122699999999</v>
      </c>
      <c r="T536" s="253"/>
      <c r="U536" s="253">
        <v>60.908296939999993</v>
      </c>
      <c r="V536" s="253"/>
      <c r="W536" s="253">
        <v>69.456421000000006</v>
      </c>
      <c r="X536" s="253"/>
      <c r="Y536" s="253">
        <v>68.727272729999996</v>
      </c>
      <c r="Z536" s="253">
        <v>64.344155844155821</v>
      </c>
      <c r="AA536" s="253"/>
      <c r="AB536" s="253"/>
      <c r="AC536" s="253"/>
      <c r="AD536" s="253"/>
      <c r="AE536" s="253"/>
    </row>
    <row r="537" spans="1:31">
      <c r="A537" s="33">
        <v>536</v>
      </c>
      <c r="B537" s="69" t="s">
        <v>2171</v>
      </c>
      <c r="C537" s="69" t="s">
        <v>1330</v>
      </c>
      <c r="D537" s="56">
        <v>42171</v>
      </c>
      <c r="G537" s="69" t="str">
        <f t="shared" si="8"/>
        <v>User Registration</v>
      </c>
      <c r="H537" s="69" t="s">
        <v>2172</v>
      </c>
      <c r="J537" s="69" t="s">
        <v>2173</v>
      </c>
      <c r="K537" s="69" t="s">
        <v>2173</v>
      </c>
      <c r="L537" s="253">
        <v>61.606518643999983</v>
      </c>
      <c r="M537" s="253">
        <v>59.895277818771717</v>
      </c>
      <c r="N537" s="253">
        <v>57.310187137241385</v>
      </c>
      <c r="O537" s="253">
        <v>63.098876635263167</v>
      </c>
      <c r="P537" s="253">
        <v>62.673732719999997</v>
      </c>
      <c r="Q537" s="253">
        <v>59.91</v>
      </c>
      <c r="R537" s="253">
        <v>62.639137830000003</v>
      </c>
      <c r="S537" s="253">
        <v>59.350553510000005</v>
      </c>
      <c r="T537" s="253"/>
      <c r="U537" s="253">
        <v>56.004366812227069</v>
      </c>
      <c r="V537" s="253"/>
      <c r="W537" s="253">
        <v>55.321529999999996</v>
      </c>
      <c r="X537" s="253"/>
      <c r="Y537" s="253">
        <v>66.765151520000003</v>
      </c>
      <c r="Z537" s="253">
        <v>57.337662339999994</v>
      </c>
      <c r="AA537" s="253"/>
      <c r="AB537" s="253"/>
      <c r="AC537" s="253"/>
      <c r="AD537" s="253"/>
      <c r="AE537" s="253"/>
    </row>
    <row r="538" spans="1:31">
      <c r="A538" s="33">
        <v>537</v>
      </c>
      <c r="B538" s="69" t="s">
        <v>2171</v>
      </c>
      <c r="C538" s="69" t="s">
        <v>1330</v>
      </c>
      <c r="D538" s="56">
        <v>42171</v>
      </c>
      <c r="G538" s="69" t="str">
        <f t="shared" si="8"/>
        <v>User Registration</v>
      </c>
      <c r="H538" s="69" t="s">
        <v>2172</v>
      </c>
      <c r="J538" s="69" t="s">
        <v>2173</v>
      </c>
      <c r="K538" s="69" t="s">
        <v>2174</v>
      </c>
      <c r="L538" s="253">
        <v>61.433435975064938</v>
      </c>
      <c r="M538" s="253">
        <v>59.337662790991992</v>
      </c>
      <c r="N538" s="253">
        <v>59.780930757931038</v>
      </c>
      <c r="O538" s="253">
        <v>54.66927767824334</v>
      </c>
      <c r="P538" s="253">
        <v>61.247963800000001</v>
      </c>
      <c r="Q538" s="253">
        <v>59.85</v>
      </c>
      <c r="R538" s="253">
        <v>64.611065330000002</v>
      </c>
      <c r="S538" s="253">
        <v>56.570552149999997</v>
      </c>
      <c r="T538" s="253"/>
      <c r="U538" s="253">
        <v>48.72489083</v>
      </c>
      <c r="V538" s="253"/>
      <c r="W538" s="253">
        <v>58.321529999999996</v>
      </c>
      <c r="X538" s="253"/>
      <c r="Y538" s="253">
        <v>48.219696970000001</v>
      </c>
      <c r="Z538" s="253">
        <v>62.175324675324703</v>
      </c>
      <c r="AA538" s="253"/>
      <c r="AB538" s="253"/>
      <c r="AC538" s="253"/>
      <c r="AD538" s="253"/>
      <c r="AE538" s="253"/>
    </row>
    <row r="539" spans="1:31">
      <c r="A539" s="33">
        <v>538</v>
      </c>
      <c r="B539" s="69" t="s">
        <v>2171</v>
      </c>
      <c r="C539" s="69" t="s">
        <v>1330</v>
      </c>
      <c r="D539" s="56">
        <v>42171</v>
      </c>
      <c r="F539" s="56"/>
      <c r="G539" s="69" t="str">
        <f t="shared" si="8"/>
        <v>User Registration</v>
      </c>
      <c r="H539" s="83" t="s">
        <v>2172</v>
      </c>
      <c r="I539" s="83"/>
      <c r="J539" s="69" t="s">
        <v>2173</v>
      </c>
      <c r="K539" s="69" t="s">
        <v>982</v>
      </c>
      <c r="L539" s="253">
        <v>56.263454300987021</v>
      </c>
      <c r="M539" s="253">
        <v>44.828543915418628</v>
      </c>
      <c r="N539" s="253">
        <v>58.978771927586202</v>
      </c>
      <c r="O539" s="253">
        <v>62.899564250421527</v>
      </c>
      <c r="P539" s="253">
        <v>54.813084109999998</v>
      </c>
      <c r="Q539" s="253">
        <v>43.288333333333341</v>
      </c>
      <c r="R539" s="253">
        <v>45.23068765</v>
      </c>
      <c r="S539" s="253">
        <v>48.290064100000002</v>
      </c>
      <c r="T539" s="253"/>
      <c r="U539" s="253">
        <v>34.253275109999997</v>
      </c>
      <c r="V539" s="253"/>
      <c r="W539" s="253">
        <v>65.456762999999995</v>
      </c>
      <c r="X539" s="253"/>
      <c r="Y539" s="253">
        <v>70.272727270000004</v>
      </c>
      <c r="Z539" s="253">
        <v>62.064935064935099</v>
      </c>
      <c r="AA539" s="253"/>
      <c r="AB539" s="253"/>
      <c r="AC539" s="253"/>
      <c r="AD539" s="253"/>
      <c r="AE539" s="253"/>
    </row>
    <row r="540" spans="1:31">
      <c r="A540" s="33">
        <v>539</v>
      </c>
      <c r="B540" s="69" t="s">
        <v>2164</v>
      </c>
      <c r="C540" s="69" t="s">
        <v>1639</v>
      </c>
      <c r="D540" s="56">
        <v>42172</v>
      </c>
      <c r="E540" s="266"/>
      <c r="F540" s="56"/>
      <c r="G540" s="69" t="str">
        <f t="shared" si="8"/>
        <v>User Registration</v>
      </c>
      <c r="H540" s="83" t="s">
        <v>2165</v>
      </c>
      <c r="I540" s="83"/>
      <c r="J540" s="69" t="s">
        <v>2164</v>
      </c>
      <c r="K540" s="69" t="s">
        <v>1635</v>
      </c>
      <c r="L540" s="253">
        <v>60.050599077999998</v>
      </c>
      <c r="M540" s="253">
        <v>61.168699913404254</v>
      </c>
      <c r="N540" s="253">
        <v>67.461922564137936</v>
      </c>
      <c r="O540" s="253">
        <v>62.598835178947361</v>
      </c>
      <c r="P540" s="253"/>
      <c r="Q540" s="253">
        <v>69.575000000000003</v>
      </c>
      <c r="R540" s="253">
        <v>63.434289060000005</v>
      </c>
      <c r="S540" s="253">
        <v>54.093480930000005</v>
      </c>
      <c r="T540" s="253"/>
      <c r="U540" s="253">
        <v>61.458937199999994</v>
      </c>
      <c r="V540" s="253"/>
      <c r="W540" s="253">
        <v>68.353251</v>
      </c>
      <c r="X540" s="253"/>
      <c r="Y540" s="253"/>
      <c r="Z540" s="253">
        <v>49.928571429999998</v>
      </c>
      <c r="AA540" s="253"/>
      <c r="AB540" s="253"/>
      <c r="AC540" s="253"/>
      <c r="AD540" s="253"/>
      <c r="AE540" s="253"/>
    </row>
    <row r="541" spans="1:31">
      <c r="A541" s="33">
        <v>540</v>
      </c>
      <c r="B541" s="31" t="s">
        <v>2166</v>
      </c>
      <c r="C541" s="69" t="s">
        <v>1639</v>
      </c>
      <c r="D541" s="56">
        <v>42172</v>
      </c>
      <c r="E541" s="266"/>
      <c r="F541" s="56"/>
      <c r="G541" s="69" t="str">
        <f t="shared" si="8"/>
        <v>User Registration</v>
      </c>
      <c r="H541" s="83" t="s">
        <v>2167</v>
      </c>
      <c r="I541" s="83"/>
      <c r="J541" s="31" t="s">
        <v>2166</v>
      </c>
      <c r="K541" s="69" t="s">
        <v>1635</v>
      </c>
      <c r="L541" s="253">
        <v>60.050599077999998</v>
      </c>
      <c r="M541" s="253">
        <v>61.168699913404254</v>
      </c>
      <c r="N541" s="253">
        <v>67.461922564137936</v>
      </c>
      <c r="O541" s="253">
        <v>62.598835178947361</v>
      </c>
      <c r="P541" s="253"/>
      <c r="Q541" s="253">
        <v>69.575000000000003</v>
      </c>
      <c r="R541" s="253">
        <v>63.434289060000005</v>
      </c>
      <c r="S541" s="253">
        <v>54.093480930000005</v>
      </c>
      <c r="T541" s="253"/>
      <c r="U541" s="253">
        <v>61.458937199999994</v>
      </c>
      <c r="V541" s="253"/>
      <c r="W541" s="253">
        <v>68.353251</v>
      </c>
      <c r="X541" s="253"/>
      <c r="Y541" s="253"/>
      <c r="Z541" s="253">
        <v>49.928571429999998</v>
      </c>
      <c r="AA541" s="253"/>
      <c r="AB541" s="253"/>
      <c r="AC541" s="253"/>
      <c r="AD541" s="253"/>
      <c r="AE541" s="253"/>
    </row>
    <row r="542" spans="1:31">
      <c r="A542" s="33">
        <v>541</v>
      </c>
      <c r="B542" s="69" t="s">
        <v>2164</v>
      </c>
      <c r="C542" s="69" t="s">
        <v>1639</v>
      </c>
      <c r="D542" s="56">
        <v>42172</v>
      </c>
      <c r="G542" s="69" t="str">
        <f t="shared" si="8"/>
        <v>User Registration</v>
      </c>
      <c r="H542" s="69" t="s">
        <v>2165</v>
      </c>
      <c r="J542" s="69" t="s">
        <v>2164</v>
      </c>
      <c r="K542" s="69" t="s">
        <v>2123</v>
      </c>
      <c r="L542" s="253">
        <v>52.43151086000001</v>
      </c>
      <c r="M542" s="253">
        <v>56.21713138851063</v>
      </c>
      <c r="N542" s="253">
        <v>58.493358979999996</v>
      </c>
      <c r="O542" s="253">
        <v>57.073452465789465</v>
      </c>
      <c r="P542" s="253"/>
      <c r="Q542" s="253">
        <v>65.712499999999991</v>
      </c>
      <c r="R542" s="253">
        <v>57.719910070000005</v>
      </c>
      <c r="S542" s="253">
        <v>56.889575609999994</v>
      </c>
      <c r="T542" s="253"/>
      <c r="U542" s="253">
        <v>52.431372549999999</v>
      </c>
      <c r="V542" s="253"/>
      <c r="W542" s="253">
        <v>57.642522500000005</v>
      </c>
      <c r="X542" s="253"/>
      <c r="Y542" s="253"/>
      <c r="Z542" s="253">
        <v>45.576158939999999</v>
      </c>
      <c r="AA542" s="253"/>
      <c r="AB542" s="253"/>
      <c r="AC542" s="253"/>
      <c r="AD542" s="253"/>
      <c r="AE542" s="253"/>
    </row>
    <row r="543" spans="1:31">
      <c r="A543" s="33">
        <v>542</v>
      </c>
      <c r="B543" s="69" t="s">
        <v>2166</v>
      </c>
      <c r="C543" s="69" t="s">
        <v>1639</v>
      </c>
      <c r="D543" s="56">
        <v>42172</v>
      </c>
      <c r="G543" s="69" t="str">
        <f t="shared" si="8"/>
        <v>User Registration</v>
      </c>
      <c r="H543" s="69" t="s">
        <v>2167</v>
      </c>
      <c r="J543" s="69" t="s">
        <v>2166</v>
      </c>
      <c r="K543" s="69" t="s">
        <v>2123</v>
      </c>
      <c r="L543" s="253">
        <v>52.43151086000001</v>
      </c>
      <c r="M543" s="253">
        <v>56.21713138851063</v>
      </c>
      <c r="N543" s="253">
        <v>58.493358979999996</v>
      </c>
      <c r="O543" s="253">
        <v>57.073452465789465</v>
      </c>
      <c r="P543" s="253"/>
      <c r="Q543" s="253">
        <v>65.712499999999991</v>
      </c>
      <c r="R543" s="253">
        <v>57.719910070000005</v>
      </c>
      <c r="S543" s="253">
        <v>56.889575609999994</v>
      </c>
      <c r="T543" s="253"/>
      <c r="U543" s="253">
        <v>52.431372549999999</v>
      </c>
      <c r="V543" s="253"/>
      <c r="W543" s="253">
        <v>57.642522500000005</v>
      </c>
      <c r="X543" s="253"/>
      <c r="Y543" s="253"/>
      <c r="Z543" s="253">
        <v>45.576158939999999</v>
      </c>
      <c r="AA543" s="253"/>
      <c r="AB543" s="253"/>
      <c r="AC543" s="253"/>
      <c r="AD543" s="253"/>
      <c r="AE543" s="253"/>
    </row>
    <row r="544" spans="1:31">
      <c r="A544" s="33">
        <v>543</v>
      </c>
      <c r="B544" s="31" t="s">
        <v>2166</v>
      </c>
      <c r="C544" s="69" t="s">
        <v>1639</v>
      </c>
      <c r="D544" s="56">
        <v>42172</v>
      </c>
      <c r="F544" s="56"/>
      <c r="G544" s="69" t="str">
        <f t="shared" si="8"/>
        <v>User Registration</v>
      </c>
      <c r="H544" s="83" t="s">
        <v>2167</v>
      </c>
      <c r="I544" s="83"/>
      <c r="J544" s="31" t="s">
        <v>2166</v>
      </c>
      <c r="K544" s="272" t="s">
        <v>2166</v>
      </c>
      <c r="L544" s="253">
        <v>41.801666666000003</v>
      </c>
      <c r="M544" s="253">
        <v>45.853291205875614</v>
      </c>
      <c r="N544" s="253">
        <v>42.195218832891243</v>
      </c>
      <c r="O544" s="253">
        <v>54.992272137611344</v>
      </c>
      <c r="P544" s="253"/>
      <c r="Q544" s="253">
        <v>54.712499999999999</v>
      </c>
      <c r="R544" s="253">
        <v>41.092307692307699</v>
      </c>
      <c r="S544" s="253">
        <v>53.271356779999998</v>
      </c>
      <c r="T544" s="253"/>
      <c r="U544" s="253">
        <v>48.431372549999999</v>
      </c>
      <c r="V544" s="253"/>
      <c r="W544" s="253">
        <v>40.648499999999999</v>
      </c>
      <c r="X544" s="253"/>
      <c r="Y544" s="253"/>
      <c r="Z544" s="253">
        <v>40.208333330000002</v>
      </c>
      <c r="AA544" s="253"/>
      <c r="AB544" s="253"/>
      <c r="AC544" s="253"/>
      <c r="AD544" s="253"/>
      <c r="AE544" s="253"/>
    </row>
    <row r="545" spans="1:31">
      <c r="A545" s="33">
        <v>544</v>
      </c>
      <c r="B545" s="69" t="s">
        <v>2164</v>
      </c>
      <c r="C545" s="69" t="s">
        <v>1639</v>
      </c>
      <c r="D545" s="56">
        <v>42172</v>
      </c>
      <c r="F545" s="56"/>
      <c r="G545" s="69" t="str">
        <f t="shared" si="8"/>
        <v>User Registration</v>
      </c>
      <c r="H545" s="83" t="s">
        <v>2165</v>
      </c>
      <c r="I545" s="83"/>
      <c r="J545" s="69" t="s">
        <v>2164</v>
      </c>
      <c r="K545" s="69" t="s">
        <v>369</v>
      </c>
      <c r="L545" s="253">
        <v>72.2</v>
      </c>
      <c r="M545" s="253">
        <v>59.382978723404257</v>
      </c>
      <c r="N545" s="253">
        <v>62.827586206896548</v>
      </c>
      <c r="O545" s="253">
        <v>70.05263157894737</v>
      </c>
      <c r="P545" s="253"/>
      <c r="Q545" s="253">
        <v>54</v>
      </c>
      <c r="R545" s="253">
        <v>60</v>
      </c>
      <c r="S545" s="253">
        <v>62</v>
      </c>
      <c r="T545" s="253"/>
      <c r="U545" s="253">
        <v>51</v>
      </c>
      <c r="V545" s="253"/>
      <c r="W545" s="253">
        <v>65</v>
      </c>
      <c r="X545" s="253"/>
      <c r="Y545" s="253"/>
      <c r="Z545" s="253">
        <v>77</v>
      </c>
      <c r="AA545" s="253"/>
      <c r="AB545" s="253"/>
      <c r="AC545" s="253"/>
      <c r="AD545" s="253"/>
      <c r="AE545" s="253"/>
    </row>
    <row r="546" spans="1:31">
      <c r="A546" s="33">
        <v>545</v>
      </c>
      <c r="B546" s="69" t="s">
        <v>2164</v>
      </c>
      <c r="C546" s="69" t="s">
        <v>1639</v>
      </c>
      <c r="D546" s="56">
        <v>42172</v>
      </c>
      <c r="F546" s="56"/>
      <c r="G546" s="69" t="str">
        <f t="shared" si="8"/>
        <v>User Registration</v>
      </c>
      <c r="H546" s="83" t="s">
        <v>2165</v>
      </c>
      <c r="I546" s="83"/>
      <c r="J546" s="69" t="s">
        <v>2164</v>
      </c>
      <c r="K546" s="89" t="s">
        <v>2164</v>
      </c>
      <c r="L546" s="253">
        <v>43.601666666</v>
      </c>
      <c r="M546" s="253">
        <v>45.889169386726678</v>
      </c>
      <c r="N546" s="253">
        <v>41.298667108753314</v>
      </c>
      <c r="O546" s="253">
        <v>55.044903716558714</v>
      </c>
      <c r="P546" s="253"/>
      <c r="Q546" s="253">
        <v>52.712499999999991</v>
      </c>
      <c r="R546" s="253">
        <v>41.092307692307699</v>
      </c>
      <c r="S546" s="253">
        <v>51.271356779999998</v>
      </c>
      <c r="T546" s="253"/>
      <c r="U546" s="253">
        <v>50.5</v>
      </c>
      <c r="V546" s="253"/>
      <c r="W546" s="253">
        <v>39.648499999999999</v>
      </c>
      <c r="X546" s="253"/>
      <c r="Y546" s="253"/>
      <c r="Z546" s="253">
        <v>41.208333330000002</v>
      </c>
      <c r="AA546" s="253"/>
      <c r="AB546" s="253"/>
      <c r="AC546" s="253"/>
      <c r="AD546" s="253"/>
      <c r="AE546" s="253"/>
    </row>
    <row r="547" spans="1:31">
      <c r="A547" s="33">
        <v>546</v>
      </c>
      <c r="B547" s="69" t="s">
        <v>2164</v>
      </c>
      <c r="C547" s="69" t="s">
        <v>1639</v>
      </c>
      <c r="D547" s="56">
        <v>42172</v>
      </c>
      <c r="F547" s="56"/>
      <c r="G547" s="69" t="str">
        <f t="shared" si="8"/>
        <v>User Registration</v>
      </c>
      <c r="H547" s="83" t="s">
        <v>2165</v>
      </c>
      <c r="I547" s="83"/>
      <c r="J547" s="69" t="s">
        <v>2164</v>
      </c>
      <c r="K547" s="69" t="s">
        <v>2168</v>
      </c>
      <c r="L547" s="253">
        <v>60.599999999999994</v>
      </c>
      <c r="M547" s="253">
        <v>55.553191489361708</v>
      </c>
      <c r="N547" s="253">
        <v>57.172413793103438</v>
      </c>
      <c r="O547" s="253">
        <v>60.473684210526301</v>
      </c>
      <c r="P547" s="253"/>
      <c r="Q547" s="253">
        <v>48</v>
      </c>
      <c r="R547" s="253">
        <v>58.999999999999993</v>
      </c>
      <c r="S547" s="253">
        <v>48</v>
      </c>
      <c r="T547" s="253"/>
      <c r="U547" s="253">
        <v>50</v>
      </c>
      <c r="V547" s="253"/>
      <c r="W547" s="253">
        <v>57.999999999999993</v>
      </c>
      <c r="X547" s="253"/>
      <c r="Y547" s="253"/>
      <c r="Z547" s="253">
        <v>71</v>
      </c>
      <c r="AA547" s="253"/>
      <c r="AB547" s="253"/>
      <c r="AC547" s="253"/>
      <c r="AD547" s="253"/>
      <c r="AE547" s="253"/>
    </row>
    <row r="548" spans="1:31">
      <c r="A548" s="33">
        <v>547</v>
      </c>
      <c r="B548" s="31" t="s">
        <v>2166</v>
      </c>
      <c r="C548" s="69" t="s">
        <v>1639</v>
      </c>
      <c r="D548" s="56">
        <v>42172</v>
      </c>
      <c r="F548" s="56"/>
      <c r="G548" s="69" t="str">
        <f t="shared" si="8"/>
        <v>User Registration</v>
      </c>
      <c r="H548" s="83" t="s">
        <v>2167</v>
      </c>
      <c r="I548" s="83"/>
      <c r="J548" s="31" t="s">
        <v>2166</v>
      </c>
      <c r="K548" s="69" t="s">
        <v>2169</v>
      </c>
      <c r="L548" s="253">
        <v>57.334183434000003</v>
      </c>
      <c r="M548" s="253">
        <v>50.133083033829784</v>
      </c>
      <c r="N548" s="253">
        <v>52.257744704827587</v>
      </c>
      <c r="O548" s="253">
        <v>53.40947924842105</v>
      </c>
      <c r="P548" s="253"/>
      <c r="Q548" s="253">
        <v>47.037499999999994</v>
      </c>
      <c r="R548" s="253">
        <v>54.509682739999995</v>
      </c>
      <c r="S548" s="253">
        <v>45.340649290000002</v>
      </c>
      <c r="T548" s="253"/>
      <c r="U548" s="253">
        <v>44.942222219999998</v>
      </c>
      <c r="V548" s="253"/>
      <c r="W548" s="253">
        <v>52.365200000000002</v>
      </c>
      <c r="X548" s="253"/>
      <c r="Y548" s="253"/>
      <c r="Z548" s="253">
        <v>52.474025970000007</v>
      </c>
      <c r="AA548" s="253"/>
      <c r="AB548" s="253"/>
      <c r="AC548" s="253"/>
      <c r="AD548" s="253"/>
      <c r="AE548" s="253"/>
    </row>
    <row r="549" spans="1:31">
      <c r="A549" s="33">
        <v>548</v>
      </c>
      <c r="B549" s="31" t="s">
        <v>2166</v>
      </c>
      <c r="C549" s="69" t="s">
        <v>1639</v>
      </c>
      <c r="D549" s="56">
        <v>42172</v>
      </c>
      <c r="F549" s="56"/>
      <c r="G549" s="69" t="str">
        <f t="shared" si="8"/>
        <v>User Registration</v>
      </c>
      <c r="H549" s="83" t="s">
        <v>2167</v>
      </c>
      <c r="I549" s="83"/>
      <c r="J549" s="31" t="s">
        <v>2166</v>
      </c>
      <c r="K549" s="69" t="s">
        <v>2170</v>
      </c>
      <c r="L549" s="253">
        <v>51.729727272000005</v>
      </c>
      <c r="M549" s="253">
        <v>51.901850417872332</v>
      </c>
      <c r="N549" s="253">
        <v>48.750579407586201</v>
      </c>
      <c r="O549" s="253">
        <v>54.717066670000001</v>
      </c>
      <c r="P549" s="253"/>
      <c r="Q549" s="253">
        <v>43.137500000000003</v>
      </c>
      <c r="R549" s="253">
        <v>53.007050470000003</v>
      </c>
      <c r="S549" s="253">
        <v>54.851552390000002</v>
      </c>
      <c r="T549" s="253"/>
      <c r="U549" s="253">
        <v>55.699346409999997</v>
      </c>
      <c r="V549" s="253"/>
      <c r="W549" s="253">
        <v>48.315599999999996</v>
      </c>
      <c r="X549" s="253"/>
      <c r="Y549" s="253"/>
      <c r="Z549" s="253">
        <v>46.863636360000001</v>
      </c>
      <c r="AA549" s="253"/>
      <c r="AB549" s="253"/>
      <c r="AC549" s="253"/>
      <c r="AD549" s="253"/>
      <c r="AE549" s="253"/>
    </row>
    <row r="550" spans="1:31">
      <c r="A550" s="33">
        <v>549</v>
      </c>
      <c r="B550" s="69" t="s">
        <v>2160</v>
      </c>
      <c r="C550" s="69" t="s">
        <v>1232</v>
      </c>
      <c r="D550" s="56">
        <v>42174</v>
      </c>
      <c r="G550" s="69" t="str">
        <f t="shared" si="8"/>
        <v>User Registration</v>
      </c>
      <c r="H550" s="69" t="s">
        <v>2032</v>
      </c>
      <c r="J550" s="69" t="s">
        <v>2160</v>
      </c>
      <c r="K550" s="69" t="s">
        <v>2161</v>
      </c>
      <c r="L550" s="253">
        <v>65.698055805999999</v>
      </c>
      <c r="M550" s="253">
        <v>64.421863062766008</v>
      </c>
      <c r="N550" s="253">
        <v>58.909370933658529</v>
      </c>
      <c r="O550" s="253">
        <v>66.577920277894734</v>
      </c>
      <c r="P550" s="253">
        <v>65.770297029999995</v>
      </c>
      <c r="Q550" s="253">
        <v>67.038750000000007</v>
      </c>
      <c r="R550" s="253">
        <v>64.952521090000005</v>
      </c>
      <c r="S550" s="253">
        <v>65.134540749999999</v>
      </c>
      <c r="T550" s="253"/>
      <c r="U550" s="253">
        <v>51.469194309999999</v>
      </c>
      <c r="V550" s="253"/>
      <c r="W550" s="253">
        <v>55.222641586999998</v>
      </c>
      <c r="X550" s="253">
        <v>60</v>
      </c>
      <c r="Y550" s="253">
        <v>67.585669780000003</v>
      </c>
      <c r="Z550" s="253">
        <v>65.409090910000003</v>
      </c>
      <c r="AA550" s="253"/>
      <c r="AB550" s="253"/>
      <c r="AC550" s="253"/>
      <c r="AD550" s="253"/>
      <c r="AE550" s="253"/>
    </row>
    <row r="551" spans="1:31">
      <c r="A551" s="33">
        <v>550</v>
      </c>
      <c r="B551" s="69" t="s">
        <v>2160</v>
      </c>
      <c r="C551" s="69" t="s">
        <v>1232</v>
      </c>
      <c r="D551" s="56">
        <v>42174</v>
      </c>
      <c r="G551" s="69" t="str">
        <f t="shared" si="8"/>
        <v>User Registration</v>
      </c>
      <c r="H551" s="69" t="s">
        <v>2032</v>
      </c>
      <c r="J551" s="69" t="s">
        <v>2160</v>
      </c>
      <c r="K551" s="69" t="s">
        <v>2031</v>
      </c>
      <c r="L551" s="253">
        <v>65.429230767999996</v>
      </c>
      <c r="M551" s="253">
        <v>61.557490111914888</v>
      </c>
      <c r="N551" s="253">
        <v>61.423473058668421</v>
      </c>
      <c r="O551" s="253">
        <v>68.416221958421048</v>
      </c>
      <c r="P551" s="253">
        <v>64.721538460000005</v>
      </c>
      <c r="Q551" s="253">
        <v>60.698749999999997</v>
      </c>
      <c r="R551" s="253">
        <v>60.705942999999998</v>
      </c>
      <c r="S551" s="253">
        <v>63.880758810000003</v>
      </c>
      <c r="T551" s="253"/>
      <c r="U551" s="253">
        <v>59.030612240000004</v>
      </c>
      <c r="V551" s="253"/>
      <c r="W551" s="253">
        <v>63.331254100000002</v>
      </c>
      <c r="X551" s="253">
        <v>58.783783783783782</v>
      </c>
      <c r="Y551" s="253">
        <v>71.261682239999999</v>
      </c>
      <c r="Z551" s="253">
        <v>68.259999999999991</v>
      </c>
      <c r="AA551" s="253"/>
      <c r="AB551" s="253"/>
      <c r="AC551" s="253"/>
      <c r="AD551" s="253"/>
      <c r="AE551" s="253"/>
    </row>
    <row r="552" spans="1:31">
      <c r="A552" s="33">
        <v>551</v>
      </c>
      <c r="B552" s="69" t="s">
        <v>2160</v>
      </c>
      <c r="C552" s="69" t="s">
        <v>1232</v>
      </c>
      <c r="D552" s="56">
        <v>42174</v>
      </c>
      <c r="F552" s="56"/>
      <c r="G552" s="69" t="str">
        <f t="shared" si="8"/>
        <v>User Registration</v>
      </c>
      <c r="H552" s="83" t="s">
        <v>2032</v>
      </c>
      <c r="I552" s="83"/>
      <c r="J552" s="69" t="s">
        <v>2160</v>
      </c>
      <c r="K552" s="69" t="s">
        <v>2162</v>
      </c>
      <c r="L552" s="253">
        <v>54.970224266000002</v>
      </c>
      <c r="M552" s="253">
        <v>52.871785564468077</v>
      </c>
      <c r="N552" s="253">
        <v>46.286875515187866</v>
      </c>
      <c r="O552" s="253">
        <v>54.643461074736798</v>
      </c>
      <c r="P552" s="253">
        <v>50.759447000000002</v>
      </c>
      <c r="Q552" s="253">
        <v>55.126249999999999</v>
      </c>
      <c r="R552" s="253">
        <v>51.198193569999994</v>
      </c>
      <c r="S552" s="253">
        <v>51.832718329999992</v>
      </c>
      <c r="T552" s="253"/>
      <c r="U552" s="253">
        <v>46.018957350000001</v>
      </c>
      <c r="V552" s="253"/>
      <c r="W552" s="253">
        <v>43.124564100000001</v>
      </c>
      <c r="X552" s="253">
        <v>46.891891891891888</v>
      </c>
      <c r="Y552" s="253">
        <v>50.780373830000002</v>
      </c>
      <c r="Z552" s="253">
        <v>71.813333329999992</v>
      </c>
      <c r="AA552" s="253"/>
      <c r="AB552" s="253"/>
      <c r="AC552" s="253"/>
      <c r="AD552" s="253"/>
      <c r="AE552" s="253"/>
    </row>
    <row r="553" spans="1:31">
      <c r="A553" s="33">
        <v>552</v>
      </c>
      <c r="B553" s="69" t="s">
        <v>2160</v>
      </c>
      <c r="C553" s="69" t="s">
        <v>1232</v>
      </c>
      <c r="D553" s="56">
        <v>42174</v>
      </c>
      <c r="F553" s="56"/>
      <c r="G553" s="69" t="str">
        <f t="shared" si="8"/>
        <v>User Registration</v>
      </c>
      <c r="H553" s="83" t="s">
        <v>2032</v>
      </c>
      <c r="I553" s="83"/>
      <c r="J553" s="69" t="s">
        <v>2160</v>
      </c>
      <c r="K553" s="69" t="s">
        <v>2160</v>
      </c>
      <c r="L553" s="253">
        <v>59.385570958000002</v>
      </c>
      <c r="M553" s="253">
        <v>55.005212945744695</v>
      </c>
      <c r="N553" s="253">
        <v>50.089671482421629</v>
      </c>
      <c r="O553" s="253">
        <v>63.15852288210526</v>
      </c>
      <c r="P553" s="253">
        <v>58.770297029999995</v>
      </c>
      <c r="Q553" s="253">
        <v>51.123465400000001</v>
      </c>
      <c r="R553" s="253">
        <v>55.226123129999991</v>
      </c>
      <c r="S553" s="253">
        <v>55.925707550000006</v>
      </c>
      <c r="T553" s="253"/>
      <c r="U553" s="253">
        <v>43.519417480000001</v>
      </c>
      <c r="V553" s="253"/>
      <c r="W553" s="253">
        <v>45.12314546564</v>
      </c>
      <c r="X553" s="253">
        <v>55.54054054054054</v>
      </c>
      <c r="Y553" s="253">
        <v>67.327718219999994</v>
      </c>
      <c r="Z553" s="253">
        <v>61.846666669999991</v>
      </c>
      <c r="AA553" s="253"/>
      <c r="AB553" s="253"/>
      <c r="AC553" s="253"/>
      <c r="AD553" s="253"/>
      <c r="AE553" s="253"/>
    </row>
    <row r="554" spans="1:31">
      <c r="A554" s="33">
        <v>553</v>
      </c>
      <c r="B554" s="69" t="s">
        <v>2160</v>
      </c>
      <c r="C554" s="69" t="s">
        <v>1232</v>
      </c>
      <c r="D554" s="56">
        <v>42174</v>
      </c>
      <c r="F554" s="56"/>
      <c r="G554" s="69" t="str">
        <f t="shared" si="8"/>
        <v>User Registration</v>
      </c>
      <c r="H554" s="83" t="s">
        <v>2032</v>
      </c>
      <c r="I554" s="83"/>
      <c r="J554" s="69" t="s">
        <v>2160</v>
      </c>
      <c r="K554" s="69" t="s">
        <v>2163</v>
      </c>
      <c r="L554" s="253">
        <v>45.702656548000007</v>
      </c>
      <c r="M554" s="253">
        <v>51.091740425531917</v>
      </c>
      <c r="N554" s="253">
        <v>48.173985346896558</v>
      </c>
      <c r="O554" s="253">
        <v>47.710534064210528</v>
      </c>
      <c r="P554" s="253">
        <v>45.537634410000003</v>
      </c>
      <c r="Q554" s="253">
        <v>43.0625</v>
      </c>
      <c r="R554" s="253">
        <v>53.924940509999999</v>
      </c>
      <c r="S554" s="253">
        <v>42.561919500000002</v>
      </c>
      <c r="T554" s="253"/>
      <c r="U554" s="253">
        <v>57.725274729999995</v>
      </c>
      <c r="V554" s="253"/>
      <c r="W554" s="253">
        <v>47.215421599999999</v>
      </c>
      <c r="X554" s="253"/>
      <c r="Y554" s="253">
        <v>48.121212120000003</v>
      </c>
      <c r="Z554" s="253">
        <v>46.362745099999998</v>
      </c>
      <c r="AA554" s="253"/>
      <c r="AB554" s="253"/>
      <c r="AC554" s="253"/>
      <c r="AD554" s="253"/>
      <c r="AE554" s="253"/>
    </row>
    <row r="555" spans="1:31">
      <c r="A555" s="33">
        <v>554</v>
      </c>
      <c r="B555" s="69" t="s">
        <v>2155</v>
      </c>
      <c r="C555" s="69" t="s">
        <v>740</v>
      </c>
      <c r="D555" s="56">
        <v>42179</v>
      </c>
      <c r="E555" s="266"/>
      <c r="F555" s="56"/>
      <c r="G555" s="69" t="str">
        <f t="shared" si="8"/>
        <v>User Registration</v>
      </c>
      <c r="H555" s="69" t="s">
        <v>922</v>
      </c>
      <c r="J555" s="69" t="s">
        <v>2155</v>
      </c>
      <c r="K555" s="69" t="s">
        <v>391</v>
      </c>
      <c r="L555" s="253">
        <v>67.778499278161604</v>
      </c>
      <c r="M555" s="253">
        <v>65.695426721063825</v>
      </c>
      <c r="N555" s="253">
        <v>60.699630793573697</v>
      </c>
      <c r="O555" s="253">
        <v>69.222704836842112</v>
      </c>
      <c r="P555" s="253">
        <v>67.895202020202007</v>
      </c>
      <c r="Q555" s="253">
        <v>68.783749999999998</v>
      </c>
      <c r="R555" s="253">
        <v>69.167920930000008</v>
      </c>
      <c r="S555" s="253">
        <v>65.338753390000008</v>
      </c>
      <c r="T555" s="253"/>
      <c r="U555" s="253">
        <v>56.303317539999995</v>
      </c>
      <c r="V555" s="253"/>
      <c r="W555" s="253">
        <v>66.141304347826093</v>
      </c>
      <c r="X555" s="253">
        <v>45.375</v>
      </c>
      <c r="Y555" s="253">
        <v>70.621460510000006</v>
      </c>
      <c r="Z555" s="253">
        <v>67.311688309999994</v>
      </c>
      <c r="AA555" s="253"/>
      <c r="AB555" s="253"/>
      <c r="AC555" s="253"/>
      <c r="AD555" s="253"/>
      <c r="AE555" s="253"/>
    </row>
    <row r="556" spans="1:31">
      <c r="A556" s="33">
        <v>555</v>
      </c>
      <c r="B556" s="69" t="s">
        <v>2155</v>
      </c>
      <c r="C556" s="69" t="s">
        <v>740</v>
      </c>
      <c r="D556" s="56">
        <v>42179</v>
      </c>
      <c r="G556" s="69" t="str">
        <f t="shared" si="8"/>
        <v>User Registration</v>
      </c>
      <c r="H556" s="69" t="s">
        <v>922</v>
      </c>
      <c r="J556" s="69" t="s">
        <v>2155</v>
      </c>
      <c r="K556" s="69" t="s">
        <v>1363</v>
      </c>
      <c r="L556" s="253">
        <v>70.651512090950533</v>
      </c>
      <c r="M556" s="253">
        <v>65.047044957234036</v>
      </c>
      <c r="N556" s="253">
        <v>53.716670852979838</v>
      </c>
      <c r="O556" s="253">
        <v>65.922141117368426</v>
      </c>
      <c r="P556" s="253">
        <v>72.868811881188151</v>
      </c>
      <c r="Q556" s="253">
        <v>67.653749999999988</v>
      </c>
      <c r="R556" s="253">
        <v>63.88559321999999</v>
      </c>
      <c r="S556" s="253">
        <v>70.532664940000004</v>
      </c>
      <c r="T556" s="253"/>
      <c r="U556" s="253">
        <v>64.146919429999997</v>
      </c>
      <c r="V556" s="253"/>
      <c r="W556" s="253">
        <v>51.630434782608688</v>
      </c>
      <c r="X556" s="253">
        <v>48.625</v>
      </c>
      <c r="Y556" s="253">
        <v>67.765151520000003</v>
      </c>
      <c r="Z556" s="253">
        <v>61.782312930000003</v>
      </c>
      <c r="AA556" s="253"/>
      <c r="AB556" s="253"/>
      <c r="AC556" s="253"/>
      <c r="AD556" s="253"/>
      <c r="AE556" s="253"/>
    </row>
    <row r="557" spans="1:31">
      <c r="A557" s="33">
        <v>556</v>
      </c>
      <c r="B557" s="69" t="s">
        <v>2155</v>
      </c>
      <c r="C557" s="69" t="s">
        <v>740</v>
      </c>
      <c r="D557" s="56">
        <v>42179</v>
      </c>
      <c r="F557" s="56"/>
      <c r="G557" s="69" t="str">
        <f t="shared" si="8"/>
        <v>User Registration</v>
      </c>
      <c r="H557" s="69" t="s">
        <v>922</v>
      </c>
      <c r="J557" s="69" t="s">
        <v>2155</v>
      </c>
      <c r="K557" s="69" t="s">
        <v>379</v>
      </c>
      <c r="L557" s="253">
        <v>60.605032467714324</v>
      </c>
      <c r="M557" s="253">
        <v>62.169005403617028</v>
      </c>
      <c r="N557" s="253">
        <v>53.831185402735933</v>
      </c>
      <c r="O557" s="253">
        <v>64.357071112631573</v>
      </c>
      <c r="P557" s="253">
        <v>61.341517857142904</v>
      </c>
      <c r="Q557" s="253">
        <v>54.425000000000011</v>
      </c>
      <c r="R557" s="253">
        <v>67.032484310000001</v>
      </c>
      <c r="S557" s="253">
        <v>69.408018869999992</v>
      </c>
      <c r="T557" s="253"/>
      <c r="U557" s="253">
        <v>55</v>
      </c>
      <c r="V557" s="253"/>
      <c r="W557" s="253">
        <v>51.630434782608688</v>
      </c>
      <c r="X557" s="253">
        <v>50.749999999999993</v>
      </c>
      <c r="Y557" s="253">
        <v>67.659090909999989</v>
      </c>
      <c r="Z557" s="253">
        <v>57.659090909999996</v>
      </c>
      <c r="AA557" s="253"/>
      <c r="AB557" s="253"/>
      <c r="AC557" s="253"/>
      <c r="AD557" s="253"/>
      <c r="AE557" s="253"/>
    </row>
    <row r="558" spans="1:31">
      <c r="A558" s="33">
        <v>557</v>
      </c>
      <c r="B558" s="69" t="s">
        <v>2155</v>
      </c>
      <c r="C558" s="69" t="s">
        <v>740</v>
      </c>
      <c r="D558" s="56">
        <v>42179</v>
      </c>
      <c r="F558" s="56"/>
      <c r="G558" s="69" t="str">
        <f t="shared" si="8"/>
        <v>User Registration</v>
      </c>
      <c r="H558" s="69" t="s">
        <v>922</v>
      </c>
      <c r="J558" s="69" t="s">
        <v>2155</v>
      </c>
      <c r="K558" s="69" t="s">
        <v>923</v>
      </c>
      <c r="L558" s="253">
        <v>57.275133023211879</v>
      </c>
      <c r="M558" s="253">
        <v>54.527956217872344</v>
      </c>
      <c r="N558" s="253">
        <v>42.444798073340401</v>
      </c>
      <c r="O558" s="253">
        <v>58.150066930526307</v>
      </c>
      <c r="P558" s="253">
        <v>58.029290429014836</v>
      </c>
      <c r="Q558" s="253">
        <v>52.672499999999999</v>
      </c>
      <c r="R558" s="253">
        <v>54.97856582</v>
      </c>
      <c r="S558" s="253">
        <v>59.413971539999999</v>
      </c>
      <c r="T558" s="253"/>
      <c r="U558" s="253">
        <v>51.943127959999998</v>
      </c>
      <c r="V558" s="253"/>
      <c r="W558" s="253">
        <v>41.467391304347828</v>
      </c>
      <c r="X558" s="253">
        <v>35.25</v>
      </c>
      <c r="Y558" s="253">
        <v>61.151515150000002</v>
      </c>
      <c r="Z558" s="253">
        <v>54.258503400000002</v>
      </c>
      <c r="AA558" s="253"/>
      <c r="AB558" s="253"/>
      <c r="AC558" s="253"/>
      <c r="AD558" s="253"/>
      <c r="AE558" s="253"/>
    </row>
    <row r="559" spans="1:31">
      <c r="A559" s="33">
        <v>558</v>
      </c>
      <c r="B559" s="69" t="s">
        <v>2156</v>
      </c>
      <c r="C559" s="69" t="s">
        <v>740</v>
      </c>
      <c r="D559" s="56">
        <v>42179</v>
      </c>
      <c r="F559" s="56"/>
      <c r="G559" s="69" t="str">
        <f t="shared" si="8"/>
        <v>E-Commerce</v>
      </c>
      <c r="H559" s="83" t="s">
        <v>2157</v>
      </c>
      <c r="I559" s="83"/>
      <c r="J559" s="69" t="s">
        <v>2156</v>
      </c>
      <c r="K559" s="69" t="s">
        <v>2156</v>
      </c>
      <c r="L559" s="253">
        <v>63</v>
      </c>
      <c r="M559" s="253">
        <v>59.914576271186434</v>
      </c>
      <c r="N559" s="253">
        <v>69.248907739134779</v>
      </c>
      <c r="O559" s="253">
        <v>61.660552278947364</v>
      </c>
      <c r="P559" s="253">
        <v>63</v>
      </c>
      <c r="Q559" s="253">
        <v>59.11999999999999</v>
      </c>
      <c r="R559" s="253">
        <v>60</v>
      </c>
      <c r="S559" s="253">
        <v>58.999999999999993</v>
      </c>
      <c r="T559" s="253"/>
      <c r="U559" s="253">
        <v>62</v>
      </c>
      <c r="V559" s="253">
        <v>64</v>
      </c>
      <c r="W559" s="253"/>
      <c r="X559" s="253"/>
      <c r="Y559" s="253">
        <v>61.843049329999999</v>
      </c>
      <c r="Z559" s="253">
        <v>63</v>
      </c>
      <c r="AA559" s="253"/>
      <c r="AB559" s="253"/>
      <c r="AC559" s="253"/>
      <c r="AD559" s="253"/>
      <c r="AE559" s="253"/>
    </row>
    <row r="560" spans="1:31">
      <c r="A560" s="33">
        <v>559</v>
      </c>
      <c r="B560" s="69" t="s">
        <v>2156</v>
      </c>
      <c r="C560" s="69" t="s">
        <v>740</v>
      </c>
      <c r="D560" s="56">
        <v>42179</v>
      </c>
      <c r="F560" s="56"/>
      <c r="G560" s="69" t="str">
        <f t="shared" si="8"/>
        <v>E-Commerce</v>
      </c>
      <c r="H560" s="83" t="s">
        <v>2157</v>
      </c>
      <c r="I560" s="83"/>
      <c r="J560" s="69" t="s">
        <v>2156</v>
      </c>
      <c r="K560" s="69" t="s">
        <v>728</v>
      </c>
      <c r="L560" s="253">
        <v>58.4</v>
      </c>
      <c r="M560" s="253">
        <v>64.690169491525424</v>
      </c>
      <c r="N560" s="253">
        <v>67.264234319644729</v>
      </c>
      <c r="O560" s="253">
        <v>56.928256578947376</v>
      </c>
      <c r="P560" s="253">
        <v>57.999999999999993</v>
      </c>
      <c r="Q560" s="253">
        <v>70.84</v>
      </c>
      <c r="R560" s="253">
        <v>65</v>
      </c>
      <c r="S560" s="253">
        <v>56.000000000000007</v>
      </c>
      <c r="T560" s="253"/>
      <c r="U560" s="253">
        <v>69</v>
      </c>
      <c r="V560" s="253">
        <v>72</v>
      </c>
      <c r="W560" s="253"/>
      <c r="X560" s="253"/>
      <c r="Y560" s="253">
        <v>52.47968749999999</v>
      </c>
      <c r="Z560" s="253">
        <v>60</v>
      </c>
      <c r="AA560" s="253"/>
      <c r="AB560" s="253"/>
      <c r="AC560" s="253"/>
      <c r="AD560" s="253"/>
      <c r="AE560" s="253"/>
    </row>
    <row r="561" spans="1:31">
      <c r="A561" s="33">
        <v>560</v>
      </c>
      <c r="B561" s="69" t="s">
        <v>2156</v>
      </c>
      <c r="C561" s="69" t="s">
        <v>740</v>
      </c>
      <c r="D561" s="56">
        <v>42179</v>
      </c>
      <c r="F561" s="56"/>
      <c r="G561" s="69" t="str">
        <f t="shared" si="8"/>
        <v>E-Commerce</v>
      </c>
      <c r="H561" s="83" t="s">
        <v>2157</v>
      </c>
      <c r="I561" s="83"/>
      <c r="J561" s="69" t="s">
        <v>2156</v>
      </c>
      <c r="K561" s="69" t="s">
        <v>669</v>
      </c>
      <c r="L561" s="253">
        <v>58.03137255</v>
      </c>
      <c r="M561" s="253">
        <v>63.095380525423728</v>
      </c>
      <c r="N561" s="253">
        <v>64.963724365051647</v>
      </c>
      <c r="O561" s="253">
        <v>62.121871776315793</v>
      </c>
      <c r="P561" s="253">
        <v>56.000000000000007</v>
      </c>
      <c r="Q561" s="253">
        <v>66</v>
      </c>
      <c r="R561" s="253">
        <v>60</v>
      </c>
      <c r="S561" s="253">
        <v>56.999999999999993</v>
      </c>
      <c r="T561" s="253"/>
      <c r="U561" s="253">
        <v>71</v>
      </c>
      <c r="V561" s="253">
        <v>69</v>
      </c>
      <c r="W561" s="253"/>
      <c r="X561" s="253"/>
      <c r="Y561" s="253">
        <v>60.65312500000001</v>
      </c>
      <c r="Z561" s="253">
        <v>66.156862750000002</v>
      </c>
      <c r="AA561" s="253"/>
      <c r="AB561" s="253"/>
      <c r="AC561" s="253"/>
      <c r="AD561" s="253"/>
      <c r="AE561" s="253"/>
    </row>
    <row r="562" spans="1:31">
      <c r="A562" s="33">
        <v>561</v>
      </c>
      <c r="B562" s="69" t="s">
        <v>2156</v>
      </c>
      <c r="C562" s="69" t="s">
        <v>740</v>
      </c>
      <c r="D562" s="56">
        <v>42179</v>
      </c>
      <c r="F562" s="56"/>
      <c r="G562" s="69" t="str">
        <f t="shared" si="8"/>
        <v>E-Commerce</v>
      </c>
      <c r="H562" s="83" t="s">
        <v>2157</v>
      </c>
      <c r="I562" s="83"/>
      <c r="J562" s="69" t="s">
        <v>2156</v>
      </c>
      <c r="K562" s="69" t="s">
        <v>2158</v>
      </c>
      <c r="L562" s="253">
        <v>58.390849674000009</v>
      </c>
      <c r="M562" s="253">
        <v>55.385426060677965</v>
      </c>
      <c r="N562" s="253">
        <v>60.956506661344243</v>
      </c>
      <c r="O562" s="253">
        <v>63.066557134210534</v>
      </c>
      <c r="P562" s="253">
        <v>56.000000000000007</v>
      </c>
      <c r="Q562" s="253">
        <v>72.45</v>
      </c>
      <c r="R562" s="253">
        <v>52</v>
      </c>
      <c r="S562" s="253">
        <v>45</v>
      </c>
      <c r="T562" s="253"/>
      <c r="U562" s="253">
        <v>58.432314409999996</v>
      </c>
      <c r="V562" s="253">
        <v>55</v>
      </c>
      <c r="W562" s="253"/>
      <c r="X562" s="253"/>
      <c r="Y562" s="253">
        <v>63.704334369999991</v>
      </c>
      <c r="Z562" s="253">
        <v>67.954248370000002</v>
      </c>
      <c r="AA562" s="253"/>
      <c r="AB562" s="253"/>
      <c r="AC562" s="253"/>
      <c r="AD562" s="253"/>
      <c r="AE562" s="253"/>
    </row>
    <row r="563" spans="1:31">
      <c r="A563" s="33">
        <v>562</v>
      </c>
      <c r="B563" s="69" t="s">
        <v>2156</v>
      </c>
      <c r="C563" s="69" t="s">
        <v>740</v>
      </c>
      <c r="D563" s="56">
        <v>42179</v>
      </c>
      <c r="F563" s="56"/>
      <c r="G563" s="69" t="str">
        <f t="shared" si="8"/>
        <v>E-Commerce</v>
      </c>
      <c r="H563" s="83" t="s">
        <v>2157</v>
      </c>
      <c r="I563" s="83"/>
      <c r="J563" s="69" t="s">
        <v>2156</v>
      </c>
      <c r="K563" s="69" t="s">
        <v>2159</v>
      </c>
      <c r="L563" s="253">
        <v>55.959477124000003</v>
      </c>
      <c r="M563" s="253">
        <v>58.831877484406782</v>
      </c>
      <c r="N563" s="253">
        <v>59.2676015397535</v>
      </c>
      <c r="O563" s="253">
        <v>53.856413268421051</v>
      </c>
      <c r="P563" s="253">
        <v>54</v>
      </c>
      <c r="Q563" s="253">
        <v>61.06</v>
      </c>
      <c r="R563" s="253">
        <v>56.000000000000007</v>
      </c>
      <c r="S563" s="253">
        <v>52</v>
      </c>
      <c r="T563" s="253"/>
      <c r="U563" s="253">
        <v>68</v>
      </c>
      <c r="V563" s="253">
        <v>63.14112291</v>
      </c>
      <c r="W563" s="253"/>
      <c r="X563" s="253"/>
      <c r="Y563" s="253">
        <v>47.922492400000003</v>
      </c>
      <c r="Z563" s="253">
        <v>63.79738562</v>
      </c>
      <c r="AA563" s="253"/>
      <c r="AB563" s="253"/>
      <c r="AC563" s="253"/>
      <c r="AD563" s="253"/>
      <c r="AE563" s="253"/>
    </row>
    <row r="564" spans="1:31">
      <c r="A564" s="33">
        <v>563</v>
      </c>
      <c r="B564" s="69" t="s">
        <v>2155</v>
      </c>
      <c r="C564" s="69" t="s">
        <v>740</v>
      </c>
      <c r="D564" s="56">
        <v>42179</v>
      </c>
      <c r="F564" s="56"/>
      <c r="G564" s="69" t="str">
        <f t="shared" si="8"/>
        <v>User Registration</v>
      </c>
      <c r="H564" s="69" t="s">
        <v>922</v>
      </c>
      <c r="J564" s="69" t="s">
        <v>2155</v>
      </c>
      <c r="K564" s="69" t="s">
        <v>1447</v>
      </c>
      <c r="L564" s="253">
        <v>63.96573718497028</v>
      </c>
      <c r="M564" s="253">
        <v>58.124577160638303</v>
      </c>
      <c r="N564" s="253">
        <v>58.086908166171789</v>
      </c>
      <c r="O564" s="253">
        <v>53.970592378947366</v>
      </c>
      <c r="P564" s="253">
        <v>65.496287128712865</v>
      </c>
      <c r="Q564" s="253">
        <v>45.952499999999993</v>
      </c>
      <c r="R564" s="253">
        <v>59.342260150000001</v>
      </c>
      <c r="S564" s="253">
        <v>65.147153950000003</v>
      </c>
      <c r="T564" s="253"/>
      <c r="U564" s="253">
        <v>58.919431279999998</v>
      </c>
      <c r="V564" s="253"/>
      <c r="W564" s="253">
        <v>69.782608695652172</v>
      </c>
      <c r="X564" s="253">
        <v>41</v>
      </c>
      <c r="Y564" s="253">
        <v>50.64393939</v>
      </c>
      <c r="Z564" s="253">
        <v>57.843537410000003</v>
      </c>
      <c r="AA564" s="253"/>
      <c r="AB564" s="253"/>
      <c r="AC564" s="253"/>
      <c r="AD564" s="253"/>
      <c r="AE564" s="253"/>
    </row>
    <row r="565" spans="1:31">
      <c r="A565" s="33">
        <v>564</v>
      </c>
      <c r="B565" s="270" t="s">
        <v>2142</v>
      </c>
      <c r="C565" s="151" t="s">
        <v>1330</v>
      </c>
      <c r="D565" s="268">
        <v>42180</v>
      </c>
      <c r="E565" s="269"/>
      <c r="F565" s="268"/>
      <c r="G565" s="69" t="str">
        <f t="shared" si="8"/>
        <v>User Registration</v>
      </c>
      <c r="H565" s="83" t="s">
        <v>2143</v>
      </c>
      <c r="I565" s="83"/>
      <c r="J565" s="270" t="s">
        <v>2142</v>
      </c>
      <c r="K565" s="270" t="s">
        <v>2144</v>
      </c>
      <c r="L565" s="253">
        <v>59.397450859999999</v>
      </c>
      <c r="M565" s="253">
        <v>60.351332541026068</v>
      </c>
      <c r="N565" s="253">
        <v>46.96343364839317</v>
      </c>
      <c r="O565" s="253">
        <v>61.803107106387934</v>
      </c>
      <c r="P565" s="253">
        <v>59.713395640000002</v>
      </c>
      <c r="Q565" s="253">
        <v>71.166666666651295</v>
      </c>
      <c r="R565" s="253">
        <v>59.337630449999999</v>
      </c>
      <c r="S565" s="253">
        <v>59.993160054719553</v>
      </c>
      <c r="T565" s="253"/>
      <c r="U565" s="253">
        <v>57.213270140000006</v>
      </c>
      <c r="V565" s="253"/>
      <c r="W565" s="253">
        <v>39.620689655172399</v>
      </c>
      <c r="X565" s="253"/>
      <c r="Y565" s="253">
        <v>63.375558870000006</v>
      </c>
      <c r="Z565" s="253">
        <v>58.13367173999999</v>
      </c>
      <c r="AA565" s="253"/>
      <c r="AB565" s="253"/>
      <c r="AC565" s="253"/>
      <c r="AD565" s="253"/>
      <c r="AE565" s="253"/>
    </row>
    <row r="566" spans="1:31">
      <c r="A566" s="33">
        <v>565</v>
      </c>
      <c r="B566" s="69" t="s">
        <v>2142</v>
      </c>
      <c r="C566" s="69" t="s">
        <v>1330</v>
      </c>
      <c r="D566" s="56">
        <v>42180</v>
      </c>
      <c r="G566" s="69" t="str">
        <f t="shared" si="8"/>
        <v>User Registration</v>
      </c>
      <c r="H566" s="69" t="s">
        <v>2143</v>
      </c>
      <c r="J566" s="69" t="s">
        <v>2142</v>
      </c>
      <c r="K566" s="69" t="s">
        <v>1495</v>
      </c>
      <c r="L566" s="253">
        <v>67.720835906000005</v>
      </c>
      <c r="M566" s="253">
        <v>65.457784521780496</v>
      </c>
      <c r="N566" s="253">
        <v>61.961649049237096</v>
      </c>
      <c r="O566" s="253">
        <v>66.086659689418283</v>
      </c>
      <c r="P566" s="253">
        <v>68.257009350000004</v>
      </c>
      <c r="Q566" s="253">
        <v>64.740131578947299</v>
      </c>
      <c r="R566" s="253">
        <v>65.157214960000005</v>
      </c>
      <c r="S566" s="253">
        <v>68.851351350000002</v>
      </c>
      <c r="T566" s="253"/>
      <c r="U566" s="253">
        <v>64.39419651</v>
      </c>
      <c r="V566" s="253"/>
      <c r="W566" s="253">
        <v>60.586206896551694</v>
      </c>
      <c r="X566" s="253"/>
      <c r="Y566" s="253">
        <v>66.385991059999995</v>
      </c>
      <c r="Z566" s="253">
        <v>65.576142130000008</v>
      </c>
      <c r="AA566" s="253"/>
      <c r="AB566" s="253"/>
      <c r="AC566" s="253"/>
      <c r="AD566" s="253"/>
      <c r="AE566" s="253"/>
    </row>
    <row r="567" spans="1:31">
      <c r="A567" s="33">
        <v>566</v>
      </c>
      <c r="B567" s="69" t="s">
        <v>2142</v>
      </c>
      <c r="C567" s="69" t="s">
        <v>1330</v>
      </c>
      <c r="D567" s="56">
        <v>42180</v>
      </c>
      <c r="G567" s="69" t="str">
        <f t="shared" si="8"/>
        <v>User Registration</v>
      </c>
      <c r="H567" s="69" t="s">
        <v>2143</v>
      </c>
      <c r="J567" s="69" t="s">
        <v>2142</v>
      </c>
      <c r="K567" s="69" t="s">
        <v>2145</v>
      </c>
      <c r="L567" s="253">
        <v>70.046704759999997</v>
      </c>
      <c r="M567" s="253">
        <v>70.940206187435606</v>
      </c>
      <c r="N567" s="253">
        <v>57.00054394505036</v>
      </c>
      <c r="O567" s="253">
        <v>72.542995103767296</v>
      </c>
      <c r="P567" s="253">
        <v>70.231308409999997</v>
      </c>
      <c r="Q567" s="253">
        <v>64.733552631578888</v>
      </c>
      <c r="R567" s="253">
        <v>68.768036660000007</v>
      </c>
      <c r="S567" s="253">
        <v>76.972298219999999</v>
      </c>
      <c r="T567" s="253"/>
      <c r="U567" s="253">
        <v>76.205240169999996</v>
      </c>
      <c r="V567" s="253"/>
      <c r="W567" s="253">
        <v>52.310344827586199</v>
      </c>
      <c r="X567" s="253"/>
      <c r="Y567" s="253">
        <v>75.253353200000006</v>
      </c>
      <c r="Z567" s="253">
        <v>69.308290159999999</v>
      </c>
      <c r="AA567" s="253"/>
      <c r="AB567" s="253"/>
      <c r="AC567" s="253"/>
      <c r="AD567" s="253"/>
      <c r="AE567" s="253"/>
    </row>
    <row r="568" spans="1:31">
      <c r="A568" s="33">
        <v>567</v>
      </c>
      <c r="B568" s="69" t="s">
        <v>2142</v>
      </c>
      <c r="C568" s="69" t="s">
        <v>1330</v>
      </c>
      <c r="D568" s="56">
        <v>42180</v>
      </c>
      <c r="G568" s="69" t="str">
        <f t="shared" si="8"/>
        <v>User Registration</v>
      </c>
      <c r="H568" s="69" t="s">
        <v>2143</v>
      </c>
      <c r="J568" s="69" t="s">
        <v>2142</v>
      </c>
      <c r="K568" s="69" t="s">
        <v>1494</v>
      </c>
      <c r="L568" s="253">
        <v>71.351300663999993</v>
      </c>
      <c r="M568" s="253">
        <v>71.058552792967518</v>
      </c>
      <c r="N568" s="253">
        <v>56.595462189877956</v>
      </c>
      <c r="O568" s="253">
        <v>77.025971985872559</v>
      </c>
      <c r="P568" s="253">
        <v>70.842679129999993</v>
      </c>
      <c r="Q568" s="253">
        <v>64.046052631578902</v>
      </c>
      <c r="R568" s="253">
        <v>67.153891509999994</v>
      </c>
      <c r="S568" s="253">
        <v>76.675675679999998</v>
      </c>
      <c r="T568" s="253"/>
      <c r="U568" s="253">
        <v>78.54148472</v>
      </c>
      <c r="V568" s="253"/>
      <c r="W568" s="253">
        <v>52.310344827586199</v>
      </c>
      <c r="X568" s="253"/>
      <c r="Y568" s="253">
        <v>82.153502239999995</v>
      </c>
      <c r="Z568" s="253">
        <v>73.385786799999991</v>
      </c>
      <c r="AA568" s="253"/>
      <c r="AB568" s="253"/>
      <c r="AC568" s="253"/>
      <c r="AD568" s="253"/>
      <c r="AE568" s="253"/>
    </row>
    <row r="569" spans="1:31">
      <c r="A569" s="33">
        <v>568</v>
      </c>
      <c r="B569" s="69" t="s">
        <v>2142</v>
      </c>
      <c r="C569" s="69" t="s">
        <v>1330</v>
      </c>
      <c r="D569" s="56">
        <v>42180</v>
      </c>
      <c r="G569" s="69" t="str">
        <f t="shared" si="8"/>
        <v>User Registration</v>
      </c>
      <c r="H569" s="69" t="s">
        <v>2143</v>
      </c>
      <c r="J569" s="69" t="s">
        <v>2142</v>
      </c>
      <c r="K569" s="69" t="s">
        <v>2146</v>
      </c>
      <c r="L569" s="253">
        <v>64.399146067999993</v>
      </c>
      <c r="M569" s="253">
        <v>66.223538216416571</v>
      </c>
      <c r="N569" s="253">
        <v>50.718655601067631</v>
      </c>
      <c r="O569" s="253">
        <v>66.966614408698049</v>
      </c>
      <c r="P569" s="253">
        <v>65.372663549999999</v>
      </c>
      <c r="Q569" s="253">
        <v>62.549342105263094</v>
      </c>
      <c r="R569" s="253">
        <v>70.762049410000003</v>
      </c>
      <c r="S569" s="253">
        <v>72.994870040000009</v>
      </c>
      <c r="T569" s="253"/>
      <c r="U569" s="253">
        <v>58.147465439999998</v>
      </c>
      <c r="V569" s="253"/>
      <c r="W569" s="253">
        <v>42.931034482758598</v>
      </c>
      <c r="X569" s="253"/>
      <c r="Y569" s="253">
        <v>69.277198209999995</v>
      </c>
      <c r="Z569" s="253">
        <v>60.50507614</v>
      </c>
      <c r="AA569" s="253"/>
      <c r="AB569" s="253"/>
      <c r="AC569" s="253"/>
      <c r="AD569" s="253"/>
      <c r="AE569" s="253"/>
    </row>
    <row r="570" spans="1:31">
      <c r="A570" s="33">
        <v>569</v>
      </c>
      <c r="B570" s="69" t="s">
        <v>2142</v>
      </c>
      <c r="C570" s="69" t="s">
        <v>1330</v>
      </c>
      <c r="D570" s="56">
        <v>42180</v>
      </c>
      <c r="G570" s="69" t="str">
        <f t="shared" si="8"/>
        <v>User Registration</v>
      </c>
      <c r="H570" s="69" t="s">
        <v>2143</v>
      </c>
      <c r="J570" s="69" t="s">
        <v>2142</v>
      </c>
      <c r="K570" s="69" t="s">
        <v>2147</v>
      </c>
      <c r="L570" s="253">
        <v>64.541134103999994</v>
      </c>
      <c r="M570" s="253">
        <v>65.678283158487361</v>
      </c>
      <c r="N570" s="253">
        <v>51.686898119176213</v>
      </c>
      <c r="O570" s="253">
        <v>66.013940927095675</v>
      </c>
      <c r="P570" s="253">
        <v>63.752136749999998</v>
      </c>
      <c r="Q570" s="253">
        <v>61.212719298243385</v>
      </c>
      <c r="R570" s="253">
        <v>64.386061720000001</v>
      </c>
      <c r="S570" s="253">
        <v>68.826576576574283</v>
      </c>
      <c r="T570" s="253"/>
      <c r="U570" s="253">
        <v>68.043668119999992</v>
      </c>
      <c r="V570" s="253"/>
      <c r="W570" s="253">
        <v>46.448275862068996</v>
      </c>
      <c r="X570" s="253"/>
      <c r="Y570" s="253">
        <v>65.696784070000007</v>
      </c>
      <c r="Z570" s="253">
        <v>67.697123520000005</v>
      </c>
      <c r="AA570" s="253"/>
      <c r="AB570" s="253"/>
      <c r="AC570" s="253"/>
      <c r="AD570" s="253"/>
      <c r="AE570" s="253"/>
    </row>
    <row r="571" spans="1:31">
      <c r="A571" s="33">
        <v>570</v>
      </c>
      <c r="B571" s="69" t="s">
        <v>2142</v>
      </c>
      <c r="C571" s="69" t="s">
        <v>1330</v>
      </c>
      <c r="D571" s="56">
        <v>42180</v>
      </c>
      <c r="G571" s="69" t="str">
        <f t="shared" si="8"/>
        <v>User Registration</v>
      </c>
      <c r="H571" s="69" t="s">
        <v>2143</v>
      </c>
      <c r="J571" s="69" t="s">
        <v>2142</v>
      </c>
      <c r="K571" s="69" t="s">
        <v>2142</v>
      </c>
      <c r="L571" s="253">
        <v>60.083949924000002</v>
      </c>
      <c r="M571" s="253">
        <v>59.38397554912995</v>
      </c>
      <c r="N571" s="253">
        <v>43.028968644876393</v>
      </c>
      <c r="O571" s="253">
        <v>65.698165454992179</v>
      </c>
      <c r="P571" s="253">
        <v>59.643008470000005</v>
      </c>
      <c r="Q571" s="253">
        <v>60.256578947368396</v>
      </c>
      <c r="R571" s="253">
        <v>60.25885207999999</v>
      </c>
      <c r="S571" s="253">
        <v>63.170314637482882</v>
      </c>
      <c r="T571" s="253"/>
      <c r="U571" s="253">
        <v>53.606986899999995</v>
      </c>
      <c r="V571" s="253"/>
      <c r="W571" s="253">
        <v>35.275862068965502</v>
      </c>
      <c r="X571" s="253"/>
      <c r="Y571" s="253">
        <v>69.508196720000001</v>
      </c>
      <c r="Z571" s="253">
        <v>61.847715739999998</v>
      </c>
      <c r="AA571" s="253"/>
      <c r="AB571" s="253"/>
      <c r="AC571" s="253"/>
      <c r="AD571" s="253"/>
      <c r="AE571" s="253"/>
    </row>
    <row r="572" spans="1:31">
      <c r="A572" s="33">
        <v>571</v>
      </c>
      <c r="B572" s="270" t="s">
        <v>2142</v>
      </c>
      <c r="C572" s="151" t="s">
        <v>1330</v>
      </c>
      <c r="D572" s="268">
        <v>42180</v>
      </c>
      <c r="F572" s="268"/>
      <c r="G572" s="69" t="str">
        <f t="shared" si="8"/>
        <v>User Registration</v>
      </c>
      <c r="H572" s="83" t="s">
        <v>2143</v>
      </c>
      <c r="I572" s="83"/>
      <c r="J572" s="270" t="s">
        <v>2142</v>
      </c>
      <c r="K572" s="271" t="s">
        <v>380</v>
      </c>
      <c r="L572" s="253">
        <v>71.987759902000008</v>
      </c>
      <c r="M572" s="253">
        <v>65.683262571925809</v>
      </c>
      <c r="N572" s="253">
        <v>54.33546704952726</v>
      </c>
      <c r="O572" s="253">
        <v>73.524901031846611</v>
      </c>
      <c r="P572" s="253">
        <v>74.457627119999998</v>
      </c>
      <c r="Q572" s="253">
        <v>58.495614035085495</v>
      </c>
      <c r="R572" s="253">
        <v>64.752927400000004</v>
      </c>
      <c r="S572" s="253">
        <v>78.758064520000005</v>
      </c>
      <c r="T572" s="253"/>
      <c r="U572" s="253">
        <v>65.799126639999997</v>
      </c>
      <c r="V572" s="253"/>
      <c r="W572" s="253">
        <v>50.586206896551701</v>
      </c>
      <c r="X572" s="253"/>
      <c r="Y572" s="253">
        <v>81.967213110000003</v>
      </c>
      <c r="Z572" s="253">
        <v>62.108291029999997</v>
      </c>
      <c r="AA572" s="253"/>
      <c r="AB572" s="253"/>
      <c r="AC572" s="253"/>
      <c r="AD572" s="253"/>
      <c r="AE572" s="253"/>
    </row>
    <row r="573" spans="1:31">
      <c r="A573" s="33">
        <v>572</v>
      </c>
      <c r="B573" s="69" t="s">
        <v>2148</v>
      </c>
      <c r="C573" s="69" t="s">
        <v>1639</v>
      </c>
      <c r="D573" s="56">
        <v>42180</v>
      </c>
      <c r="F573" s="56"/>
      <c r="G573" s="69" t="str">
        <f t="shared" si="8"/>
        <v>E-Commerce</v>
      </c>
      <c r="H573" s="83" t="s">
        <v>1988</v>
      </c>
      <c r="I573" s="83"/>
      <c r="J573" s="69" t="s">
        <v>2148</v>
      </c>
      <c r="K573" s="69" t="s">
        <v>2148</v>
      </c>
      <c r="L573" s="253">
        <v>47.566181662000005</v>
      </c>
      <c r="M573" s="253">
        <v>44.376258287543862</v>
      </c>
      <c r="N573" s="253">
        <v>42.186368054410025</v>
      </c>
      <c r="O573" s="253">
        <v>48.751606823508766</v>
      </c>
      <c r="P573" s="253"/>
      <c r="Q573" s="253">
        <v>44.9866666666667</v>
      </c>
      <c r="R573" s="253">
        <v>53.540799469999996</v>
      </c>
      <c r="S573" s="253">
        <v>35.647577089999999</v>
      </c>
      <c r="T573" s="253"/>
      <c r="U573" s="253">
        <v>35.580419579999997</v>
      </c>
      <c r="V573" s="253">
        <v>35.131274130000001</v>
      </c>
      <c r="W573" s="253"/>
      <c r="X573" s="253">
        <v>47.567567567567572</v>
      </c>
      <c r="Y573" s="253"/>
      <c r="Z573" s="253">
        <v>53.541666669999998</v>
      </c>
      <c r="AA573" s="253"/>
      <c r="AB573" s="253"/>
      <c r="AC573" s="253"/>
      <c r="AD573" s="253"/>
      <c r="AE573" s="253"/>
    </row>
    <row r="574" spans="1:31">
      <c r="A574" s="33">
        <v>573</v>
      </c>
      <c r="B574" s="69" t="s">
        <v>2148</v>
      </c>
      <c r="C574" s="69" t="s">
        <v>1639</v>
      </c>
      <c r="D574" s="56">
        <v>42180</v>
      </c>
      <c r="F574" s="56"/>
      <c r="G574" s="69" t="str">
        <f t="shared" si="8"/>
        <v>E-Commerce</v>
      </c>
      <c r="H574" s="83" t="s">
        <v>1988</v>
      </c>
      <c r="I574" s="83"/>
      <c r="J574" s="69" t="s">
        <v>2148</v>
      </c>
      <c r="K574" s="69" t="s">
        <v>2149</v>
      </c>
      <c r="L574" s="253">
        <v>54.949229594000002</v>
      </c>
      <c r="M574" s="253">
        <v>56.682886957368424</v>
      </c>
      <c r="N574" s="253">
        <v>53.482212237586204</v>
      </c>
      <c r="O574" s="253">
        <v>64.925738993684206</v>
      </c>
      <c r="P574" s="253"/>
      <c r="Q574" s="253">
        <v>72.329230769999995</v>
      </c>
      <c r="R574" s="253">
        <v>62.50542823</v>
      </c>
      <c r="S574" s="253">
        <v>53.216946</v>
      </c>
      <c r="T574" s="253"/>
      <c r="U574" s="253">
        <v>43.231441050000001</v>
      </c>
      <c r="V574" s="253">
        <v>47.948194659999999</v>
      </c>
      <c r="W574" s="253"/>
      <c r="X574" s="253">
        <v>31.351351351351351</v>
      </c>
      <c r="Y574" s="253"/>
      <c r="Z574" s="253">
        <v>63.148514850000005</v>
      </c>
      <c r="AA574" s="253"/>
      <c r="AB574" s="253"/>
      <c r="AC574" s="253"/>
      <c r="AD574" s="253"/>
      <c r="AE574" s="253"/>
    </row>
    <row r="575" spans="1:31">
      <c r="A575" s="33">
        <v>574</v>
      </c>
      <c r="B575" s="69" t="s">
        <v>2148</v>
      </c>
      <c r="C575" s="69" t="s">
        <v>1639</v>
      </c>
      <c r="D575" s="56">
        <v>42180</v>
      </c>
      <c r="F575" s="56"/>
      <c r="G575" s="69" t="str">
        <f t="shared" si="8"/>
        <v>E-Commerce</v>
      </c>
      <c r="H575" s="83" t="s">
        <v>1988</v>
      </c>
      <c r="I575" s="83"/>
      <c r="J575" s="69" t="s">
        <v>2148</v>
      </c>
      <c r="K575" s="69" t="s">
        <v>2150</v>
      </c>
      <c r="L575" s="253">
        <v>51.863166058000012</v>
      </c>
      <c r="M575" s="253">
        <v>47.255057577999999</v>
      </c>
      <c r="N575" s="253">
        <v>52.967987439984178</v>
      </c>
      <c r="O575" s="253">
        <v>58.591930762947364</v>
      </c>
      <c r="P575" s="253"/>
      <c r="Q575" s="253">
        <v>59.115384616000007</v>
      </c>
      <c r="R575" s="253">
        <v>43.702502840000001</v>
      </c>
      <c r="S575" s="253">
        <v>41.119186050000003</v>
      </c>
      <c r="T575" s="253"/>
      <c r="U575" s="253">
        <v>47.792207789999992</v>
      </c>
      <c r="V575" s="253">
        <v>44.038748140000003</v>
      </c>
      <c r="W575" s="253"/>
      <c r="X575" s="253">
        <v>70.945945945945937</v>
      </c>
      <c r="Y575" s="253"/>
      <c r="Z575" s="253">
        <v>59.954248369999995</v>
      </c>
      <c r="AA575" s="253"/>
      <c r="AB575" s="253"/>
      <c r="AC575" s="253"/>
      <c r="AD575" s="253"/>
      <c r="AE575" s="253"/>
    </row>
    <row r="576" spans="1:31">
      <c r="A576" s="33">
        <v>575</v>
      </c>
      <c r="B576" s="69" t="s">
        <v>2148</v>
      </c>
      <c r="C576" s="69" t="s">
        <v>1639</v>
      </c>
      <c r="D576" s="56">
        <v>42180</v>
      </c>
      <c r="F576" s="56"/>
      <c r="G576" s="69" t="str">
        <f t="shared" si="8"/>
        <v>E-Commerce</v>
      </c>
      <c r="H576" s="83" t="s">
        <v>1988</v>
      </c>
      <c r="I576" s="83"/>
      <c r="J576" s="69" t="s">
        <v>2148</v>
      </c>
      <c r="K576" s="69" t="s">
        <v>1314</v>
      </c>
      <c r="L576" s="253">
        <v>57.858646281999988</v>
      </c>
      <c r="M576" s="253">
        <v>58.054407813999994</v>
      </c>
      <c r="N576" s="253">
        <v>60.607043071172413</v>
      </c>
      <c r="O576" s="253">
        <v>64.34490399989474</v>
      </c>
      <c r="P576" s="253"/>
      <c r="Q576" s="253">
        <v>68.006153847999997</v>
      </c>
      <c r="R576" s="253">
        <v>58.204405919999999</v>
      </c>
      <c r="S576" s="253">
        <v>57.517441859999998</v>
      </c>
      <c r="T576" s="253"/>
      <c r="U576" s="253">
        <v>49.047619050000002</v>
      </c>
      <c r="V576" s="253">
        <v>57.217967599999994</v>
      </c>
      <c r="W576" s="253"/>
      <c r="X576" s="253"/>
      <c r="Y576" s="253"/>
      <c r="Z576" s="253">
        <v>65.843137249999998</v>
      </c>
      <c r="AA576" s="253"/>
      <c r="AB576" s="253"/>
      <c r="AC576" s="253"/>
      <c r="AD576" s="253"/>
      <c r="AE576" s="253"/>
    </row>
    <row r="577" spans="1:31">
      <c r="A577" s="33">
        <v>576</v>
      </c>
      <c r="B577" s="69" t="s">
        <v>2148</v>
      </c>
      <c r="C577" s="69" t="s">
        <v>1639</v>
      </c>
      <c r="D577" s="56">
        <v>42180</v>
      </c>
      <c r="F577" s="56"/>
      <c r="G577" s="69" t="str">
        <f t="shared" si="8"/>
        <v>E-Commerce</v>
      </c>
      <c r="H577" s="83" t="s">
        <v>1988</v>
      </c>
      <c r="I577" s="83"/>
      <c r="J577" s="69" t="s">
        <v>2148</v>
      </c>
      <c r="K577" s="69" t="s">
        <v>2151</v>
      </c>
      <c r="L577" s="253">
        <v>55.08617740599999</v>
      </c>
      <c r="M577" s="253">
        <v>52.761194686982456</v>
      </c>
      <c r="N577" s="253">
        <v>49.063214319121954</v>
      </c>
      <c r="O577" s="253">
        <v>65.182014029894745</v>
      </c>
      <c r="P577" s="253"/>
      <c r="Q577" s="253">
        <v>62.890769227999996</v>
      </c>
      <c r="R577" s="253">
        <v>54.495086000000001</v>
      </c>
      <c r="S577" s="253">
        <v>53.091993189999997</v>
      </c>
      <c r="T577" s="253"/>
      <c r="U577" s="253">
        <v>40.943231439999998</v>
      </c>
      <c r="V577" s="253">
        <v>47.797448170000003</v>
      </c>
      <c r="W577" s="253"/>
      <c r="X577" s="253">
        <v>45</v>
      </c>
      <c r="Y577" s="253"/>
      <c r="Z577" s="253">
        <v>66.836601309999992</v>
      </c>
      <c r="AA577" s="253"/>
      <c r="AB577" s="253"/>
      <c r="AC577" s="253"/>
      <c r="AD577" s="253"/>
      <c r="AE577" s="253"/>
    </row>
    <row r="578" spans="1:31">
      <c r="A578" s="33">
        <v>577</v>
      </c>
      <c r="B578" s="69" t="s">
        <v>2148</v>
      </c>
      <c r="C578" s="69" t="s">
        <v>1639</v>
      </c>
      <c r="D578" s="56">
        <v>42180</v>
      </c>
      <c r="F578" s="56"/>
      <c r="G578" s="69" t="str">
        <f t="shared" ref="G578:G641" si="9">IF(V578&gt;0,IF(W578&gt;0,"Both","E-Commerce"),IF(W578=0, "ERROR","User Registration"))</f>
        <v>E-Commerce</v>
      </c>
      <c r="H578" s="83" t="s">
        <v>1988</v>
      </c>
      <c r="I578" s="83"/>
      <c r="J578" s="69" t="s">
        <v>2148</v>
      </c>
      <c r="K578" s="69" t="s">
        <v>1313</v>
      </c>
      <c r="L578" s="253">
        <v>64.228466855999997</v>
      </c>
      <c r="M578" s="253">
        <v>60.399089059298248</v>
      </c>
      <c r="N578" s="253">
        <v>55.310943343263027</v>
      </c>
      <c r="O578" s="253">
        <v>69.444182667894722</v>
      </c>
      <c r="P578" s="253"/>
      <c r="Q578" s="253">
        <v>74.549230769999994</v>
      </c>
      <c r="R578" s="253">
        <v>61.442195929999997</v>
      </c>
      <c r="S578" s="253">
        <v>67.813884160000001</v>
      </c>
      <c r="T578" s="253"/>
      <c r="U578" s="253">
        <v>54.209606990000005</v>
      </c>
      <c r="V578" s="253">
        <v>48.583201270000004</v>
      </c>
      <c r="W578" s="253"/>
      <c r="X578" s="253">
        <v>58.648648648648646</v>
      </c>
      <c r="Y578" s="253"/>
      <c r="Z578" s="253">
        <v>66.359477119999994</v>
      </c>
      <c r="AA578" s="253"/>
      <c r="AB578" s="253"/>
      <c r="AC578" s="253"/>
      <c r="AD578" s="253"/>
      <c r="AE578" s="253"/>
    </row>
    <row r="579" spans="1:31">
      <c r="A579" s="33">
        <v>578</v>
      </c>
      <c r="B579" s="69" t="s">
        <v>2152</v>
      </c>
      <c r="C579" s="69" t="s">
        <v>1639</v>
      </c>
      <c r="D579" s="56">
        <v>42180</v>
      </c>
      <c r="F579" s="56"/>
      <c r="G579" s="69" t="str">
        <f t="shared" si="9"/>
        <v>E-Commerce</v>
      </c>
      <c r="H579" s="83" t="s">
        <v>749</v>
      </c>
      <c r="I579" s="83"/>
      <c r="J579" s="69" t="s">
        <v>2152</v>
      </c>
      <c r="K579" s="69" t="s">
        <v>2152</v>
      </c>
      <c r="L579" s="253">
        <v>59.226932754000003</v>
      </c>
      <c r="M579" s="253">
        <v>55.446380611403519</v>
      </c>
      <c r="N579" s="253">
        <v>53.424065419999998</v>
      </c>
      <c r="O579" s="253">
        <v>62.48655882947368</v>
      </c>
      <c r="P579" s="253"/>
      <c r="Q579" s="253">
        <v>54.782499999999999</v>
      </c>
      <c r="R579" s="253">
        <v>55.07907943</v>
      </c>
      <c r="S579" s="253">
        <v>57.045394149999993</v>
      </c>
      <c r="T579" s="253"/>
      <c r="U579" s="253">
        <v>58.376623380000005</v>
      </c>
      <c r="V579" s="253">
        <v>52.723796030000003</v>
      </c>
      <c r="W579" s="253"/>
      <c r="X579" s="253"/>
      <c r="Y579" s="253"/>
      <c r="Z579" s="253">
        <v>55.378109450000004</v>
      </c>
      <c r="AA579" s="253"/>
      <c r="AB579" s="253"/>
      <c r="AC579" s="253"/>
      <c r="AD579" s="253"/>
      <c r="AE579" s="253"/>
    </row>
    <row r="580" spans="1:31">
      <c r="A580" s="33">
        <v>579</v>
      </c>
      <c r="B580" s="69" t="s">
        <v>2152</v>
      </c>
      <c r="C580" s="69" t="s">
        <v>1639</v>
      </c>
      <c r="D580" s="56">
        <v>42180</v>
      </c>
      <c r="F580" s="56"/>
      <c r="G580" s="69" t="str">
        <f t="shared" si="9"/>
        <v>E-Commerce</v>
      </c>
      <c r="H580" s="83" t="s">
        <v>749</v>
      </c>
      <c r="I580" s="83"/>
      <c r="J580" s="69" t="s">
        <v>2152</v>
      </c>
      <c r="K580" s="69" t="s">
        <v>385</v>
      </c>
      <c r="L580" s="253">
        <v>63.592563782255681</v>
      </c>
      <c r="M580" s="253">
        <v>66.082826912456142</v>
      </c>
      <c r="N580" s="253">
        <v>66.485809144827584</v>
      </c>
      <c r="O580" s="253">
        <v>71.57301462947369</v>
      </c>
      <c r="P580" s="253"/>
      <c r="Q580" s="253">
        <v>62.537500000000001</v>
      </c>
      <c r="R580" s="253">
        <v>70.423014910000006</v>
      </c>
      <c r="S580" s="253">
        <v>67.957095710000004</v>
      </c>
      <c r="T580" s="253"/>
      <c r="U580" s="253">
        <v>72.520325200000002</v>
      </c>
      <c r="V580" s="253">
        <v>68.262548260000003</v>
      </c>
      <c r="W580" s="253"/>
      <c r="X580" s="253"/>
      <c r="Y580" s="253"/>
      <c r="Z580" s="253">
        <v>65.034965029999995</v>
      </c>
      <c r="AA580" s="253"/>
      <c r="AB580" s="253"/>
      <c r="AC580" s="253"/>
      <c r="AD580" s="253"/>
      <c r="AE580" s="253"/>
    </row>
    <row r="581" spans="1:31">
      <c r="A581" s="33">
        <v>580</v>
      </c>
      <c r="B581" s="69" t="s">
        <v>2152</v>
      </c>
      <c r="C581" s="69" t="s">
        <v>1639</v>
      </c>
      <c r="D581" s="56">
        <v>42180</v>
      </c>
      <c r="F581" s="56"/>
      <c r="G581" s="69" t="str">
        <f t="shared" si="9"/>
        <v>E-Commerce</v>
      </c>
      <c r="H581" s="83" t="s">
        <v>749</v>
      </c>
      <c r="I581" s="83"/>
      <c r="J581" s="69" t="s">
        <v>2152</v>
      </c>
      <c r="K581" s="69" t="s">
        <v>2153</v>
      </c>
      <c r="L581" s="253">
        <v>64.983207640000003</v>
      </c>
      <c r="M581" s="253">
        <v>58.535834230877178</v>
      </c>
      <c r="N581" s="253">
        <v>56.010926724137917</v>
      </c>
      <c r="O581" s="253">
        <v>67.19642103736841</v>
      </c>
      <c r="P581" s="253"/>
      <c r="Q581" s="253">
        <v>54.654999999999987</v>
      </c>
      <c r="R581" s="253">
        <v>59.654153649999998</v>
      </c>
      <c r="S581" s="253">
        <v>64.352173909999991</v>
      </c>
      <c r="T581" s="253"/>
      <c r="U581" s="253">
        <v>66.639118460000006</v>
      </c>
      <c r="V581" s="253">
        <v>56.621093749999993</v>
      </c>
      <c r="W581" s="253"/>
      <c r="X581" s="253"/>
      <c r="Y581" s="253"/>
      <c r="Z581" s="253">
        <v>59.359477120000001</v>
      </c>
      <c r="AA581" s="253"/>
      <c r="AB581" s="253"/>
      <c r="AC581" s="253"/>
      <c r="AD581" s="253"/>
      <c r="AE581" s="253"/>
    </row>
    <row r="582" spans="1:31">
      <c r="A582" s="33">
        <v>581</v>
      </c>
      <c r="B582" s="69" t="s">
        <v>2152</v>
      </c>
      <c r="C582" s="69" t="s">
        <v>1639</v>
      </c>
      <c r="D582" s="56">
        <v>42180</v>
      </c>
      <c r="F582" s="56"/>
      <c r="G582" s="69" t="str">
        <f t="shared" si="9"/>
        <v>E-Commerce</v>
      </c>
      <c r="H582" s="83" t="s">
        <v>749</v>
      </c>
      <c r="I582" s="83"/>
      <c r="J582" s="69" t="s">
        <v>2152</v>
      </c>
      <c r="K582" s="69" t="s">
        <v>1346</v>
      </c>
      <c r="L582" s="253">
        <v>62.834889911999987</v>
      </c>
      <c r="M582" s="253">
        <v>58.75355247649123</v>
      </c>
      <c r="N582" s="253">
        <v>60.419597446206893</v>
      </c>
      <c r="O582" s="253">
        <v>64.639655973157886</v>
      </c>
      <c r="P582" s="253"/>
      <c r="Q582" s="253">
        <v>61.3</v>
      </c>
      <c r="R582" s="253">
        <v>61.052533490000002</v>
      </c>
      <c r="S582" s="253">
        <v>60.236649210000003</v>
      </c>
      <c r="T582" s="253"/>
      <c r="U582" s="253">
        <v>53.528925620000003</v>
      </c>
      <c r="V582" s="253">
        <v>60.09765625</v>
      </c>
      <c r="W582" s="253"/>
      <c r="X582" s="253"/>
      <c r="Y582" s="253"/>
      <c r="Z582" s="253">
        <v>52.483221479999997</v>
      </c>
      <c r="AA582" s="253"/>
      <c r="AB582" s="253"/>
      <c r="AC582" s="253"/>
      <c r="AD582" s="253"/>
      <c r="AE582" s="253"/>
    </row>
    <row r="583" spans="1:31">
      <c r="A583" s="33">
        <v>582</v>
      </c>
      <c r="B583" s="69" t="s">
        <v>2152</v>
      </c>
      <c r="C583" s="69" t="s">
        <v>1639</v>
      </c>
      <c r="D583" s="56">
        <v>42180</v>
      </c>
      <c r="F583" s="56"/>
      <c r="G583" s="69" t="str">
        <f t="shared" si="9"/>
        <v>E-Commerce</v>
      </c>
      <c r="H583" s="83" t="s">
        <v>749</v>
      </c>
      <c r="I583" s="83"/>
      <c r="J583" s="69" t="s">
        <v>2152</v>
      </c>
      <c r="K583" s="69" t="s">
        <v>2154</v>
      </c>
      <c r="L583" s="253">
        <v>65.591977094899065</v>
      </c>
      <c r="M583" s="253">
        <v>60.875654399298249</v>
      </c>
      <c r="N583" s="253">
        <v>60.713728448275859</v>
      </c>
      <c r="O583" s="253">
        <v>66.138730205789471</v>
      </c>
      <c r="P583" s="253"/>
      <c r="Q583" s="253">
        <v>59.305000000000007</v>
      </c>
      <c r="R583" s="253">
        <v>53.98558414</v>
      </c>
      <c r="S583" s="253">
        <v>65.57609921000001</v>
      </c>
      <c r="T583" s="253"/>
      <c r="U583" s="253">
        <v>58.719008260000003</v>
      </c>
      <c r="V583" s="253">
        <v>61.34765625</v>
      </c>
      <c r="W583" s="253"/>
      <c r="X583" s="253"/>
      <c r="Y583" s="253"/>
      <c r="Z583" s="253">
        <v>66.771812080000004</v>
      </c>
      <c r="AA583" s="253"/>
      <c r="AB583" s="253"/>
      <c r="AC583" s="253"/>
      <c r="AD583" s="253"/>
      <c r="AE583" s="253"/>
    </row>
    <row r="584" spans="1:31">
      <c r="A584" s="33">
        <v>583</v>
      </c>
      <c r="B584" s="69" t="s">
        <v>380</v>
      </c>
      <c r="C584" s="151" t="s">
        <v>1330</v>
      </c>
      <c r="D584" s="268">
        <v>42184</v>
      </c>
      <c r="E584" s="269"/>
      <c r="F584" s="268"/>
      <c r="G584" s="69" t="str">
        <f t="shared" si="9"/>
        <v>User Registration</v>
      </c>
      <c r="H584" s="83" t="s">
        <v>2137</v>
      </c>
      <c r="I584" s="83"/>
      <c r="J584" s="69" t="s">
        <v>380</v>
      </c>
      <c r="K584" s="69" t="s">
        <v>374</v>
      </c>
      <c r="L584" s="253">
        <v>72.251882194158441</v>
      </c>
      <c r="M584" s="253">
        <v>71.496325278936169</v>
      </c>
      <c r="N584" s="253">
        <v>66.648953430082884</v>
      </c>
      <c r="O584" s="253">
        <v>77.388255223684197</v>
      </c>
      <c r="P584" s="253">
        <v>73.519801980198054</v>
      </c>
      <c r="Q584" s="253">
        <v>74.490131579999996</v>
      </c>
      <c r="R584" s="253">
        <v>69.258467519999996</v>
      </c>
      <c r="S584" s="253">
        <v>81.923312879999997</v>
      </c>
      <c r="T584" s="253"/>
      <c r="U584" s="253">
        <v>70.077625569999995</v>
      </c>
      <c r="V584" s="253"/>
      <c r="W584" s="253">
        <v>64.689922480620154</v>
      </c>
      <c r="X584" s="253"/>
      <c r="Y584" s="253">
        <v>83.954545449999998</v>
      </c>
      <c r="Z584" s="253">
        <v>67.180203050000003</v>
      </c>
      <c r="AA584" s="253"/>
      <c r="AB584" s="253"/>
      <c r="AC584" s="253"/>
      <c r="AD584" s="253"/>
      <c r="AE584" s="253"/>
    </row>
    <row r="585" spans="1:31">
      <c r="A585" s="33">
        <v>584</v>
      </c>
      <c r="B585" s="69" t="s">
        <v>380</v>
      </c>
      <c r="C585" s="151" t="s">
        <v>1330</v>
      </c>
      <c r="D585" s="268">
        <v>42184</v>
      </c>
      <c r="E585" s="269"/>
      <c r="F585" s="268"/>
      <c r="G585" s="69" t="str">
        <f t="shared" si="9"/>
        <v>User Registration</v>
      </c>
      <c r="H585" s="83" t="s">
        <v>2137</v>
      </c>
      <c r="I585" s="83"/>
      <c r="J585" s="69" t="s">
        <v>380</v>
      </c>
      <c r="K585" s="69" t="s">
        <v>2138</v>
      </c>
      <c r="L585" s="253">
        <v>66.89390002799999</v>
      </c>
      <c r="M585" s="253">
        <v>63.793428761446798</v>
      </c>
      <c r="N585" s="253">
        <v>64.088135572025124</v>
      </c>
      <c r="O585" s="253">
        <v>66.29297874673685</v>
      </c>
      <c r="P585" s="253">
        <v>68.368644069999988</v>
      </c>
      <c r="Q585" s="253">
        <v>72.475526318000007</v>
      </c>
      <c r="R585" s="253">
        <v>66.415615619999997</v>
      </c>
      <c r="S585" s="253">
        <v>70.800370830000006</v>
      </c>
      <c r="T585" s="253"/>
      <c r="U585" s="253">
        <v>50.534883720000003</v>
      </c>
      <c r="V585" s="253"/>
      <c r="W585" s="253">
        <v>62.131782945736433</v>
      </c>
      <c r="X585" s="253"/>
      <c r="Y585" s="253">
        <v>67.848484850000006</v>
      </c>
      <c r="Z585" s="253">
        <v>60.994923860000007</v>
      </c>
      <c r="AA585" s="253"/>
      <c r="AB585" s="253"/>
      <c r="AC585" s="253"/>
      <c r="AD585" s="253"/>
      <c r="AE585" s="253"/>
    </row>
    <row r="586" spans="1:31">
      <c r="A586" s="33">
        <v>585</v>
      </c>
      <c r="B586" s="69" t="s">
        <v>380</v>
      </c>
      <c r="C586" s="151" t="s">
        <v>1330</v>
      </c>
      <c r="D586" s="268">
        <v>42184</v>
      </c>
      <c r="E586" s="269"/>
      <c r="F586" s="268"/>
      <c r="G586" s="69" t="str">
        <f t="shared" si="9"/>
        <v>User Registration</v>
      </c>
      <c r="H586" s="83" t="s">
        <v>2137</v>
      </c>
      <c r="I586" s="83"/>
      <c r="J586" s="69" t="s">
        <v>380</v>
      </c>
      <c r="K586" s="69" t="s">
        <v>2139</v>
      </c>
      <c r="L586" s="253">
        <v>62.440488686000002</v>
      </c>
      <c r="M586" s="253">
        <v>64.017650831234036</v>
      </c>
      <c r="N586" s="253">
        <v>57.140253069059355</v>
      </c>
      <c r="O586" s="253">
        <v>69.113040101210515</v>
      </c>
      <c r="P586" s="253">
        <v>64.911016950000004</v>
      </c>
      <c r="Q586" s="253">
        <v>70.093421053</v>
      </c>
      <c r="R586" s="253">
        <v>64.774590160000002</v>
      </c>
      <c r="S586" s="253">
        <v>64.122373300000007</v>
      </c>
      <c r="T586" s="253"/>
      <c r="U586" s="253">
        <v>64.525114160000001</v>
      </c>
      <c r="V586" s="253"/>
      <c r="W586" s="253">
        <v>52.906976744186053</v>
      </c>
      <c r="X586" s="253"/>
      <c r="Y586" s="253">
        <v>78.659090909999989</v>
      </c>
      <c r="Z586" s="253">
        <v>52.55837563</v>
      </c>
      <c r="AA586" s="253"/>
      <c r="AB586" s="253"/>
      <c r="AC586" s="253"/>
      <c r="AD586" s="253"/>
      <c r="AE586" s="253"/>
    </row>
    <row r="587" spans="1:31">
      <c r="A587" s="33">
        <v>586</v>
      </c>
      <c r="B587" s="69" t="s">
        <v>380</v>
      </c>
      <c r="C587" s="69" t="s">
        <v>1330</v>
      </c>
      <c r="D587" s="56">
        <v>42184</v>
      </c>
      <c r="G587" s="69" t="str">
        <f t="shared" si="9"/>
        <v>User Registration</v>
      </c>
      <c r="H587" s="69" t="s">
        <v>2137</v>
      </c>
      <c r="J587" s="69" t="s">
        <v>380</v>
      </c>
      <c r="K587" s="69" t="s">
        <v>2140</v>
      </c>
      <c r="L587" s="253">
        <v>65.006547049948523</v>
      </c>
      <c r="M587" s="253">
        <v>66.205768900255322</v>
      </c>
      <c r="N587" s="253">
        <v>63.819977153938524</v>
      </c>
      <c r="O587" s="253">
        <v>71.48234294536843</v>
      </c>
      <c r="P587" s="253">
        <v>66.74422442243565</v>
      </c>
      <c r="Q587" s="253">
        <v>67.423070171999996</v>
      </c>
      <c r="R587" s="253">
        <v>63.769775680000009</v>
      </c>
      <c r="S587" s="253">
        <v>76.483312729999994</v>
      </c>
      <c r="T587" s="253"/>
      <c r="U587" s="253">
        <v>68.255813950000004</v>
      </c>
      <c r="V587" s="253"/>
      <c r="W587" s="253">
        <v>63.294573643410857</v>
      </c>
      <c r="X587" s="253"/>
      <c r="Y587" s="253">
        <v>79.64393939</v>
      </c>
      <c r="Z587" s="253">
        <v>58.055837560000001</v>
      </c>
      <c r="AA587" s="253"/>
      <c r="AB587" s="253"/>
      <c r="AC587" s="253"/>
      <c r="AD587" s="253"/>
      <c r="AE587" s="253"/>
    </row>
    <row r="588" spans="1:31">
      <c r="A588" s="33">
        <v>587</v>
      </c>
      <c r="B588" s="69" t="s">
        <v>380</v>
      </c>
      <c r="C588" s="69" t="s">
        <v>1330</v>
      </c>
      <c r="D588" s="56">
        <v>42184</v>
      </c>
      <c r="G588" s="69" t="str">
        <f t="shared" si="9"/>
        <v>User Registration</v>
      </c>
      <c r="H588" s="69" t="s">
        <v>922</v>
      </c>
      <c r="J588" s="69" t="s">
        <v>380</v>
      </c>
      <c r="K588" s="69" t="s">
        <v>2141</v>
      </c>
      <c r="L588" s="253">
        <v>58.673687228000006</v>
      </c>
      <c r="M588" s="253">
        <v>61.743835838212767</v>
      </c>
      <c r="N588" s="253">
        <v>46.9763243825453</v>
      </c>
      <c r="O588" s="253">
        <v>48.345203892421054</v>
      </c>
      <c r="P588" s="253">
        <v>59.269774009999999</v>
      </c>
      <c r="Q588" s="253">
        <v>61.156842105999999</v>
      </c>
      <c r="R588" s="253">
        <v>67.791642920000001</v>
      </c>
      <c r="S588" s="253">
        <v>59.23568190999999</v>
      </c>
      <c r="T588" s="253"/>
      <c r="U588" s="253">
        <v>54.232558139999995</v>
      </c>
      <c r="V588" s="253"/>
      <c r="W588" s="253">
        <v>38.604651162790695</v>
      </c>
      <c r="X588" s="253"/>
      <c r="Y588" s="253">
        <v>38.113636360000001</v>
      </c>
      <c r="Z588" s="253">
        <v>56.289340099999997</v>
      </c>
      <c r="AA588" s="253"/>
      <c r="AB588" s="253"/>
      <c r="AC588" s="253"/>
      <c r="AD588" s="253"/>
      <c r="AE588" s="253"/>
    </row>
    <row r="589" spans="1:31">
      <c r="A589" s="33">
        <v>588</v>
      </c>
      <c r="B589" s="69" t="s">
        <v>380</v>
      </c>
      <c r="C589" s="151" t="s">
        <v>1330</v>
      </c>
      <c r="D589" s="268">
        <v>42184</v>
      </c>
      <c r="F589" s="268"/>
      <c r="G589" s="69" t="str">
        <f t="shared" si="9"/>
        <v>User Registration</v>
      </c>
      <c r="H589" s="83" t="s">
        <v>2137</v>
      </c>
      <c r="I589" s="83"/>
      <c r="J589" s="69" t="s">
        <v>380</v>
      </c>
      <c r="K589" s="69" t="s">
        <v>725</v>
      </c>
      <c r="L589" s="253">
        <v>62.563949923999992</v>
      </c>
      <c r="M589" s="253">
        <v>58.066915078805202</v>
      </c>
      <c r="N589" s="253">
        <v>42.478936884440813</v>
      </c>
      <c r="O589" s="253">
        <v>63.839377366349517</v>
      </c>
      <c r="P589" s="253">
        <v>64.243008469999992</v>
      </c>
      <c r="Q589" s="253">
        <v>54.939605263157894</v>
      </c>
      <c r="R589" s="253">
        <v>60.25885207999999</v>
      </c>
      <c r="S589" s="253">
        <v>63.170314637482882</v>
      </c>
      <c r="T589" s="253"/>
      <c r="U589" s="253">
        <v>53.606986899999995</v>
      </c>
      <c r="V589" s="253"/>
      <c r="W589" s="253">
        <v>35.275862068965502</v>
      </c>
      <c r="X589" s="253"/>
      <c r="Y589" s="253">
        <v>69.508196720000001</v>
      </c>
      <c r="Z589" s="253">
        <v>55.847715740000005</v>
      </c>
      <c r="AA589" s="253"/>
      <c r="AB589" s="253"/>
      <c r="AC589" s="253"/>
      <c r="AD589" s="253"/>
      <c r="AE589" s="253"/>
    </row>
    <row r="590" spans="1:31">
      <c r="A590" s="33">
        <v>589</v>
      </c>
      <c r="B590" s="69" t="s">
        <v>380</v>
      </c>
      <c r="C590" s="151" t="s">
        <v>1330</v>
      </c>
      <c r="D590" s="268">
        <v>42184</v>
      </c>
      <c r="F590" s="268"/>
      <c r="G590" s="69" t="str">
        <f t="shared" si="9"/>
        <v>User Registration</v>
      </c>
      <c r="H590" s="83" t="s">
        <v>2137</v>
      </c>
      <c r="I590" s="83"/>
      <c r="J590" s="69" t="s">
        <v>380</v>
      </c>
      <c r="K590" s="69" t="s">
        <v>380</v>
      </c>
      <c r="L590" s="253">
        <v>65.787759902000005</v>
      </c>
      <c r="M590" s="253">
        <v>63.899175225901246</v>
      </c>
      <c r="N590" s="253">
        <v>53.838016958783221</v>
      </c>
      <c r="O590" s="253">
        <v>71.42970712602947</v>
      </c>
      <c r="P590" s="253">
        <v>68.457627119999998</v>
      </c>
      <c r="Q590" s="253">
        <v>53.686929824559805</v>
      </c>
      <c r="R590" s="253">
        <v>64.752927400000004</v>
      </c>
      <c r="S590" s="253">
        <v>78.758064520000005</v>
      </c>
      <c r="T590" s="253"/>
      <c r="U590" s="253">
        <v>63.799126640000004</v>
      </c>
      <c r="V590" s="253"/>
      <c r="W590" s="253">
        <v>50.586206896551701</v>
      </c>
      <c r="X590" s="253"/>
      <c r="Y590" s="253">
        <v>81.967213110000003</v>
      </c>
      <c r="Z590" s="253">
        <v>55.108291029999997</v>
      </c>
      <c r="AA590" s="253"/>
      <c r="AB590" s="253"/>
      <c r="AC590" s="253"/>
      <c r="AD590" s="253"/>
      <c r="AE590" s="253"/>
    </row>
    <row r="591" spans="1:31">
      <c r="A591" s="33">
        <v>590</v>
      </c>
      <c r="B591" s="69" t="s">
        <v>1250</v>
      </c>
      <c r="C591" s="69" t="s">
        <v>740</v>
      </c>
      <c r="D591" s="56">
        <v>42185</v>
      </c>
      <c r="G591" s="69" t="str">
        <f t="shared" si="9"/>
        <v>User Registration</v>
      </c>
      <c r="H591" s="69" t="s">
        <v>922</v>
      </c>
      <c r="J591" s="69" t="s">
        <v>1250</v>
      </c>
      <c r="K591" s="69" t="s">
        <v>2101</v>
      </c>
      <c r="L591" s="253">
        <v>67.778499278161604</v>
      </c>
      <c r="M591" s="253">
        <v>65.775974025833335</v>
      </c>
      <c r="N591" s="253">
        <v>54.731707317073173</v>
      </c>
      <c r="O591" s="253">
        <v>67.34518113421052</v>
      </c>
      <c r="P591" s="253">
        <v>67.895202020202007</v>
      </c>
      <c r="Q591" s="253">
        <v>68</v>
      </c>
      <c r="R591" s="253">
        <v>64</v>
      </c>
      <c r="S591" s="253">
        <v>67</v>
      </c>
      <c r="T591" s="253"/>
      <c r="U591" s="253">
        <v>65</v>
      </c>
      <c r="V591" s="253"/>
      <c r="W591" s="253">
        <v>54</v>
      </c>
      <c r="X591" s="253">
        <v>48</v>
      </c>
      <c r="Y591" s="253">
        <v>68</v>
      </c>
      <c r="Z591" s="253">
        <v>67.311688309999994</v>
      </c>
      <c r="AA591" s="253"/>
      <c r="AB591" s="253"/>
      <c r="AC591" s="253"/>
      <c r="AD591" s="253"/>
      <c r="AE591" s="253"/>
    </row>
    <row r="592" spans="1:31">
      <c r="A592" s="33">
        <v>591</v>
      </c>
      <c r="B592" s="69" t="s">
        <v>1110</v>
      </c>
      <c r="C592" s="69" t="s">
        <v>740</v>
      </c>
      <c r="D592" s="56">
        <v>42185</v>
      </c>
      <c r="G592" s="69" t="str">
        <f t="shared" si="9"/>
        <v>User Registration</v>
      </c>
      <c r="H592" s="69" t="s">
        <v>922</v>
      </c>
      <c r="J592" s="69" t="s">
        <v>1110</v>
      </c>
      <c r="K592" s="69" t="s">
        <v>391</v>
      </c>
      <c r="L592" s="253">
        <v>67.778499278161604</v>
      </c>
      <c r="M592" s="253">
        <v>65.567767146595742</v>
      </c>
      <c r="N592" s="253">
        <v>64.716067697073157</v>
      </c>
      <c r="O592" s="253">
        <v>69.170073257894742</v>
      </c>
      <c r="P592" s="253">
        <v>67.895202020202007</v>
      </c>
      <c r="Q592" s="253">
        <v>67.783749999999998</v>
      </c>
      <c r="R592" s="253">
        <v>69.167920930000008</v>
      </c>
      <c r="S592" s="253">
        <v>65.338753390000008</v>
      </c>
      <c r="T592" s="253"/>
      <c r="U592" s="253">
        <v>56.303317539999995</v>
      </c>
      <c r="V592" s="253"/>
      <c r="W592" s="253">
        <v>80</v>
      </c>
      <c r="X592" s="253">
        <v>36.25</v>
      </c>
      <c r="Y592" s="253">
        <v>70.621460510000006</v>
      </c>
      <c r="Z592" s="253">
        <v>67.311688309999994</v>
      </c>
      <c r="AA592" s="253"/>
      <c r="AB592" s="253"/>
      <c r="AC592" s="253"/>
      <c r="AD592" s="253"/>
      <c r="AE592" s="253"/>
    </row>
    <row r="593" spans="1:31">
      <c r="A593" s="33">
        <v>592</v>
      </c>
      <c r="B593" s="69" t="s">
        <v>1110</v>
      </c>
      <c r="C593" s="69" t="s">
        <v>740</v>
      </c>
      <c r="D593" s="56">
        <v>42185</v>
      </c>
      <c r="G593" s="69" t="str">
        <f t="shared" si="9"/>
        <v>User Registration</v>
      </c>
      <c r="H593" s="69" t="s">
        <v>922</v>
      </c>
      <c r="J593" s="69" t="s">
        <v>1110</v>
      </c>
      <c r="K593" s="69" t="s">
        <v>1363</v>
      </c>
      <c r="L593" s="253">
        <v>70.651512090950533</v>
      </c>
      <c r="M593" s="253">
        <v>65.047044957234036</v>
      </c>
      <c r="N593" s="253">
        <v>57.311580715121941</v>
      </c>
      <c r="O593" s="253">
        <v>65.922141117368426</v>
      </c>
      <c r="P593" s="253">
        <v>72.868811881188151</v>
      </c>
      <c r="Q593" s="253">
        <v>67.653749999999988</v>
      </c>
      <c r="R593" s="253">
        <v>63.88559321999999</v>
      </c>
      <c r="S593" s="253">
        <v>70.532664940000004</v>
      </c>
      <c r="T593" s="253"/>
      <c r="U593" s="253">
        <v>64.146919429999997</v>
      </c>
      <c r="V593" s="253"/>
      <c r="W593" s="253">
        <v>58.999999999999993</v>
      </c>
      <c r="X593" s="253">
        <v>48.625</v>
      </c>
      <c r="Y593" s="253">
        <v>67.765151520000003</v>
      </c>
      <c r="Z593" s="253">
        <v>61.782312930000003</v>
      </c>
      <c r="AA593" s="253"/>
      <c r="AB593" s="253"/>
      <c r="AC593" s="253"/>
      <c r="AD593" s="253"/>
      <c r="AE593" s="253"/>
    </row>
    <row r="594" spans="1:31">
      <c r="A594" s="33">
        <v>593</v>
      </c>
      <c r="B594" s="69" t="s">
        <v>2130</v>
      </c>
      <c r="C594" s="69" t="s">
        <v>1639</v>
      </c>
      <c r="D594" s="56">
        <v>42185</v>
      </c>
      <c r="G594" s="69" t="str">
        <f t="shared" si="9"/>
        <v>User Registration</v>
      </c>
      <c r="H594" s="69" t="s">
        <v>2131</v>
      </c>
      <c r="J594" s="69" t="s">
        <v>2130</v>
      </c>
      <c r="K594" s="69" t="s">
        <v>2132</v>
      </c>
      <c r="L594" s="253">
        <v>50.600000000000009</v>
      </c>
      <c r="M594" s="253">
        <v>52.957446808510646</v>
      </c>
      <c r="N594" s="253">
        <v>68.400000000000006</v>
      </c>
      <c r="O594" s="253">
        <v>52.842105263157876</v>
      </c>
      <c r="P594" s="253"/>
      <c r="Q594" s="253">
        <v>66</v>
      </c>
      <c r="R594" s="253">
        <v>55</v>
      </c>
      <c r="S594" s="253">
        <v>43</v>
      </c>
      <c r="T594" s="253"/>
      <c r="U594" s="253">
        <v>53</v>
      </c>
      <c r="V594" s="253"/>
      <c r="W594" s="253">
        <v>75</v>
      </c>
      <c r="X594" s="253">
        <v>61</v>
      </c>
      <c r="Y594" s="253"/>
      <c r="Z594" s="253">
        <v>41</v>
      </c>
      <c r="AA594" s="253"/>
      <c r="AB594" s="253"/>
      <c r="AC594" s="253"/>
      <c r="AD594" s="253"/>
      <c r="AE594" s="253"/>
    </row>
    <row r="595" spans="1:31">
      <c r="A595" s="33">
        <v>594</v>
      </c>
      <c r="B595" s="69" t="s">
        <v>1110</v>
      </c>
      <c r="C595" s="69" t="s">
        <v>740</v>
      </c>
      <c r="D595" s="56">
        <v>42185</v>
      </c>
      <c r="G595" s="69" t="str">
        <f t="shared" si="9"/>
        <v>User Registration</v>
      </c>
      <c r="H595" s="69" t="s">
        <v>922</v>
      </c>
      <c r="J595" s="69" t="s">
        <v>1110</v>
      </c>
      <c r="K595" s="69" t="s">
        <v>931</v>
      </c>
      <c r="L595" s="253">
        <v>69.593519999999998</v>
      </c>
      <c r="M595" s="253">
        <v>62.499595744680846</v>
      </c>
      <c r="N595" s="253">
        <v>55.828341463414631</v>
      </c>
      <c r="O595" s="253">
        <v>67.631368421052628</v>
      </c>
      <c r="P595" s="253">
        <v>68.624799999999993</v>
      </c>
      <c r="Q595" s="253">
        <v>64.653999999999996</v>
      </c>
      <c r="R595" s="253">
        <v>60</v>
      </c>
      <c r="S595" s="253">
        <v>63</v>
      </c>
      <c r="T595" s="253"/>
      <c r="U595" s="253">
        <v>60.421499999999995</v>
      </c>
      <c r="V595" s="253"/>
      <c r="W595" s="253">
        <v>65</v>
      </c>
      <c r="X595" s="253">
        <v>36.25</v>
      </c>
      <c r="Y595" s="253">
        <v>67</v>
      </c>
      <c r="Z595" s="253">
        <v>73.468400000000003</v>
      </c>
      <c r="AA595" s="253"/>
      <c r="AB595" s="253"/>
      <c r="AC595" s="253"/>
      <c r="AD595" s="253"/>
      <c r="AE595" s="253"/>
    </row>
    <row r="596" spans="1:31">
      <c r="A596" s="33">
        <v>595</v>
      </c>
      <c r="B596" s="69" t="s">
        <v>1250</v>
      </c>
      <c r="C596" s="69" t="s">
        <v>740</v>
      </c>
      <c r="D596" s="56">
        <v>42185</v>
      </c>
      <c r="G596" s="69" t="str">
        <f t="shared" si="9"/>
        <v>User Registration</v>
      </c>
      <c r="H596" s="69" t="s">
        <v>922</v>
      </c>
      <c r="J596" s="69" t="s">
        <v>1250</v>
      </c>
      <c r="K596" s="69" t="s">
        <v>926</v>
      </c>
      <c r="L596" s="253">
        <v>52.866987808504319</v>
      </c>
      <c r="M596" s="253">
        <v>53.041666666666664</v>
      </c>
      <c r="N596" s="253">
        <v>59.975609756097555</v>
      </c>
      <c r="O596" s="253">
        <v>50.578947368421048</v>
      </c>
      <c r="P596" s="253">
        <v>47.333734760630392</v>
      </c>
      <c r="Q596" s="253">
        <v>58.999999999999993</v>
      </c>
      <c r="R596" s="253">
        <v>49</v>
      </c>
      <c r="S596" s="253">
        <v>39</v>
      </c>
      <c r="T596" s="253"/>
      <c r="U596" s="253">
        <v>60</v>
      </c>
      <c r="V596" s="253"/>
      <c r="W596" s="253">
        <v>67</v>
      </c>
      <c r="X596" s="253">
        <v>54</v>
      </c>
      <c r="Y596" s="253">
        <v>39</v>
      </c>
      <c r="Z596" s="253">
        <v>75</v>
      </c>
      <c r="AA596" s="253"/>
      <c r="AB596" s="253"/>
      <c r="AC596" s="253"/>
      <c r="AD596" s="253"/>
      <c r="AE596" s="253"/>
    </row>
    <row r="597" spans="1:31">
      <c r="A597" s="33">
        <v>596</v>
      </c>
      <c r="B597" s="69" t="s">
        <v>1110</v>
      </c>
      <c r="C597" s="69" t="s">
        <v>740</v>
      </c>
      <c r="D597" s="268">
        <v>42185</v>
      </c>
      <c r="F597" s="268"/>
      <c r="G597" s="69" t="str">
        <f t="shared" si="9"/>
        <v>User Registration</v>
      </c>
      <c r="H597" s="83" t="s">
        <v>922</v>
      </c>
      <c r="I597" s="83"/>
      <c r="J597" s="69" t="s">
        <v>1110</v>
      </c>
      <c r="K597" s="69" t="s">
        <v>379</v>
      </c>
      <c r="L597" s="253">
        <v>60.605032467714324</v>
      </c>
      <c r="M597" s="253">
        <v>62.169005403617028</v>
      </c>
      <c r="N597" s="253">
        <v>53.901705020975612</v>
      </c>
      <c r="O597" s="253">
        <v>64.357071112631573</v>
      </c>
      <c r="P597" s="253">
        <v>61.341517857142904</v>
      </c>
      <c r="Q597" s="253">
        <v>54.425000000000011</v>
      </c>
      <c r="R597" s="253">
        <v>67.032484310000001</v>
      </c>
      <c r="S597" s="253">
        <v>69.408018869999992</v>
      </c>
      <c r="T597" s="253"/>
      <c r="U597" s="253">
        <v>55</v>
      </c>
      <c r="V597" s="253"/>
      <c r="W597" s="253">
        <v>55</v>
      </c>
      <c r="X597" s="253">
        <v>45.375</v>
      </c>
      <c r="Y597" s="253">
        <v>67.659090909999989</v>
      </c>
      <c r="Z597" s="253">
        <v>57.659090909999996</v>
      </c>
      <c r="AA597" s="253"/>
      <c r="AB597" s="253"/>
      <c r="AC597" s="253"/>
      <c r="AD597" s="253"/>
      <c r="AE597" s="253"/>
    </row>
    <row r="598" spans="1:31">
      <c r="A598" s="33">
        <v>597</v>
      </c>
      <c r="B598" s="69" t="s">
        <v>1250</v>
      </c>
      <c r="C598" s="69" t="s">
        <v>740</v>
      </c>
      <c r="D598" s="268">
        <v>42185</v>
      </c>
      <c r="F598" s="268"/>
      <c r="G598" s="69" t="str">
        <f t="shared" si="9"/>
        <v>User Registration</v>
      </c>
      <c r="H598" s="83" t="s">
        <v>922</v>
      </c>
      <c r="I598" s="83"/>
      <c r="J598" s="69" t="s">
        <v>1250</v>
      </c>
      <c r="K598" s="69" t="s">
        <v>1447</v>
      </c>
      <c r="L598" s="253">
        <v>63.96573718497028</v>
      </c>
      <c r="M598" s="253">
        <v>53.820294784166663</v>
      </c>
      <c r="N598" s="253">
        <v>63.609756097560961</v>
      </c>
      <c r="O598" s="253">
        <v>56.853562476315787</v>
      </c>
      <c r="P598" s="253">
        <v>65.496287128712865</v>
      </c>
      <c r="Q598" s="253">
        <v>54</v>
      </c>
      <c r="R598" s="253">
        <v>45</v>
      </c>
      <c r="S598" s="253">
        <v>56.999999999999993</v>
      </c>
      <c r="T598" s="253"/>
      <c r="U598" s="253">
        <v>63</v>
      </c>
      <c r="V598" s="253"/>
      <c r="W598" s="253">
        <v>74</v>
      </c>
      <c r="X598" s="253">
        <v>57.999999999999993</v>
      </c>
      <c r="Y598" s="253">
        <v>58.999999999999993</v>
      </c>
      <c r="Z598" s="253">
        <v>57.843537410000003</v>
      </c>
      <c r="AA598" s="253"/>
      <c r="AB598" s="253"/>
      <c r="AC598" s="253"/>
      <c r="AD598" s="253"/>
      <c r="AE598" s="253"/>
    </row>
    <row r="599" spans="1:31">
      <c r="A599" s="33">
        <v>598</v>
      </c>
      <c r="B599" s="69" t="s">
        <v>1250</v>
      </c>
      <c r="C599" s="69" t="s">
        <v>740</v>
      </c>
      <c r="D599" s="268">
        <v>42185</v>
      </c>
      <c r="F599" s="268"/>
      <c r="G599" s="69" t="str">
        <f t="shared" si="9"/>
        <v>User Registration</v>
      </c>
      <c r="H599" s="83" t="s">
        <v>922</v>
      </c>
      <c r="I599" s="83"/>
      <c r="J599" s="69" t="s">
        <v>1250</v>
      </c>
      <c r="K599" s="69" t="s">
        <v>2100</v>
      </c>
      <c r="L599" s="253">
        <v>50.8</v>
      </c>
      <c r="M599" s="253">
        <v>52.708333333333336</v>
      </c>
      <c r="N599" s="253">
        <v>40.804878048780488</v>
      </c>
      <c r="O599" s="253">
        <v>49.473684210526315</v>
      </c>
      <c r="P599" s="253">
        <v>49</v>
      </c>
      <c r="Q599" s="253">
        <v>53</v>
      </c>
      <c r="R599" s="253">
        <v>49</v>
      </c>
      <c r="S599" s="253">
        <v>49</v>
      </c>
      <c r="T599" s="253"/>
      <c r="U599" s="253">
        <v>60</v>
      </c>
      <c r="V599" s="253"/>
      <c r="W599" s="253">
        <v>61</v>
      </c>
      <c r="X599" s="253">
        <v>0</v>
      </c>
      <c r="Y599" s="253">
        <v>45</v>
      </c>
      <c r="Z599" s="253">
        <v>57.999999999999993</v>
      </c>
      <c r="AA599" s="253"/>
      <c r="AB599" s="253"/>
      <c r="AC599" s="253"/>
      <c r="AD599" s="253"/>
      <c r="AE599" s="253"/>
    </row>
    <row r="600" spans="1:31">
      <c r="A600" s="33">
        <v>599</v>
      </c>
      <c r="B600" s="69" t="s">
        <v>2130</v>
      </c>
      <c r="C600" s="69" t="s">
        <v>1639</v>
      </c>
      <c r="D600" s="268">
        <v>42185</v>
      </c>
      <c r="F600" s="268"/>
      <c r="G600" s="69" t="str">
        <f t="shared" si="9"/>
        <v>User Registration</v>
      </c>
      <c r="H600" s="83" t="s">
        <v>2131</v>
      </c>
      <c r="I600" s="83"/>
      <c r="J600" s="69" t="s">
        <v>2130</v>
      </c>
      <c r="K600" s="69" t="s">
        <v>2130</v>
      </c>
      <c r="L600" s="253">
        <v>54</v>
      </c>
      <c r="M600" s="253">
        <v>52.170212765957444</v>
      </c>
      <c r="N600" s="253">
        <v>65.857142857142861</v>
      </c>
      <c r="O600" s="253">
        <v>53.89473684210526</v>
      </c>
      <c r="P600" s="253"/>
      <c r="Q600" s="253">
        <v>51</v>
      </c>
      <c r="R600" s="253">
        <v>56.000000000000007</v>
      </c>
      <c r="S600" s="253">
        <v>41</v>
      </c>
      <c r="T600" s="253"/>
      <c r="U600" s="253">
        <v>51</v>
      </c>
      <c r="V600" s="253"/>
      <c r="W600" s="253">
        <v>71</v>
      </c>
      <c r="X600" s="253">
        <v>66</v>
      </c>
      <c r="Y600" s="253"/>
      <c r="Z600" s="253">
        <v>54</v>
      </c>
      <c r="AA600" s="253"/>
      <c r="AB600" s="253"/>
      <c r="AC600" s="253"/>
      <c r="AD600" s="253"/>
      <c r="AE600" s="253"/>
    </row>
    <row r="601" spans="1:31">
      <c r="A601" s="33">
        <v>600</v>
      </c>
      <c r="B601" s="69" t="s">
        <v>1250</v>
      </c>
      <c r="C601" s="69" t="s">
        <v>740</v>
      </c>
      <c r="D601" s="268">
        <v>42185</v>
      </c>
      <c r="F601" s="268"/>
      <c r="G601" s="69" t="str">
        <f t="shared" si="9"/>
        <v>User Registration</v>
      </c>
      <c r="H601" s="83" t="s">
        <v>922</v>
      </c>
      <c r="I601" s="83"/>
      <c r="J601" s="69" t="s">
        <v>1250</v>
      </c>
      <c r="K601" s="69" t="s">
        <v>1250</v>
      </c>
      <c r="L601" s="253">
        <v>55.999999999999993</v>
      </c>
      <c r="M601" s="253">
        <v>56.124999999999993</v>
      </c>
      <c r="N601" s="253">
        <v>60.560975609756092</v>
      </c>
      <c r="O601" s="253">
        <v>52.842105263157897</v>
      </c>
      <c r="P601" s="253">
        <v>56.999999999999993</v>
      </c>
      <c r="Q601" s="253">
        <v>49</v>
      </c>
      <c r="R601" s="253">
        <v>54</v>
      </c>
      <c r="S601" s="253">
        <v>56.999999999999993</v>
      </c>
      <c r="T601" s="253"/>
      <c r="U601" s="253">
        <v>66</v>
      </c>
      <c r="V601" s="253"/>
      <c r="W601" s="253">
        <v>70</v>
      </c>
      <c r="X601" s="253">
        <v>51</v>
      </c>
      <c r="Y601" s="253">
        <v>53</v>
      </c>
      <c r="Z601" s="253">
        <v>52</v>
      </c>
      <c r="AA601" s="253"/>
      <c r="AB601" s="253"/>
      <c r="AC601" s="253"/>
      <c r="AD601" s="253"/>
      <c r="AE601" s="253"/>
    </row>
    <row r="602" spans="1:31">
      <c r="A602" s="33">
        <v>601</v>
      </c>
      <c r="B602" s="69" t="s">
        <v>2130</v>
      </c>
      <c r="C602" s="69" t="s">
        <v>1639</v>
      </c>
      <c r="D602" s="268">
        <v>42185</v>
      </c>
      <c r="F602" s="268"/>
      <c r="G602" s="69" t="str">
        <f t="shared" si="9"/>
        <v>User Registration</v>
      </c>
      <c r="H602" s="83" t="s">
        <v>2131</v>
      </c>
      <c r="I602" s="83"/>
      <c r="J602" s="69" t="s">
        <v>2130</v>
      </c>
      <c r="K602" s="69" t="s">
        <v>2133</v>
      </c>
      <c r="L602" s="253">
        <v>48.8</v>
      </c>
      <c r="M602" s="253">
        <v>47.446808510638299</v>
      </c>
      <c r="N602" s="253">
        <v>51.857142857142854</v>
      </c>
      <c r="O602" s="253">
        <v>42.403200210526322</v>
      </c>
      <c r="P602" s="253"/>
      <c r="Q602" s="253">
        <v>49</v>
      </c>
      <c r="R602" s="253">
        <v>48</v>
      </c>
      <c r="S602" s="253">
        <v>46</v>
      </c>
      <c r="T602" s="253"/>
      <c r="U602" s="253">
        <v>48</v>
      </c>
      <c r="V602" s="253"/>
      <c r="W602" s="253">
        <v>54</v>
      </c>
      <c r="X602" s="253">
        <v>50</v>
      </c>
      <c r="Y602" s="253"/>
      <c r="Z602" s="253">
        <v>44</v>
      </c>
      <c r="AA602" s="253"/>
      <c r="AB602" s="253"/>
      <c r="AC602" s="253"/>
      <c r="AD602" s="253"/>
      <c r="AE602" s="253"/>
    </row>
    <row r="603" spans="1:31">
      <c r="A603" s="33">
        <v>602</v>
      </c>
      <c r="B603" s="69" t="s">
        <v>2130</v>
      </c>
      <c r="C603" s="69" t="s">
        <v>1639</v>
      </c>
      <c r="D603" s="268">
        <v>42185</v>
      </c>
      <c r="F603" s="268"/>
      <c r="G603" s="69" t="str">
        <f t="shared" si="9"/>
        <v>User Registration</v>
      </c>
      <c r="H603" s="83" t="s">
        <v>2131</v>
      </c>
      <c r="I603" s="83"/>
      <c r="J603" s="69" t="s">
        <v>2130</v>
      </c>
      <c r="K603" s="69" t="s">
        <v>2134</v>
      </c>
      <c r="L603" s="253">
        <v>52.976623376000006</v>
      </c>
      <c r="M603" s="253">
        <v>52.176757174468079</v>
      </c>
      <c r="N603" s="253">
        <v>60.650502881142856</v>
      </c>
      <c r="O603" s="253">
        <v>52.842357088421039</v>
      </c>
      <c r="P603" s="253"/>
      <c r="Q603" s="253">
        <v>49</v>
      </c>
      <c r="R603" s="253">
        <v>51.29460014</v>
      </c>
      <c r="S603" s="253">
        <v>48</v>
      </c>
      <c r="T603" s="253"/>
      <c r="U603" s="253">
        <v>56.000000000000007</v>
      </c>
      <c r="V603" s="253"/>
      <c r="W603" s="253">
        <v>69</v>
      </c>
      <c r="X603" s="253">
        <v>48</v>
      </c>
      <c r="Y603" s="253"/>
      <c r="Z603" s="253">
        <v>56.883116880000003</v>
      </c>
      <c r="AA603" s="253"/>
      <c r="AB603" s="253"/>
      <c r="AC603" s="253"/>
      <c r="AD603" s="253"/>
      <c r="AE603" s="253"/>
    </row>
    <row r="604" spans="1:31">
      <c r="A604" s="33">
        <v>603</v>
      </c>
      <c r="B604" s="69" t="s">
        <v>1110</v>
      </c>
      <c r="C604" s="69" t="s">
        <v>740</v>
      </c>
      <c r="D604" s="268">
        <v>42185</v>
      </c>
      <c r="F604" s="268"/>
      <c r="G604" s="69" t="str">
        <f t="shared" si="9"/>
        <v>User Registration</v>
      </c>
      <c r="H604" s="83" t="s">
        <v>922</v>
      </c>
      <c r="I604" s="83"/>
      <c r="J604" s="69" t="s">
        <v>1110</v>
      </c>
      <c r="K604" s="69" t="s">
        <v>1447</v>
      </c>
      <c r="L604" s="253">
        <v>63.96573718497028</v>
      </c>
      <c r="M604" s="253">
        <v>58.124577160638303</v>
      </c>
      <c r="N604" s="253">
        <v>47.94905026585365</v>
      </c>
      <c r="O604" s="253">
        <v>53.970592378947366</v>
      </c>
      <c r="P604" s="253">
        <v>65.496287128712865</v>
      </c>
      <c r="Q604" s="253">
        <v>45.952499999999993</v>
      </c>
      <c r="R604" s="253">
        <v>59.342260150000001</v>
      </c>
      <c r="S604" s="253">
        <v>65.147153950000003</v>
      </c>
      <c r="T604" s="253"/>
      <c r="U604" s="253">
        <v>58.919431279999998</v>
      </c>
      <c r="V604" s="253"/>
      <c r="W604" s="253">
        <v>49</v>
      </c>
      <c r="X604" s="253">
        <v>41</v>
      </c>
      <c r="Y604" s="253">
        <v>50.64393939</v>
      </c>
      <c r="Z604" s="253">
        <v>57.843537410000003</v>
      </c>
      <c r="AA604" s="253"/>
      <c r="AB604" s="253"/>
      <c r="AC604" s="253"/>
      <c r="AD604" s="253"/>
      <c r="AE604" s="253"/>
    </row>
    <row r="605" spans="1:31">
      <c r="A605" s="33">
        <v>604</v>
      </c>
      <c r="B605" s="69" t="s">
        <v>1110</v>
      </c>
      <c r="C605" s="69" t="s">
        <v>740</v>
      </c>
      <c r="D605" s="268">
        <v>42185</v>
      </c>
      <c r="F605" s="268"/>
      <c r="G605" s="69" t="str">
        <f t="shared" si="9"/>
        <v>User Registration</v>
      </c>
      <c r="H605" s="83" t="s">
        <v>922</v>
      </c>
      <c r="I605" s="83"/>
      <c r="J605" s="69" t="s">
        <v>1110</v>
      </c>
      <c r="K605" s="69" t="s">
        <v>1110</v>
      </c>
      <c r="L605" s="253">
        <v>58.348740000000006</v>
      </c>
      <c r="M605" s="253">
        <v>51.768772340425528</v>
      </c>
      <c r="N605" s="253">
        <v>44.456048681941361</v>
      </c>
      <c r="O605" s="253">
        <v>58.952226315789481</v>
      </c>
      <c r="P605" s="253">
        <v>59.321400000000004</v>
      </c>
      <c r="Q605" s="253">
        <v>44.412800000000004</v>
      </c>
      <c r="R605" s="253">
        <v>52</v>
      </c>
      <c r="S605" s="253">
        <v>56.999999999999993</v>
      </c>
      <c r="T605" s="253"/>
      <c r="U605" s="253">
        <v>51.236499999999992</v>
      </c>
      <c r="V605" s="253"/>
      <c r="W605" s="253">
        <v>44.797979797979799</v>
      </c>
      <c r="X605" s="253">
        <v>40.125</v>
      </c>
      <c r="Y605" s="253">
        <v>64.238900000000001</v>
      </c>
      <c r="Z605" s="253">
        <v>54.458099999999995</v>
      </c>
      <c r="AA605" s="253"/>
      <c r="AB605" s="253"/>
      <c r="AC605" s="253"/>
      <c r="AD605" s="253"/>
      <c r="AE605" s="253"/>
    </row>
    <row r="606" spans="1:31">
      <c r="A606" s="33">
        <v>605</v>
      </c>
      <c r="B606" s="69" t="s">
        <v>2130</v>
      </c>
      <c r="C606" s="69" t="s">
        <v>1639</v>
      </c>
      <c r="D606" s="268">
        <v>42185</v>
      </c>
      <c r="F606" s="268"/>
      <c r="G606" s="69" t="str">
        <f t="shared" si="9"/>
        <v>User Registration</v>
      </c>
      <c r="H606" s="83" t="s">
        <v>2131</v>
      </c>
      <c r="I606" s="83"/>
      <c r="J606" s="69" t="s">
        <v>2130</v>
      </c>
      <c r="K606" s="69" t="s">
        <v>2135</v>
      </c>
      <c r="L606" s="253">
        <v>48.2</v>
      </c>
      <c r="M606" s="253">
        <v>40.276595744680854</v>
      </c>
      <c r="N606" s="253">
        <v>49.2</v>
      </c>
      <c r="O606" s="253">
        <v>46.156043373684213</v>
      </c>
      <c r="P606" s="253"/>
      <c r="Q606" s="253">
        <v>38</v>
      </c>
      <c r="R606" s="253">
        <v>43</v>
      </c>
      <c r="S606" s="253">
        <v>40</v>
      </c>
      <c r="T606" s="253"/>
      <c r="U606" s="253">
        <v>32</v>
      </c>
      <c r="V606" s="253"/>
      <c r="W606" s="253">
        <v>51</v>
      </c>
      <c r="X606" s="253">
        <v>55</v>
      </c>
      <c r="Y606" s="253"/>
      <c r="Z606" s="253">
        <v>49</v>
      </c>
      <c r="AA606" s="253"/>
      <c r="AB606" s="253"/>
      <c r="AC606" s="253"/>
      <c r="AD606" s="253"/>
      <c r="AE606" s="253"/>
    </row>
    <row r="607" spans="1:31" s="260" customFormat="1">
      <c r="A607" s="33">
        <v>606</v>
      </c>
      <c r="B607" s="69" t="s">
        <v>2130</v>
      </c>
      <c r="C607" s="69" t="s">
        <v>1639</v>
      </c>
      <c r="D607" s="268">
        <v>42185</v>
      </c>
      <c r="E607" s="33"/>
      <c r="F607" s="268"/>
      <c r="G607" s="69" t="str">
        <f t="shared" si="9"/>
        <v>User Registration</v>
      </c>
      <c r="H607" s="83" t="s">
        <v>2131</v>
      </c>
      <c r="I607" s="83"/>
      <c r="J607" s="69" t="s">
        <v>2130</v>
      </c>
      <c r="K607" s="69" t="s">
        <v>2136</v>
      </c>
      <c r="L607" s="253">
        <v>57.2</v>
      </c>
      <c r="M607" s="253">
        <v>50.255319148936174</v>
      </c>
      <c r="N607" s="253">
        <v>58.628571428571426</v>
      </c>
      <c r="O607" s="253">
        <v>56.000000000000007</v>
      </c>
      <c r="P607" s="253"/>
      <c r="Q607" s="253">
        <v>36</v>
      </c>
      <c r="R607" s="253">
        <v>51</v>
      </c>
      <c r="S607" s="253">
        <v>56.000000000000007</v>
      </c>
      <c r="T607" s="253"/>
      <c r="U607" s="253">
        <v>48</v>
      </c>
      <c r="V607" s="253"/>
      <c r="W607" s="253">
        <v>69</v>
      </c>
      <c r="X607" s="253">
        <v>43</v>
      </c>
      <c r="Y607" s="253"/>
      <c r="Z607" s="253">
        <v>62</v>
      </c>
      <c r="AA607" s="256"/>
      <c r="AB607" s="256"/>
      <c r="AC607" s="256"/>
      <c r="AD607" s="256"/>
      <c r="AE607" s="256"/>
    </row>
    <row r="608" spans="1:31" s="260" customFormat="1">
      <c r="A608" s="33">
        <v>607</v>
      </c>
      <c r="B608" s="69" t="s">
        <v>2121</v>
      </c>
      <c r="C608" s="69" t="s">
        <v>740</v>
      </c>
      <c r="D608" s="56">
        <v>42186</v>
      </c>
      <c r="E608" s="33"/>
      <c r="F608" s="69"/>
      <c r="G608" s="69" t="str">
        <f t="shared" si="9"/>
        <v>User Registration</v>
      </c>
      <c r="H608" s="69" t="s">
        <v>2122</v>
      </c>
      <c r="I608" s="69"/>
      <c r="J608" s="69" t="s">
        <v>2121</v>
      </c>
      <c r="K608" s="69" t="s">
        <v>2123</v>
      </c>
      <c r="L608" s="253">
        <v>61.818033178</v>
      </c>
      <c r="M608" s="253">
        <v>61.502758372083335</v>
      </c>
      <c r="N608" s="253">
        <v>51.582615025714283</v>
      </c>
      <c r="O608" s="253">
        <v>65.203398773684199</v>
      </c>
      <c r="P608" s="253">
        <v>62.174208139999998</v>
      </c>
      <c r="Q608" s="253">
        <v>68.09174999999999</v>
      </c>
      <c r="R608" s="253">
        <v>58.645897589999997</v>
      </c>
      <c r="S608" s="253">
        <v>62.271940669999999</v>
      </c>
      <c r="T608" s="253"/>
      <c r="U608" s="253">
        <v>60.477130040000006</v>
      </c>
      <c r="V608" s="253"/>
      <c r="W608" s="253">
        <v>56.999999999999993</v>
      </c>
      <c r="X608" s="253">
        <v>46</v>
      </c>
      <c r="Y608" s="253">
        <v>68.924242419999999</v>
      </c>
      <c r="Z608" s="253">
        <v>60.393333329999997</v>
      </c>
      <c r="AA608" s="256"/>
      <c r="AB608" s="256"/>
      <c r="AC608" s="256"/>
      <c r="AD608" s="256"/>
      <c r="AE608" s="256"/>
    </row>
    <row r="609" spans="1:31">
      <c r="A609" s="33">
        <v>608</v>
      </c>
      <c r="B609" s="69" t="s">
        <v>2121</v>
      </c>
      <c r="C609" s="69" t="s">
        <v>740</v>
      </c>
      <c r="D609" s="56">
        <v>42186</v>
      </c>
      <c r="G609" s="69" t="str">
        <f t="shared" si="9"/>
        <v>User Registration</v>
      </c>
      <c r="H609" s="69" t="s">
        <v>2122</v>
      </c>
      <c r="J609" s="69" t="s">
        <v>2121</v>
      </c>
      <c r="K609" s="69" t="s">
        <v>2121</v>
      </c>
      <c r="L609" s="253">
        <v>48.668195978</v>
      </c>
      <c r="M609" s="253">
        <v>52.52974727083334</v>
      </c>
      <c r="N609" s="253">
        <v>52.874203550779526</v>
      </c>
      <c r="O609" s="253">
        <v>55.115519007894733</v>
      </c>
      <c r="P609" s="253">
        <v>49.403426789999997</v>
      </c>
      <c r="Q609" s="253">
        <v>61.309999999999995</v>
      </c>
      <c r="R609" s="253">
        <v>54.129181780000003</v>
      </c>
      <c r="S609" s="253">
        <v>45.732558140000002</v>
      </c>
      <c r="T609" s="253"/>
      <c r="U609" s="253">
        <v>52.464628820000001</v>
      </c>
      <c r="V609" s="253"/>
      <c r="W609" s="253">
        <v>57.156862745098032</v>
      </c>
      <c r="X609" s="253">
        <v>43</v>
      </c>
      <c r="Y609" s="253">
        <v>60.325757579999994</v>
      </c>
      <c r="Z609" s="253">
        <v>45.727272730000003</v>
      </c>
      <c r="AA609" s="253"/>
      <c r="AB609" s="253"/>
      <c r="AC609" s="253"/>
      <c r="AD609" s="253"/>
      <c r="AE609" s="253"/>
    </row>
    <row r="610" spans="1:31">
      <c r="A610" s="33">
        <v>609</v>
      </c>
      <c r="B610" s="69" t="s">
        <v>2121</v>
      </c>
      <c r="C610" s="69" t="s">
        <v>740</v>
      </c>
      <c r="D610" s="268">
        <v>42186</v>
      </c>
      <c r="F610" s="268"/>
      <c r="G610" s="69" t="str">
        <f t="shared" si="9"/>
        <v>User Registration</v>
      </c>
      <c r="H610" s="83" t="s">
        <v>2122</v>
      </c>
      <c r="I610" s="83"/>
      <c r="J610" s="69" t="s">
        <v>2121</v>
      </c>
      <c r="K610" s="69" t="s">
        <v>2124</v>
      </c>
      <c r="L610" s="253">
        <v>52.699730840000001</v>
      </c>
      <c r="M610" s="253">
        <v>50.635076359999999</v>
      </c>
      <c r="N610" s="253">
        <v>36.587028059999994</v>
      </c>
      <c r="O610" s="253">
        <v>53.391863916315792</v>
      </c>
      <c r="P610" s="253">
        <v>55.355432780000001</v>
      </c>
      <c r="Q610" s="253">
        <v>54.784999999999997</v>
      </c>
      <c r="R610" s="253">
        <v>55.159498210000002</v>
      </c>
      <c r="S610" s="253">
        <v>50.524534689999996</v>
      </c>
      <c r="T610" s="253"/>
      <c r="U610" s="253">
        <v>43.609865469999995</v>
      </c>
      <c r="V610" s="253"/>
      <c r="W610" s="253">
        <v>56.999999999999993</v>
      </c>
      <c r="X610" s="253">
        <v>37</v>
      </c>
      <c r="Y610" s="253">
        <v>58.843226790000003</v>
      </c>
      <c r="Z610" s="253">
        <v>42.07692308</v>
      </c>
      <c r="AA610" s="253"/>
      <c r="AB610" s="253"/>
      <c r="AC610" s="253"/>
      <c r="AD610" s="253"/>
      <c r="AE610" s="253"/>
    </row>
    <row r="611" spans="1:31">
      <c r="A611" s="33">
        <v>610</v>
      </c>
      <c r="B611" s="69" t="s">
        <v>2125</v>
      </c>
      <c r="C611" s="69" t="s">
        <v>740</v>
      </c>
      <c r="D611" s="268">
        <v>42186</v>
      </c>
      <c r="F611" s="268"/>
      <c r="G611" s="69" t="str">
        <f t="shared" si="9"/>
        <v>E-Commerce</v>
      </c>
      <c r="H611" s="83" t="s">
        <v>749</v>
      </c>
      <c r="I611" s="83"/>
      <c r="J611" s="69" t="s">
        <v>2126</v>
      </c>
      <c r="K611" s="69" t="s">
        <v>2126</v>
      </c>
      <c r="L611" s="253">
        <v>49</v>
      </c>
      <c r="M611" s="253">
        <v>52.241379310344826</v>
      </c>
      <c r="N611" s="253">
        <v>49</v>
      </c>
      <c r="O611" s="253">
        <v>51.578947368421055</v>
      </c>
      <c r="P611" s="253">
        <v>49</v>
      </c>
      <c r="Q611" s="253">
        <v>60</v>
      </c>
      <c r="R611" s="253">
        <v>54</v>
      </c>
      <c r="S611" s="253">
        <v>46.999999999999993</v>
      </c>
      <c r="T611" s="253"/>
      <c r="U611" s="253">
        <v>51</v>
      </c>
      <c r="V611" s="253">
        <v>51</v>
      </c>
      <c r="W611" s="253"/>
      <c r="X611" s="253"/>
      <c r="Y611" s="253">
        <v>52</v>
      </c>
      <c r="Z611" s="253">
        <v>49</v>
      </c>
      <c r="AA611" s="253"/>
      <c r="AB611" s="253"/>
      <c r="AC611" s="253"/>
      <c r="AD611" s="253"/>
      <c r="AE611" s="253"/>
    </row>
    <row r="612" spans="1:31">
      <c r="A612" s="33">
        <v>611</v>
      </c>
      <c r="B612" s="69" t="s">
        <v>2125</v>
      </c>
      <c r="C612" s="69" t="s">
        <v>740</v>
      </c>
      <c r="D612" s="268">
        <v>42186</v>
      </c>
      <c r="F612" s="268"/>
      <c r="G612" s="69" t="str">
        <f t="shared" si="9"/>
        <v>E-Commerce</v>
      </c>
      <c r="H612" s="83" t="s">
        <v>749</v>
      </c>
      <c r="I612" s="83"/>
      <c r="J612" s="69" t="s">
        <v>2126</v>
      </c>
      <c r="K612" s="69" t="s">
        <v>1837</v>
      </c>
      <c r="L612" s="253">
        <v>65.400000000000006</v>
      </c>
      <c r="M612" s="253">
        <v>61.137931034482762</v>
      </c>
      <c r="N612" s="253">
        <v>66.999350941135347</v>
      </c>
      <c r="O612" s="253">
        <v>66.84210526315789</v>
      </c>
      <c r="P612" s="253">
        <v>67</v>
      </c>
      <c r="Q612" s="253">
        <v>62</v>
      </c>
      <c r="R612" s="253">
        <v>64</v>
      </c>
      <c r="S612" s="253">
        <v>55</v>
      </c>
      <c r="T612" s="253"/>
      <c r="U612" s="253">
        <v>56.000000000000007</v>
      </c>
      <c r="V612" s="253">
        <v>68</v>
      </c>
      <c r="W612" s="253"/>
      <c r="X612" s="253"/>
      <c r="Y612" s="253">
        <v>73</v>
      </c>
      <c r="Z612" s="253">
        <v>58.999999999999993</v>
      </c>
      <c r="AA612" s="253"/>
      <c r="AB612" s="253"/>
      <c r="AC612" s="253"/>
      <c r="AD612" s="253"/>
      <c r="AE612" s="253"/>
    </row>
    <row r="613" spans="1:31">
      <c r="A613" s="33">
        <v>612</v>
      </c>
      <c r="B613" s="69" t="s">
        <v>2125</v>
      </c>
      <c r="C613" s="69" t="s">
        <v>740</v>
      </c>
      <c r="D613" s="268">
        <v>42186</v>
      </c>
      <c r="F613" s="268"/>
      <c r="G613" s="69" t="str">
        <f t="shared" si="9"/>
        <v>E-Commerce</v>
      </c>
      <c r="H613" s="83" t="s">
        <v>749</v>
      </c>
      <c r="I613" s="83"/>
      <c r="J613" s="69" t="s">
        <v>2126</v>
      </c>
      <c r="K613" s="69" t="s">
        <v>2127</v>
      </c>
      <c r="L613" s="253">
        <v>34.6</v>
      </c>
      <c r="M613" s="253">
        <v>34.068965517241381</v>
      </c>
      <c r="N613" s="253">
        <v>24.006640371461383</v>
      </c>
      <c r="O613" s="253">
        <v>37.94736842105263</v>
      </c>
      <c r="P613" s="253">
        <v>30</v>
      </c>
      <c r="Q613" s="253">
        <v>41</v>
      </c>
      <c r="R613" s="253">
        <v>41</v>
      </c>
      <c r="S613" s="253">
        <v>23</v>
      </c>
      <c r="T613" s="253"/>
      <c r="U613" s="253">
        <v>32</v>
      </c>
      <c r="V613" s="253">
        <v>23</v>
      </c>
      <c r="W613" s="253"/>
      <c r="X613" s="253"/>
      <c r="Y613" s="253">
        <v>31</v>
      </c>
      <c r="Z613" s="253">
        <v>53</v>
      </c>
      <c r="AA613" s="253"/>
      <c r="AB613" s="253"/>
      <c r="AC613" s="253"/>
      <c r="AD613" s="253"/>
      <c r="AE613" s="253"/>
    </row>
    <row r="614" spans="1:31">
      <c r="A614" s="33">
        <v>613</v>
      </c>
      <c r="B614" s="69" t="s">
        <v>2125</v>
      </c>
      <c r="C614" s="69" t="s">
        <v>740</v>
      </c>
      <c r="D614" s="268">
        <v>42186</v>
      </c>
      <c r="F614" s="268"/>
      <c r="G614" s="69" t="str">
        <f t="shared" si="9"/>
        <v>E-Commerce</v>
      </c>
      <c r="H614" s="83" t="s">
        <v>749</v>
      </c>
      <c r="I614" s="83"/>
      <c r="J614" s="69" t="s">
        <v>2126</v>
      </c>
      <c r="K614" s="69" t="s">
        <v>2128</v>
      </c>
      <c r="L614" s="253">
        <v>53.2</v>
      </c>
      <c r="M614" s="253">
        <v>51.448275862068961</v>
      </c>
      <c r="N614" s="253">
        <v>55.999500723950277</v>
      </c>
      <c r="O614" s="253">
        <v>50.368421052631582</v>
      </c>
      <c r="P614" s="253">
        <v>54</v>
      </c>
      <c r="Q614" s="253">
        <v>46</v>
      </c>
      <c r="R614" s="253">
        <v>56.000000000000007</v>
      </c>
      <c r="S614" s="253">
        <v>49</v>
      </c>
      <c r="T614" s="253"/>
      <c r="U614" s="253">
        <v>46</v>
      </c>
      <c r="V614" s="253">
        <v>56.999999999999993</v>
      </c>
      <c r="W614" s="253"/>
      <c r="X614" s="253"/>
      <c r="Y614" s="253">
        <v>50</v>
      </c>
      <c r="Z614" s="253">
        <v>50</v>
      </c>
      <c r="AA614" s="253"/>
      <c r="AB614" s="253"/>
      <c r="AC614" s="253"/>
      <c r="AD614" s="253"/>
      <c r="AE614" s="253"/>
    </row>
    <row r="615" spans="1:31">
      <c r="A615" s="33">
        <v>614</v>
      </c>
      <c r="B615" s="69" t="s">
        <v>2125</v>
      </c>
      <c r="C615" s="69" t="s">
        <v>740</v>
      </c>
      <c r="D615" s="268">
        <v>42186</v>
      </c>
      <c r="F615" s="268"/>
      <c r="G615" s="69" t="str">
        <f t="shared" si="9"/>
        <v>E-Commerce</v>
      </c>
      <c r="H615" s="83" t="s">
        <v>749</v>
      </c>
      <c r="I615" s="83"/>
      <c r="J615" s="69" t="s">
        <v>2126</v>
      </c>
      <c r="K615" s="69" t="s">
        <v>2019</v>
      </c>
      <c r="L615" s="253">
        <v>51</v>
      </c>
      <c r="M615" s="253">
        <v>57.827586206896555</v>
      </c>
      <c r="N615" s="253">
        <v>56.008038344400624</v>
      </c>
      <c r="O615" s="253">
        <v>50.315789473684198</v>
      </c>
      <c r="P615" s="253">
        <v>51</v>
      </c>
      <c r="Q615" s="253">
        <v>56.999999999999993</v>
      </c>
      <c r="R615" s="253">
        <v>58.999999999999993</v>
      </c>
      <c r="S615" s="253">
        <v>56.000000000000007</v>
      </c>
      <c r="T615" s="253"/>
      <c r="U615" s="253">
        <v>56.000000000000007</v>
      </c>
      <c r="V615" s="253">
        <v>63</v>
      </c>
      <c r="W615" s="253"/>
      <c r="X615" s="253"/>
      <c r="Y615" s="253">
        <v>46.999999999999993</v>
      </c>
      <c r="Z615" s="253">
        <v>51</v>
      </c>
      <c r="AA615" s="253"/>
      <c r="AB615" s="253"/>
      <c r="AC615" s="253"/>
      <c r="AD615" s="253"/>
      <c r="AE615" s="253"/>
    </row>
    <row r="616" spans="1:31">
      <c r="A616" s="33">
        <v>615</v>
      </c>
      <c r="B616" s="69" t="s">
        <v>2121</v>
      </c>
      <c r="C616" s="69" t="s">
        <v>740</v>
      </c>
      <c r="D616" s="268">
        <v>42186</v>
      </c>
      <c r="F616" s="268"/>
      <c r="G616" s="69" t="str">
        <f t="shared" si="9"/>
        <v>User Registration</v>
      </c>
      <c r="H616" s="83" t="s">
        <v>2122</v>
      </c>
      <c r="I616" s="83"/>
      <c r="J616" s="69" t="s">
        <v>2121</v>
      </c>
      <c r="K616" s="69" t="s">
        <v>1162</v>
      </c>
      <c r="L616" s="253">
        <v>61.798466809999994</v>
      </c>
      <c r="M616" s="253">
        <v>57.736499342083334</v>
      </c>
      <c r="N616" s="253">
        <v>56.841712066131045</v>
      </c>
      <c r="O616" s="253">
        <v>62.816704656315778</v>
      </c>
      <c r="P616" s="253">
        <v>62.720486109999996</v>
      </c>
      <c r="Q616" s="253">
        <v>50.423749999999998</v>
      </c>
      <c r="R616" s="253">
        <v>60.50714438</v>
      </c>
      <c r="S616" s="253">
        <v>59.709219859999997</v>
      </c>
      <c r="T616" s="253"/>
      <c r="U616" s="253">
        <v>57.031390130000005</v>
      </c>
      <c r="V616" s="253"/>
      <c r="W616" s="253">
        <v>62.009803921568626</v>
      </c>
      <c r="X616" s="253">
        <v>48</v>
      </c>
      <c r="Y616" s="253">
        <v>67.181818179999993</v>
      </c>
      <c r="Z616" s="253">
        <v>58.110389609999999</v>
      </c>
      <c r="AA616" s="253"/>
      <c r="AB616" s="253"/>
      <c r="AC616" s="253"/>
      <c r="AD616" s="253"/>
      <c r="AE616" s="253"/>
    </row>
    <row r="617" spans="1:31">
      <c r="A617" s="33">
        <v>616</v>
      </c>
      <c r="B617" s="69" t="s">
        <v>2121</v>
      </c>
      <c r="C617" s="69" t="s">
        <v>740</v>
      </c>
      <c r="D617" s="268">
        <v>42186</v>
      </c>
      <c r="F617" s="268"/>
      <c r="G617" s="69" t="str">
        <f t="shared" si="9"/>
        <v>User Registration</v>
      </c>
      <c r="H617" s="83" t="s">
        <v>2122</v>
      </c>
      <c r="I617" s="83"/>
      <c r="J617" s="69" t="s">
        <v>2121</v>
      </c>
      <c r="K617" s="69" t="s">
        <v>2129</v>
      </c>
      <c r="L617" s="253">
        <v>54.353232585999997</v>
      </c>
      <c r="M617" s="253">
        <v>49.403560849249999</v>
      </c>
      <c r="N617" s="253">
        <v>47.653539816747482</v>
      </c>
      <c r="O617" s="253">
        <v>58.976860549631581</v>
      </c>
      <c r="P617" s="253">
        <v>52.273301740000001</v>
      </c>
      <c r="Q617" s="253">
        <v>42.303636363000003</v>
      </c>
      <c r="R617" s="253">
        <v>51.108154880000001</v>
      </c>
      <c r="S617" s="253">
        <v>51.160472970000001</v>
      </c>
      <c r="T617" s="253"/>
      <c r="U617" s="253">
        <v>45.291479819999999</v>
      </c>
      <c r="V617" s="253"/>
      <c r="W617" s="253">
        <v>54.411764705882348</v>
      </c>
      <c r="X617" s="253">
        <v>36</v>
      </c>
      <c r="Y617" s="253">
        <v>61.151515150000002</v>
      </c>
      <c r="Z617" s="253">
        <v>62.672955969999997</v>
      </c>
      <c r="AA617" s="253"/>
      <c r="AB617" s="253"/>
      <c r="AC617" s="253"/>
      <c r="AD617" s="253"/>
      <c r="AE617" s="253"/>
    </row>
    <row r="618" spans="1:31">
      <c r="A618" s="33">
        <v>617</v>
      </c>
      <c r="B618" s="69" t="s">
        <v>1345</v>
      </c>
      <c r="C618" s="69" t="s">
        <v>740</v>
      </c>
      <c r="D618" s="56">
        <v>42192</v>
      </c>
      <c r="G618" s="69" t="str">
        <f t="shared" si="9"/>
        <v>User Registration</v>
      </c>
      <c r="H618" s="69" t="s">
        <v>922</v>
      </c>
      <c r="J618" s="69" t="s">
        <v>2106</v>
      </c>
      <c r="K618" s="69" t="s">
        <v>2107</v>
      </c>
      <c r="L618" s="253">
        <v>54.20127592</v>
      </c>
      <c r="M618" s="253">
        <v>54.284377506122446</v>
      </c>
      <c r="N618" s="253">
        <v>58.368421052631568</v>
      </c>
      <c r="O618" s="253">
        <v>48.052631578947377</v>
      </c>
      <c r="P618" s="253">
        <v>53.001594900000001</v>
      </c>
      <c r="Q618" s="253">
        <v>66</v>
      </c>
      <c r="R618" s="253">
        <v>53</v>
      </c>
      <c r="S618" s="253">
        <v>46</v>
      </c>
      <c r="T618" s="253"/>
      <c r="U618" s="253">
        <v>53.493449779999999</v>
      </c>
      <c r="V618" s="253"/>
      <c r="W618" s="253">
        <v>58.999999999999993</v>
      </c>
      <c r="X618" s="253"/>
      <c r="Y618" s="253">
        <v>40</v>
      </c>
      <c r="Z618" s="253">
        <v>58.999999999999993</v>
      </c>
      <c r="AA618" s="253"/>
      <c r="AB618" s="253"/>
      <c r="AC618" s="253"/>
      <c r="AD618" s="253"/>
      <c r="AE618" s="253"/>
    </row>
    <row r="619" spans="1:31">
      <c r="A619" s="33">
        <v>618</v>
      </c>
      <c r="B619" s="69" t="s">
        <v>1345</v>
      </c>
      <c r="C619" s="69" t="s">
        <v>740</v>
      </c>
      <c r="D619" s="56">
        <v>42192</v>
      </c>
      <c r="G619" s="69" t="str">
        <f t="shared" si="9"/>
        <v>User Registration</v>
      </c>
      <c r="H619" s="69" t="s">
        <v>922</v>
      </c>
      <c r="J619" s="69" t="s">
        <v>2106</v>
      </c>
      <c r="K619" s="69" t="s">
        <v>1766</v>
      </c>
      <c r="L619" s="253">
        <v>51.160926920000001</v>
      </c>
      <c r="M619" s="253">
        <v>60.285714285714278</v>
      </c>
      <c r="N619" s="253">
        <v>58.526315789473678</v>
      </c>
      <c r="O619" s="253">
        <v>48.894736842105267</v>
      </c>
      <c r="P619" s="253">
        <v>51.951158650000004</v>
      </c>
      <c r="Q619" s="253">
        <v>64</v>
      </c>
      <c r="R619" s="253">
        <v>60</v>
      </c>
      <c r="S619" s="253">
        <v>55</v>
      </c>
      <c r="T619" s="253"/>
      <c r="U619" s="253">
        <v>68</v>
      </c>
      <c r="V619" s="253"/>
      <c r="W619" s="253">
        <v>53</v>
      </c>
      <c r="X619" s="253">
        <v>68</v>
      </c>
      <c r="Y619" s="253">
        <v>45</v>
      </c>
      <c r="Z619" s="253">
        <v>48</v>
      </c>
      <c r="AA619" s="253"/>
      <c r="AB619" s="253"/>
      <c r="AC619" s="253"/>
      <c r="AD619" s="253"/>
      <c r="AE619" s="253"/>
    </row>
    <row r="620" spans="1:31">
      <c r="A620" s="33">
        <v>619</v>
      </c>
      <c r="B620" s="69" t="s">
        <v>1345</v>
      </c>
      <c r="C620" s="69" t="s">
        <v>740</v>
      </c>
      <c r="D620" s="56">
        <v>42192</v>
      </c>
      <c r="G620" s="69" t="str">
        <f t="shared" si="9"/>
        <v>User Registration</v>
      </c>
      <c r="H620" s="69" t="s">
        <v>922</v>
      </c>
      <c r="J620" s="69" t="s">
        <v>2108</v>
      </c>
      <c r="K620" s="69" t="s">
        <v>2109</v>
      </c>
      <c r="L620" s="253">
        <v>62.017560976000006</v>
      </c>
      <c r="M620" s="253">
        <v>53.76984127061224</v>
      </c>
      <c r="N620" s="253">
        <v>57.754385965263154</v>
      </c>
      <c r="O620" s="253">
        <v>60.292397661052632</v>
      </c>
      <c r="P620" s="253">
        <v>60.521951220000005</v>
      </c>
      <c r="Q620" s="253">
        <v>62</v>
      </c>
      <c r="R620" s="253">
        <v>56.277777780000001</v>
      </c>
      <c r="S620" s="253">
        <v>41</v>
      </c>
      <c r="T620" s="253"/>
      <c r="U620" s="253">
        <v>50</v>
      </c>
      <c r="V620" s="253"/>
      <c r="W620" s="253">
        <v>56.999999999999993</v>
      </c>
      <c r="X620" s="253">
        <v>58.999999999999993</v>
      </c>
      <c r="Y620" s="253">
        <v>58.999999999999993</v>
      </c>
      <c r="Z620" s="253">
        <v>68</v>
      </c>
      <c r="AA620" s="253"/>
      <c r="AB620" s="253"/>
      <c r="AC620" s="253"/>
      <c r="AD620" s="253"/>
      <c r="AE620" s="253"/>
    </row>
    <row r="621" spans="1:31">
      <c r="A621" s="33">
        <v>620</v>
      </c>
      <c r="B621" s="69" t="s">
        <v>1345</v>
      </c>
      <c r="C621" s="69" t="s">
        <v>740</v>
      </c>
      <c r="D621" s="268">
        <v>42192</v>
      </c>
      <c r="F621" s="268"/>
      <c r="G621" s="69" t="str">
        <f t="shared" si="9"/>
        <v>User Registration</v>
      </c>
      <c r="H621" s="83" t="s">
        <v>922</v>
      </c>
      <c r="I621" s="83"/>
      <c r="J621" s="69" t="s">
        <v>2106</v>
      </c>
      <c r="K621" s="69" t="s">
        <v>1343</v>
      </c>
      <c r="L621" s="253">
        <v>57.266985648000002</v>
      </c>
      <c r="M621" s="253">
        <v>58.429954717755102</v>
      </c>
      <c r="N621" s="253">
        <v>60.779267317368422</v>
      </c>
      <c r="O621" s="253">
        <v>61.659862422105256</v>
      </c>
      <c r="P621" s="253">
        <v>56.583732060000003</v>
      </c>
      <c r="Q621" s="253">
        <v>57.999999999999993</v>
      </c>
      <c r="R621" s="253">
        <v>58.768693009999993</v>
      </c>
      <c r="S621" s="253">
        <v>56.000000000000007</v>
      </c>
      <c r="T621" s="253"/>
      <c r="U621" s="253">
        <v>60</v>
      </c>
      <c r="V621" s="253"/>
      <c r="W621" s="253">
        <v>58.999999999999993</v>
      </c>
      <c r="X621" s="253">
        <v>67</v>
      </c>
      <c r="Y621" s="253">
        <v>64</v>
      </c>
      <c r="Z621" s="253">
        <v>60</v>
      </c>
      <c r="AA621" s="253"/>
      <c r="AB621" s="253"/>
      <c r="AC621" s="253"/>
      <c r="AD621" s="253"/>
      <c r="AE621" s="253"/>
    </row>
    <row r="622" spans="1:31">
      <c r="A622" s="33">
        <v>621</v>
      </c>
      <c r="B622" s="69" t="s">
        <v>1345</v>
      </c>
      <c r="C622" s="69" t="s">
        <v>740</v>
      </c>
      <c r="D622" s="268">
        <v>42192</v>
      </c>
      <c r="F622" s="268"/>
      <c r="G622" s="69" t="str">
        <f t="shared" si="9"/>
        <v>User Registration</v>
      </c>
      <c r="H622" s="83" t="s">
        <v>922</v>
      </c>
      <c r="I622" s="83"/>
      <c r="J622" s="69" t="s">
        <v>2106</v>
      </c>
      <c r="K622" s="69" t="s">
        <v>2106</v>
      </c>
      <c r="L622" s="253">
        <v>51.2</v>
      </c>
      <c r="M622" s="253">
        <v>52.79591836734695</v>
      </c>
      <c r="N622" s="253">
        <v>53.868421052631589</v>
      </c>
      <c r="O622" s="253">
        <v>57.84210526315789</v>
      </c>
      <c r="P622" s="253">
        <v>50</v>
      </c>
      <c r="Q622" s="253">
        <v>56.000000000000007</v>
      </c>
      <c r="R622" s="253">
        <v>55</v>
      </c>
      <c r="S622" s="253">
        <v>43</v>
      </c>
      <c r="T622" s="253"/>
      <c r="U622" s="253">
        <v>55</v>
      </c>
      <c r="V622" s="253"/>
      <c r="W622" s="253">
        <v>50</v>
      </c>
      <c r="X622" s="253">
        <v>61</v>
      </c>
      <c r="Y622" s="253">
        <v>61</v>
      </c>
      <c r="Z622" s="253">
        <v>56.000000000000007</v>
      </c>
      <c r="AA622" s="253"/>
      <c r="AB622" s="253"/>
      <c r="AC622" s="253"/>
      <c r="AD622" s="253"/>
      <c r="AE622" s="253"/>
    </row>
    <row r="623" spans="1:31">
      <c r="A623" s="33">
        <v>622</v>
      </c>
      <c r="B623" s="69" t="s">
        <v>1345</v>
      </c>
      <c r="C623" s="69" t="s">
        <v>740</v>
      </c>
      <c r="D623" s="268">
        <v>42192</v>
      </c>
      <c r="F623" s="268"/>
      <c r="G623" s="69" t="str">
        <f t="shared" si="9"/>
        <v>User Registration</v>
      </c>
      <c r="H623" s="83" t="s">
        <v>922</v>
      </c>
      <c r="I623" s="83"/>
      <c r="J623" s="69" t="s">
        <v>2110</v>
      </c>
      <c r="K623" s="69" t="s">
        <v>2111</v>
      </c>
      <c r="L623" s="253">
        <v>52.439423080000005</v>
      </c>
      <c r="M623" s="253">
        <v>50.135983460204081</v>
      </c>
      <c r="N623" s="253">
        <v>48.849116649999992</v>
      </c>
      <c r="O623" s="253">
        <v>50.057305836842104</v>
      </c>
      <c r="P623" s="253">
        <v>52.299278849999993</v>
      </c>
      <c r="Q623" s="253">
        <v>56.000000000000007</v>
      </c>
      <c r="R623" s="253">
        <v>51.044405449999992</v>
      </c>
      <c r="S623" s="253">
        <v>48</v>
      </c>
      <c r="T623" s="253"/>
      <c r="U623" s="253">
        <v>44.890829689999997</v>
      </c>
      <c r="V623" s="253"/>
      <c r="W623" s="253">
        <v>43</v>
      </c>
      <c r="X623" s="253">
        <v>57.999999999999993</v>
      </c>
      <c r="Y623" s="253">
        <v>48</v>
      </c>
      <c r="Z623" s="253">
        <v>53</v>
      </c>
      <c r="AA623" s="253"/>
      <c r="AB623" s="253"/>
      <c r="AC623" s="253"/>
      <c r="AD623" s="253"/>
      <c r="AE623" s="253"/>
    </row>
    <row r="624" spans="1:31">
      <c r="A624" s="33">
        <v>623</v>
      </c>
      <c r="B624" s="69" t="s">
        <v>1411</v>
      </c>
      <c r="C624" s="69" t="s">
        <v>740</v>
      </c>
      <c r="D624" s="268">
        <v>42192</v>
      </c>
      <c r="F624" s="268"/>
      <c r="G624" s="69" t="str">
        <f t="shared" si="9"/>
        <v>E-Commerce</v>
      </c>
      <c r="H624" s="83" t="s">
        <v>2112</v>
      </c>
      <c r="I624" s="83"/>
      <c r="J624" s="69" t="s">
        <v>1411</v>
      </c>
      <c r="K624" s="69" t="s">
        <v>1411</v>
      </c>
      <c r="L624" s="253">
        <v>50.353039712000005</v>
      </c>
      <c r="M624" s="253">
        <v>54.324583837034488</v>
      </c>
      <c r="N624" s="253">
        <v>54.759893165439031</v>
      </c>
      <c r="O624" s="253">
        <v>55.576453529526312</v>
      </c>
      <c r="P624" s="253">
        <v>49.50502513</v>
      </c>
      <c r="Q624" s="253">
        <v>59.166538460999995</v>
      </c>
      <c r="R624" s="253">
        <v>54.598098100000001</v>
      </c>
      <c r="S624" s="253">
        <v>54.770642199999998</v>
      </c>
      <c r="T624" s="253"/>
      <c r="U624" s="253">
        <v>51.320346319999999</v>
      </c>
      <c r="V624" s="253">
        <v>52.803370790000002</v>
      </c>
      <c r="W624" s="253"/>
      <c r="X624" s="253">
        <v>56.999999999999993</v>
      </c>
      <c r="Y624" s="253">
        <v>56.409374999999997</v>
      </c>
      <c r="Z624" s="253">
        <v>53.745098039999995</v>
      </c>
      <c r="AA624" s="253"/>
      <c r="AB624" s="253"/>
      <c r="AC624" s="253"/>
      <c r="AD624" s="253"/>
      <c r="AE624" s="253"/>
    </row>
    <row r="625" spans="1:31">
      <c r="A625" s="33">
        <v>624</v>
      </c>
      <c r="B625" s="69" t="s">
        <v>1411</v>
      </c>
      <c r="C625" s="69" t="s">
        <v>740</v>
      </c>
      <c r="D625" s="268">
        <v>42192</v>
      </c>
      <c r="F625" s="268"/>
      <c r="G625" s="69" t="str">
        <f t="shared" si="9"/>
        <v>E-Commerce</v>
      </c>
      <c r="H625" s="83" t="s">
        <v>2112</v>
      </c>
      <c r="I625" s="83"/>
      <c r="J625" s="69" t="s">
        <v>1411</v>
      </c>
      <c r="K625" s="69" t="s">
        <v>666</v>
      </c>
      <c r="L625" s="253">
        <v>54.437598317999999</v>
      </c>
      <c r="M625" s="253">
        <v>57.395575113034482</v>
      </c>
      <c r="N625" s="253">
        <v>54.851420650756111</v>
      </c>
      <c r="O625" s="253">
        <v>58.474206862473686</v>
      </c>
      <c r="P625" s="253">
        <v>53.731638420000003</v>
      </c>
      <c r="Q625" s="253">
        <v>64.928589747000004</v>
      </c>
      <c r="R625" s="253">
        <v>63.055135139999997</v>
      </c>
      <c r="S625" s="253">
        <v>56.460755809999995</v>
      </c>
      <c r="T625" s="253"/>
      <c r="U625" s="253">
        <v>48.333333330000002</v>
      </c>
      <c r="V625" s="253">
        <v>52.364583330000002</v>
      </c>
      <c r="W625" s="253"/>
      <c r="X625" s="253">
        <v>52.375000000000007</v>
      </c>
      <c r="Y625" s="253">
        <v>57.720312500000006</v>
      </c>
      <c r="Z625" s="253">
        <v>57.261437909999998</v>
      </c>
      <c r="AA625" s="253"/>
      <c r="AB625" s="253"/>
      <c r="AC625" s="253"/>
      <c r="AD625" s="253"/>
      <c r="AE625" s="253"/>
    </row>
    <row r="626" spans="1:31">
      <c r="A626" s="33">
        <v>625</v>
      </c>
      <c r="B626" s="69" t="s">
        <v>1411</v>
      </c>
      <c r="C626" s="69" t="s">
        <v>740</v>
      </c>
      <c r="D626" s="268">
        <v>42192</v>
      </c>
      <c r="F626" s="268"/>
      <c r="G626" s="69" t="str">
        <f t="shared" si="9"/>
        <v>E-Commerce</v>
      </c>
      <c r="H626" s="83" t="s">
        <v>2112</v>
      </c>
      <c r="I626" s="83"/>
      <c r="J626" s="69" t="s">
        <v>1411</v>
      </c>
      <c r="K626" s="69" t="s">
        <v>393</v>
      </c>
      <c r="L626" s="253">
        <v>64.845649988000005</v>
      </c>
      <c r="M626" s="253">
        <v>63.132128328206889</v>
      </c>
      <c r="N626" s="253">
        <v>68.343607915756095</v>
      </c>
      <c r="O626" s="253">
        <v>73.727352551684206</v>
      </c>
      <c r="P626" s="253">
        <v>63.281746029999994</v>
      </c>
      <c r="Q626" s="253">
        <v>64.826481481999991</v>
      </c>
      <c r="R626" s="253">
        <v>57.674002049999991</v>
      </c>
      <c r="S626" s="253">
        <v>63.717008799999995</v>
      </c>
      <c r="T626" s="253"/>
      <c r="U626" s="253">
        <v>62.316017319999993</v>
      </c>
      <c r="V626" s="253">
        <v>67.553223389999999</v>
      </c>
      <c r="W626" s="253"/>
      <c r="X626" s="253">
        <v>75.875</v>
      </c>
      <c r="Y626" s="253">
        <v>80.142187499999991</v>
      </c>
      <c r="Z626" s="253">
        <v>71.101265820000009</v>
      </c>
      <c r="AA626" s="253"/>
      <c r="AB626" s="253"/>
      <c r="AC626" s="253"/>
      <c r="AD626" s="253"/>
      <c r="AE626" s="253"/>
    </row>
    <row r="627" spans="1:31">
      <c r="A627" s="33">
        <v>626</v>
      </c>
      <c r="B627" s="69" t="s">
        <v>1411</v>
      </c>
      <c r="C627" s="69" t="s">
        <v>740</v>
      </c>
      <c r="D627" s="268">
        <v>42192</v>
      </c>
      <c r="F627" s="268"/>
      <c r="G627" s="69" t="str">
        <f t="shared" si="9"/>
        <v>E-Commerce</v>
      </c>
      <c r="H627" s="83" t="s">
        <v>2112</v>
      </c>
      <c r="I627" s="83"/>
      <c r="J627" s="69" t="s">
        <v>1411</v>
      </c>
      <c r="K627" s="69" t="s">
        <v>55</v>
      </c>
      <c r="L627" s="253">
        <v>63.721983384199994</v>
      </c>
      <c r="M627" s="253">
        <v>63.102393305931038</v>
      </c>
      <c r="N627" s="253">
        <v>61.55847862585366</v>
      </c>
      <c r="O627" s="253">
        <v>67.472583427631591</v>
      </c>
      <c r="P627" s="253">
        <v>63.763819099999992</v>
      </c>
      <c r="Q627" s="253">
        <v>67.24358973999999</v>
      </c>
      <c r="R627" s="253">
        <v>63.00172414</v>
      </c>
      <c r="S627" s="253">
        <v>59.224469499999998</v>
      </c>
      <c r="T627" s="253"/>
      <c r="U627" s="253">
        <v>64.567099569999996</v>
      </c>
      <c r="V627" s="253">
        <v>62.182825480000005</v>
      </c>
      <c r="W627" s="253"/>
      <c r="X627" s="253">
        <v>58.375</v>
      </c>
      <c r="Y627" s="253">
        <v>71.173437500000006</v>
      </c>
      <c r="Z627" s="253">
        <v>63.554640521000003</v>
      </c>
      <c r="AA627" s="253"/>
      <c r="AB627" s="253"/>
      <c r="AC627" s="253"/>
      <c r="AD627" s="253"/>
      <c r="AE627" s="253"/>
    </row>
    <row r="628" spans="1:31">
      <c r="A628" s="33">
        <v>627</v>
      </c>
      <c r="B628" s="69" t="s">
        <v>1411</v>
      </c>
      <c r="C628" s="69" t="s">
        <v>740</v>
      </c>
      <c r="D628" s="268">
        <v>42192</v>
      </c>
      <c r="F628" s="268"/>
      <c r="G628" s="69" t="str">
        <f t="shared" si="9"/>
        <v>E-Commerce</v>
      </c>
      <c r="H628" s="83" t="s">
        <v>2112</v>
      </c>
      <c r="I628" s="83"/>
      <c r="J628" s="69" t="s">
        <v>1411</v>
      </c>
      <c r="K628" s="69" t="s">
        <v>2113</v>
      </c>
      <c r="L628" s="253">
        <v>52.000543923800002</v>
      </c>
      <c r="M628" s="253">
        <v>58.961227163379313</v>
      </c>
      <c r="N628" s="253">
        <v>59.001772501028</v>
      </c>
      <c r="O628" s="253">
        <v>62.281074624473689</v>
      </c>
      <c r="P628" s="253">
        <v>50.521186440000001</v>
      </c>
      <c r="Q628" s="253">
        <v>68.589743589999998</v>
      </c>
      <c r="R628" s="253">
        <v>60.362995919999996</v>
      </c>
      <c r="S628" s="253">
        <v>51.349706740000002</v>
      </c>
      <c r="T628" s="253"/>
      <c r="U628" s="253">
        <v>57.07792208</v>
      </c>
      <c r="V628" s="253">
        <v>58.927710840000003</v>
      </c>
      <c r="W628" s="253"/>
      <c r="X628" s="253"/>
      <c r="Y628" s="253">
        <v>65.308510639999994</v>
      </c>
      <c r="Z628" s="253">
        <v>57.917973859000007</v>
      </c>
      <c r="AA628" s="253"/>
      <c r="AB628" s="253"/>
      <c r="AC628" s="253"/>
      <c r="AD628" s="253"/>
      <c r="AE628" s="253"/>
    </row>
    <row r="629" spans="1:31">
      <c r="A629" s="33">
        <v>628</v>
      </c>
      <c r="B629" s="69" t="s">
        <v>1345</v>
      </c>
      <c r="C629" s="69" t="s">
        <v>740</v>
      </c>
      <c r="D629" s="268">
        <v>42192</v>
      </c>
      <c r="F629" s="268"/>
      <c r="G629" s="69" t="str">
        <f t="shared" si="9"/>
        <v>User Registration</v>
      </c>
      <c r="H629" s="83" t="s">
        <v>922</v>
      </c>
      <c r="I629" s="83"/>
      <c r="J629" s="69" t="s">
        <v>2106</v>
      </c>
      <c r="K629" s="69" t="s">
        <v>2114</v>
      </c>
      <c r="L629" s="253">
        <v>53.183094095999991</v>
      </c>
      <c r="M629" s="253">
        <v>50.938775510204081</v>
      </c>
      <c r="N629" s="253">
        <v>52.05263157894737</v>
      </c>
      <c r="O629" s="253">
        <v>56.89473684210526</v>
      </c>
      <c r="P629" s="253">
        <v>54.728867619999995</v>
      </c>
      <c r="Q629" s="253">
        <v>54</v>
      </c>
      <c r="R629" s="253">
        <v>57.999999999999993</v>
      </c>
      <c r="S629" s="253">
        <v>36</v>
      </c>
      <c r="T629" s="253"/>
      <c r="U629" s="253">
        <v>53</v>
      </c>
      <c r="V629" s="253"/>
      <c r="W629" s="253">
        <v>50</v>
      </c>
      <c r="X629" s="253"/>
      <c r="Y629" s="253">
        <v>64</v>
      </c>
      <c r="Z629" s="253">
        <v>46.999999999999993</v>
      </c>
      <c r="AA629" s="253"/>
      <c r="AB629" s="253"/>
      <c r="AC629" s="253"/>
      <c r="AD629" s="253"/>
      <c r="AE629" s="253"/>
    </row>
    <row r="630" spans="1:31">
      <c r="A630" s="33">
        <v>629</v>
      </c>
      <c r="B630" s="69" t="s">
        <v>1345</v>
      </c>
      <c r="C630" s="69" t="s">
        <v>740</v>
      </c>
      <c r="D630" s="268">
        <v>42192</v>
      </c>
      <c r="F630" s="268"/>
      <c r="G630" s="69" t="str">
        <f t="shared" si="9"/>
        <v>User Registration</v>
      </c>
      <c r="H630" s="83" t="s">
        <v>922</v>
      </c>
      <c r="I630" s="83"/>
      <c r="J630" s="69" t="s">
        <v>2108</v>
      </c>
      <c r="K630" s="69" t="s">
        <v>2108</v>
      </c>
      <c r="L630" s="253">
        <v>47.461165047999998</v>
      </c>
      <c r="M630" s="253">
        <v>45.995321750612248</v>
      </c>
      <c r="N630" s="253">
        <v>46.115517948421051</v>
      </c>
      <c r="O630" s="253">
        <v>40.831397930526322</v>
      </c>
      <c r="P630" s="253">
        <v>48.576456309999998</v>
      </c>
      <c r="Q630" s="253">
        <v>51</v>
      </c>
      <c r="R630" s="253">
        <v>51.398280339999999</v>
      </c>
      <c r="S630" s="253">
        <v>37</v>
      </c>
      <c r="T630" s="253"/>
      <c r="U630" s="253">
        <v>43</v>
      </c>
      <c r="V630" s="253"/>
      <c r="W630" s="253">
        <v>38</v>
      </c>
      <c r="X630" s="253">
        <v>58.999999999999993</v>
      </c>
      <c r="Y630" s="253">
        <v>37</v>
      </c>
      <c r="Z630" s="253">
        <v>43</v>
      </c>
      <c r="AA630" s="253"/>
      <c r="AB630" s="253"/>
      <c r="AC630" s="253"/>
      <c r="AD630" s="253"/>
      <c r="AE630" s="253"/>
    </row>
    <row r="631" spans="1:31">
      <c r="A631" s="33">
        <v>630</v>
      </c>
      <c r="B631" s="69" t="s">
        <v>1345</v>
      </c>
      <c r="C631" s="69" t="s">
        <v>740</v>
      </c>
      <c r="D631" s="268">
        <v>42192</v>
      </c>
      <c r="F631" s="268"/>
      <c r="G631" s="69" t="str">
        <f t="shared" si="9"/>
        <v>User Registration</v>
      </c>
      <c r="H631" s="83" t="s">
        <v>922</v>
      </c>
      <c r="I631" s="83"/>
      <c r="J631" s="69" t="s">
        <v>2110</v>
      </c>
      <c r="K631" s="69" t="s">
        <v>2110</v>
      </c>
      <c r="L631" s="253">
        <v>48.244019135999991</v>
      </c>
      <c r="M631" s="253">
        <v>45.506947216530612</v>
      </c>
      <c r="N631" s="253">
        <v>53.35412229947368</v>
      </c>
      <c r="O631" s="253">
        <v>53.622046445263159</v>
      </c>
      <c r="P631" s="253">
        <v>48.055023919999996</v>
      </c>
      <c r="Q631" s="253">
        <v>51</v>
      </c>
      <c r="R631" s="253">
        <v>49.909441229999999</v>
      </c>
      <c r="S631" s="253">
        <v>33</v>
      </c>
      <c r="T631" s="253"/>
      <c r="U631" s="253">
        <v>44.737991269999995</v>
      </c>
      <c r="V631" s="253"/>
      <c r="W631" s="253">
        <v>54</v>
      </c>
      <c r="X631" s="253">
        <v>55</v>
      </c>
      <c r="Y631" s="253">
        <v>58.999999999999993</v>
      </c>
      <c r="Z631" s="253">
        <v>49</v>
      </c>
      <c r="AA631" s="253"/>
      <c r="AB631" s="253"/>
      <c r="AC631" s="253"/>
      <c r="AD631" s="253"/>
      <c r="AE631" s="253"/>
    </row>
    <row r="632" spans="1:31">
      <c r="A632" s="33">
        <v>631</v>
      </c>
      <c r="B632" s="69" t="s">
        <v>1345</v>
      </c>
      <c r="C632" s="69" t="s">
        <v>740</v>
      </c>
      <c r="D632" s="268">
        <v>42192</v>
      </c>
      <c r="F632" s="268"/>
      <c r="G632" s="69" t="str">
        <f t="shared" si="9"/>
        <v>User Registration</v>
      </c>
      <c r="H632" s="83" t="s">
        <v>922</v>
      </c>
      <c r="I632" s="83"/>
      <c r="J632" s="69" t="s">
        <v>2115</v>
      </c>
      <c r="K632" s="69" t="s">
        <v>1682</v>
      </c>
      <c r="L632" s="253">
        <v>60.108043872214147</v>
      </c>
      <c r="M632" s="253">
        <v>47.218239447491584</v>
      </c>
      <c r="N632" s="253">
        <v>52.233621670328866</v>
      </c>
      <c r="O632" s="253">
        <v>53.804815155112813</v>
      </c>
      <c r="P632" s="253">
        <v>57.601774167452135</v>
      </c>
      <c r="Q632" s="253">
        <v>50.3173820200726</v>
      </c>
      <c r="R632" s="253">
        <v>44.154246235379887</v>
      </c>
      <c r="S632" s="253">
        <v>33</v>
      </c>
      <c r="T632" s="253"/>
      <c r="U632" s="253">
        <v>55</v>
      </c>
      <c r="V632" s="253"/>
      <c r="W632" s="253">
        <v>42</v>
      </c>
      <c r="X632" s="253">
        <v>81</v>
      </c>
      <c r="Y632" s="253">
        <v>50</v>
      </c>
      <c r="Z632" s="253">
        <v>70.133122691262216</v>
      </c>
      <c r="AA632" s="253"/>
      <c r="AB632" s="253"/>
      <c r="AC632" s="253"/>
      <c r="AD632" s="253"/>
      <c r="AE632" s="253"/>
    </row>
    <row r="633" spans="1:31">
      <c r="A633" s="33">
        <v>632</v>
      </c>
      <c r="B633" s="69" t="s">
        <v>1345</v>
      </c>
      <c r="C633" s="69" t="s">
        <v>740</v>
      </c>
      <c r="D633" s="268">
        <v>42192</v>
      </c>
      <c r="F633" s="268"/>
      <c r="G633" s="69" t="str">
        <f t="shared" si="9"/>
        <v>User Registration</v>
      </c>
      <c r="H633" s="83" t="s">
        <v>922</v>
      </c>
      <c r="I633" s="83"/>
      <c r="J633" s="69" t="s">
        <v>2115</v>
      </c>
      <c r="K633" s="69" t="s">
        <v>2115</v>
      </c>
      <c r="L633" s="253">
        <v>60.325550240000005</v>
      </c>
      <c r="M633" s="253">
        <v>48.501108625102049</v>
      </c>
      <c r="N633" s="253">
        <v>54.929297114210527</v>
      </c>
      <c r="O633" s="253">
        <v>54.356373514736845</v>
      </c>
      <c r="P633" s="253">
        <v>59.656937799999994</v>
      </c>
      <c r="Q633" s="253">
        <v>49</v>
      </c>
      <c r="R633" s="253">
        <v>48.385548389999997</v>
      </c>
      <c r="S633" s="253">
        <v>42</v>
      </c>
      <c r="T633" s="253"/>
      <c r="U633" s="253">
        <v>49</v>
      </c>
      <c r="V633" s="253"/>
      <c r="W633" s="253">
        <v>51</v>
      </c>
      <c r="X633" s="253">
        <v>70</v>
      </c>
      <c r="Y633" s="253">
        <v>53</v>
      </c>
      <c r="Z633" s="253">
        <v>63</v>
      </c>
      <c r="AA633" s="253"/>
      <c r="AB633" s="253"/>
      <c r="AC633" s="253"/>
      <c r="AD633" s="253"/>
      <c r="AE633" s="253"/>
    </row>
    <row r="634" spans="1:31">
      <c r="A634" s="33">
        <v>633</v>
      </c>
      <c r="B634" s="69" t="s">
        <v>1345</v>
      </c>
      <c r="C634" s="69" t="s">
        <v>740</v>
      </c>
      <c r="D634" s="268">
        <v>42192</v>
      </c>
      <c r="F634" s="268"/>
      <c r="G634" s="69" t="str">
        <f t="shared" si="9"/>
        <v>User Registration</v>
      </c>
      <c r="H634" s="83" t="s">
        <v>922</v>
      </c>
      <c r="I634" s="83"/>
      <c r="J634" s="69" t="s">
        <v>2108</v>
      </c>
      <c r="K634" s="69" t="s">
        <v>2116</v>
      </c>
      <c r="L634" s="253">
        <v>39.931685392000006</v>
      </c>
      <c r="M634" s="253">
        <v>41.839591836734698</v>
      </c>
      <c r="N634" s="253">
        <v>48.761249999999997</v>
      </c>
      <c r="O634" s="253">
        <v>57.191710526315788</v>
      </c>
      <c r="P634" s="253">
        <v>36.914606740000004</v>
      </c>
      <c r="Q634" s="253">
        <v>47.642499999999998</v>
      </c>
      <c r="R634" s="253">
        <v>43</v>
      </c>
      <c r="S634" s="253">
        <v>33</v>
      </c>
      <c r="T634" s="253"/>
      <c r="U634" s="253">
        <v>40</v>
      </c>
      <c r="V634" s="253"/>
      <c r="W634" s="253">
        <v>51</v>
      </c>
      <c r="X634" s="253">
        <v>48</v>
      </c>
      <c r="Y634" s="253">
        <v>66</v>
      </c>
      <c r="Z634" s="253">
        <v>52</v>
      </c>
      <c r="AA634" s="253"/>
      <c r="AB634" s="253"/>
      <c r="AC634" s="253"/>
      <c r="AD634" s="253"/>
      <c r="AE634" s="253"/>
    </row>
    <row r="635" spans="1:31">
      <c r="A635" s="33">
        <v>634</v>
      </c>
      <c r="B635" s="69" t="s">
        <v>1345</v>
      </c>
      <c r="C635" s="69" t="s">
        <v>740</v>
      </c>
      <c r="D635" s="268">
        <v>42192</v>
      </c>
      <c r="F635" s="268"/>
      <c r="G635" s="69" t="str">
        <f t="shared" si="9"/>
        <v>User Registration</v>
      </c>
      <c r="H635" s="83" t="s">
        <v>922</v>
      </c>
      <c r="I635" s="83"/>
      <c r="J635" s="69" t="s">
        <v>2106</v>
      </c>
      <c r="K635" s="69" t="s">
        <v>2117</v>
      </c>
      <c r="L635" s="253">
        <v>56.307177031999998</v>
      </c>
      <c r="M635" s="253">
        <v>53.211617551224499</v>
      </c>
      <c r="N635" s="253">
        <v>56.141200557368421</v>
      </c>
      <c r="O635" s="253">
        <v>57.076589845263157</v>
      </c>
      <c r="P635" s="253">
        <v>59.633971289999998</v>
      </c>
      <c r="Q635" s="253">
        <v>46</v>
      </c>
      <c r="R635" s="253">
        <v>55.727603530000003</v>
      </c>
      <c r="S635" s="253">
        <v>52</v>
      </c>
      <c r="T635" s="253"/>
      <c r="U635" s="253">
        <v>60</v>
      </c>
      <c r="V635" s="253"/>
      <c r="W635" s="253">
        <v>52</v>
      </c>
      <c r="X635" s="253">
        <v>69</v>
      </c>
      <c r="Y635" s="253">
        <v>66</v>
      </c>
      <c r="Z635" s="253">
        <v>43</v>
      </c>
      <c r="AA635" s="253"/>
      <c r="AB635" s="253"/>
      <c r="AC635" s="253"/>
      <c r="AD635" s="253"/>
      <c r="AE635" s="253"/>
    </row>
    <row r="636" spans="1:31">
      <c r="A636" s="33">
        <v>635</v>
      </c>
      <c r="B636" s="69" t="s">
        <v>1345</v>
      </c>
      <c r="C636" s="69" t="s">
        <v>740</v>
      </c>
      <c r="D636" s="268">
        <v>42192</v>
      </c>
      <c r="F636" s="268"/>
      <c r="G636" s="69" t="str">
        <f t="shared" si="9"/>
        <v>User Registration</v>
      </c>
      <c r="H636" s="83" t="s">
        <v>922</v>
      </c>
      <c r="I636" s="83"/>
      <c r="J636" s="69" t="s">
        <v>2108</v>
      </c>
      <c r="K636" s="69" t="s">
        <v>2118</v>
      </c>
      <c r="L636" s="253">
        <v>55.924590160000008</v>
      </c>
      <c r="M636" s="253">
        <v>50.979591836734691</v>
      </c>
      <c r="N636" s="253">
        <v>55.44736842105263</v>
      </c>
      <c r="O636" s="253">
        <v>57.368421052631575</v>
      </c>
      <c r="P636" s="253">
        <v>56.405737700000003</v>
      </c>
      <c r="Q636" s="253">
        <v>44</v>
      </c>
      <c r="R636" s="253">
        <v>60</v>
      </c>
      <c r="S636" s="253">
        <v>46</v>
      </c>
      <c r="T636" s="253"/>
      <c r="U636" s="253">
        <v>45</v>
      </c>
      <c r="V636" s="253"/>
      <c r="W636" s="253">
        <v>56.000000000000007</v>
      </c>
      <c r="X636" s="253">
        <v>55</v>
      </c>
      <c r="Y636" s="253">
        <v>61</v>
      </c>
      <c r="Z636" s="253">
        <v>54</v>
      </c>
      <c r="AA636" s="253"/>
      <c r="AB636" s="253"/>
      <c r="AC636" s="253"/>
      <c r="AD636" s="253"/>
      <c r="AE636" s="253"/>
    </row>
    <row r="637" spans="1:31">
      <c r="A637" s="33">
        <v>636</v>
      </c>
      <c r="B637" s="69" t="s">
        <v>1345</v>
      </c>
      <c r="C637" s="69" t="s">
        <v>740</v>
      </c>
      <c r="D637" s="268">
        <v>42192</v>
      </c>
      <c r="F637" s="268"/>
      <c r="G637" s="69" t="str">
        <f t="shared" si="9"/>
        <v>User Registration</v>
      </c>
      <c r="H637" s="83" t="s">
        <v>922</v>
      </c>
      <c r="I637" s="83"/>
      <c r="J637" s="69" t="s">
        <v>2106</v>
      </c>
      <c r="K637" s="69" t="s">
        <v>1839</v>
      </c>
      <c r="L637" s="253">
        <v>57.199999999999996</v>
      </c>
      <c r="M637" s="253">
        <v>47.294751532653059</v>
      </c>
      <c r="N637" s="253">
        <v>51.614020047368427</v>
      </c>
      <c r="O637" s="253">
        <v>52.268995821052634</v>
      </c>
      <c r="P637" s="253">
        <v>58.999999999999993</v>
      </c>
      <c r="Q637" s="253">
        <v>43</v>
      </c>
      <c r="R637" s="253">
        <v>52.5554603</v>
      </c>
      <c r="S637" s="253">
        <v>35</v>
      </c>
      <c r="T637" s="253"/>
      <c r="U637" s="253">
        <v>53</v>
      </c>
      <c r="V637" s="253"/>
      <c r="W637" s="253">
        <v>52</v>
      </c>
      <c r="X637" s="253">
        <v>53</v>
      </c>
      <c r="Y637" s="253">
        <v>56.000000000000007</v>
      </c>
      <c r="Z637" s="253">
        <v>50</v>
      </c>
      <c r="AA637" s="253"/>
      <c r="AB637" s="253"/>
      <c r="AC637" s="253"/>
      <c r="AD637" s="253"/>
      <c r="AE637" s="253"/>
    </row>
    <row r="638" spans="1:31">
      <c r="A638" s="33">
        <v>637</v>
      </c>
      <c r="B638" s="69" t="s">
        <v>1345</v>
      </c>
      <c r="C638" s="69" t="s">
        <v>740</v>
      </c>
      <c r="D638" s="268">
        <v>42192</v>
      </c>
      <c r="F638" s="268"/>
      <c r="G638" s="69" t="str">
        <f t="shared" si="9"/>
        <v>User Registration</v>
      </c>
      <c r="H638" s="83" t="s">
        <v>922</v>
      </c>
      <c r="I638" s="83"/>
      <c r="J638" s="69" t="s">
        <v>2110</v>
      </c>
      <c r="K638" s="69" t="s">
        <v>1686</v>
      </c>
      <c r="L638" s="253">
        <v>48.926164872000001</v>
      </c>
      <c r="M638" s="253">
        <v>43.797871868979584</v>
      </c>
      <c r="N638" s="253">
        <v>43.835254379999995</v>
      </c>
      <c r="O638" s="253">
        <v>55.328766077894727</v>
      </c>
      <c r="P638" s="253">
        <v>44.157706089999998</v>
      </c>
      <c r="Q638" s="253">
        <v>43</v>
      </c>
      <c r="R638" s="253">
        <v>44.123277739999999</v>
      </c>
      <c r="S638" s="253">
        <v>40</v>
      </c>
      <c r="T638" s="253"/>
      <c r="U638" s="253">
        <v>38</v>
      </c>
      <c r="V638" s="253"/>
      <c r="W638" s="253">
        <v>42</v>
      </c>
      <c r="X638" s="253">
        <v>48</v>
      </c>
      <c r="Y638" s="253">
        <v>54</v>
      </c>
      <c r="Z638" s="253">
        <v>68</v>
      </c>
      <c r="AA638" s="253"/>
      <c r="AB638" s="253"/>
      <c r="AC638" s="253"/>
      <c r="AD638" s="253"/>
      <c r="AE638" s="253"/>
    </row>
    <row r="639" spans="1:31">
      <c r="A639" s="33">
        <v>638</v>
      </c>
      <c r="B639" s="69" t="s">
        <v>1345</v>
      </c>
      <c r="C639" s="69" t="s">
        <v>740</v>
      </c>
      <c r="D639" s="268">
        <v>42192</v>
      </c>
      <c r="F639" s="268"/>
      <c r="G639" s="69" t="str">
        <f t="shared" si="9"/>
        <v>User Registration</v>
      </c>
      <c r="H639" s="83" t="s">
        <v>922</v>
      </c>
      <c r="I639" s="83"/>
      <c r="J639" s="69" t="s">
        <v>2108</v>
      </c>
      <c r="K639" s="69" t="s">
        <v>2119</v>
      </c>
      <c r="L639" s="253">
        <v>48.561748631999997</v>
      </c>
      <c r="M639" s="253">
        <v>42.755102040816325</v>
      </c>
      <c r="N639" s="253">
        <v>50.55263157894737</v>
      </c>
      <c r="O639" s="253">
        <v>54.578947368421062</v>
      </c>
      <c r="P639" s="253">
        <v>45.452185790000001</v>
      </c>
      <c r="Q639" s="253">
        <v>41</v>
      </c>
      <c r="R639" s="253">
        <v>49</v>
      </c>
      <c r="S639" s="253">
        <v>33</v>
      </c>
      <c r="T639" s="253"/>
      <c r="U639" s="253">
        <v>36</v>
      </c>
      <c r="V639" s="253"/>
      <c r="W639" s="253">
        <v>58.999999999999993</v>
      </c>
      <c r="X639" s="253">
        <v>36</v>
      </c>
      <c r="Y639" s="253">
        <v>56.000000000000007</v>
      </c>
      <c r="Z639" s="253">
        <v>61</v>
      </c>
      <c r="AA639" s="253"/>
      <c r="AB639" s="253"/>
      <c r="AC639" s="253"/>
      <c r="AD639" s="253"/>
      <c r="AE639" s="253"/>
    </row>
    <row r="640" spans="1:31">
      <c r="A640" s="33">
        <v>639</v>
      </c>
      <c r="B640" s="69" t="s">
        <v>1345</v>
      </c>
      <c r="C640" s="69" t="s">
        <v>740</v>
      </c>
      <c r="D640" s="268">
        <v>42192</v>
      </c>
      <c r="F640" s="268"/>
      <c r="G640" s="69" t="str">
        <f t="shared" si="9"/>
        <v>User Registration</v>
      </c>
      <c r="H640" s="83" t="s">
        <v>922</v>
      </c>
      <c r="I640" s="83"/>
      <c r="J640" s="69" t="s">
        <v>2115</v>
      </c>
      <c r="K640" s="69" t="s">
        <v>1684</v>
      </c>
      <c r="L640" s="253">
        <v>43.399197517762751</v>
      </c>
      <c r="M640" s="253">
        <v>41.600052766141808</v>
      </c>
      <c r="N640" s="253">
        <v>54.159482352645405</v>
      </c>
      <c r="O640" s="253">
        <v>37.495393532777634</v>
      </c>
      <c r="P640" s="253">
        <v>49.012711864406782</v>
      </c>
      <c r="Q640" s="253">
        <v>38.431149903907752</v>
      </c>
      <c r="R640" s="253">
        <v>45.12781328146707</v>
      </c>
      <c r="S640" s="253">
        <v>39</v>
      </c>
      <c r="T640" s="253"/>
      <c r="U640" s="253">
        <v>49</v>
      </c>
      <c r="V640" s="253"/>
      <c r="W640" s="253">
        <v>53</v>
      </c>
      <c r="X640" s="253">
        <v>68</v>
      </c>
      <c r="Y640" s="253">
        <v>44</v>
      </c>
      <c r="Z640" s="253">
        <v>20.945140131186641</v>
      </c>
      <c r="AA640" s="253"/>
      <c r="AB640" s="253"/>
      <c r="AC640" s="253"/>
      <c r="AD640" s="253"/>
      <c r="AE640" s="253"/>
    </row>
    <row r="641" spans="1:31">
      <c r="A641" s="33">
        <v>640</v>
      </c>
      <c r="B641" s="69" t="s">
        <v>1345</v>
      </c>
      <c r="C641" s="69" t="s">
        <v>740</v>
      </c>
      <c r="D641" s="268">
        <v>42192</v>
      </c>
      <c r="F641" s="268"/>
      <c r="G641" s="69" t="str">
        <f t="shared" si="9"/>
        <v>User Registration</v>
      </c>
      <c r="H641" s="83" t="s">
        <v>922</v>
      </c>
      <c r="I641" s="83"/>
      <c r="J641" s="69" t="s">
        <v>2110</v>
      </c>
      <c r="K641" s="69" t="s">
        <v>1692</v>
      </c>
      <c r="L641" s="253">
        <v>52.349090911999994</v>
      </c>
      <c r="M641" s="253">
        <v>46.911369881224481</v>
      </c>
      <c r="N641" s="253">
        <v>44.430251927368424</v>
      </c>
      <c r="O641" s="253">
        <v>53.567536372631587</v>
      </c>
      <c r="P641" s="253">
        <v>50.436363640000003</v>
      </c>
      <c r="Q641" s="253">
        <v>37</v>
      </c>
      <c r="R641" s="253">
        <v>48.391595539999997</v>
      </c>
      <c r="S641" s="253">
        <v>44</v>
      </c>
      <c r="T641" s="253"/>
      <c r="U641" s="253">
        <v>50</v>
      </c>
      <c r="V641" s="253"/>
      <c r="W641" s="253">
        <v>45</v>
      </c>
      <c r="X641" s="253">
        <v>43</v>
      </c>
      <c r="Y641" s="253">
        <v>54</v>
      </c>
      <c r="Z641" s="253">
        <v>60</v>
      </c>
      <c r="AA641" s="253"/>
      <c r="AB641" s="253"/>
      <c r="AC641" s="253"/>
      <c r="AD641" s="253"/>
      <c r="AE641" s="253"/>
    </row>
    <row r="642" spans="1:31">
      <c r="A642" s="33">
        <v>641</v>
      </c>
      <c r="B642" s="69" t="s">
        <v>1345</v>
      </c>
      <c r="C642" s="69" t="s">
        <v>740</v>
      </c>
      <c r="D642" s="268">
        <v>42192</v>
      </c>
      <c r="F642" s="268"/>
      <c r="G642" s="69" t="str">
        <f t="shared" ref="G642:G705" si="10">IF(V642&gt;0,IF(W642&gt;0,"Both","E-Commerce"),IF(W642=0, "ERROR","User Registration"))</f>
        <v>User Registration</v>
      </c>
      <c r="H642" s="83" t="s">
        <v>922</v>
      </c>
      <c r="I642" s="83"/>
      <c r="J642" s="69" t="s">
        <v>2115</v>
      </c>
      <c r="K642" s="69" t="s">
        <v>2120</v>
      </c>
      <c r="L642" s="253">
        <v>56.421825766706803</v>
      </c>
      <c r="M642" s="253">
        <v>43.502162386389529</v>
      </c>
      <c r="N642" s="253">
        <v>56.368155887176442</v>
      </c>
      <c r="O642" s="253">
        <v>51.397036169202458</v>
      </c>
      <c r="P642" s="253">
        <v>51.983263242852892</v>
      </c>
      <c r="Q642" s="253">
        <v>33.421732863549003</v>
      </c>
      <c r="R642" s="253">
        <v>44.120787520342951</v>
      </c>
      <c r="S642" s="253">
        <v>34</v>
      </c>
      <c r="T642" s="253"/>
      <c r="U642" s="253">
        <v>47.74744027303754</v>
      </c>
      <c r="V642" s="253"/>
      <c r="W642" s="253">
        <v>56.000000000000007</v>
      </c>
      <c r="X642" s="253">
        <v>73</v>
      </c>
      <c r="Y642" s="253">
        <v>45</v>
      </c>
      <c r="Z642" s="253">
        <v>74.176075862122374</v>
      </c>
      <c r="AA642" s="253"/>
      <c r="AB642" s="253"/>
      <c r="AC642" s="253"/>
      <c r="AD642" s="253"/>
      <c r="AE642" s="253"/>
    </row>
    <row r="643" spans="1:31">
      <c r="A643" s="33">
        <v>642</v>
      </c>
      <c r="B643" s="69" t="s">
        <v>1345</v>
      </c>
      <c r="C643" s="69" t="s">
        <v>740</v>
      </c>
      <c r="D643" s="268">
        <v>42192</v>
      </c>
      <c r="F643" s="268"/>
      <c r="G643" s="69" t="str">
        <f t="shared" si="10"/>
        <v>User Registration</v>
      </c>
      <c r="H643" s="83" t="s">
        <v>922</v>
      </c>
      <c r="I643" s="83"/>
      <c r="J643" s="69" t="s">
        <v>2110</v>
      </c>
      <c r="K643" s="69" t="s">
        <v>1694</v>
      </c>
      <c r="L643" s="253">
        <v>31.778003384000002</v>
      </c>
      <c r="M643" s="253">
        <v>33.855857264897956</v>
      </c>
      <c r="N643" s="253">
        <v>31.542758569473683</v>
      </c>
      <c r="O643" s="253">
        <v>34.888154835789472</v>
      </c>
      <c r="P643" s="253">
        <v>39.722504229999998</v>
      </c>
      <c r="Q643" s="253">
        <v>31</v>
      </c>
      <c r="R643" s="253">
        <v>45.937470939999997</v>
      </c>
      <c r="S643" s="253">
        <v>30</v>
      </c>
      <c r="T643" s="253"/>
      <c r="U643" s="253">
        <v>33</v>
      </c>
      <c r="V643" s="253"/>
      <c r="W643" s="253">
        <v>28.000000000000004</v>
      </c>
      <c r="X643" s="253">
        <v>30</v>
      </c>
      <c r="Y643" s="253">
        <v>51</v>
      </c>
      <c r="Z643" s="253">
        <v>0</v>
      </c>
      <c r="AA643" s="253"/>
      <c r="AB643" s="253"/>
      <c r="AC643" s="253"/>
      <c r="AD643" s="253"/>
      <c r="AE643" s="253"/>
    </row>
    <row r="644" spans="1:31">
      <c r="A644" s="33">
        <v>643</v>
      </c>
      <c r="B644" s="69" t="s">
        <v>1345</v>
      </c>
      <c r="C644" s="69" t="s">
        <v>740</v>
      </c>
      <c r="D644" s="268">
        <v>42192</v>
      </c>
      <c r="F644" s="268"/>
      <c r="G644" s="69" t="str">
        <f t="shared" si="10"/>
        <v>User Registration</v>
      </c>
      <c r="H644" s="83" t="s">
        <v>922</v>
      </c>
      <c r="I644" s="83"/>
      <c r="J644" s="69" t="s">
        <v>2115</v>
      </c>
      <c r="K644" s="69" t="s">
        <v>1692</v>
      </c>
      <c r="L644" s="253">
        <v>36.009876590365359</v>
      </c>
      <c r="M644" s="253">
        <v>37.924376521217006</v>
      </c>
      <c r="N644" s="253">
        <v>53.245361329652397</v>
      </c>
      <c r="O644" s="253">
        <v>39.387605798145003</v>
      </c>
      <c r="P644" s="253">
        <v>29.399515738498792</v>
      </c>
      <c r="Q644" s="253">
        <v>26.856133888532991</v>
      </c>
      <c r="R644" s="253">
        <v>39.625888143531931</v>
      </c>
      <c r="S644" s="253">
        <v>30</v>
      </c>
      <c r="T644" s="253"/>
      <c r="U644" s="253">
        <v>42</v>
      </c>
      <c r="V644" s="253"/>
      <c r="W644" s="253">
        <v>56.000000000000007</v>
      </c>
      <c r="X644" s="253">
        <v>65</v>
      </c>
      <c r="Y644" s="253">
        <v>30</v>
      </c>
      <c r="Z644" s="253">
        <v>62.451319997831618</v>
      </c>
      <c r="AA644" s="253"/>
      <c r="AB644" s="253"/>
      <c r="AC644" s="253"/>
      <c r="AD644" s="253"/>
      <c r="AE644" s="253"/>
    </row>
    <row r="645" spans="1:31">
      <c r="A645" s="33">
        <v>644</v>
      </c>
      <c r="B645" s="69" t="s">
        <v>2102</v>
      </c>
      <c r="C645" s="69" t="s">
        <v>1639</v>
      </c>
      <c r="D645" s="268">
        <v>42194</v>
      </c>
      <c r="F645" s="268"/>
      <c r="G645" s="69" t="str">
        <f t="shared" si="10"/>
        <v>E-Commerce</v>
      </c>
      <c r="H645" s="83" t="s">
        <v>749</v>
      </c>
      <c r="I645" s="83"/>
      <c r="J645" s="69" t="s">
        <v>2102</v>
      </c>
      <c r="K645" s="69" t="s">
        <v>2102</v>
      </c>
      <c r="L645" s="253">
        <v>57.420282027999988</v>
      </c>
      <c r="M645" s="253">
        <v>53.300567264999167</v>
      </c>
      <c r="N645" s="253">
        <v>49.538563731720821</v>
      </c>
      <c r="O645" s="253">
        <v>67.415573234210527</v>
      </c>
      <c r="P645" s="253"/>
      <c r="Q645" s="253">
        <v>55.165000000000006</v>
      </c>
      <c r="R645" s="253">
        <v>51.687098659999997</v>
      </c>
      <c r="S645" s="253">
        <v>56.886699510000007</v>
      </c>
      <c r="T645" s="253">
        <v>46.456799999999994</v>
      </c>
      <c r="U645" s="253">
        <v>52.983115749999996</v>
      </c>
      <c r="V645" s="253">
        <v>48.0500378129952</v>
      </c>
      <c r="W645" s="253"/>
      <c r="X645" s="253"/>
      <c r="Y645" s="253"/>
      <c r="Z645" s="253">
        <v>60.980198019999996</v>
      </c>
      <c r="AA645" s="253"/>
      <c r="AB645" s="253"/>
      <c r="AC645" s="253"/>
      <c r="AD645" s="253"/>
      <c r="AE645" s="253"/>
    </row>
    <row r="646" spans="1:31">
      <c r="A646" s="33">
        <v>645</v>
      </c>
      <c r="B646" s="69" t="s">
        <v>2102</v>
      </c>
      <c r="C646" s="69" t="s">
        <v>1639</v>
      </c>
      <c r="D646" s="268">
        <v>42194</v>
      </c>
      <c r="F646" s="268"/>
      <c r="G646" s="69" t="str">
        <f t="shared" si="10"/>
        <v>E-Commerce</v>
      </c>
      <c r="H646" s="83" t="s">
        <v>749</v>
      </c>
      <c r="I646" s="83"/>
      <c r="J646" s="69" t="s">
        <v>2102</v>
      </c>
      <c r="K646" s="69" t="s">
        <v>1346</v>
      </c>
      <c r="L646" s="253">
        <v>57.278053138000004</v>
      </c>
      <c r="M646" s="253">
        <v>52.470026774827581</v>
      </c>
      <c r="N646" s="253">
        <v>48.815145786896558</v>
      </c>
      <c r="O646" s="253">
        <v>56.138743696842106</v>
      </c>
      <c r="P646" s="253"/>
      <c r="Q646" s="253">
        <v>62.106249999999996</v>
      </c>
      <c r="R646" s="253">
        <v>53.444502069999999</v>
      </c>
      <c r="S646" s="253">
        <v>49.370034050000001</v>
      </c>
      <c r="T646" s="253">
        <v>48.310499999999998</v>
      </c>
      <c r="U646" s="253">
        <v>48.314257649999995</v>
      </c>
      <c r="V646" s="253">
        <v>45.432673270000002</v>
      </c>
      <c r="W646" s="253"/>
      <c r="X646" s="253"/>
      <c r="Y646" s="253"/>
      <c r="Z646" s="253">
        <v>65.032467530000005</v>
      </c>
      <c r="AA646" s="253"/>
      <c r="AB646" s="253"/>
      <c r="AC646" s="253"/>
      <c r="AD646" s="253"/>
      <c r="AE646" s="253"/>
    </row>
    <row r="647" spans="1:31">
      <c r="A647" s="33">
        <v>646</v>
      </c>
      <c r="B647" s="69" t="s">
        <v>2102</v>
      </c>
      <c r="C647" s="69" t="s">
        <v>1639</v>
      </c>
      <c r="D647" s="268">
        <v>42194</v>
      </c>
      <c r="F647" s="268"/>
      <c r="G647" s="69" t="str">
        <f t="shared" si="10"/>
        <v>E-Commerce</v>
      </c>
      <c r="H647" s="83" t="s">
        <v>749</v>
      </c>
      <c r="I647" s="83"/>
      <c r="J647" s="69" t="s">
        <v>2102</v>
      </c>
      <c r="K647" s="69" t="s">
        <v>1979</v>
      </c>
      <c r="L647" s="253">
        <v>57.624901699999995</v>
      </c>
      <c r="M647" s="253">
        <v>54.767890047241373</v>
      </c>
      <c r="N647" s="253">
        <v>54.963904995862052</v>
      </c>
      <c r="O647" s="253">
        <v>60.123671702105248</v>
      </c>
      <c r="P647" s="253"/>
      <c r="Q647" s="253">
        <v>54.498749999999994</v>
      </c>
      <c r="R647" s="253">
        <v>56.983756579999998</v>
      </c>
      <c r="S647" s="253">
        <v>54.18827507999999</v>
      </c>
      <c r="T647" s="253">
        <v>50.456402509999997</v>
      </c>
      <c r="U647" s="253">
        <v>50.407611039999999</v>
      </c>
      <c r="V647" s="253">
        <v>54.427722769999995</v>
      </c>
      <c r="W647" s="253"/>
      <c r="X647" s="253"/>
      <c r="Y647" s="253"/>
      <c r="Z647" s="253">
        <v>59.642857140000004</v>
      </c>
      <c r="AA647" s="253"/>
      <c r="AB647" s="253"/>
      <c r="AC647" s="253"/>
      <c r="AD647" s="253"/>
      <c r="AE647" s="253"/>
    </row>
    <row r="648" spans="1:31">
      <c r="A648" s="33">
        <v>647</v>
      </c>
      <c r="B648" s="69" t="s">
        <v>2102</v>
      </c>
      <c r="C648" s="69" t="s">
        <v>1639</v>
      </c>
      <c r="D648" s="268">
        <v>42194</v>
      </c>
      <c r="F648" s="268"/>
      <c r="G648" s="69" t="str">
        <f t="shared" si="10"/>
        <v>E-Commerce</v>
      </c>
      <c r="H648" s="83" t="s">
        <v>749</v>
      </c>
      <c r="I648" s="83"/>
      <c r="J648" s="69" t="s">
        <v>2102</v>
      </c>
      <c r="K648" s="69" t="s">
        <v>2103</v>
      </c>
      <c r="L648" s="253">
        <v>54.652674846000004</v>
      </c>
      <c r="M648" s="253">
        <v>54.074750565862075</v>
      </c>
      <c r="N648" s="253">
        <v>54.496185678620698</v>
      </c>
      <c r="O648" s="253">
        <v>59.818860145263166</v>
      </c>
      <c r="P648" s="253"/>
      <c r="Q648" s="253">
        <v>58.527499999999996</v>
      </c>
      <c r="R648" s="253">
        <v>54.863482380000008</v>
      </c>
      <c r="S648" s="253">
        <v>51.416571750000003</v>
      </c>
      <c r="T648" s="253">
        <v>49.156100000000002</v>
      </c>
      <c r="U648" s="253">
        <v>50.029512799999999</v>
      </c>
      <c r="V648" s="253">
        <v>53.781299520000005</v>
      </c>
      <c r="W648" s="253"/>
      <c r="X648" s="253"/>
      <c r="Y648" s="253"/>
      <c r="Z648" s="253">
        <v>59.506493509999999</v>
      </c>
      <c r="AA648" s="253"/>
      <c r="AB648" s="253"/>
      <c r="AC648" s="253"/>
      <c r="AD648" s="253"/>
      <c r="AE648" s="253"/>
    </row>
    <row r="649" spans="1:31">
      <c r="A649" s="33">
        <v>648</v>
      </c>
      <c r="B649" s="69" t="s">
        <v>2102</v>
      </c>
      <c r="C649" s="69" t="s">
        <v>1639</v>
      </c>
      <c r="D649" s="268">
        <v>42194</v>
      </c>
      <c r="F649" s="268"/>
      <c r="G649" s="69" t="str">
        <f t="shared" si="10"/>
        <v>E-Commerce</v>
      </c>
      <c r="H649" s="83" t="s">
        <v>749</v>
      </c>
      <c r="I649" s="83"/>
      <c r="J649" s="69" t="s">
        <v>2102</v>
      </c>
      <c r="K649" s="69" t="s">
        <v>2104</v>
      </c>
      <c r="L649" s="253">
        <v>49.855203717999999</v>
      </c>
      <c r="M649" s="253">
        <v>48.980884572758619</v>
      </c>
      <c r="N649" s="253">
        <v>49.894830297758617</v>
      </c>
      <c r="O649" s="253">
        <v>54.070555783421057</v>
      </c>
      <c r="P649" s="253"/>
      <c r="Q649" s="253">
        <v>56.561818184999986</v>
      </c>
      <c r="R649" s="253">
        <v>50.639813580000002</v>
      </c>
      <c r="S649" s="253">
        <v>44.199772989999992</v>
      </c>
      <c r="T649" s="253">
        <v>43.115426415000002</v>
      </c>
      <c r="U649" s="253">
        <v>46.363782049999998</v>
      </c>
      <c r="V649" s="253">
        <v>48.671287130000003</v>
      </c>
      <c r="W649" s="253"/>
      <c r="X649" s="253"/>
      <c r="Y649" s="253"/>
      <c r="Z649" s="253">
        <v>46.45283019</v>
      </c>
      <c r="AA649" s="253"/>
      <c r="AB649" s="253"/>
      <c r="AC649" s="253"/>
      <c r="AD649" s="253"/>
      <c r="AE649" s="253"/>
    </row>
    <row r="650" spans="1:31">
      <c r="A650" s="33">
        <v>649</v>
      </c>
      <c r="B650" s="69" t="s">
        <v>2102</v>
      </c>
      <c r="C650" s="69" t="s">
        <v>1639</v>
      </c>
      <c r="D650" s="268">
        <v>42194</v>
      </c>
      <c r="F650" s="268"/>
      <c r="G650" s="69" t="str">
        <f t="shared" si="10"/>
        <v>E-Commerce</v>
      </c>
      <c r="H650" s="83" t="s">
        <v>749</v>
      </c>
      <c r="I650" s="83"/>
      <c r="J650" s="69" t="s">
        <v>2102</v>
      </c>
      <c r="K650" s="69" t="s">
        <v>2105</v>
      </c>
      <c r="L650" s="253">
        <v>55.848921722</v>
      </c>
      <c r="M650" s="253">
        <v>54.488204313448271</v>
      </c>
      <c r="N650" s="253">
        <v>51.813833613103441</v>
      </c>
      <c r="O650" s="253">
        <v>62.677154965263149</v>
      </c>
      <c r="P650" s="253"/>
      <c r="Q650" s="253">
        <v>60.216249999999995</v>
      </c>
      <c r="R650" s="253">
        <v>55.678539429999994</v>
      </c>
      <c r="S650" s="253">
        <v>56.965426530000009</v>
      </c>
      <c r="T650" s="253">
        <v>47.184218411354003</v>
      </c>
      <c r="U650" s="253">
        <v>49.192656769999999</v>
      </c>
      <c r="V650" s="253">
        <v>49.394059410000004</v>
      </c>
      <c r="W650" s="253"/>
      <c r="X650" s="253"/>
      <c r="Y650" s="253"/>
      <c r="Z650" s="253">
        <v>58.05194805</v>
      </c>
      <c r="AA650" s="253"/>
      <c r="AB650" s="253"/>
      <c r="AC650" s="253"/>
      <c r="AD650" s="253"/>
      <c r="AE650" s="253"/>
    </row>
    <row r="651" spans="1:31">
      <c r="A651" s="33">
        <v>650</v>
      </c>
      <c r="B651" s="69" t="s">
        <v>1250</v>
      </c>
      <c r="C651" s="69" t="s">
        <v>1639</v>
      </c>
      <c r="D651" s="268">
        <v>42200</v>
      </c>
      <c r="F651" s="268"/>
      <c r="G651" s="69" t="str">
        <f t="shared" si="10"/>
        <v>ERROR</v>
      </c>
      <c r="H651" s="83" t="s">
        <v>922</v>
      </c>
      <c r="I651" s="83"/>
      <c r="J651" s="69" t="s">
        <v>1250</v>
      </c>
      <c r="K651" s="69" t="s">
        <v>1250</v>
      </c>
      <c r="L651" s="253">
        <v>55.999999999999993</v>
      </c>
      <c r="M651" s="253">
        <v>55.083333333333329</v>
      </c>
      <c r="N651" s="253">
        <v>60.073170731707314</v>
      </c>
      <c r="O651" s="253">
        <v>52.684210526315788</v>
      </c>
      <c r="P651" s="253">
        <v>56.999999999999993</v>
      </c>
      <c r="Q651" s="253">
        <v>49</v>
      </c>
      <c r="R651" s="253">
        <v>54</v>
      </c>
      <c r="S651" s="253">
        <v>54</v>
      </c>
      <c r="T651" s="253">
        <v>56.000000000000007</v>
      </c>
      <c r="U651" s="253">
        <v>64</v>
      </c>
      <c r="V651" s="253"/>
      <c r="W651" s="253"/>
      <c r="X651" s="253"/>
      <c r="Y651" s="253"/>
      <c r="Z651" s="253">
        <v>52</v>
      </c>
      <c r="AA651" s="253"/>
      <c r="AB651" s="253"/>
      <c r="AC651" s="253"/>
      <c r="AD651" s="253"/>
      <c r="AE651" s="253"/>
    </row>
    <row r="652" spans="1:31">
      <c r="A652" s="33">
        <v>651</v>
      </c>
      <c r="B652" s="69" t="s">
        <v>1250</v>
      </c>
      <c r="C652" s="69" t="s">
        <v>1639</v>
      </c>
      <c r="D652" s="268">
        <v>42200</v>
      </c>
      <c r="F652" s="268"/>
      <c r="G652" s="69" t="str">
        <f t="shared" si="10"/>
        <v>ERROR</v>
      </c>
      <c r="H652" s="83" t="s">
        <v>922</v>
      </c>
      <c r="I652" s="83"/>
      <c r="J652" s="69" t="s">
        <v>1250</v>
      </c>
      <c r="K652" s="69" t="s">
        <v>2100</v>
      </c>
      <c r="L652" s="253">
        <v>50.8</v>
      </c>
      <c r="M652" s="253">
        <v>52.458333333333336</v>
      </c>
      <c r="N652" s="253">
        <v>57.195121951219505</v>
      </c>
      <c r="O652" s="253">
        <v>49.263157894736835</v>
      </c>
      <c r="P652" s="253">
        <v>49</v>
      </c>
      <c r="Q652" s="253">
        <v>53</v>
      </c>
      <c r="R652" s="253">
        <v>46.999999999999993</v>
      </c>
      <c r="S652" s="253">
        <v>49</v>
      </c>
      <c r="T652" s="253">
        <v>32.5</v>
      </c>
      <c r="U652" s="253">
        <v>62</v>
      </c>
      <c r="V652" s="253"/>
      <c r="W652" s="253"/>
      <c r="X652" s="253"/>
      <c r="Y652" s="253"/>
      <c r="Z652" s="253">
        <v>57.999999999999993</v>
      </c>
      <c r="AA652" s="253"/>
      <c r="AB652" s="253"/>
      <c r="AC652" s="253"/>
      <c r="AD652" s="253"/>
      <c r="AE652" s="253"/>
    </row>
    <row r="653" spans="1:31">
      <c r="A653" s="33">
        <v>652</v>
      </c>
      <c r="B653" s="69" t="s">
        <v>1250</v>
      </c>
      <c r="C653" s="69" t="s">
        <v>1639</v>
      </c>
      <c r="D653" s="268">
        <v>42200</v>
      </c>
      <c r="F653" s="268"/>
      <c r="G653" s="69" t="str">
        <f t="shared" si="10"/>
        <v>ERROR</v>
      </c>
      <c r="H653" s="83" t="s">
        <v>922</v>
      </c>
      <c r="I653" s="83"/>
      <c r="J653" s="69" t="s">
        <v>1250</v>
      </c>
      <c r="K653" s="69" t="s">
        <v>926</v>
      </c>
      <c r="L653" s="253">
        <v>52.866987808504319</v>
      </c>
      <c r="M653" s="253">
        <v>52.625</v>
      </c>
      <c r="N653" s="253">
        <v>59.975609756097555</v>
      </c>
      <c r="O653" s="253">
        <v>50.578947368421048</v>
      </c>
      <c r="P653" s="253">
        <v>47.333734760630392</v>
      </c>
      <c r="Q653" s="253">
        <v>58.999999999999993</v>
      </c>
      <c r="R653" s="253">
        <v>49</v>
      </c>
      <c r="S653" s="253">
        <v>39</v>
      </c>
      <c r="T653" s="253">
        <v>48</v>
      </c>
      <c r="U653" s="253">
        <v>57.999999999999993</v>
      </c>
      <c r="V653" s="253"/>
      <c r="W653" s="253"/>
      <c r="X653" s="253"/>
      <c r="Y653" s="253"/>
      <c r="Z653" s="253">
        <v>75</v>
      </c>
      <c r="AA653" s="253"/>
      <c r="AB653" s="253"/>
      <c r="AC653" s="253"/>
      <c r="AD653" s="253"/>
      <c r="AE653" s="253"/>
    </row>
    <row r="654" spans="1:31">
      <c r="A654" s="33">
        <v>653</v>
      </c>
      <c r="B654" s="69" t="s">
        <v>1250</v>
      </c>
      <c r="C654" s="69" t="s">
        <v>1639</v>
      </c>
      <c r="D654" s="268">
        <v>42200</v>
      </c>
      <c r="F654" s="268"/>
      <c r="G654" s="69" t="str">
        <f t="shared" si="10"/>
        <v>ERROR</v>
      </c>
      <c r="H654" s="83" t="s">
        <v>922</v>
      </c>
      <c r="I654" s="83"/>
      <c r="J654" s="69" t="s">
        <v>1250</v>
      </c>
      <c r="K654" s="69" t="s">
        <v>1447</v>
      </c>
      <c r="L654" s="253">
        <v>63.96573718497028</v>
      </c>
      <c r="M654" s="253">
        <v>53.611961450833334</v>
      </c>
      <c r="N654" s="253">
        <v>63.609756097560961</v>
      </c>
      <c r="O654" s="253">
        <v>56.853562476315787</v>
      </c>
      <c r="P654" s="253">
        <v>65.496287128712865</v>
      </c>
      <c r="Q654" s="253">
        <v>54</v>
      </c>
      <c r="R654" s="253">
        <v>45</v>
      </c>
      <c r="S654" s="253">
        <v>56.999999999999993</v>
      </c>
      <c r="T654" s="253">
        <v>37</v>
      </c>
      <c r="U654" s="253">
        <v>62</v>
      </c>
      <c r="V654" s="253"/>
      <c r="W654" s="253"/>
      <c r="X654" s="253"/>
      <c r="Y654" s="253"/>
      <c r="Z654" s="253">
        <v>57.843537410000003</v>
      </c>
      <c r="AA654" s="253"/>
      <c r="AB654" s="253"/>
      <c r="AC654" s="253"/>
      <c r="AD654" s="253"/>
      <c r="AE654" s="253"/>
    </row>
    <row r="655" spans="1:31">
      <c r="A655" s="33">
        <v>654</v>
      </c>
      <c r="B655" s="69" t="s">
        <v>1250</v>
      </c>
      <c r="C655" s="69" t="s">
        <v>1639</v>
      </c>
      <c r="D655" s="268">
        <v>42200</v>
      </c>
      <c r="F655" s="268"/>
      <c r="G655" s="69" t="str">
        <f t="shared" si="10"/>
        <v>ERROR</v>
      </c>
      <c r="H655" s="83" t="s">
        <v>922</v>
      </c>
      <c r="I655" s="83"/>
      <c r="J655" s="69" t="s">
        <v>1250</v>
      </c>
      <c r="K655" s="69" t="s">
        <v>2101</v>
      </c>
      <c r="L655" s="253">
        <v>67.778499278161604</v>
      </c>
      <c r="M655" s="253">
        <v>65.359307359166678</v>
      </c>
      <c r="N655" s="253">
        <v>54.731707317073173</v>
      </c>
      <c r="O655" s="253">
        <v>67.34518113421052</v>
      </c>
      <c r="P655" s="253">
        <v>67.895202020202007</v>
      </c>
      <c r="Q655" s="253">
        <v>68</v>
      </c>
      <c r="R655" s="253">
        <v>64</v>
      </c>
      <c r="S655" s="253">
        <v>67</v>
      </c>
      <c r="T655" s="253">
        <v>59.500000000000007</v>
      </c>
      <c r="U655" s="253">
        <v>63</v>
      </c>
      <c r="V655" s="253"/>
      <c r="W655" s="253"/>
      <c r="X655" s="253"/>
      <c r="Y655" s="253"/>
      <c r="Z655" s="253">
        <v>67.311688309999994</v>
      </c>
      <c r="AA655" s="253"/>
      <c r="AB655" s="253"/>
      <c r="AC655" s="253"/>
      <c r="AD655" s="253"/>
      <c r="AE655" s="253"/>
    </row>
    <row r="656" spans="1:31">
      <c r="A656" s="33">
        <v>655</v>
      </c>
      <c r="B656" s="69" t="s">
        <v>2099</v>
      </c>
      <c r="C656" s="69" t="s">
        <v>740</v>
      </c>
      <c r="D656" s="56">
        <v>42201</v>
      </c>
      <c r="E656" s="266"/>
      <c r="F656" s="56"/>
      <c r="G656" s="69" t="str">
        <f t="shared" si="10"/>
        <v>User Registration</v>
      </c>
      <c r="H656" s="83" t="s">
        <v>922</v>
      </c>
      <c r="I656" s="83"/>
      <c r="J656" s="69" t="s">
        <v>2099</v>
      </c>
      <c r="K656" s="69" t="s">
        <v>1111</v>
      </c>
      <c r="L656" s="253">
        <v>68.095076450000008</v>
      </c>
      <c r="M656" s="253">
        <v>67.420720561250008</v>
      </c>
      <c r="N656" s="253">
        <v>58.856123398048773</v>
      </c>
      <c r="O656" s="253">
        <v>65.454180591052634</v>
      </c>
      <c r="P656" s="253">
        <v>67.423267330000002</v>
      </c>
      <c r="Q656" s="253">
        <v>76.762500000000003</v>
      </c>
      <c r="R656" s="253">
        <v>63.885593220000004</v>
      </c>
      <c r="S656" s="253">
        <v>67.532664939999989</v>
      </c>
      <c r="T656" s="253">
        <v>59.185754899999999</v>
      </c>
      <c r="U656" s="253">
        <v>64.146919429999997</v>
      </c>
      <c r="V656" s="253"/>
      <c r="W656" s="253">
        <v>58.999999999999993</v>
      </c>
      <c r="X656" s="253">
        <v>51.625</v>
      </c>
      <c r="Y656" s="253">
        <v>61.765151519999996</v>
      </c>
      <c r="Z656" s="253">
        <v>70.782312930000003</v>
      </c>
      <c r="AA656" s="253"/>
      <c r="AB656" s="253"/>
      <c r="AC656" s="253"/>
      <c r="AD656" s="253"/>
      <c r="AE656" s="253"/>
    </row>
    <row r="657" spans="1:31">
      <c r="A657" s="33">
        <v>656</v>
      </c>
      <c r="B657" s="69" t="s">
        <v>2099</v>
      </c>
      <c r="C657" s="69" t="s">
        <v>740</v>
      </c>
      <c r="D657" s="56">
        <v>42201</v>
      </c>
      <c r="G657" s="69" t="str">
        <f t="shared" si="10"/>
        <v>User Registration</v>
      </c>
      <c r="H657" s="69" t="s">
        <v>922</v>
      </c>
      <c r="J657" s="69" t="s">
        <v>2099</v>
      </c>
      <c r="K657" s="69" t="s">
        <v>931</v>
      </c>
      <c r="L657" s="253">
        <v>65.944643592000006</v>
      </c>
      <c r="M657" s="253">
        <v>63.835816747083328</v>
      </c>
      <c r="N657" s="253">
        <v>51.253225667804877</v>
      </c>
      <c r="O657" s="253">
        <v>68.701889812631563</v>
      </c>
      <c r="P657" s="253">
        <v>63.651583710000004</v>
      </c>
      <c r="Q657" s="253">
        <v>66.349999999999994</v>
      </c>
      <c r="R657" s="253">
        <v>61.888708729999998</v>
      </c>
      <c r="S657" s="253">
        <v>66.337468979999997</v>
      </c>
      <c r="T657" s="253">
        <v>61.443135212000001</v>
      </c>
      <c r="U657" s="253">
        <v>57.925764189999995</v>
      </c>
      <c r="V657" s="253"/>
      <c r="W657" s="253">
        <v>53</v>
      </c>
      <c r="X657" s="253">
        <v>39.25</v>
      </c>
      <c r="Y657" s="253">
        <v>67.328660439999993</v>
      </c>
      <c r="Z657" s="253">
        <v>75.116883119999997</v>
      </c>
      <c r="AA657" s="253"/>
      <c r="AB657" s="253"/>
      <c r="AC657" s="253"/>
      <c r="AD657" s="253"/>
      <c r="AE657" s="253"/>
    </row>
    <row r="658" spans="1:31">
      <c r="A658" s="33">
        <v>657</v>
      </c>
      <c r="B658" s="69" t="s">
        <v>2099</v>
      </c>
      <c r="C658" s="69" t="s">
        <v>740</v>
      </c>
      <c r="D658" s="56">
        <v>42201</v>
      </c>
      <c r="G658" s="69" t="str">
        <f t="shared" si="10"/>
        <v>User Registration</v>
      </c>
      <c r="H658" s="69" t="s">
        <v>922</v>
      </c>
      <c r="J658" s="69" t="s">
        <v>2099</v>
      </c>
      <c r="K658" s="69" t="s">
        <v>1978</v>
      </c>
      <c r="L658" s="253">
        <v>56.538268398969691</v>
      </c>
      <c r="M658" s="253">
        <v>58.746877224583329</v>
      </c>
      <c r="N658" s="253">
        <v>50.457151342439019</v>
      </c>
      <c r="O658" s="253">
        <v>52.993849565263162</v>
      </c>
      <c r="P658" s="253">
        <v>57.296212121212122</v>
      </c>
      <c r="Q658" s="253">
        <v>61.18</v>
      </c>
      <c r="R658" s="253">
        <v>59.615680839999996</v>
      </c>
      <c r="S658" s="253">
        <v>59.925813009999992</v>
      </c>
      <c r="T658" s="253">
        <v>56.165467849999992</v>
      </c>
      <c r="U658" s="253">
        <v>56.327510920000002</v>
      </c>
      <c r="V658" s="253"/>
      <c r="W658" s="253">
        <v>47.125456</v>
      </c>
      <c r="X658" s="253">
        <v>48.75</v>
      </c>
      <c r="Y658" s="253">
        <v>49.901349950000004</v>
      </c>
      <c r="Z658" s="253">
        <v>53.506493509999999</v>
      </c>
      <c r="AA658" s="253"/>
      <c r="AB658" s="253"/>
      <c r="AC658" s="253"/>
      <c r="AD658" s="253"/>
      <c r="AE658" s="253"/>
    </row>
    <row r="659" spans="1:31">
      <c r="A659" s="33">
        <v>658</v>
      </c>
      <c r="B659" s="69" t="s">
        <v>2099</v>
      </c>
      <c r="C659" s="69" t="s">
        <v>740</v>
      </c>
      <c r="D659" s="56">
        <v>42201</v>
      </c>
      <c r="F659" s="56"/>
      <c r="G659" s="69" t="str">
        <f t="shared" si="10"/>
        <v>User Registration</v>
      </c>
      <c r="H659" s="83" t="s">
        <v>922</v>
      </c>
      <c r="I659" s="83"/>
      <c r="J659" s="69" t="s">
        <v>2099</v>
      </c>
      <c r="K659" s="69" t="s">
        <v>923</v>
      </c>
      <c r="L659" s="253">
        <v>54.118697376</v>
      </c>
      <c r="M659" s="253">
        <v>53.65962628583334</v>
      </c>
      <c r="N659" s="253">
        <v>48.409180363902429</v>
      </c>
      <c r="O659" s="253">
        <v>55.150198509473682</v>
      </c>
      <c r="P659" s="253">
        <v>52.583745869999994</v>
      </c>
      <c r="Q659" s="253">
        <v>57.674999999999997</v>
      </c>
      <c r="R659" s="253">
        <v>54.97856582</v>
      </c>
      <c r="S659" s="253">
        <v>47.413971539999999</v>
      </c>
      <c r="T659" s="253">
        <v>44.815415399999999</v>
      </c>
      <c r="U659" s="253">
        <v>51.943127959999998</v>
      </c>
      <c r="V659" s="253"/>
      <c r="W659" s="253">
        <v>51</v>
      </c>
      <c r="X659" s="253">
        <v>38.49</v>
      </c>
      <c r="Y659" s="253">
        <v>53.151515149999994</v>
      </c>
      <c r="Z659" s="253">
        <v>60.258503399999995</v>
      </c>
      <c r="AA659" s="253"/>
      <c r="AB659" s="253"/>
      <c r="AC659" s="253"/>
      <c r="AD659" s="253"/>
      <c r="AE659" s="253"/>
    </row>
    <row r="660" spans="1:31">
      <c r="A660" s="33">
        <v>659</v>
      </c>
      <c r="B660" s="69" t="s">
        <v>2099</v>
      </c>
      <c r="C660" s="69" t="s">
        <v>740</v>
      </c>
      <c r="D660" s="56">
        <v>42201</v>
      </c>
      <c r="F660" s="56"/>
      <c r="G660" s="69" t="str">
        <f t="shared" si="10"/>
        <v>User Registration</v>
      </c>
      <c r="H660" s="83" t="s">
        <v>922</v>
      </c>
      <c r="I660" s="83"/>
      <c r="J660" s="69" t="s">
        <v>2099</v>
      </c>
      <c r="K660" s="69" t="s">
        <v>2099</v>
      </c>
      <c r="L660" s="253">
        <v>51.498151725961712</v>
      </c>
      <c r="M660" s="253">
        <v>53.356160806749998</v>
      </c>
      <c r="N660" s="253">
        <v>48.455097995219511</v>
      </c>
      <c r="O660" s="253">
        <v>52.697503596736837</v>
      </c>
      <c r="P660" s="253">
        <v>51.397846889952149</v>
      </c>
      <c r="Q660" s="253">
        <v>57.015454548000001</v>
      </c>
      <c r="R660" s="253">
        <v>53.274662360000001</v>
      </c>
      <c r="S660" s="253">
        <v>49.781842820000001</v>
      </c>
      <c r="T660" s="253">
        <v>46.545465</v>
      </c>
      <c r="U660" s="253">
        <v>54.716157210000006</v>
      </c>
      <c r="V660" s="253"/>
      <c r="W660" s="253">
        <v>50.546233999999998</v>
      </c>
      <c r="X660" s="253">
        <v>40.42</v>
      </c>
      <c r="Y660" s="253">
        <v>52.840909089999997</v>
      </c>
      <c r="Z660" s="253">
        <v>51.899371070000001</v>
      </c>
      <c r="AA660" s="253"/>
      <c r="AB660" s="253"/>
      <c r="AC660" s="253"/>
      <c r="AD660" s="253"/>
      <c r="AE660" s="253"/>
    </row>
    <row r="661" spans="1:31">
      <c r="A661" s="33">
        <v>660</v>
      </c>
      <c r="B661" s="69" t="s">
        <v>2086</v>
      </c>
      <c r="C661" s="69" t="s">
        <v>1203</v>
      </c>
      <c r="D661" s="56">
        <v>42205</v>
      </c>
      <c r="E661" s="266"/>
      <c r="F661" s="56"/>
      <c r="G661" s="69" t="str">
        <f t="shared" si="10"/>
        <v>User Registration</v>
      </c>
      <c r="H661" s="83" t="s">
        <v>2087</v>
      </c>
      <c r="I661" s="83"/>
      <c r="J661" s="69" t="s">
        <v>2088</v>
      </c>
      <c r="K661" s="69" t="s">
        <v>2089</v>
      </c>
      <c r="L661" s="253">
        <v>54.856655021999998</v>
      </c>
      <c r="M661" s="253">
        <v>57.702813597916666</v>
      </c>
      <c r="N661" s="253">
        <v>60.690022401379302</v>
      </c>
      <c r="O661" s="253">
        <v>59.967182002105254</v>
      </c>
      <c r="P661" s="253">
        <v>53.675084179999999</v>
      </c>
      <c r="Q661" s="253">
        <v>69.631249999999994</v>
      </c>
      <c r="R661" s="253">
        <v>55.186149939999993</v>
      </c>
      <c r="S661" s="253">
        <v>53.13749001</v>
      </c>
      <c r="T661" s="253"/>
      <c r="U661" s="253">
        <v>56.000000000000007</v>
      </c>
      <c r="V661" s="253"/>
      <c r="W661" s="253">
        <v>61</v>
      </c>
      <c r="X661" s="253"/>
      <c r="Y661" s="253">
        <v>60.832072619999998</v>
      </c>
      <c r="Z661" s="253">
        <v>59.582938390000002</v>
      </c>
      <c r="AA661" s="253"/>
      <c r="AB661" s="253"/>
      <c r="AC661" s="253"/>
      <c r="AD661" s="253"/>
      <c r="AE661" s="253"/>
    </row>
    <row r="662" spans="1:31">
      <c r="A662" s="33">
        <v>661</v>
      </c>
      <c r="B662" s="69" t="s">
        <v>2086</v>
      </c>
      <c r="C662" s="69" t="s">
        <v>1203</v>
      </c>
      <c r="D662" s="56">
        <v>42205</v>
      </c>
      <c r="E662" s="266"/>
      <c r="F662" s="56"/>
      <c r="G662" s="69" t="str">
        <f t="shared" si="10"/>
        <v>User Registration</v>
      </c>
      <c r="H662" s="83" t="s">
        <v>2087</v>
      </c>
      <c r="I662" s="83"/>
      <c r="J662" s="69" t="s">
        <v>2088</v>
      </c>
      <c r="K662" s="69" t="s">
        <v>2090</v>
      </c>
      <c r="L662" s="253">
        <v>64.241849451999997</v>
      </c>
      <c r="M662" s="253">
        <v>58.022415193249984</v>
      </c>
      <c r="N662" s="253">
        <v>55.504952977793096</v>
      </c>
      <c r="O662" s="253">
        <v>54.381217796947368</v>
      </c>
      <c r="P662" s="253">
        <v>64.647975079999995</v>
      </c>
      <c r="Q662" s="253">
        <v>69.214545451999996</v>
      </c>
      <c r="R662" s="253">
        <v>56.999999999999993</v>
      </c>
      <c r="S662" s="253">
        <v>56.889017789999997</v>
      </c>
      <c r="T662" s="253"/>
      <c r="U662" s="253">
        <v>50</v>
      </c>
      <c r="V662" s="253"/>
      <c r="W662" s="253">
        <v>53</v>
      </c>
      <c r="X662" s="253"/>
      <c r="Y662" s="253">
        <v>48.005284019999998</v>
      </c>
      <c r="Z662" s="253">
        <v>62.617346939999997</v>
      </c>
      <c r="AA662" s="253"/>
      <c r="AB662" s="253"/>
      <c r="AC662" s="253"/>
      <c r="AD662" s="253"/>
      <c r="AE662" s="253"/>
    </row>
    <row r="663" spans="1:31">
      <c r="A663" s="33">
        <v>662</v>
      </c>
      <c r="B663" s="69" t="s">
        <v>2086</v>
      </c>
      <c r="C663" s="69" t="s">
        <v>1203</v>
      </c>
      <c r="D663" s="56">
        <v>42205</v>
      </c>
      <c r="G663" s="69" t="str">
        <f t="shared" si="10"/>
        <v>User Registration</v>
      </c>
      <c r="H663" s="69" t="s">
        <v>2087</v>
      </c>
      <c r="J663" s="69" t="s">
        <v>2088</v>
      </c>
      <c r="K663" s="69" t="s">
        <v>2091</v>
      </c>
      <c r="L663" s="253">
        <v>56.688492889999999</v>
      </c>
      <c r="M663" s="253">
        <v>57.398800893500002</v>
      </c>
      <c r="N663" s="253">
        <v>52.794888904586202</v>
      </c>
      <c r="O663" s="253">
        <v>57.915737576894735</v>
      </c>
      <c r="P663" s="253">
        <v>59.439999999999991</v>
      </c>
      <c r="Q663" s="253">
        <v>66.321176471000001</v>
      </c>
      <c r="R663" s="253">
        <v>55.348041469999998</v>
      </c>
      <c r="S663" s="253">
        <v>62</v>
      </c>
      <c r="T663" s="253"/>
      <c r="U663" s="253">
        <v>53.627450979999999</v>
      </c>
      <c r="V663" s="253"/>
      <c r="W663" s="253">
        <v>50</v>
      </c>
      <c r="X663" s="253"/>
      <c r="Y663" s="253">
        <v>63.296943229999989</v>
      </c>
      <c r="Z663" s="253">
        <v>45.682464449999998</v>
      </c>
      <c r="AA663" s="253"/>
      <c r="AB663" s="253"/>
      <c r="AC663" s="253"/>
      <c r="AD663" s="253"/>
      <c r="AE663" s="253"/>
    </row>
    <row r="664" spans="1:31">
      <c r="A664" s="33">
        <v>663</v>
      </c>
      <c r="B664" s="31" t="s">
        <v>1844</v>
      </c>
      <c r="C664" s="69" t="s">
        <v>1203</v>
      </c>
      <c r="D664" s="56">
        <v>42205</v>
      </c>
      <c r="F664" s="56"/>
      <c r="G664" s="69" t="str">
        <f t="shared" si="10"/>
        <v>E-Commerce</v>
      </c>
      <c r="H664" s="83" t="s">
        <v>2092</v>
      </c>
      <c r="I664" s="83"/>
      <c r="J664" s="31" t="s">
        <v>1844</v>
      </c>
      <c r="K664" s="31" t="s">
        <v>1844</v>
      </c>
      <c r="L664" s="253">
        <v>58.97827225130888</v>
      </c>
      <c r="M664" s="253">
        <v>58.128669950344822</v>
      </c>
      <c r="N664" s="253">
        <v>51.834669107804885</v>
      </c>
      <c r="O664" s="253">
        <v>57.246808538947356</v>
      </c>
      <c r="P664" s="253">
        <v>57.7853403141361</v>
      </c>
      <c r="Q664" s="253">
        <v>57.907444500000004</v>
      </c>
      <c r="R664" s="253">
        <v>62.512226220000002</v>
      </c>
      <c r="S664" s="253">
        <v>50.939897700000003</v>
      </c>
      <c r="T664" s="253"/>
      <c r="U664" s="253">
        <v>55.864583329999995</v>
      </c>
      <c r="V664" s="253">
        <v>58.496287129999999</v>
      </c>
      <c r="W664" s="253"/>
      <c r="X664" s="253">
        <v>33.875</v>
      </c>
      <c r="Y664" s="253">
        <v>53.506756759999995</v>
      </c>
      <c r="Z664" s="253">
        <v>63.749999999999993</v>
      </c>
      <c r="AA664" s="253"/>
      <c r="AB664" s="253"/>
      <c r="AC664" s="253"/>
      <c r="AD664" s="253"/>
      <c r="AE664" s="253"/>
    </row>
    <row r="665" spans="1:31">
      <c r="A665" s="33">
        <v>664</v>
      </c>
      <c r="B665" s="31" t="s">
        <v>1844</v>
      </c>
      <c r="C665" s="69" t="s">
        <v>1203</v>
      </c>
      <c r="D665" s="56">
        <v>42205</v>
      </c>
      <c r="F665" s="56"/>
      <c r="G665" s="69" t="str">
        <f t="shared" si="10"/>
        <v>E-Commerce</v>
      </c>
      <c r="H665" s="83" t="s">
        <v>2092</v>
      </c>
      <c r="I665" s="83"/>
      <c r="J665" s="31" t="s">
        <v>1844</v>
      </c>
      <c r="K665" s="31" t="s">
        <v>1848</v>
      </c>
      <c r="L665" s="253">
        <v>50.26541045199999</v>
      </c>
      <c r="M665" s="253">
        <v>54.458635619655169</v>
      </c>
      <c r="N665" s="253">
        <v>51.969482864024386</v>
      </c>
      <c r="O665" s="253">
        <v>48.234225570789476</v>
      </c>
      <c r="P665" s="253">
        <v>51.623036649999996</v>
      </c>
      <c r="Q665" s="253">
        <v>46.645642455000001</v>
      </c>
      <c r="R665" s="253">
        <v>54.326830010000002</v>
      </c>
      <c r="S665" s="253">
        <v>48.658887469999996</v>
      </c>
      <c r="T665" s="253"/>
      <c r="U665" s="253">
        <v>63.315972220000006</v>
      </c>
      <c r="V665" s="253">
        <v>61.711822660000003</v>
      </c>
      <c r="W665" s="253"/>
      <c r="X665" s="253">
        <v>35.884536400000002</v>
      </c>
      <c r="Y665" s="253">
        <v>48.831756759999998</v>
      </c>
      <c r="Z665" s="253">
        <v>44.834905660000004</v>
      </c>
      <c r="AA665" s="253"/>
      <c r="AB665" s="253"/>
      <c r="AC665" s="253"/>
      <c r="AD665" s="253"/>
      <c r="AE665" s="253"/>
    </row>
    <row r="666" spans="1:31">
      <c r="A666" s="33">
        <v>665</v>
      </c>
      <c r="B666" s="31" t="s">
        <v>1844</v>
      </c>
      <c r="C666" s="69" t="s">
        <v>1203</v>
      </c>
      <c r="D666" s="56">
        <v>42205</v>
      </c>
      <c r="F666" s="56"/>
      <c r="G666" s="69" t="str">
        <f t="shared" si="10"/>
        <v>E-Commerce</v>
      </c>
      <c r="H666" s="83" t="s">
        <v>2092</v>
      </c>
      <c r="I666" s="83"/>
      <c r="J666" s="31" t="s">
        <v>1844</v>
      </c>
      <c r="K666" s="31" t="s">
        <v>78</v>
      </c>
      <c r="L666" s="253">
        <v>64.934298041999995</v>
      </c>
      <c r="M666" s="253">
        <v>64.695405793448273</v>
      </c>
      <c r="N666" s="253">
        <v>69.557975133793107</v>
      </c>
      <c r="O666" s="253">
        <v>66.661333224210523</v>
      </c>
      <c r="P666" s="253">
        <v>66.870418850000007</v>
      </c>
      <c r="Q666" s="253">
        <v>63.754449999999991</v>
      </c>
      <c r="R666" s="253">
        <v>64.751753579999999</v>
      </c>
      <c r="S666" s="253">
        <v>59.297358249999995</v>
      </c>
      <c r="T666" s="253"/>
      <c r="U666" s="253">
        <v>66.583333330000002</v>
      </c>
      <c r="V666" s="253">
        <v>71.870370370000003</v>
      </c>
      <c r="W666" s="253"/>
      <c r="X666" s="253"/>
      <c r="Y666" s="253">
        <v>72.806094180000002</v>
      </c>
      <c r="Z666" s="253">
        <v>57.189814809999994</v>
      </c>
      <c r="AA666" s="253"/>
      <c r="AB666" s="253"/>
      <c r="AC666" s="253"/>
      <c r="AD666" s="253"/>
      <c r="AE666" s="253"/>
    </row>
    <row r="667" spans="1:31">
      <c r="A667" s="33">
        <v>666</v>
      </c>
      <c r="B667" s="31" t="s">
        <v>1844</v>
      </c>
      <c r="C667" s="69" t="s">
        <v>1203</v>
      </c>
      <c r="D667" s="56">
        <v>42205</v>
      </c>
      <c r="F667" s="56"/>
      <c r="G667" s="69" t="str">
        <f t="shared" si="10"/>
        <v>E-Commerce</v>
      </c>
      <c r="H667" s="83" t="s">
        <v>2092</v>
      </c>
      <c r="I667" s="83"/>
      <c r="J667" s="31" t="s">
        <v>1844</v>
      </c>
      <c r="K667" s="31" t="s">
        <v>1847</v>
      </c>
      <c r="L667" s="253">
        <v>59.355608884000013</v>
      </c>
      <c r="M667" s="253">
        <v>59.856526639217741</v>
      </c>
      <c r="N667" s="253">
        <v>58.196414478536582</v>
      </c>
      <c r="O667" s="253">
        <v>57.87919740260331</v>
      </c>
      <c r="P667" s="253">
        <v>59.540575920000002</v>
      </c>
      <c r="Q667" s="253">
        <v>56.376250000000006</v>
      </c>
      <c r="R667" s="253">
        <v>61.278323970000002</v>
      </c>
      <c r="S667" s="253">
        <v>55.031969309462966</v>
      </c>
      <c r="T667" s="253"/>
      <c r="U667" s="253">
        <v>65.555555560000002</v>
      </c>
      <c r="V667" s="253">
        <v>59.987714989999994</v>
      </c>
      <c r="W667" s="253"/>
      <c r="X667" s="253">
        <v>54.125</v>
      </c>
      <c r="Y667" s="253">
        <v>57.266117969999996</v>
      </c>
      <c r="Z667" s="253">
        <v>58.61574074</v>
      </c>
      <c r="AA667" s="253"/>
      <c r="AB667" s="253"/>
      <c r="AC667" s="253"/>
      <c r="AD667" s="253"/>
      <c r="AE667" s="253"/>
    </row>
    <row r="668" spans="1:31">
      <c r="A668" s="33">
        <v>667</v>
      </c>
      <c r="B668" s="31" t="s">
        <v>1844</v>
      </c>
      <c r="C668" s="69" t="s">
        <v>1203</v>
      </c>
      <c r="D668" s="56">
        <v>42205</v>
      </c>
      <c r="F668" s="56"/>
      <c r="G668" s="69" t="str">
        <f t="shared" si="10"/>
        <v>E-Commerce</v>
      </c>
      <c r="H668" s="83" t="s">
        <v>2092</v>
      </c>
      <c r="I668" s="83"/>
      <c r="J668" s="31" t="s">
        <v>1844</v>
      </c>
      <c r="K668" s="31" t="s">
        <v>1849</v>
      </c>
      <c r="L668" s="253">
        <v>57.826638548000005</v>
      </c>
      <c r="M668" s="253">
        <v>57.309956967241384</v>
      </c>
      <c r="N668" s="253">
        <v>57.841506253103447</v>
      </c>
      <c r="O668" s="253">
        <v>59.571049735789479</v>
      </c>
      <c r="P668" s="253">
        <v>56.004362999999998</v>
      </c>
      <c r="Q668" s="253">
        <v>51.53875</v>
      </c>
      <c r="R668" s="253">
        <v>50.982094289999999</v>
      </c>
      <c r="S668" s="253">
        <v>55.787693299999994</v>
      </c>
      <c r="T668" s="253"/>
      <c r="U668" s="253">
        <v>66.916666669999998</v>
      </c>
      <c r="V668" s="253">
        <v>60.844743280000003</v>
      </c>
      <c r="W668" s="253"/>
      <c r="X668" s="253"/>
      <c r="Y668" s="253">
        <v>59.698060939999998</v>
      </c>
      <c r="Z668" s="253">
        <v>65.115740740000007</v>
      </c>
      <c r="AA668" s="253"/>
      <c r="AB668" s="253"/>
      <c r="AC668" s="253"/>
      <c r="AD668" s="253"/>
      <c r="AE668" s="253"/>
    </row>
    <row r="669" spans="1:31">
      <c r="A669" s="33">
        <v>668</v>
      </c>
      <c r="B669" s="31" t="s">
        <v>1844</v>
      </c>
      <c r="C669" s="69" t="s">
        <v>1203</v>
      </c>
      <c r="D669" s="56">
        <v>42205</v>
      </c>
      <c r="F669" s="56"/>
      <c r="G669" s="69" t="str">
        <f t="shared" si="10"/>
        <v>E-Commerce</v>
      </c>
      <c r="H669" s="83" t="s">
        <v>2092</v>
      </c>
      <c r="I669" s="83"/>
      <c r="J669" s="31" t="s">
        <v>1844</v>
      </c>
      <c r="K669" s="31" t="s">
        <v>1846</v>
      </c>
      <c r="L669" s="253">
        <v>54.297159199999996</v>
      </c>
      <c r="M669" s="253">
        <v>60.885309217241378</v>
      </c>
      <c r="N669" s="253">
        <v>60.390481542068962</v>
      </c>
      <c r="O669" s="253">
        <v>61.743042020000004</v>
      </c>
      <c r="P669" s="253">
        <v>52.929319370000002</v>
      </c>
      <c r="Q669" s="253">
        <v>65.663749999999993</v>
      </c>
      <c r="R669" s="253">
        <v>56.095754720000002</v>
      </c>
      <c r="S669" s="253">
        <v>56.298324740000005</v>
      </c>
      <c r="T669" s="253"/>
      <c r="U669" s="253">
        <v>69.756944439999998</v>
      </c>
      <c r="V669" s="253">
        <v>60.887909319999999</v>
      </c>
      <c r="W669" s="253"/>
      <c r="X669" s="253"/>
      <c r="Y669" s="253">
        <v>64.012162160000003</v>
      </c>
      <c r="Z669" s="253">
        <v>59.768518520000001</v>
      </c>
      <c r="AA669" s="253"/>
      <c r="AB669" s="253"/>
      <c r="AC669" s="253"/>
      <c r="AD669" s="253"/>
      <c r="AE669" s="253"/>
    </row>
    <row r="670" spans="1:31">
      <c r="A670" s="33">
        <v>669</v>
      </c>
      <c r="B670" s="69" t="s">
        <v>2093</v>
      </c>
      <c r="C670" s="69" t="s">
        <v>740</v>
      </c>
      <c r="D670" s="56">
        <v>42205</v>
      </c>
      <c r="F670" s="56"/>
      <c r="G670" s="69" t="str">
        <f t="shared" si="10"/>
        <v>E-Commerce</v>
      </c>
      <c r="H670" s="83" t="s">
        <v>2094</v>
      </c>
      <c r="I670" s="83"/>
      <c r="J670" s="69" t="s">
        <v>2093</v>
      </c>
      <c r="K670" s="69" t="s">
        <v>2093</v>
      </c>
      <c r="L670" s="253">
        <v>46.375624444000003</v>
      </c>
      <c r="M670" s="253">
        <v>53.834749523553228</v>
      </c>
      <c r="N670" s="253">
        <v>54.003095511508313</v>
      </c>
      <c r="O670" s="253">
        <v>52.86540457894737</v>
      </c>
      <c r="P670" s="253">
        <v>44.165254240000003</v>
      </c>
      <c r="Q670" s="253">
        <v>66</v>
      </c>
      <c r="R670" s="253">
        <v>55</v>
      </c>
      <c r="S670" s="253">
        <v>43.271889399999992</v>
      </c>
      <c r="T670" s="253">
        <v>55.217391304347814</v>
      </c>
      <c r="U670" s="253">
        <v>50.952380949999998</v>
      </c>
      <c r="V670" s="253">
        <v>55</v>
      </c>
      <c r="W670" s="253"/>
      <c r="X670" s="253"/>
      <c r="Y670" s="253">
        <v>50.908527130000003</v>
      </c>
      <c r="Z670" s="253">
        <v>55.217105259999997</v>
      </c>
      <c r="AA670" s="253"/>
      <c r="AB670" s="253"/>
      <c r="AC670" s="253"/>
      <c r="AD670" s="253"/>
      <c r="AE670" s="253"/>
    </row>
    <row r="671" spans="1:31">
      <c r="A671" s="33">
        <v>670</v>
      </c>
      <c r="B671" s="69" t="s">
        <v>2093</v>
      </c>
      <c r="C671" s="69" t="s">
        <v>740</v>
      </c>
      <c r="D671" s="56">
        <v>42205</v>
      </c>
      <c r="F671" s="56"/>
      <c r="G671" s="69" t="str">
        <f t="shared" si="10"/>
        <v>E-Commerce</v>
      </c>
      <c r="H671" s="83" t="s">
        <v>2094</v>
      </c>
      <c r="I671" s="83"/>
      <c r="J671" s="69" t="s">
        <v>2093</v>
      </c>
      <c r="K671" s="69" t="s">
        <v>387</v>
      </c>
      <c r="L671" s="253">
        <v>67.125800376000001</v>
      </c>
      <c r="M671" s="253">
        <v>62.509576472428783</v>
      </c>
      <c r="N671" s="253">
        <v>60.002131154199411</v>
      </c>
      <c r="O671" s="253">
        <v>60.394521010526311</v>
      </c>
      <c r="P671" s="253">
        <v>66.268361580000004</v>
      </c>
      <c r="Q671" s="253">
        <v>51</v>
      </c>
      <c r="R671" s="253">
        <v>61.614147909999993</v>
      </c>
      <c r="S671" s="253">
        <v>64.614825580000002</v>
      </c>
      <c r="T671" s="253">
        <v>77.173913043478251</v>
      </c>
      <c r="U671" s="253">
        <v>57.999999999999993</v>
      </c>
      <c r="V671" s="253">
        <v>63</v>
      </c>
      <c r="W671" s="253"/>
      <c r="X671" s="253"/>
      <c r="Y671" s="253">
        <v>55.587499999999999</v>
      </c>
      <c r="Z671" s="253">
        <v>70.555555560000002</v>
      </c>
      <c r="AA671" s="253"/>
      <c r="AB671" s="253"/>
      <c r="AC671" s="253"/>
      <c r="AD671" s="253"/>
      <c r="AE671" s="253"/>
    </row>
    <row r="672" spans="1:31">
      <c r="A672" s="33">
        <v>671</v>
      </c>
      <c r="B672" s="69" t="s">
        <v>2093</v>
      </c>
      <c r="C672" s="69" t="s">
        <v>740</v>
      </c>
      <c r="D672" s="56">
        <v>42205</v>
      </c>
      <c r="F672" s="56"/>
      <c r="G672" s="69" t="str">
        <f t="shared" si="10"/>
        <v>E-Commerce</v>
      </c>
      <c r="H672" s="83" t="s">
        <v>2094</v>
      </c>
      <c r="I672" s="83"/>
      <c r="J672" s="69" t="s">
        <v>2093</v>
      </c>
      <c r="K672" s="69" t="s">
        <v>2095</v>
      </c>
      <c r="L672" s="253">
        <v>45.012309913999999</v>
      </c>
      <c r="M672" s="253">
        <v>41.770056493802102</v>
      </c>
      <c r="N672" s="253">
        <v>36.117812551032195</v>
      </c>
      <c r="O672" s="253">
        <v>41.472096379368423</v>
      </c>
      <c r="P672" s="253">
        <v>42.894472360000002</v>
      </c>
      <c r="Q672" s="253">
        <v>36.275128207999998</v>
      </c>
      <c r="R672" s="253">
        <v>43</v>
      </c>
      <c r="S672" s="253">
        <v>39.870152349999998</v>
      </c>
      <c r="T672" s="253">
        <v>33.304347826086953</v>
      </c>
      <c r="U672" s="253">
        <v>49</v>
      </c>
      <c r="V672" s="253">
        <v>40</v>
      </c>
      <c r="W672" s="253"/>
      <c r="X672" s="253"/>
      <c r="Y672" s="253">
        <v>35.840625000000003</v>
      </c>
      <c r="Z672" s="253">
        <v>53.483660129999997</v>
      </c>
      <c r="AA672" s="253"/>
      <c r="AB672" s="253"/>
      <c r="AC672" s="253"/>
      <c r="AD672" s="253"/>
      <c r="AE672" s="253"/>
    </row>
    <row r="673" spans="1:31">
      <c r="A673" s="33">
        <v>672</v>
      </c>
      <c r="B673" s="69" t="s">
        <v>2093</v>
      </c>
      <c r="C673" s="69" t="s">
        <v>740</v>
      </c>
      <c r="D673" s="56">
        <v>42205</v>
      </c>
      <c r="F673" s="56"/>
      <c r="G673" s="69" t="str">
        <f t="shared" si="10"/>
        <v>E-Commerce</v>
      </c>
      <c r="H673" s="83" t="s">
        <v>2094</v>
      </c>
      <c r="I673" s="83"/>
      <c r="J673" s="69" t="s">
        <v>2093</v>
      </c>
      <c r="K673" s="69" t="s">
        <v>2096</v>
      </c>
      <c r="L673" s="253">
        <v>58.996379718</v>
      </c>
      <c r="M673" s="253">
        <v>65.766853924977511</v>
      </c>
      <c r="N673" s="253">
        <v>65.001755388658438</v>
      </c>
      <c r="O673" s="253">
        <v>66.155558497368418</v>
      </c>
      <c r="P673" s="253">
        <v>53.96751411999999</v>
      </c>
      <c r="Q673" s="253">
        <v>63</v>
      </c>
      <c r="R673" s="253">
        <v>55.193113240000002</v>
      </c>
      <c r="S673" s="253">
        <v>66.166424419999998</v>
      </c>
      <c r="T673" s="253">
        <v>71.739130434782609</v>
      </c>
      <c r="U673" s="253">
        <v>65</v>
      </c>
      <c r="V673" s="253">
        <v>70</v>
      </c>
      <c r="W673" s="253"/>
      <c r="X673" s="253"/>
      <c r="Y673" s="253">
        <v>62.184375000000003</v>
      </c>
      <c r="Z673" s="253">
        <v>79.111842109999998</v>
      </c>
      <c r="AA673" s="253"/>
      <c r="AB673" s="253"/>
      <c r="AC673" s="253"/>
      <c r="AD673" s="253"/>
      <c r="AE673" s="253"/>
    </row>
    <row r="674" spans="1:31">
      <c r="A674" s="33">
        <v>673</v>
      </c>
      <c r="B674" s="69" t="s">
        <v>2093</v>
      </c>
      <c r="C674" s="69" t="s">
        <v>740</v>
      </c>
      <c r="D674" s="56">
        <v>42205</v>
      </c>
      <c r="F674" s="56"/>
      <c r="G674" s="69" t="str">
        <f t="shared" si="10"/>
        <v>E-Commerce</v>
      </c>
      <c r="H674" s="83" t="s">
        <v>2094</v>
      </c>
      <c r="I674" s="83"/>
      <c r="J674" s="69" t="s">
        <v>2093</v>
      </c>
      <c r="K674" s="69" t="s">
        <v>2097</v>
      </c>
      <c r="L674" s="253">
        <v>59.930718953999992</v>
      </c>
      <c r="M674" s="253">
        <v>62.585663528965519</v>
      </c>
      <c r="N674" s="253">
        <v>66.999741869888652</v>
      </c>
      <c r="O674" s="253">
        <v>64.432204674210524</v>
      </c>
      <c r="P674" s="253">
        <v>60</v>
      </c>
      <c r="Q674" s="253">
        <v>62</v>
      </c>
      <c r="R674" s="253">
        <v>64</v>
      </c>
      <c r="S674" s="253">
        <v>55.943914959999994</v>
      </c>
      <c r="T674" s="253">
        <v>76.999999999999986</v>
      </c>
      <c r="U674" s="253">
        <v>55</v>
      </c>
      <c r="V674" s="253">
        <v>68.391495599999999</v>
      </c>
      <c r="W674" s="253"/>
      <c r="X674" s="253"/>
      <c r="Y674" s="253">
        <v>68</v>
      </c>
      <c r="Z674" s="253">
        <v>59.653594769999998</v>
      </c>
      <c r="AA674" s="253"/>
      <c r="AB674" s="253"/>
      <c r="AC674" s="253"/>
      <c r="AD674" s="253"/>
      <c r="AE674" s="253"/>
    </row>
    <row r="675" spans="1:31">
      <c r="A675" s="33">
        <v>674</v>
      </c>
      <c r="B675" s="69" t="s">
        <v>2086</v>
      </c>
      <c r="C675" s="69" t="s">
        <v>1203</v>
      </c>
      <c r="D675" s="56">
        <v>42205</v>
      </c>
      <c r="F675" s="56"/>
      <c r="G675" s="69" t="str">
        <f t="shared" si="10"/>
        <v>User Registration</v>
      </c>
      <c r="H675" s="83" t="s">
        <v>2087</v>
      </c>
      <c r="I675" s="83"/>
      <c r="J675" s="69" t="s">
        <v>2088</v>
      </c>
      <c r="K675" s="69" t="s">
        <v>2098</v>
      </c>
      <c r="L675" s="253">
        <v>56.510045714</v>
      </c>
      <c r="M675" s="253">
        <v>55.633719787499992</v>
      </c>
      <c r="N675" s="253">
        <v>53.126508620689663</v>
      </c>
      <c r="O675" s="253">
        <v>60.213060730000002</v>
      </c>
      <c r="P675" s="253">
        <v>55.382905979999997</v>
      </c>
      <c r="Q675" s="253">
        <v>49.556249999999999</v>
      </c>
      <c r="R675" s="253">
        <v>62</v>
      </c>
      <c r="S675" s="253">
        <v>51.789413119999992</v>
      </c>
      <c r="T675" s="253"/>
      <c r="U675" s="253">
        <v>52</v>
      </c>
      <c r="V675" s="253"/>
      <c r="W675" s="253">
        <v>51</v>
      </c>
      <c r="X675" s="253"/>
      <c r="Y675" s="253">
        <v>61.360946749999997</v>
      </c>
      <c r="Z675" s="253">
        <v>61.018604649999993</v>
      </c>
      <c r="AA675" s="253"/>
      <c r="AB675" s="253"/>
      <c r="AC675" s="253"/>
      <c r="AD675" s="253"/>
      <c r="AE675" s="253"/>
    </row>
    <row r="676" spans="1:31">
      <c r="A676" s="33">
        <v>675</v>
      </c>
      <c r="B676" s="69" t="s">
        <v>2086</v>
      </c>
      <c r="C676" s="69" t="s">
        <v>1203</v>
      </c>
      <c r="D676" s="56">
        <v>42205</v>
      </c>
      <c r="F676" s="56"/>
      <c r="G676" s="69" t="str">
        <f t="shared" si="10"/>
        <v>User Registration</v>
      </c>
      <c r="H676" s="83" t="s">
        <v>2087</v>
      </c>
      <c r="I676" s="83"/>
      <c r="J676" s="69" t="s">
        <v>2088</v>
      </c>
      <c r="K676" s="69" t="s">
        <v>2088</v>
      </c>
      <c r="L676" s="253">
        <v>53.191067111999999</v>
      </c>
      <c r="M676" s="253">
        <v>47.931192053333334</v>
      </c>
      <c r="N676" s="253">
        <v>47.249310344827585</v>
      </c>
      <c r="O676" s="253">
        <v>52.756517415789475</v>
      </c>
      <c r="P676" s="253">
        <v>51.27525773</v>
      </c>
      <c r="Q676" s="253">
        <v>48.41</v>
      </c>
      <c r="R676" s="253">
        <v>50</v>
      </c>
      <c r="S676" s="253">
        <v>46.999999999999993</v>
      </c>
      <c r="T676" s="253"/>
      <c r="U676" s="253">
        <v>44</v>
      </c>
      <c r="V676" s="253"/>
      <c r="W676" s="253">
        <v>46.999999999999993</v>
      </c>
      <c r="X676" s="253"/>
      <c r="Y676" s="253">
        <v>50.769230769999993</v>
      </c>
      <c r="Z676" s="253">
        <v>60.854304640000002</v>
      </c>
      <c r="AA676" s="253"/>
      <c r="AB676" s="253"/>
      <c r="AC676" s="253"/>
      <c r="AD676" s="253"/>
      <c r="AE676" s="253"/>
    </row>
    <row r="677" spans="1:31">
      <c r="A677" s="33">
        <v>676</v>
      </c>
      <c r="B677" s="69" t="s">
        <v>2072</v>
      </c>
      <c r="C677" s="69" t="s">
        <v>1232</v>
      </c>
      <c r="D677" s="56">
        <v>42215</v>
      </c>
      <c r="G677" s="69" t="str">
        <f t="shared" si="10"/>
        <v>User Registration</v>
      </c>
      <c r="H677" s="69" t="s">
        <v>1191</v>
      </c>
      <c r="J677" s="69" t="s">
        <v>2072</v>
      </c>
      <c r="K677" s="69" t="s">
        <v>2073</v>
      </c>
      <c r="L677" s="253">
        <v>56.356613759999995</v>
      </c>
      <c r="M677" s="253">
        <v>59.130409501999999</v>
      </c>
      <c r="N677" s="253">
        <v>69.821040868965525</v>
      </c>
      <c r="O677" s="253">
        <v>55.75738844</v>
      </c>
      <c r="P677" s="253">
        <v>55.445767199999992</v>
      </c>
      <c r="Q677" s="253">
        <v>68</v>
      </c>
      <c r="R677" s="253">
        <v>53.468364200000003</v>
      </c>
      <c r="S677" s="253">
        <v>55.816592259999993</v>
      </c>
      <c r="T677" s="253">
        <v>64.705882352941174</v>
      </c>
      <c r="U677" s="253">
        <v>60</v>
      </c>
      <c r="V677" s="253"/>
      <c r="W677" s="253">
        <v>75</v>
      </c>
      <c r="X677" s="253"/>
      <c r="Y677" s="253">
        <v>52.863705969999998</v>
      </c>
      <c r="Z677" s="253">
        <v>60</v>
      </c>
      <c r="AA677" s="253"/>
      <c r="AB677" s="253"/>
      <c r="AC677" s="253"/>
      <c r="AD677" s="253"/>
      <c r="AE677" s="253"/>
    </row>
    <row r="678" spans="1:31">
      <c r="A678" s="33">
        <v>677</v>
      </c>
      <c r="B678" s="69" t="s">
        <v>2072</v>
      </c>
      <c r="C678" s="69" t="s">
        <v>1232</v>
      </c>
      <c r="D678" s="56">
        <v>42215</v>
      </c>
      <c r="F678" s="56"/>
      <c r="G678" s="69" t="str">
        <f t="shared" si="10"/>
        <v>User Registration</v>
      </c>
      <c r="H678" s="83" t="s">
        <v>1191</v>
      </c>
      <c r="I678" s="83"/>
      <c r="J678" s="69" t="s">
        <v>2072</v>
      </c>
      <c r="K678" s="69" t="s">
        <v>1192</v>
      </c>
      <c r="L678" s="253">
        <v>61.510447760000005</v>
      </c>
      <c r="M678" s="253">
        <v>62</v>
      </c>
      <c r="N678" s="253">
        <v>73.103448275862064</v>
      </c>
      <c r="O678" s="253">
        <v>64.596491226315791</v>
      </c>
      <c r="P678" s="253">
        <v>61.638059699999999</v>
      </c>
      <c r="Q678" s="253">
        <v>57.999999999999993</v>
      </c>
      <c r="R678" s="253">
        <v>61</v>
      </c>
      <c r="S678" s="253">
        <v>64</v>
      </c>
      <c r="T678" s="253">
        <v>70.82352941176471</v>
      </c>
      <c r="U678" s="253">
        <v>65</v>
      </c>
      <c r="V678" s="253"/>
      <c r="W678" s="253">
        <v>79</v>
      </c>
      <c r="X678" s="253"/>
      <c r="Y678" s="253">
        <v>67.833333330000002</v>
      </c>
      <c r="Z678" s="253">
        <v>61</v>
      </c>
      <c r="AA678" s="253"/>
      <c r="AB678" s="253"/>
      <c r="AC678" s="253"/>
      <c r="AD678" s="253"/>
      <c r="AE678" s="253"/>
    </row>
    <row r="679" spans="1:31">
      <c r="A679" s="33">
        <v>678</v>
      </c>
      <c r="B679" s="69" t="s">
        <v>2072</v>
      </c>
      <c r="C679" s="69" t="s">
        <v>1232</v>
      </c>
      <c r="D679" s="56">
        <v>42215</v>
      </c>
      <c r="F679" s="56"/>
      <c r="G679" s="69" t="str">
        <f t="shared" si="10"/>
        <v>User Registration</v>
      </c>
      <c r="H679" s="83" t="s">
        <v>1191</v>
      </c>
      <c r="I679" s="83"/>
      <c r="J679" s="69" t="s">
        <v>2072</v>
      </c>
      <c r="K679" s="69" t="s">
        <v>2074</v>
      </c>
      <c r="L679" s="253">
        <v>56.564125559999987</v>
      </c>
      <c r="M679" s="253">
        <v>54.047991004000004</v>
      </c>
      <c r="N679" s="253">
        <v>59.140944392413793</v>
      </c>
      <c r="O679" s="253">
        <v>59.847876180526313</v>
      </c>
      <c r="P679" s="253">
        <v>54.705156949999996</v>
      </c>
      <c r="Q679" s="253">
        <v>56.000000000000007</v>
      </c>
      <c r="R679" s="253">
        <v>51.181231230000002</v>
      </c>
      <c r="S679" s="253">
        <v>53.529116469999991</v>
      </c>
      <c r="T679" s="253">
        <v>61</v>
      </c>
      <c r="U679" s="253">
        <v>51.787439609999993</v>
      </c>
      <c r="V679" s="253"/>
      <c r="W679" s="253">
        <v>62</v>
      </c>
      <c r="X679" s="253"/>
      <c r="Y679" s="253">
        <v>60.52180684999999</v>
      </c>
      <c r="Z679" s="253">
        <v>64</v>
      </c>
      <c r="AA679" s="253"/>
      <c r="AB679" s="253"/>
      <c r="AC679" s="253"/>
      <c r="AD679" s="253"/>
      <c r="AE679" s="253"/>
    </row>
    <row r="680" spans="1:31">
      <c r="A680" s="33">
        <v>679</v>
      </c>
      <c r="B680" s="69" t="s">
        <v>2075</v>
      </c>
      <c r="C680" s="69" t="s">
        <v>1203</v>
      </c>
      <c r="D680" s="56">
        <v>42215</v>
      </c>
      <c r="F680" s="56"/>
      <c r="G680" s="69" t="str">
        <f t="shared" si="10"/>
        <v>E-Commerce</v>
      </c>
      <c r="H680" s="83" t="s">
        <v>1784</v>
      </c>
      <c r="I680" s="83"/>
      <c r="J680" s="69" t="s">
        <v>2075</v>
      </c>
      <c r="K680" s="69" t="s">
        <v>2075</v>
      </c>
      <c r="L680" s="253">
        <v>56.391214361999999</v>
      </c>
      <c r="M680" s="253">
        <v>57.909239688275861</v>
      </c>
      <c r="N680" s="253">
        <v>61.735103600410397</v>
      </c>
      <c r="O680" s="253">
        <v>58.315586147894734</v>
      </c>
      <c r="P680" s="253">
        <v>57.697938139999991</v>
      </c>
      <c r="Q680" s="253">
        <v>54.387499999999989</v>
      </c>
      <c r="R680" s="253">
        <v>58.789482469999996</v>
      </c>
      <c r="S680" s="253">
        <v>55.736196319999998</v>
      </c>
      <c r="T680" s="253"/>
      <c r="U680" s="253">
        <v>60.614583330000002</v>
      </c>
      <c r="V680" s="253">
        <v>61.483910890000004</v>
      </c>
      <c r="W680" s="253"/>
      <c r="X680" s="253"/>
      <c r="Y680" s="253">
        <v>62.447187930000005</v>
      </c>
      <c r="Z680" s="253">
        <v>51.164319249999998</v>
      </c>
      <c r="AA680" s="253"/>
      <c r="AB680" s="253"/>
      <c r="AC680" s="253"/>
      <c r="AD680" s="253"/>
      <c r="AE680" s="253"/>
    </row>
    <row r="681" spans="1:31">
      <c r="A681" s="33">
        <v>680</v>
      </c>
      <c r="B681" s="69" t="s">
        <v>2075</v>
      </c>
      <c r="C681" s="69" t="s">
        <v>1203</v>
      </c>
      <c r="D681" s="56">
        <v>42215</v>
      </c>
      <c r="F681" s="56"/>
      <c r="G681" s="69" t="str">
        <f t="shared" si="10"/>
        <v>E-Commerce</v>
      </c>
      <c r="H681" s="83" t="s">
        <v>1784</v>
      </c>
      <c r="I681" s="83"/>
      <c r="J681" s="69" t="s">
        <v>2075</v>
      </c>
      <c r="K681" s="69" t="s">
        <v>2076</v>
      </c>
      <c r="L681" s="253">
        <v>59.885368463999995</v>
      </c>
      <c r="M681" s="253">
        <v>58.623634605862058</v>
      </c>
      <c r="N681" s="253">
        <v>59.997948727256478</v>
      </c>
      <c r="O681" s="253">
        <v>62.350230586315789</v>
      </c>
      <c r="P681" s="253">
        <v>59.111340209999994</v>
      </c>
      <c r="Q681" s="253">
        <v>61</v>
      </c>
      <c r="R681" s="253">
        <v>63.111416669999997</v>
      </c>
      <c r="S681" s="253">
        <v>54.099386500000001</v>
      </c>
      <c r="T681" s="253"/>
      <c r="U681" s="253">
        <v>54.084507039999998</v>
      </c>
      <c r="V681" s="253">
        <v>56.862327909999998</v>
      </c>
      <c r="W681" s="253"/>
      <c r="X681" s="253"/>
      <c r="Y681" s="253">
        <v>62.842475389999997</v>
      </c>
      <c r="Z681" s="253">
        <v>62.981481479999999</v>
      </c>
      <c r="AA681" s="253"/>
      <c r="AB681" s="253"/>
      <c r="AC681" s="253"/>
      <c r="AD681" s="253"/>
      <c r="AE681" s="253"/>
    </row>
    <row r="682" spans="1:31">
      <c r="A682" s="33">
        <v>681</v>
      </c>
      <c r="B682" s="69" t="s">
        <v>2075</v>
      </c>
      <c r="C682" s="69" t="s">
        <v>1203</v>
      </c>
      <c r="D682" s="56">
        <v>42215</v>
      </c>
      <c r="F682" s="56"/>
      <c r="G682" s="69" t="str">
        <f t="shared" si="10"/>
        <v>E-Commerce</v>
      </c>
      <c r="H682" s="83" t="s">
        <v>1784</v>
      </c>
      <c r="I682" s="83"/>
      <c r="J682" s="69" t="s">
        <v>2075</v>
      </c>
      <c r="K682" s="69" t="s">
        <v>2077</v>
      </c>
      <c r="L682" s="253">
        <v>55.850807460000006</v>
      </c>
      <c r="M682" s="253">
        <v>59.37124148344828</v>
      </c>
      <c r="N682" s="253">
        <v>63.993397764416592</v>
      </c>
      <c r="O682" s="253">
        <v>52.409168371052637</v>
      </c>
      <c r="P682" s="253">
        <v>57.535340310000002</v>
      </c>
      <c r="Q682" s="253">
        <v>60.917500000000004</v>
      </c>
      <c r="R682" s="253">
        <v>55.767987249999997</v>
      </c>
      <c r="S682" s="253">
        <v>52.108695650000001</v>
      </c>
      <c r="T682" s="253"/>
      <c r="U682" s="253">
        <v>67.359154930000003</v>
      </c>
      <c r="V682" s="253">
        <v>67.277500000000003</v>
      </c>
      <c r="W682" s="253"/>
      <c r="X682" s="253"/>
      <c r="Y682" s="253">
        <v>52.56486486</v>
      </c>
      <c r="Z682" s="253">
        <v>49.112676059999998</v>
      </c>
      <c r="AA682" s="253"/>
      <c r="AB682" s="253"/>
      <c r="AC682" s="253"/>
      <c r="AD682" s="253"/>
      <c r="AE682" s="253"/>
    </row>
    <row r="683" spans="1:31">
      <c r="A683" s="33">
        <v>682</v>
      </c>
      <c r="B683" s="69" t="s">
        <v>2075</v>
      </c>
      <c r="C683" s="69" t="s">
        <v>1203</v>
      </c>
      <c r="D683" s="56">
        <v>42215</v>
      </c>
      <c r="F683" s="56"/>
      <c r="G683" s="69" t="str">
        <f t="shared" si="10"/>
        <v>E-Commerce</v>
      </c>
      <c r="H683" s="83" t="s">
        <v>1784</v>
      </c>
      <c r="I683" s="83"/>
      <c r="J683" s="69" t="s">
        <v>2075</v>
      </c>
      <c r="K683" s="69" t="s">
        <v>2078</v>
      </c>
      <c r="L683" s="253">
        <v>54.436225526000001</v>
      </c>
      <c r="M683" s="253">
        <v>57.605126740689663</v>
      </c>
      <c r="N683" s="253">
        <v>65.625938319595576</v>
      </c>
      <c r="O683" s="253">
        <v>57.608401790526308</v>
      </c>
      <c r="P683" s="253">
        <v>56.030927839999997</v>
      </c>
      <c r="Q683" s="253">
        <v>63.347499999999997</v>
      </c>
      <c r="R683" s="253">
        <v>49.136458329999996</v>
      </c>
      <c r="S683" s="253">
        <v>53.354838709999996</v>
      </c>
      <c r="T683" s="253"/>
      <c r="U683" s="253">
        <v>68.357638890000004</v>
      </c>
      <c r="V683" s="253">
        <v>63.877957659999993</v>
      </c>
      <c r="W683" s="253"/>
      <c r="X683" s="253"/>
      <c r="Y683" s="253">
        <v>63.929729729999991</v>
      </c>
      <c r="Z683" s="253">
        <v>48.057416269999997</v>
      </c>
      <c r="AA683" s="253"/>
      <c r="AB683" s="253"/>
      <c r="AC683" s="253"/>
      <c r="AD683" s="253"/>
      <c r="AE683" s="253"/>
    </row>
    <row r="684" spans="1:31">
      <c r="A684" s="33">
        <v>683</v>
      </c>
      <c r="B684" s="69" t="s">
        <v>2075</v>
      </c>
      <c r="C684" s="69" t="s">
        <v>1203</v>
      </c>
      <c r="D684" s="56">
        <v>42215</v>
      </c>
      <c r="F684" s="56"/>
      <c r="G684" s="69" t="str">
        <f t="shared" si="10"/>
        <v>E-Commerce</v>
      </c>
      <c r="H684" s="83" t="s">
        <v>1784</v>
      </c>
      <c r="I684" s="83"/>
      <c r="J684" s="69" t="s">
        <v>2075</v>
      </c>
      <c r="K684" s="69" t="s">
        <v>2079</v>
      </c>
      <c r="L684" s="253">
        <v>52.566925470000001</v>
      </c>
      <c r="M684" s="253">
        <v>56.256427497586202</v>
      </c>
      <c r="N684" s="253">
        <v>49.546941917520599</v>
      </c>
      <c r="O684" s="253">
        <v>51.469823386842108</v>
      </c>
      <c r="P684" s="253">
        <v>55.220618559999998</v>
      </c>
      <c r="Q684" s="253">
        <v>50.517499999999991</v>
      </c>
      <c r="R684" s="253">
        <v>58.365152770000002</v>
      </c>
      <c r="S684" s="253">
        <v>51.688343560000007</v>
      </c>
      <c r="T684" s="253"/>
      <c r="U684" s="253">
        <v>61.684027780000008</v>
      </c>
      <c r="V684" s="253">
        <v>62.335802469999997</v>
      </c>
      <c r="W684" s="253"/>
      <c r="X684" s="253"/>
      <c r="Y684" s="253">
        <v>54.922972969999996</v>
      </c>
      <c r="Z684" s="253">
        <v>41.952153109999998</v>
      </c>
      <c r="AA684" s="253"/>
      <c r="AB684" s="253"/>
      <c r="AC684" s="253"/>
      <c r="AD684" s="253"/>
      <c r="AE684" s="253"/>
    </row>
    <row r="685" spans="1:31">
      <c r="A685" s="33">
        <v>684</v>
      </c>
      <c r="B685" s="69" t="s">
        <v>2075</v>
      </c>
      <c r="C685" s="69" t="s">
        <v>1203</v>
      </c>
      <c r="D685" s="56">
        <v>42215</v>
      </c>
      <c r="F685" s="56"/>
      <c r="G685" s="69" t="str">
        <f t="shared" si="10"/>
        <v>E-Commerce</v>
      </c>
      <c r="H685" s="83" t="s">
        <v>1784</v>
      </c>
      <c r="I685" s="83"/>
      <c r="J685" s="69" t="s">
        <v>2075</v>
      </c>
      <c r="K685" s="69" t="s">
        <v>2080</v>
      </c>
      <c r="L685" s="253">
        <v>61.446800597999996</v>
      </c>
      <c r="M685" s="253">
        <v>59.96785883655172</v>
      </c>
      <c r="N685" s="253">
        <v>47.851416215367713</v>
      </c>
      <c r="O685" s="253">
        <v>60.59161189000001</v>
      </c>
      <c r="P685" s="253">
        <v>62.232413789999995</v>
      </c>
      <c r="Q685" s="253">
        <v>52.949999999999996</v>
      </c>
      <c r="R685" s="253">
        <v>58.241235499999995</v>
      </c>
      <c r="S685" s="253">
        <v>62.813011459999998</v>
      </c>
      <c r="T685" s="253"/>
      <c r="U685" s="253">
        <v>61.267605629999998</v>
      </c>
      <c r="V685" s="253">
        <v>64.865248230000006</v>
      </c>
      <c r="W685" s="253"/>
      <c r="X685" s="253"/>
      <c r="Y685" s="253">
        <v>62.747340429999994</v>
      </c>
      <c r="Z685" s="253">
        <v>58.304347830000005</v>
      </c>
      <c r="AA685" s="253"/>
      <c r="AB685" s="253"/>
      <c r="AC685" s="253"/>
      <c r="AD685" s="253"/>
      <c r="AE685" s="253"/>
    </row>
    <row r="686" spans="1:31">
      <c r="A686" s="33">
        <v>685</v>
      </c>
      <c r="B686" s="69" t="s">
        <v>2075</v>
      </c>
      <c r="C686" s="69" t="s">
        <v>1203</v>
      </c>
      <c r="D686" s="56">
        <v>42215</v>
      </c>
      <c r="F686" s="56"/>
      <c r="G686" s="69" t="str">
        <f t="shared" si="10"/>
        <v>E-Commerce</v>
      </c>
      <c r="H686" s="83" t="s">
        <v>1784</v>
      </c>
      <c r="I686" s="83"/>
      <c r="J686" s="69" t="s">
        <v>2075</v>
      </c>
      <c r="K686" s="69" t="s">
        <v>2081</v>
      </c>
      <c r="L686" s="253">
        <v>61.994661438000009</v>
      </c>
      <c r="M686" s="253">
        <v>61.774407739655182</v>
      </c>
      <c r="N686" s="253">
        <v>59.07997641350142</v>
      </c>
      <c r="O686" s="253">
        <v>60.90559519263158</v>
      </c>
      <c r="P686" s="253">
        <v>63.990979379999999</v>
      </c>
      <c r="Q686" s="253">
        <v>59.837500000000006</v>
      </c>
      <c r="R686" s="253">
        <v>61.380168070000003</v>
      </c>
      <c r="S686" s="253">
        <v>56.125310169999999</v>
      </c>
      <c r="T686" s="253"/>
      <c r="U686" s="253">
        <v>68.362676059999998</v>
      </c>
      <c r="V686" s="253">
        <v>66.121553879999993</v>
      </c>
      <c r="W686" s="253"/>
      <c r="X686" s="253"/>
      <c r="Y686" s="253">
        <v>64.843621399999989</v>
      </c>
      <c r="Z686" s="253">
        <v>54.009389669999997</v>
      </c>
      <c r="AA686" s="253"/>
      <c r="AB686" s="253"/>
      <c r="AC686" s="253"/>
      <c r="AD686" s="253"/>
      <c r="AE686" s="253"/>
    </row>
    <row r="687" spans="1:31">
      <c r="A687" s="33">
        <v>686</v>
      </c>
      <c r="B687" s="69" t="s">
        <v>2075</v>
      </c>
      <c r="C687" s="69" t="s">
        <v>1203</v>
      </c>
      <c r="D687" s="56">
        <v>42215</v>
      </c>
      <c r="F687" s="56"/>
      <c r="G687" s="69" t="str">
        <f t="shared" si="10"/>
        <v>E-Commerce</v>
      </c>
      <c r="H687" s="83" t="s">
        <v>1784</v>
      </c>
      <c r="I687" s="83"/>
      <c r="J687" s="69" t="s">
        <v>2075</v>
      </c>
      <c r="K687" s="69" t="s">
        <v>2082</v>
      </c>
      <c r="L687" s="253">
        <v>57.739808616000012</v>
      </c>
      <c r="M687" s="253">
        <v>56.650701675517247</v>
      </c>
      <c r="N687" s="253">
        <v>61.338784781768432</v>
      </c>
      <c r="O687" s="253">
        <v>57.042784440000005</v>
      </c>
      <c r="P687" s="253">
        <v>57.409210529999996</v>
      </c>
      <c r="Q687" s="253">
        <v>60.047500000000007</v>
      </c>
      <c r="R687" s="253">
        <v>54.865517239999996</v>
      </c>
      <c r="S687" s="253">
        <v>44.78646518</v>
      </c>
      <c r="T687" s="253"/>
      <c r="U687" s="253">
        <v>64.084507040000005</v>
      </c>
      <c r="V687" s="253">
        <v>60.255389530000002</v>
      </c>
      <c r="W687" s="253"/>
      <c r="X687" s="253"/>
      <c r="Y687" s="253">
        <v>57.393689989999999</v>
      </c>
      <c r="Z687" s="253">
        <v>59.062200959999998</v>
      </c>
      <c r="AA687" s="253"/>
      <c r="AB687" s="253"/>
      <c r="AC687" s="253"/>
      <c r="AD687" s="253"/>
      <c r="AE687" s="253"/>
    </row>
    <row r="688" spans="1:31">
      <c r="A688" s="33">
        <v>687</v>
      </c>
      <c r="B688" s="69" t="s">
        <v>2072</v>
      </c>
      <c r="C688" s="69" t="s">
        <v>1232</v>
      </c>
      <c r="D688" s="56">
        <v>42215</v>
      </c>
      <c r="F688" s="56"/>
      <c r="G688" s="69" t="str">
        <f t="shared" si="10"/>
        <v>User Registration</v>
      </c>
      <c r="H688" s="83" t="s">
        <v>1191</v>
      </c>
      <c r="I688" s="83"/>
      <c r="J688" s="69" t="s">
        <v>2072</v>
      </c>
      <c r="K688" s="69" t="s">
        <v>2083</v>
      </c>
      <c r="L688" s="253">
        <v>57.305114639999999</v>
      </c>
      <c r="M688" s="253">
        <v>54.167483860000011</v>
      </c>
      <c r="N688" s="253">
        <v>45.965681110344832</v>
      </c>
      <c r="O688" s="253">
        <v>56.536685536842114</v>
      </c>
      <c r="P688" s="253">
        <v>54.631393299999999</v>
      </c>
      <c r="Q688" s="253">
        <v>50</v>
      </c>
      <c r="R688" s="253">
        <v>57.167458699999997</v>
      </c>
      <c r="S688" s="253">
        <v>55.895337300000001</v>
      </c>
      <c r="T688" s="253">
        <v>55.705882352941174</v>
      </c>
      <c r="U688" s="253">
        <v>47.586206900000001</v>
      </c>
      <c r="V688" s="253"/>
      <c r="W688" s="253">
        <v>42</v>
      </c>
      <c r="X688" s="253"/>
      <c r="Y688" s="253">
        <v>51.396677050000008</v>
      </c>
      <c r="Z688" s="253">
        <v>68</v>
      </c>
      <c r="AA688" s="253"/>
      <c r="AB688" s="253"/>
      <c r="AC688" s="253"/>
      <c r="AD688" s="253"/>
      <c r="AE688" s="253"/>
    </row>
    <row r="689" spans="1:31">
      <c r="A689" s="33">
        <v>688</v>
      </c>
      <c r="B689" s="69" t="s">
        <v>2072</v>
      </c>
      <c r="C689" s="69" t="s">
        <v>1232</v>
      </c>
      <c r="D689" s="56">
        <v>42215</v>
      </c>
      <c r="F689" s="56"/>
      <c r="G689" s="69" t="str">
        <f t="shared" si="10"/>
        <v>User Registration</v>
      </c>
      <c r="H689" s="83" t="s">
        <v>1191</v>
      </c>
      <c r="I689" s="83"/>
      <c r="J689" s="69" t="s">
        <v>2072</v>
      </c>
      <c r="K689" s="69" t="s">
        <v>2072</v>
      </c>
      <c r="L689" s="253">
        <v>54.279365080000005</v>
      </c>
      <c r="M689" s="253">
        <v>52.1750192895</v>
      </c>
      <c r="N689" s="253">
        <v>51.258267195172415</v>
      </c>
      <c r="O689" s="253">
        <v>61.022963948947371</v>
      </c>
      <c r="P689" s="253">
        <v>51.349206349999996</v>
      </c>
      <c r="Q689" s="253">
        <v>48</v>
      </c>
      <c r="R689" s="253">
        <v>50.414958109999993</v>
      </c>
      <c r="S689" s="253">
        <v>50.606398809999995</v>
      </c>
      <c r="T689" s="253">
        <v>52.470588235294123</v>
      </c>
      <c r="U689" s="253">
        <v>53</v>
      </c>
      <c r="V689" s="253"/>
      <c r="W689" s="253">
        <v>52</v>
      </c>
      <c r="X689" s="253"/>
      <c r="Y689" s="253">
        <v>63</v>
      </c>
      <c r="Z689" s="253">
        <v>66</v>
      </c>
      <c r="AA689" s="253"/>
      <c r="AB689" s="253"/>
      <c r="AC689" s="253"/>
      <c r="AD689" s="253"/>
      <c r="AE689" s="253"/>
    </row>
    <row r="690" spans="1:31">
      <c r="A690" s="33">
        <v>689</v>
      </c>
      <c r="B690" s="69" t="s">
        <v>2072</v>
      </c>
      <c r="C690" s="69" t="s">
        <v>1232</v>
      </c>
      <c r="D690" s="56">
        <v>42215</v>
      </c>
      <c r="F690" s="56"/>
      <c r="G690" s="69" t="str">
        <f t="shared" si="10"/>
        <v>User Registration</v>
      </c>
      <c r="H690" s="83" t="s">
        <v>1191</v>
      </c>
      <c r="I690" s="83"/>
      <c r="J690" s="69" t="s">
        <v>2072</v>
      </c>
      <c r="K690" s="69" t="s">
        <v>2084</v>
      </c>
      <c r="L690" s="253">
        <v>53.809523808000002</v>
      </c>
      <c r="M690" s="253">
        <v>50.054641952499999</v>
      </c>
      <c r="N690" s="253">
        <v>40.653727988965514</v>
      </c>
      <c r="O690" s="253">
        <v>57.84235102684211</v>
      </c>
      <c r="P690" s="253">
        <v>53.26190476</v>
      </c>
      <c r="Q690" s="253">
        <v>44</v>
      </c>
      <c r="R690" s="253">
        <v>51.159685279999998</v>
      </c>
      <c r="S690" s="253">
        <v>51.700450449999998</v>
      </c>
      <c r="T690" s="253">
        <v>50.705882352941174</v>
      </c>
      <c r="U690" s="253">
        <v>50.098522170000003</v>
      </c>
      <c r="V690" s="253"/>
      <c r="W690" s="253">
        <v>37</v>
      </c>
      <c r="X690" s="253"/>
      <c r="Y690" s="253">
        <v>62.098484849999998</v>
      </c>
      <c r="Z690" s="253">
        <v>56.000000000000007</v>
      </c>
      <c r="AA690" s="253"/>
      <c r="AB690" s="253"/>
      <c r="AC690" s="253"/>
      <c r="AD690" s="253"/>
      <c r="AE690" s="253"/>
    </row>
    <row r="691" spans="1:31">
      <c r="A691" s="33">
        <v>690</v>
      </c>
      <c r="B691" s="69" t="s">
        <v>2072</v>
      </c>
      <c r="C691" s="69" t="s">
        <v>1232</v>
      </c>
      <c r="D691" s="56">
        <v>42215</v>
      </c>
      <c r="F691" s="56"/>
      <c r="G691" s="69" t="str">
        <f t="shared" si="10"/>
        <v>User Registration</v>
      </c>
      <c r="H691" s="83" t="s">
        <v>1191</v>
      </c>
      <c r="I691" s="83"/>
      <c r="J691" s="69" t="s">
        <v>2072</v>
      </c>
      <c r="K691" s="69" t="s">
        <v>2085</v>
      </c>
      <c r="L691" s="253">
        <v>50.016931216000003</v>
      </c>
      <c r="M691" s="253">
        <v>42.041475964500002</v>
      </c>
      <c r="N691" s="253">
        <v>37.556560981379313</v>
      </c>
      <c r="O691" s="253">
        <v>54.298688967368413</v>
      </c>
      <c r="P691" s="253">
        <v>49.021164020000001</v>
      </c>
      <c r="Q691" s="253">
        <v>41</v>
      </c>
      <c r="R691" s="253">
        <v>44.356711410000003</v>
      </c>
      <c r="S691" s="253">
        <v>42.057057059999998</v>
      </c>
      <c r="T691" s="253">
        <v>35.588235294117645</v>
      </c>
      <c r="U691" s="253">
        <v>35.7635468</v>
      </c>
      <c r="V691" s="253"/>
      <c r="W691" s="253">
        <v>35</v>
      </c>
      <c r="X691" s="253"/>
      <c r="Y691" s="253">
        <v>58.99046105</v>
      </c>
      <c r="Z691" s="253">
        <v>54</v>
      </c>
      <c r="AA691" s="253"/>
      <c r="AB691" s="253"/>
      <c r="AC691" s="253"/>
      <c r="AD691" s="253"/>
      <c r="AE691" s="253"/>
    </row>
    <row r="692" spans="1:31">
      <c r="A692" s="33">
        <v>691</v>
      </c>
      <c r="B692" s="69" t="s">
        <v>2066</v>
      </c>
      <c r="C692" s="69" t="s">
        <v>1232</v>
      </c>
      <c r="D692" s="56">
        <v>42219</v>
      </c>
      <c r="G692" s="69" t="str">
        <f t="shared" si="10"/>
        <v>User Registration</v>
      </c>
      <c r="H692" s="69" t="s">
        <v>922</v>
      </c>
      <c r="J692" s="69" t="s">
        <v>2066</v>
      </c>
      <c r="K692" s="69" t="s">
        <v>391</v>
      </c>
      <c r="L692" s="253">
        <v>67.778499278161604</v>
      </c>
      <c r="M692" s="253">
        <v>66.341575349500005</v>
      </c>
      <c r="N692" s="253">
        <v>64.763800170940769</v>
      </c>
      <c r="O692" s="253">
        <v>69.414195746842111</v>
      </c>
      <c r="P692" s="253">
        <v>67.895202020202007</v>
      </c>
      <c r="Q692" s="253">
        <v>67.783749999999998</v>
      </c>
      <c r="R692" s="253">
        <v>69.167920930000008</v>
      </c>
      <c r="S692" s="253">
        <v>69.97708068</v>
      </c>
      <c r="T692" s="253">
        <v>66.000000000000014</v>
      </c>
      <c r="U692" s="253">
        <v>59.065040600000003</v>
      </c>
      <c r="V692" s="253"/>
      <c r="W692" s="253">
        <v>68.151422999999994</v>
      </c>
      <c r="X692" s="253">
        <v>56.160714285714285</v>
      </c>
      <c r="Y692" s="253">
        <v>70.621460510000006</v>
      </c>
      <c r="Z692" s="253">
        <v>67.311688309999994</v>
      </c>
      <c r="AA692" s="253"/>
      <c r="AB692" s="253"/>
      <c r="AC692" s="253"/>
      <c r="AD692" s="253"/>
      <c r="AE692" s="253"/>
    </row>
    <row r="693" spans="1:31">
      <c r="A693" s="33">
        <v>692</v>
      </c>
      <c r="B693" s="69" t="s">
        <v>2066</v>
      </c>
      <c r="C693" s="69" t="s">
        <v>1232</v>
      </c>
      <c r="D693" s="56">
        <v>42219</v>
      </c>
      <c r="G693" s="69" t="str">
        <f t="shared" si="10"/>
        <v>User Registration</v>
      </c>
      <c r="H693" s="69" t="s">
        <v>922</v>
      </c>
      <c r="J693" s="69" t="s">
        <v>2066</v>
      </c>
      <c r="K693" s="69" t="s">
        <v>1765</v>
      </c>
      <c r="L693" s="253">
        <v>60.396763144000012</v>
      </c>
      <c r="M693" s="253">
        <v>59.597638705499996</v>
      </c>
      <c r="N693" s="253">
        <v>52.003899607038328</v>
      </c>
      <c r="O693" s="253">
        <v>60.853824450526318</v>
      </c>
      <c r="P693" s="253">
        <v>60.559235280000003</v>
      </c>
      <c r="Q693" s="253">
        <v>62.794999999999987</v>
      </c>
      <c r="R693" s="253">
        <v>56.64267761</v>
      </c>
      <c r="S693" s="253">
        <v>61.877520340000004</v>
      </c>
      <c r="T693" s="253">
        <v>63.000000000000007</v>
      </c>
      <c r="U693" s="253">
        <v>58.111111100000002</v>
      </c>
      <c r="V693" s="253"/>
      <c r="W693" s="253">
        <v>43.124512339999995</v>
      </c>
      <c r="X693" s="253">
        <v>61.785714285714285</v>
      </c>
      <c r="Y693" s="253">
        <v>61.953041599999999</v>
      </c>
      <c r="Z693" s="253">
        <v>59.746874599999998</v>
      </c>
      <c r="AA693" s="253"/>
      <c r="AB693" s="253"/>
      <c r="AC693" s="253"/>
      <c r="AD693" s="253"/>
      <c r="AE693" s="253"/>
    </row>
    <row r="694" spans="1:31">
      <c r="A694" s="33">
        <v>693</v>
      </c>
      <c r="B694" s="267" t="s">
        <v>2067</v>
      </c>
      <c r="C694" s="69" t="s">
        <v>740</v>
      </c>
      <c r="D694" s="56">
        <v>42219</v>
      </c>
      <c r="F694" s="56"/>
      <c r="G694" s="69" t="str">
        <f t="shared" si="10"/>
        <v>E-Commerce</v>
      </c>
      <c r="H694" s="83" t="s">
        <v>1976</v>
      </c>
      <c r="I694" s="83"/>
      <c r="J694" s="267" t="s">
        <v>2067</v>
      </c>
      <c r="K694" s="267" t="s">
        <v>2067</v>
      </c>
      <c r="L694" s="253">
        <v>46.725465120000003</v>
      </c>
      <c r="M694" s="253">
        <v>51.623303798285711</v>
      </c>
      <c r="N694" s="253">
        <v>43.126815289161712</v>
      </c>
      <c r="O694" s="253">
        <v>52.117790318421051</v>
      </c>
      <c r="P694" s="253">
        <v>47.656831400000002</v>
      </c>
      <c r="Q694" s="253">
        <v>54</v>
      </c>
      <c r="R694" s="253">
        <v>48.807360690000003</v>
      </c>
      <c r="S694" s="253">
        <v>62.21704467</v>
      </c>
      <c r="T694" s="253">
        <v>43.500000000000007</v>
      </c>
      <c r="U694" s="253">
        <v>47.865800870000001</v>
      </c>
      <c r="V694" s="253">
        <v>51.269721695428572</v>
      </c>
      <c r="W694" s="253"/>
      <c r="X694" s="253"/>
      <c r="Y694" s="253">
        <v>56.140625</v>
      </c>
      <c r="Z694" s="253">
        <v>43</v>
      </c>
      <c r="AA694" s="253"/>
      <c r="AB694" s="253"/>
      <c r="AC694" s="253"/>
      <c r="AD694" s="253"/>
      <c r="AE694" s="253"/>
    </row>
    <row r="695" spans="1:31">
      <c r="A695" s="33">
        <v>694</v>
      </c>
      <c r="B695" s="267" t="s">
        <v>2067</v>
      </c>
      <c r="C695" s="69" t="s">
        <v>740</v>
      </c>
      <c r="D695" s="56">
        <v>42219</v>
      </c>
      <c r="F695" s="56"/>
      <c r="G695" s="69" t="str">
        <f t="shared" si="10"/>
        <v>E-Commerce</v>
      </c>
      <c r="H695" s="83" t="s">
        <v>1976</v>
      </c>
      <c r="I695" s="83"/>
      <c r="J695" s="267" t="s">
        <v>2067</v>
      </c>
      <c r="K695" s="267" t="s">
        <v>2068</v>
      </c>
      <c r="L695" s="253">
        <v>60.629001528000003</v>
      </c>
      <c r="M695" s="253">
        <v>64.67846672308572</v>
      </c>
      <c r="N695" s="253">
        <v>68.661689528991957</v>
      </c>
      <c r="O695" s="253">
        <v>67.210790042631572</v>
      </c>
      <c r="P695" s="253">
        <v>62.286251909999997</v>
      </c>
      <c r="Q695" s="253">
        <v>63</v>
      </c>
      <c r="R695" s="253">
        <v>60.64031877</v>
      </c>
      <c r="S695" s="253">
        <v>65.811930869999998</v>
      </c>
      <c r="T695" s="253">
        <v>69.75</v>
      </c>
      <c r="U695" s="253">
        <v>67.398268400000006</v>
      </c>
      <c r="V695" s="253">
        <v>70.704201749428591</v>
      </c>
      <c r="W695" s="253"/>
      <c r="X695" s="253"/>
      <c r="Y695" s="253">
        <v>75.691244240000003</v>
      </c>
      <c r="Z695" s="253">
        <v>54</v>
      </c>
      <c r="AA695" s="253"/>
      <c r="AB695" s="253"/>
      <c r="AC695" s="253"/>
      <c r="AD695" s="253"/>
      <c r="AE695" s="253"/>
    </row>
    <row r="696" spans="1:31">
      <c r="A696" s="33">
        <v>695</v>
      </c>
      <c r="B696" s="267" t="s">
        <v>2067</v>
      </c>
      <c r="C696" s="69" t="s">
        <v>740</v>
      </c>
      <c r="D696" s="56">
        <v>42219</v>
      </c>
      <c r="F696" s="56"/>
      <c r="G696" s="69" t="str">
        <f t="shared" si="10"/>
        <v>E-Commerce</v>
      </c>
      <c r="H696" s="83" t="s">
        <v>1976</v>
      </c>
      <c r="I696" s="83"/>
      <c r="J696" s="267" t="s">
        <v>2067</v>
      </c>
      <c r="K696" s="267" t="s">
        <v>2069</v>
      </c>
      <c r="L696" s="253">
        <v>57.304677959000003</v>
      </c>
      <c r="M696" s="253">
        <v>54.128461233571436</v>
      </c>
      <c r="N696" s="253">
        <v>47.148712342317637</v>
      </c>
      <c r="O696" s="253">
        <v>57.582246245526314</v>
      </c>
      <c r="P696" s="253">
        <v>57.599809609999994</v>
      </c>
      <c r="Q696" s="253">
        <v>56.999999999999993</v>
      </c>
      <c r="R696" s="253">
        <v>46.956507670000001</v>
      </c>
      <c r="S696" s="253">
        <v>64.425458250000005</v>
      </c>
      <c r="T696" s="253">
        <v>45.5</v>
      </c>
      <c r="U696" s="253">
        <v>46.298701299999998</v>
      </c>
      <c r="V696" s="253">
        <v>57.797070055857148</v>
      </c>
      <c r="W696" s="253"/>
      <c r="X696" s="253"/>
      <c r="Y696" s="253">
        <v>59.810344829999991</v>
      </c>
      <c r="Z696" s="253">
        <v>56.124151354999995</v>
      </c>
      <c r="AA696" s="253"/>
      <c r="AB696" s="253"/>
      <c r="AC696" s="253"/>
      <c r="AD696" s="253"/>
      <c r="AE696" s="253"/>
    </row>
    <row r="697" spans="1:31">
      <c r="A697" s="33">
        <v>696</v>
      </c>
      <c r="B697" s="267" t="s">
        <v>2067</v>
      </c>
      <c r="C697" s="69" t="s">
        <v>740</v>
      </c>
      <c r="D697" s="56">
        <v>42219</v>
      </c>
      <c r="F697" s="56"/>
      <c r="G697" s="69" t="str">
        <f t="shared" si="10"/>
        <v>E-Commerce</v>
      </c>
      <c r="H697" s="83" t="s">
        <v>1976</v>
      </c>
      <c r="I697" s="83"/>
      <c r="J697" s="267" t="s">
        <v>2067</v>
      </c>
      <c r="K697" s="267" t="s">
        <v>2070</v>
      </c>
      <c r="L697" s="253">
        <v>47.051498511999995</v>
      </c>
      <c r="M697" s="253">
        <v>48.492556954571427</v>
      </c>
      <c r="N697" s="253">
        <v>53.016442558224583</v>
      </c>
      <c r="O697" s="253">
        <v>46.426033124210527</v>
      </c>
      <c r="P697" s="253">
        <v>49.814373140000001</v>
      </c>
      <c r="Q697" s="253">
        <v>52</v>
      </c>
      <c r="R697" s="253">
        <v>46.162427880000003</v>
      </c>
      <c r="S697" s="253">
        <v>56.373612999999999</v>
      </c>
      <c r="T697" s="253">
        <v>46.500000000000007</v>
      </c>
      <c r="U697" s="253">
        <v>46.737777780000002</v>
      </c>
      <c r="V697" s="253">
        <v>48.463688712857142</v>
      </c>
      <c r="W697" s="253"/>
      <c r="X697" s="253"/>
      <c r="Y697" s="253">
        <v>50.139616060000002</v>
      </c>
      <c r="Z697" s="253">
        <v>36</v>
      </c>
      <c r="AA697" s="253"/>
      <c r="AB697" s="253"/>
      <c r="AC697" s="253"/>
      <c r="AD697" s="253"/>
      <c r="AE697" s="253"/>
    </row>
    <row r="698" spans="1:31">
      <c r="A698" s="33">
        <v>697</v>
      </c>
      <c r="B698" s="69" t="s">
        <v>2066</v>
      </c>
      <c r="C698" s="69" t="s">
        <v>1232</v>
      </c>
      <c r="D698" s="56">
        <v>42219</v>
      </c>
      <c r="F698" s="56"/>
      <c r="G698" s="69" t="str">
        <f t="shared" si="10"/>
        <v>User Registration</v>
      </c>
      <c r="H698" s="83" t="s">
        <v>922</v>
      </c>
      <c r="I698" s="83"/>
      <c r="J698" s="69" t="s">
        <v>2066</v>
      </c>
      <c r="K698" s="69" t="s">
        <v>1447</v>
      </c>
      <c r="L698" s="253">
        <v>63.96573718497028</v>
      </c>
      <c r="M698" s="253">
        <v>57.911653840999996</v>
      </c>
      <c r="N698" s="253">
        <v>65.360164870452962</v>
      </c>
      <c r="O698" s="253">
        <v>57.919315528947365</v>
      </c>
      <c r="P698" s="253">
        <v>65.496287128712865</v>
      </c>
      <c r="Q698" s="253">
        <v>54</v>
      </c>
      <c r="R698" s="253">
        <v>55.124653999999992</v>
      </c>
      <c r="S698" s="253">
        <v>56.999999999999993</v>
      </c>
      <c r="T698" s="253">
        <v>55</v>
      </c>
      <c r="U698" s="253">
        <v>64.584546399999994</v>
      </c>
      <c r="V698" s="253"/>
      <c r="W698" s="253">
        <v>74.154513212999987</v>
      </c>
      <c r="X698" s="253">
        <v>58.660714285714285</v>
      </c>
      <c r="Y698" s="253">
        <v>58.999999999999993</v>
      </c>
      <c r="Z698" s="253">
        <v>57.843537410000003</v>
      </c>
      <c r="AA698" s="253"/>
      <c r="AB698" s="253"/>
      <c r="AC698" s="253"/>
      <c r="AD698" s="253"/>
      <c r="AE698" s="253"/>
    </row>
    <row r="699" spans="1:31">
      <c r="A699" s="33">
        <v>698</v>
      </c>
      <c r="B699" s="69" t="s">
        <v>2066</v>
      </c>
      <c r="C699" s="69" t="s">
        <v>1232</v>
      </c>
      <c r="D699" s="56">
        <v>42219</v>
      </c>
      <c r="F699" s="56"/>
      <c r="G699" s="69" t="str">
        <f t="shared" si="10"/>
        <v>User Registration</v>
      </c>
      <c r="H699" s="83" t="s">
        <v>922</v>
      </c>
      <c r="I699" s="83"/>
      <c r="J699" s="69" t="s">
        <v>2066</v>
      </c>
      <c r="K699" s="69" t="s">
        <v>2071</v>
      </c>
      <c r="L699" s="253">
        <v>57.419339927999999</v>
      </c>
      <c r="M699" s="253">
        <v>54.926917015999997</v>
      </c>
      <c r="N699" s="253">
        <v>46.141582822857139</v>
      </c>
      <c r="O699" s="253">
        <v>55.968705976842116</v>
      </c>
      <c r="P699" s="253">
        <v>55.563548819999994</v>
      </c>
      <c r="Q699" s="253">
        <v>51.449999999999996</v>
      </c>
      <c r="R699" s="253">
        <v>49.517825479999999</v>
      </c>
      <c r="S699" s="253">
        <v>61.109201800000001</v>
      </c>
      <c r="T699" s="253">
        <v>56.500000000000007</v>
      </c>
      <c r="U699" s="253">
        <v>54.205479400000002</v>
      </c>
      <c r="V699" s="253"/>
      <c r="W699" s="253">
        <v>45.124540000000003</v>
      </c>
      <c r="X699" s="253">
        <v>44.821428571428569</v>
      </c>
      <c r="Y699" s="253">
        <v>52.759803900000001</v>
      </c>
      <c r="Z699" s="253">
        <v>64.842504360000007</v>
      </c>
      <c r="AA699" s="253"/>
      <c r="AB699" s="253"/>
      <c r="AC699" s="253"/>
      <c r="AD699" s="253"/>
      <c r="AE699" s="253"/>
    </row>
    <row r="700" spans="1:31">
      <c r="A700" s="33">
        <v>699</v>
      </c>
      <c r="B700" s="69" t="s">
        <v>2066</v>
      </c>
      <c r="C700" s="69" t="s">
        <v>1232</v>
      </c>
      <c r="D700" s="56">
        <v>42219</v>
      </c>
      <c r="F700" s="56"/>
      <c r="G700" s="69" t="str">
        <f t="shared" si="10"/>
        <v>User Registration</v>
      </c>
      <c r="H700" s="83" t="s">
        <v>922</v>
      </c>
      <c r="I700" s="83"/>
      <c r="J700" s="69" t="s">
        <v>2066</v>
      </c>
      <c r="K700" s="69" t="s">
        <v>2066</v>
      </c>
      <c r="L700" s="253">
        <v>52.705941769600003</v>
      </c>
      <c r="M700" s="253">
        <v>51.329209067000001</v>
      </c>
      <c r="N700" s="253">
        <v>49.668089961881535</v>
      </c>
      <c r="O700" s="253">
        <v>49.094302588421051</v>
      </c>
      <c r="P700" s="253">
        <v>52.123145641999997</v>
      </c>
      <c r="Q700" s="253">
        <v>45.16</v>
      </c>
      <c r="R700" s="253">
        <v>51.275019779999994</v>
      </c>
      <c r="S700" s="253">
        <v>59.616858219999997</v>
      </c>
      <c r="T700" s="253">
        <v>59.249999999999993</v>
      </c>
      <c r="U700" s="253">
        <v>48.205479400000002</v>
      </c>
      <c r="V700" s="253"/>
      <c r="W700" s="253">
        <v>50.145221345000003</v>
      </c>
      <c r="X700" s="253">
        <v>49.196428571428569</v>
      </c>
      <c r="Y700" s="253">
        <v>45.027921999999997</v>
      </c>
      <c r="Z700" s="253">
        <v>55.037126280000003</v>
      </c>
      <c r="AA700" s="253"/>
      <c r="AB700" s="253"/>
      <c r="AC700" s="253"/>
      <c r="AD700" s="253"/>
      <c r="AE700" s="253"/>
    </row>
    <row r="701" spans="1:31">
      <c r="A701" s="33">
        <v>700</v>
      </c>
      <c r="B701" s="69" t="s">
        <v>810</v>
      </c>
      <c r="C701" s="69" t="s">
        <v>740</v>
      </c>
      <c r="D701" s="56">
        <v>42223</v>
      </c>
      <c r="E701" s="266"/>
      <c r="F701" s="56"/>
      <c r="G701" s="69" t="str">
        <f t="shared" si="10"/>
        <v>User Registration</v>
      </c>
      <c r="H701" s="83" t="s">
        <v>2060</v>
      </c>
      <c r="I701" s="83"/>
      <c r="J701" s="69" t="s">
        <v>810</v>
      </c>
      <c r="K701" s="69" t="s">
        <v>374</v>
      </c>
      <c r="L701" s="253">
        <v>67.262318840000006</v>
      </c>
      <c r="M701" s="253">
        <v>72.372775982999997</v>
      </c>
      <c r="N701" s="253">
        <v>67.567674843448273</v>
      </c>
      <c r="O701" s="253">
        <v>69.507155847894737</v>
      </c>
      <c r="P701" s="253">
        <v>67.32789855</v>
      </c>
      <c r="Q701" s="253">
        <v>73.980599999999981</v>
      </c>
      <c r="R701" s="253">
        <v>67.702737110000001</v>
      </c>
      <c r="S701" s="253">
        <v>72.007462689999997</v>
      </c>
      <c r="T701" s="253">
        <v>64</v>
      </c>
      <c r="U701" s="253">
        <v>78.197916669999998</v>
      </c>
      <c r="V701" s="253"/>
      <c r="W701" s="253">
        <v>66.565217390000001</v>
      </c>
      <c r="X701" s="253"/>
      <c r="Y701" s="253">
        <v>70.424242419999999</v>
      </c>
      <c r="Z701" s="253">
        <v>67</v>
      </c>
      <c r="AA701" s="253"/>
      <c r="AB701" s="253"/>
      <c r="AC701" s="253"/>
      <c r="AD701" s="253"/>
      <c r="AE701" s="253"/>
    </row>
    <row r="702" spans="1:31">
      <c r="A702" s="33">
        <v>701</v>
      </c>
      <c r="B702" s="69" t="s">
        <v>810</v>
      </c>
      <c r="C702" s="69" t="s">
        <v>740</v>
      </c>
      <c r="D702" s="56">
        <v>42223</v>
      </c>
      <c r="F702" s="56"/>
      <c r="G702" s="69" t="str">
        <f t="shared" si="10"/>
        <v>User Registration</v>
      </c>
      <c r="H702" s="83" t="s">
        <v>2060</v>
      </c>
      <c r="I702" s="83"/>
      <c r="J702" s="69" t="s">
        <v>810</v>
      </c>
      <c r="K702" s="69" t="s">
        <v>2061</v>
      </c>
      <c r="L702" s="253">
        <v>56.062311559999998</v>
      </c>
      <c r="M702" s="253">
        <v>58.402408478999988</v>
      </c>
      <c r="N702" s="253">
        <v>51.734954261751732</v>
      </c>
      <c r="O702" s="253">
        <v>65.053101938947364</v>
      </c>
      <c r="P702" s="253">
        <v>54.577889450000008</v>
      </c>
      <c r="Q702" s="253">
        <v>58.038999999999994</v>
      </c>
      <c r="R702" s="253">
        <v>59.392361110000003</v>
      </c>
      <c r="S702" s="253">
        <v>59.121621619999999</v>
      </c>
      <c r="T702" s="253">
        <v>50</v>
      </c>
      <c r="U702" s="253">
        <v>55.688775509999999</v>
      </c>
      <c r="V702" s="253"/>
      <c r="W702" s="253">
        <v>48.49212534654</v>
      </c>
      <c r="X702" s="253"/>
      <c r="Y702" s="253">
        <v>69.0063593</v>
      </c>
      <c r="Z702" s="253">
        <v>62</v>
      </c>
      <c r="AA702" s="253"/>
      <c r="AB702" s="253"/>
      <c r="AC702" s="253"/>
      <c r="AD702" s="253"/>
      <c r="AE702" s="253"/>
    </row>
    <row r="703" spans="1:31">
      <c r="A703" s="33">
        <v>702</v>
      </c>
      <c r="B703" s="69" t="s">
        <v>810</v>
      </c>
      <c r="C703" s="69" t="s">
        <v>740</v>
      </c>
      <c r="D703" s="56">
        <v>42223</v>
      </c>
      <c r="F703" s="56"/>
      <c r="G703" s="69" t="str">
        <f t="shared" si="10"/>
        <v>User Registration</v>
      </c>
      <c r="H703" s="83" t="s">
        <v>2060</v>
      </c>
      <c r="I703" s="83"/>
      <c r="J703" s="69" t="s">
        <v>810</v>
      </c>
      <c r="K703" s="69" t="s">
        <v>725</v>
      </c>
      <c r="L703" s="253">
        <v>62.976921225080005</v>
      </c>
      <c r="M703" s="253">
        <v>60.979967361540012</v>
      </c>
      <c r="N703" s="253">
        <v>50.470009798620694</v>
      </c>
      <c r="O703" s="253">
        <v>61.211220032473676</v>
      </c>
      <c r="P703" s="253">
        <v>63.190045250000004</v>
      </c>
      <c r="Q703" s="253">
        <v>57.859200000000001</v>
      </c>
      <c r="R703" s="253">
        <v>62.83486766</v>
      </c>
      <c r="S703" s="253">
        <v>61.510094770000002</v>
      </c>
      <c r="T703" s="253">
        <v>55</v>
      </c>
      <c r="U703" s="253">
        <v>60.739795919999992</v>
      </c>
      <c r="V703" s="253"/>
      <c r="W703" s="253">
        <v>45.652173909999995</v>
      </c>
      <c r="X703" s="253"/>
      <c r="Y703" s="253">
        <v>60.735202489999992</v>
      </c>
      <c r="Z703" s="253">
        <v>62.124425125399995</v>
      </c>
      <c r="AA703" s="253"/>
      <c r="AB703" s="253"/>
      <c r="AC703" s="253"/>
      <c r="AD703" s="253"/>
      <c r="AE703" s="253"/>
    </row>
    <row r="704" spans="1:31">
      <c r="A704" s="33">
        <v>703</v>
      </c>
      <c r="B704" s="69" t="s">
        <v>1944</v>
      </c>
      <c r="C704" s="69" t="s">
        <v>1232</v>
      </c>
      <c r="D704" s="56">
        <v>42223</v>
      </c>
      <c r="F704" s="56"/>
      <c r="G704" s="69" t="str">
        <f t="shared" si="10"/>
        <v>ERROR</v>
      </c>
      <c r="H704" s="83" t="s">
        <v>1943</v>
      </c>
      <c r="I704" s="83"/>
      <c r="J704" s="69" t="s">
        <v>1944</v>
      </c>
      <c r="K704" s="69" t="s">
        <v>1944</v>
      </c>
      <c r="L704" s="253">
        <v>46.147377775999999</v>
      </c>
      <c r="M704" s="253">
        <v>46.639195129499996</v>
      </c>
      <c r="N704" s="253">
        <v>52.033252577142861</v>
      </c>
      <c r="O704" s="253">
        <v>50.955945813157896</v>
      </c>
      <c r="P704" s="253">
        <v>44.934222220000002</v>
      </c>
      <c r="Q704" s="253">
        <v>57.265000000000001</v>
      </c>
      <c r="R704" s="253">
        <v>51.483884019999991</v>
      </c>
      <c r="S704" s="253">
        <v>39.612445409999999</v>
      </c>
      <c r="T704" s="253">
        <v>42.5</v>
      </c>
      <c r="U704" s="253">
        <v>37.170940170000002</v>
      </c>
      <c r="V704" s="253"/>
      <c r="W704" s="253"/>
      <c r="X704" s="253">
        <v>51</v>
      </c>
      <c r="Y704" s="253">
        <v>51.331775700000001</v>
      </c>
      <c r="Z704" s="253">
        <v>51</v>
      </c>
      <c r="AA704" s="253"/>
      <c r="AB704" s="253"/>
      <c r="AC704" s="253"/>
      <c r="AD704" s="253"/>
      <c r="AE704" s="253"/>
    </row>
    <row r="705" spans="1:31">
      <c r="A705" s="33">
        <v>704</v>
      </c>
      <c r="B705" s="69" t="s">
        <v>1944</v>
      </c>
      <c r="C705" s="69" t="s">
        <v>1232</v>
      </c>
      <c r="D705" s="56">
        <v>42223</v>
      </c>
      <c r="F705" s="56"/>
      <c r="G705" s="69" t="str">
        <f t="shared" si="10"/>
        <v>ERROR</v>
      </c>
      <c r="H705" s="83" t="s">
        <v>1943</v>
      </c>
      <c r="I705" s="83"/>
      <c r="J705" s="69" t="s">
        <v>1944</v>
      </c>
      <c r="K705" s="69" t="s">
        <v>697</v>
      </c>
      <c r="L705" s="253">
        <v>36.358260872000002</v>
      </c>
      <c r="M705" s="253">
        <v>43.566175592500002</v>
      </c>
      <c r="N705" s="253">
        <v>44.883088562857139</v>
      </c>
      <c r="O705" s="253">
        <v>43.270921696842102</v>
      </c>
      <c r="P705" s="253">
        <v>36.94782609</v>
      </c>
      <c r="Q705" s="253">
        <v>52.4</v>
      </c>
      <c r="R705" s="253">
        <v>46.890809969999999</v>
      </c>
      <c r="S705" s="253">
        <v>37.217650399999997</v>
      </c>
      <c r="T705" s="253">
        <v>53.250000000000007</v>
      </c>
      <c r="U705" s="253">
        <v>42.079772079999998</v>
      </c>
      <c r="V705" s="253"/>
      <c r="W705" s="253"/>
      <c r="X705" s="253">
        <v>42</v>
      </c>
      <c r="Y705" s="253">
        <v>46.874824189999998</v>
      </c>
      <c r="Z705" s="253">
        <v>34</v>
      </c>
      <c r="AA705" s="253"/>
      <c r="AB705" s="253"/>
      <c r="AC705" s="253"/>
      <c r="AD705" s="253"/>
      <c r="AE705" s="253"/>
    </row>
    <row r="706" spans="1:31">
      <c r="A706" s="33">
        <v>705</v>
      </c>
      <c r="B706" s="69" t="s">
        <v>1944</v>
      </c>
      <c r="C706" s="69" t="s">
        <v>1232</v>
      </c>
      <c r="D706" s="56">
        <v>42223</v>
      </c>
      <c r="F706" s="56"/>
      <c r="G706" s="69" t="str">
        <f t="shared" ref="G706:G769" si="11">IF(V706&gt;0,IF(W706&gt;0,"Both","E-Commerce"),IF(W706=0, "ERROR","User Registration"))</f>
        <v>ERROR</v>
      </c>
      <c r="H706" s="83" t="s">
        <v>1943</v>
      </c>
      <c r="I706" s="83"/>
      <c r="J706" s="69" t="s">
        <v>1944</v>
      </c>
      <c r="K706" s="69" t="s">
        <v>1948</v>
      </c>
      <c r="L706" s="253">
        <v>46.991304344000007</v>
      </c>
      <c r="M706" s="253">
        <v>50.045503302500002</v>
      </c>
      <c r="N706" s="253">
        <v>45.982614979999994</v>
      </c>
      <c r="O706" s="253">
        <v>47.218691411052632</v>
      </c>
      <c r="P706" s="253">
        <v>44.739130430000003</v>
      </c>
      <c r="Q706" s="253">
        <v>57.919999999999995</v>
      </c>
      <c r="R706" s="253">
        <v>47.979152429999999</v>
      </c>
      <c r="S706" s="253">
        <v>45.529228150000002</v>
      </c>
      <c r="T706" s="253">
        <v>42.75</v>
      </c>
      <c r="U706" s="253">
        <v>47.043478260000001</v>
      </c>
      <c r="V706" s="253"/>
      <c r="W706" s="253"/>
      <c r="X706" s="253">
        <v>42</v>
      </c>
      <c r="Y706" s="253">
        <v>41.774760379999996</v>
      </c>
      <c r="Z706" s="253">
        <v>56.000000000000007</v>
      </c>
      <c r="AA706" s="253"/>
      <c r="AB706" s="253"/>
      <c r="AC706" s="253"/>
      <c r="AD706" s="253"/>
      <c r="AE706" s="253"/>
    </row>
    <row r="707" spans="1:31" s="260" customFormat="1">
      <c r="A707" s="33">
        <v>706</v>
      </c>
      <c r="B707" s="69" t="s">
        <v>1944</v>
      </c>
      <c r="C707" s="69" t="s">
        <v>1232</v>
      </c>
      <c r="D707" s="56">
        <v>42223</v>
      </c>
      <c r="E707" s="33"/>
      <c r="F707" s="56"/>
      <c r="G707" s="69" t="str">
        <f t="shared" si="11"/>
        <v>ERROR</v>
      </c>
      <c r="H707" s="83" t="s">
        <v>1943</v>
      </c>
      <c r="I707" s="83"/>
      <c r="J707" s="69" t="s">
        <v>1944</v>
      </c>
      <c r="K707" s="69" t="s">
        <v>2062</v>
      </c>
      <c r="L707" s="253">
        <v>56.107522935999995</v>
      </c>
      <c r="M707" s="253">
        <v>55.941226912000005</v>
      </c>
      <c r="N707" s="253">
        <v>57.749254499999999</v>
      </c>
      <c r="O707" s="253">
        <v>57.887911947894743</v>
      </c>
      <c r="P707" s="253">
        <v>55.384403670000005</v>
      </c>
      <c r="Q707" s="253">
        <v>44.48</v>
      </c>
      <c r="R707" s="253">
        <v>59.882390749999999</v>
      </c>
      <c r="S707" s="253">
        <v>56.358683310000004</v>
      </c>
      <c r="T707" s="253">
        <v>46.75</v>
      </c>
      <c r="U707" s="253">
        <v>59.61157025</v>
      </c>
      <c r="V707" s="253"/>
      <c r="W707" s="253"/>
      <c r="X707" s="253">
        <v>60</v>
      </c>
      <c r="Y707" s="253">
        <v>58.426686220000001</v>
      </c>
      <c r="Z707" s="253">
        <v>58.999999999999993</v>
      </c>
      <c r="AA707" s="256"/>
      <c r="AB707" s="256"/>
      <c r="AC707" s="256"/>
      <c r="AD707" s="256"/>
      <c r="AE707" s="256"/>
    </row>
    <row r="708" spans="1:31">
      <c r="A708" s="33">
        <v>707</v>
      </c>
      <c r="B708" s="69" t="s">
        <v>1944</v>
      </c>
      <c r="C708" s="69" t="s">
        <v>1232</v>
      </c>
      <c r="D708" s="56">
        <v>42223</v>
      </c>
      <c r="F708" s="56"/>
      <c r="G708" s="69" t="str">
        <f t="shared" si="11"/>
        <v>ERROR</v>
      </c>
      <c r="H708" s="83" t="s">
        <v>1943</v>
      </c>
      <c r="I708" s="83"/>
      <c r="J708" s="69" t="s">
        <v>1944</v>
      </c>
      <c r="K708" s="69" t="s">
        <v>2063</v>
      </c>
      <c r="L708" s="253">
        <v>60.263486240000006</v>
      </c>
      <c r="M708" s="253">
        <v>61.317683917500005</v>
      </c>
      <c r="N708" s="253">
        <v>57.849817551428572</v>
      </c>
      <c r="O708" s="253">
        <v>59.047687911052634</v>
      </c>
      <c r="P708" s="253">
        <v>59.329357800000004</v>
      </c>
      <c r="Q708" s="253">
        <v>62.250000000000007</v>
      </c>
      <c r="R708" s="253">
        <v>57.349361430000002</v>
      </c>
      <c r="S708" s="253">
        <v>62.039458849999995</v>
      </c>
      <c r="T708" s="253">
        <v>58.999999999999993</v>
      </c>
      <c r="U708" s="253">
        <v>62.889807159999997</v>
      </c>
      <c r="V708" s="253"/>
      <c r="W708" s="253"/>
      <c r="X708" s="253">
        <v>56.999999999999993</v>
      </c>
      <c r="Y708" s="253">
        <v>56.291788860000004</v>
      </c>
      <c r="Z708" s="253">
        <v>64</v>
      </c>
      <c r="AA708" s="253"/>
      <c r="AB708" s="253"/>
      <c r="AC708" s="253"/>
      <c r="AD708" s="253"/>
      <c r="AE708" s="253"/>
    </row>
    <row r="709" spans="1:31">
      <c r="A709" s="33">
        <v>708</v>
      </c>
      <c r="B709" s="69" t="s">
        <v>810</v>
      </c>
      <c r="C709" s="69" t="s">
        <v>740</v>
      </c>
      <c r="D709" s="56">
        <v>42223</v>
      </c>
      <c r="F709" s="56"/>
      <c r="G709" s="69" t="str">
        <f t="shared" si="11"/>
        <v>User Registration</v>
      </c>
      <c r="H709" s="83" t="s">
        <v>2060</v>
      </c>
      <c r="I709" s="83"/>
      <c r="J709" s="69" t="s">
        <v>810</v>
      </c>
      <c r="K709" s="69" t="s">
        <v>810</v>
      </c>
      <c r="L709" s="253">
        <v>58.862311560000002</v>
      </c>
      <c r="M709" s="253">
        <v>55.629114314500008</v>
      </c>
      <c r="N709" s="253">
        <v>54.536857533103444</v>
      </c>
      <c r="O709" s="253">
        <v>61.706748991052628</v>
      </c>
      <c r="P709" s="253">
        <v>58.827889450000001</v>
      </c>
      <c r="Q709" s="253">
        <v>53.320599999999992</v>
      </c>
      <c r="R709" s="253">
        <v>55.420703609999997</v>
      </c>
      <c r="S709" s="253">
        <v>58.99831081</v>
      </c>
      <c r="T709" s="253">
        <v>60</v>
      </c>
      <c r="U709" s="253">
        <v>53.640624999999993</v>
      </c>
      <c r="V709" s="253"/>
      <c r="W709" s="253">
        <v>54.454142339999997</v>
      </c>
      <c r="X709" s="253"/>
      <c r="Y709" s="253">
        <v>65.426791279999989</v>
      </c>
      <c r="Z709" s="253">
        <v>58.999999999999993</v>
      </c>
      <c r="AA709" s="253"/>
      <c r="AB709" s="253"/>
      <c r="AC709" s="253"/>
      <c r="AD709" s="253"/>
      <c r="AE709" s="253"/>
    </row>
    <row r="710" spans="1:31">
      <c r="A710" s="33">
        <v>709</v>
      </c>
      <c r="B710" s="69" t="s">
        <v>810</v>
      </c>
      <c r="C710" s="69" t="s">
        <v>740</v>
      </c>
      <c r="D710" s="56">
        <v>42223</v>
      </c>
      <c r="F710" s="56"/>
      <c r="G710" s="69" t="str">
        <f t="shared" si="11"/>
        <v>User Registration</v>
      </c>
      <c r="H710" s="83" t="s">
        <v>2060</v>
      </c>
      <c r="I710" s="83"/>
      <c r="J710" s="69" t="s">
        <v>810</v>
      </c>
      <c r="K710" s="69" t="s">
        <v>2064</v>
      </c>
      <c r="L710" s="253">
        <v>54.389583336000001</v>
      </c>
      <c r="M710" s="253">
        <v>56.11832703599999</v>
      </c>
      <c r="N710" s="253">
        <v>56.642098196551729</v>
      </c>
      <c r="O710" s="253">
        <v>57.711913920000001</v>
      </c>
      <c r="P710" s="253">
        <v>55.236979169999998</v>
      </c>
      <c r="Q710" s="253">
        <v>48.97</v>
      </c>
      <c r="R710" s="253">
        <v>57.98079345</v>
      </c>
      <c r="S710" s="253">
        <v>55.609929079999993</v>
      </c>
      <c r="T710" s="253">
        <v>56.999999999999993</v>
      </c>
      <c r="U710" s="253">
        <v>62.428571429999998</v>
      </c>
      <c r="V710" s="253"/>
      <c r="W710" s="253">
        <v>57.391304350000006</v>
      </c>
      <c r="X710" s="253"/>
      <c r="Y710" s="253">
        <v>62.098484849999998</v>
      </c>
      <c r="Z710" s="253">
        <v>51</v>
      </c>
      <c r="AA710" s="253"/>
      <c r="AB710" s="253"/>
      <c r="AC710" s="253"/>
      <c r="AD710" s="253"/>
      <c r="AE710" s="253"/>
    </row>
    <row r="711" spans="1:31">
      <c r="A711" s="33">
        <v>710</v>
      </c>
      <c r="B711" s="69" t="s">
        <v>810</v>
      </c>
      <c r="C711" s="69" t="s">
        <v>740</v>
      </c>
      <c r="D711" s="56">
        <v>42223</v>
      </c>
      <c r="F711" s="56"/>
      <c r="G711" s="69" t="str">
        <f t="shared" si="11"/>
        <v>User Registration</v>
      </c>
      <c r="H711" s="83" t="s">
        <v>2060</v>
      </c>
      <c r="I711" s="83"/>
      <c r="J711" s="69" t="s">
        <v>810</v>
      </c>
      <c r="K711" s="69" t="s">
        <v>2065</v>
      </c>
      <c r="L711" s="253">
        <v>55.60971524</v>
      </c>
      <c r="M711" s="253">
        <v>58.002783163000004</v>
      </c>
      <c r="N711" s="253">
        <v>61.999931338620684</v>
      </c>
      <c r="O711" s="253">
        <v>59.542122372631574</v>
      </c>
      <c r="P711" s="253">
        <v>57.762144050000011</v>
      </c>
      <c r="Q711" s="253">
        <v>41.500599999999999</v>
      </c>
      <c r="R711" s="253">
        <v>62.394295669999998</v>
      </c>
      <c r="S711" s="253">
        <v>63.394144139999995</v>
      </c>
      <c r="T711" s="253">
        <v>66</v>
      </c>
      <c r="U711" s="253">
        <v>66.901041669999998</v>
      </c>
      <c r="V711" s="253"/>
      <c r="W711" s="253">
        <v>64.956521739999999</v>
      </c>
      <c r="X711" s="253"/>
      <c r="Y711" s="253">
        <v>66.661698959999995</v>
      </c>
      <c r="Z711" s="253">
        <v>46.999999999999993</v>
      </c>
      <c r="AA711" s="253"/>
      <c r="AB711" s="253"/>
      <c r="AC711" s="253"/>
      <c r="AD711" s="253"/>
      <c r="AE711" s="253"/>
    </row>
    <row r="712" spans="1:31">
      <c r="A712" s="33">
        <v>711</v>
      </c>
      <c r="B712" s="31" t="s">
        <v>2055</v>
      </c>
      <c r="C712" s="69" t="s">
        <v>1330</v>
      </c>
      <c r="D712" s="56">
        <v>42226</v>
      </c>
      <c r="F712" s="56"/>
      <c r="G712" s="69" t="str">
        <f t="shared" si="11"/>
        <v>E-Commerce</v>
      </c>
      <c r="H712" s="83" t="s">
        <v>2056</v>
      </c>
      <c r="I712" s="83"/>
      <c r="J712" s="31" t="s">
        <v>2055</v>
      </c>
      <c r="K712" s="31" t="s">
        <v>2055</v>
      </c>
      <c r="L712" s="253">
        <v>60.449955929999994</v>
      </c>
      <c r="M712" s="253">
        <v>53.19691210163078</v>
      </c>
      <c r="N712" s="253">
        <v>45.666483327519622</v>
      </c>
      <c r="O712" s="253">
        <v>59.151248960526317</v>
      </c>
      <c r="P712" s="253">
        <v>60.904977379999998</v>
      </c>
      <c r="Q712" s="253">
        <v>62.392499999999991</v>
      </c>
      <c r="R712" s="253">
        <v>50.731453100000003</v>
      </c>
      <c r="S712" s="253">
        <v>51.687022900000002</v>
      </c>
      <c r="T712" s="253"/>
      <c r="U712" s="253">
        <v>52.542005420000002</v>
      </c>
      <c r="V712" s="253">
        <v>47.995535616153852</v>
      </c>
      <c r="W712" s="253"/>
      <c r="X712" s="253">
        <v>59.567307692307679</v>
      </c>
      <c r="Y712" s="253">
        <v>61.518195050000003</v>
      </c>
      <c r="Z712" s="253">
        <v>58.629870129999993</v>
      </c>
      <c r="AA712" s="253"/>
      <c r="AB712" s="253"/>
      <c r="AC712" s="253"/>
      <c r="AD712" s="253"/>
      <c r="AE712" s="253"/>
    </row>
    <row r="713" spans="1:31">
      <c r="A713" s="33">
        <v>712</v>
      </c>
      <c r="B713" s="31" t="s">
        <v>2055</v>
      </c>
      <c r="C713" s="69" t="s">
        <v>1330</v>
      </c>
      <c r="D713" s="56">
        <v>42226</v>
      </c>
      <c r="F713" s="56"/>
      <c r="G713" s="69" t="str">
        <f t="shared" si="11"/>
        <v>E-Commerce</v>
      </c>
      <c r="H713" s="83" t="s">
        <v>2056</v>
      </c>
      <c r="I713" s="83"/>
      <c r="J713" s="31" t="s">
        <v>2055</v>
      </c>
      <c r="K713" s="31" t="s">
        <v>2057</v>
      </c>
      <c r="L713" s="253">
        <v>51.031602876000001</v>
      </c>
      <c r="M713" s="253">
        <v>52.116089350015372</v>
      </c>
      <c r="N713" s="253">
        <v>44.903579332844842</v>
      </c>
      <c r="O713" s="253">
        <v>56.375021821578954</v>
      </c>
      <c r="P713" s="253">
        <v>50.443349749999996</v>
      </c>
      <c r="Q713" s="253">
        <v>58.824999999999996</v>
      </c>
      <c r="R713" s="253">
        <v>52.851232969999991</v>
      </c>
      <c r="S713" s="253">
        <v>49.315159569999999</v>
      </c>
      <c r="T713" s="253"/>
      <c r="U713" s="253">
        <v>54.195121950000001</v>
      </c>
      <c r="V713" s="253">
        <v>45.668118022076918</v>
      </c>
      <c r="W713" s="253"/>
      <c r="X713" s="253">
        <v>52.596153846153861</v>
      </c>
      <c r="Y713" s="253">
        <v>59.035971220000008</v>
      </c>
      <c r="Z713" s="253">
        <v>53.38461538</v>
      </c>
      <c r="AA713" s="253"/>
      <c r="AB713" s="253"/>
      <c r="AC713" s="253"/>
      <c r="AD713" s="253"/>
      <c r="AE713" s="253"/>
    </row>
    <row r="714" spans="1:31">
      <c r="A714" s="33">
        <v>713</v>
      </c>
      <c r="B714" s="31" t="s">
        <v>2055</v>
      </c>
      <c r="C714" s="69" t="s">
        <v>1330</v>
      </c>
      <c r="D714" s="56">
        <v>42226</v>
      </c>
      <c r="F714" s="56"/>
      <c r="G714" s="69" t="str">
        <f t="shared" si="11"/>
        <v>E-Commerce</v>
      </c>
      <c r="H714" s="83" t="s">
        <v>2056</v>
      </c>
      <c r="I714" s="83"/>
      <c r="J714" s="31" t="s">
        <v>2055</v>
      </c>
      <c r="K714" s="31" t="s">
        <v>1551</v>
      </c>
      <c r="L714" s="253">
        <v>61.490241533999999</v>
      </c>
      <c r="M714" s="253">
        <v>55.223977162430749</v>
      </c>
      <c r="N714" s="253">
        <v>46.669107294962366</v>
      </c>
      <c r="O714" s="253">
        <v>58.671113331052624</v>
      </c>
      <c r="P714" s="253">
        <v>61.481308410000004</v>
      </c>
      <c r="Q714" s="253">
        <v>62.392499999999991</v>
      </c>
      <c r="R714" s="253">
        <v>52.702535760000004</v>
      </c>
      <c r="S714" s="253">
        <v>52.133027519999999</v>
      </c>
      <c r="T714" s="253"/>
      <c r="U714" s="253">
        <v>55.102981029999995</v>
      </c>
      <c r="V714" s="253">
        <v>52.0835573941538</v>
      </c>
      <c r="W714" s="253"/>
      <c r="X714" s="253">
        <v>59.567307692307679</v>
      </c>
      <c r="Y714" s="253">
        <v>58.719068409999998</v>
      </c>
      <c r="Z714" s="253">
        <v>61.525974029999993</v>
      </c>
      <c r="AA714" s="253"/>
      <c r="AB714" s="253"/>
      <c r="AC714" s="253"/>
      <c r="AD714" s="253"/>
      <c r="AE714" s="253"/>
    </row>
    <row r="715" spans="1:31">
      <c r="A715" s="33">
        <v>714</v>
      </c>
      <c r="B715" s="31" t="s">
        <v>2055</v>
      </c>
      <c r="C715" s="69" t="s">
        <v>1330</v>
      </c>
      <c r="D715" s="56">
        <v>42226</v>
      </c>
      <c r="F715" s="56"/>
      <c r="G715" s="69" t="str">
        <f t="shared" si="11"/>
        <v>E-Commerce</v>
      </c>
      <c r="H715" s="83" t="s">
        <v>2056</v>
      </c>
      <c r="I715" s="83"/>
      <c r="J715" s="31" t="s">
        <v>2055</v>
      </c>
      <c r="K715" s="31" t="s">
        <v>2058</v>
      </c>
      <c r="L715" s="253">
        <v>60.891028239999997</v>
      </c>
      <c r="M715" s="253">
        <v>56.017601840430771</v>
      </c>
      <c r="N715" s="253">
        <v>45.671397795799649</v>
      </c>
      <c r="O715" s="253">
        <v>57.814221430000003</v>
      </c>
      <c r="P715" s="253">
        <v>60.944954129999992</v>
      </c>
      <c r="Q715" s="253">
        <v>62.392499999999991</v>
      </c>
      <c r="R715" s="253">
        <v>55.073395980000008</v>
      </c>
      <c r="S715" s="253">
        <v>53.194757609999996</v>
      </c>
      <c r="T715" s="253"/>
      <c r="U715" s="253">
        <v>55.157181569999999</v>
      </c>
      <c r="V715" s="253">
        <v>53.117495692153902</v>
      </c>
      <c r="W715" s="253"/>
      <c r="X715" s="253">
        <v>57.067307692307686</v>
      </c>
      <c r="Y715" s="253">
        <v>56.935953419999997</v>
      </c>
      <c r="Z715" s="253">
        <v>60.675324679999996</v>
      </c>
      <c r="AA715" s="253"/>
      <c r="AB715" s="253"/>
      <c r="AC715" s="253"/>
      <c r="AD715" s="253"/>
      <c r="AE715" s="253"/>
    </row>
    <row r="716" spans="1:31">
      <c r="A716" s="33">
        <v>715</v>
      </c>
      <c r="B716" s="31" t="s">
        <v>2055</v>
      </c>
      <c r="C716" s="69" t="s">
        <v>1330</v>
      </c>
      <c r="D716" s="56">
        <v>42226</v>
      </c>
      <c r="F716" s="56"/>
      <c r="G716" s="69" t="str">
        <f t="shared" si="11"/>
        <v>E-Commerce</v>
      </c>
      <c r="H716" s="83" t="s">
        <v>2056</v>
      </c>
      <c r="I716" s="83"/>
      <c r="J716" s="31" t="s">
        <v>2055</v>
      </c>
      <c r="K716" s="31" t="s">
        <v>1653</v>
      </c>
      <c r="L716" s="253">
        <v>60.876684061999995</v>
      </c>
      <c r="M716" s="253">
        <v>57.663215813430753</v>
      </c>
      <c r="N716" s="253">
        <v>46.674701997490189</v>
      </c>
      <c r="O716" s="253">
        <v>54.693618372105256</v>
      </c>
      <c r="P716" s="253">
        <v>63.728971960000003</v>
      </c>
      <c r="Q716" s="253">
        <v>64.392499999999998</v>
      </c>
      <c r="R716" s="253">
        <v>55.276182429999999</v>
      </c>
      <c r="S716" s="253">
        <v>59.254300459999996</v>
      </c>
      <c r="T716" s="253"/>
      <c r="U716" s="253">
        <v>57.717808220000002</v>
      </c>
      <c r="V716" s="253">
        <v>56.617635061153806</v>
      </c>
      <c r="W716" s="253"/>
      <c r="X716" s="253">
        <v>59.567307692307679</v>
      </c>
      <c r="Y716" s="253">
        <v>55.764192139999999</v>
      </c>
      <c r="Z716" s="253">
        <v>49.467532470000002</v>
      </c>
      <c r="AA716" s="253"/>
      <c r="AB716" s="253"/>
      <c r="AC716" s="253"/>
      <c r="AD716" s="253"/>
      <c r="AE716" s="253"/>
    </row>
    <row r="717" spans="1:31">
      <c r="A717" s="33">
        <v>716</v>
      </c>
      <c r="B717" s="31" t="s">
        <v>2055</v>
      </c>
      <c r="C717" s="69" t="s">
        <v>1330</v>
      </c>
      <c r="D717" s="56">
        <v>42226</v>
      </c>
      <c r="F717" s="56"/>
      <c r="G717" s="69" t="str">
        <f t="shared" si="11"/>
        <v>E-Commerce</v>
      </c>
      <c r="H717" s="83" t="s">
        <v>2056</v>
      </c>
      <c r="I717" s="83"/>
      <c r="J717" s="31" t="s">
        <v>2055</v>
      </c>
      <c r="K717" s="31" t="s">
        <v>770</v>
      </c>
      <c r="L717" s="253">
        <v>60.631794128000003</v>
      </c>
      <c r="M717" s="253">
        <v>60.889636451748714</v>
      </c>
      <c r="N717" s="253">
        <v>47.187272789884801</v>
      </c>
      <c r="O717" s="253">
        <v>60.403292523684215</v>
      </c>
      <c r="P717" s="253">
        <v>60.203703699999998</v>
      </c>
      <c r="Q717" s="253">
        <v>67.828749999999999</v>
      </c>
      <c r="R717" s="253">
        <v>61.302560650000004</v>
      </c>
      <c r="S717" s="253">
        <v>61.190045250000004</v>
      </c>
      <c r="T717" s="253"/>
      <c r="U717" s="253">
        <v>57.205479449999999</v>
      </c>
      <c r="V717" s="253">
        <v>57.787443622743581</v>
      </c>
      <c r="W717" s="253"/>
      <c r="X717" s="253">
        <v>52.596153846153847</v>
      </c>
      <c r="Y717" s="253">
        <v>58.431786219999999</v>
      </c>
      <c r="Z717" s="253">
        <v>62.344155840000006</v>
      </c>
      <c r="AA717" s="253"/>
      <c r="AB717" s="253"/>
      <c r="AC717" s="253"/>
      <c r="AD717" s="253"/>
      <c r="AE717" s="253"/>
    </row>
    <row r="718" spans="1:31">
      <c r="A718" s="33">
        <v>717</v>
      </c>
      <c r="B718" s="31" t="s">
        <v>2055</v>
      </c>
      <c r="C718" s="69" t="s">
        <v>1330</v>
      </c>
      <c r="D718" s="56">
        <v>42226</v>
      </c>
      <c r="F718" s="56"/>
      <c r="G718" s="69" t="str">
        <f t="shared" si="11"/>
        <v>E-Commerce</v>
      </c>
      <c r="H718" s="83" t="s">
        <v>2056</v>
      </c>
      <c r="I718" s="83"/>
      <c r="J718" s="31" t="s">
        <v>2055</v>
      </c>
      <c r="K718" s="31" t="s">
        <v>2013</v>
      </c>
      <c r="L718" s="253">
        <v>60.53177183399999</v>
      </c>
      <c r="M718" s="253">
        <v>60.571277454312806</v>
      </c>
      <c r="N718" s="253">
        <v>52.260270478276183</v>
      </c>
      <c r="O718" s="253">
        <v>61.864556336315786</v>
      </c>
      <c r="P718" s="253">
        <v>58.293636360000001</v>
      </c>
      <c r="Q718" s="253">
        <v>64.144999999999996</v>
      </c>
      <c r="R718" s="253">
        <v>62.447643309999997</v>
      </c>
      <c r="S718" s="253">
        <v>50.172866519999999</v>
      </c>
      <c r="T718" s="253"/>
      <c r="U718" s="253">
        <v>60.890410959999997</v>
      </c>
      <c r="V718" s="253">
        <v>60.270314293564098</v>
      </c>
      <c r="W718" s="253"/>
      <c r="X718" s="253">
        <v>43.413461538461547</v>
      </c>
      <c r="Y718" s="253">
        <v>58.879184860000002</v>
      </c>
      <c r="Z718" s="253">
        <v>69.484313729999997</v>
      </c>
      <c r="AA718" s="253"/>
      <c r="AB718" s="253"/>
      <c r="AC718" s="253"/>
      <c r="AD718" s="253"/>
      <c r="AE718" s="253"/>
    </row>
    <row r="719" spans="1:31">
      <c r="A719" s="33">
        <v>718</v>
      </c>
      <c r="B719" s="31" t="s">
        <v>2055</v>
      </c>
      <c r="C719" s="69" t="s">
        <v>1330</v>
      </c>
      <c r="D719" s="56">
        <v>42226</v>
      </c>
      <c r="F719" s="56"/>
      <c r="G719" s="69" t="str">
        <f t="shared" si="11"/>
        <v>E-Commerce</v>
      </c>
      <c r="H719" s="83" t="s">
        <v>2056</v>
      </c>
      <c r="I719" s="83"/>
      <c r="J719" s="31" t="s">
        <v>2055</v>
      </c>
      <c r="K719" s="31" t="s">
        <v>2059</v>
      </c>
      <c r="L719" s="253">
        <v>45.970983566000001</v>
      </c>
      <c r="M719" s="253">
        <v>55.593916559230756</v>
      </c>
      <c r="N719" s="253">
        <v>53.904412771126886</v>
      </c>
      <c r="O719" s="253">
        <v>47.295997359473681</v>
      </c>
      <c r="P719" s="253">
        <v>44.88425926</v>
      </c>
      <c r="Q719" s="253">
        <v>69.727499999999992</v>
      </c>
      <c r="R719" s="253">
        <v>54</v>
      </c>
      <c r="S719" s="253">
        <v>42.592760179999999</v>
      </c>
      <c r="T719" s="253"/>
      <c r="U719" s="253">
        <v>59.315068490000002</v>
      </c>
      <c r="V719" s="253">
        <v>54.671153846153842</v>
      </c>
      <c r="W719" s="253"/>
      <c r="X719" s="253">
        <v>49.567307692307693</v>
      </c>
      <c r="Y719" s="253">
        <v>42.671428569999996</v>
      </c>
      <c r="Z719" s="253">
        <v>50.317880790000004</v>
      </c>
      <c r="AA719" s="253"/>
      <c r="AB719" s="253"/>
      <c r="AC719" s="253"/>
      <c r="AD719" s="253"/>
      <c r="AE719" s="253"/>
    </row>
    <row r="720" spans="1:31">
      <c r="A720" s="33">
        <v>719</v>
      </c>
      <c r="B720" s="69" t="s">
        <v>2050</v>
      </c>
      <c r="C720" s="69" t="s">
        <v>1232</v>
      </c>
      <c r="D720" s="56">
        <v>42229</v>
      </c>
      <c r="F720" s="56"/>
      <c r="G720" s="69" t="str">
        <f t="shared" si="11"/>
        <v>E-Commerce</v>
      </c>
      <c r="H720" s="83" t="s">
        <v>2051</v>
      </c>
      <c r="I720" s="83"/>
      <c r="J720" s="69" t="s">
        <v>2050</v>
      </c>
      <c r="K720" s="69" t="s">
        <v>2050</v>
      </c>
      <c r="L720" s="253">
        <v>42.374603176000001</v>
      </c>
      <c r="M720" s="253">
        <v>40.679890301165713</v>
      </c>
      <c r="N720" s="253">
        <v>41.284770883918533</v>
      </c>
      <c r="O720" s="253">
        <v>49.429317636210527</v>
      </c>
      <c r="P720" s="253">
        <v>44.968253969999999</v>
      </c>
      <c r="Q720" s="253">
        <v>42.795533977999995</v>
      </c>
      <c r="R720" s="253">
        <v>49.144182929999999</v>
      </c>
      <c r="S720" s="253">
        <v>36.026981450000001</v>
      </c>
      <c r="T720" s="253">
        <v>41.5</v>
      </c>
      <c r="U720" s="253">
        <v>35.266375549999999</v>
      </c>
      <c r="V720" s="253">
        <v>43.130880683428572</v>
      </c>
      <c r="W720" s="253"/>
      <c r="X720" s="253">
        <v>38.696428571428598</v>
      </c>
      <c r="Y720" s="253">
        <v>60.20461538</v>
      </c>
      <c r="Z720" s="253">
        <v>32</v>
      </c>
      <c r="AA720" s="253"/>
      <c r="AB720" s="253"/>
      <c r="AC720" s="253"/>
      <c r="AD720" s="253"/>
      <c r="AE720" s="253"/>
    </row>
    <row r="721" spans="1:31">
      <c r="A721" s="33">
        <v>720</v>
      </c>
      <c r="B721" s="69" t="s">
        <v>2050</v>
      </c>
      <c r="C721" s="69" t="s">
        <v>1232</v>
      </c>
      <c r="D721" s="56">
        <v>42229</v>
      </c>
      <c r="F721" s="56"/>
      <c r="G721" s="69" t="str">
        <f t="shared" si="11"/>
        <v>E-Commerce</v>
      </c>
      <c r="H721" s="83" t="s">
        <v>2051</v>
      </c>
      <c r="I721" s="83"/>
      <c r="J721" s="69" t="s">
        <v>2050</v>
      </c>
      <c r="K721" s="69" t="s">
        <v>1313</v>
      </c>
      <c r="L721" s="253">
        <v>64.450181135999998</v>
      </c>
      <c r="M721" s="253">
        <v>59.725980473200003</v>
      </c>
      <c r="N721" s="253">
        <v>55.303271479072457</v>
      </c>
      <c r="O721" s="253">
        <v>64.985948822105271</v>
      </c>
      <c r="P721" s="253">
        <v>63.972857139999995</v>
      </c>
      <c r="Q721" s="253">
        <v>67</v>
      </c>
      <c r="R721" s="253">
        <v>61.442195929999997</v>
      </c>
      <c r="S721" s="253">
        <v>67.813884160000001</v>
      </c>
      <c r="T721" s="253">
        <v>50.249999999999993</v>
      </c>
      <c r="U721" s="253">
        <v>54.209606990000005</v>
      </c>
      <c r="V721" s="253">
        <v>48.583201270000004</v>
      </c>
      <c r="W721" s="253"/>
      <c r="X721" s="253">
        <v>58.648648648648646</v>
      </c>
      <c r="Y721" s="253">
        <v>64.523736600000007</v>
      </c>
      <c r="Z721" s="253">
        <v>66.359477119999994</v>
      </c>
      <c r="AA721" s="253"/>
      <c r="AB721" s="253"/>
      <c r="AC721" s="253"/>
      <c r="AD721" s="253"/>
      <c r="AE721" s="253"/>
    </row>
    <row r="722" spans="1:31">
      <c r="A722" s="33">
        <v>721</v>
      </c>
      <c r="B722" s="69" t="s">
        <v>2050</v>
      </c>
      <c r="C722" s="69" t="s">
        <v>1232</v>
      </c>
      <c r="D722" s="56">
        <v>42229</v>
      </c>
      <c r="F722" s="56"/>
      <c r="G722" s="69" t="str">
        <f t="shared" si="11"/>
        <v>E-Commerce</v>
      </c>
      <c r="H722" s="83" t="s">
        <v>2051</v>
      </c>
      <c r="I722" s="83"/>
      <c r="J722" s="69" t="s">
        <v>2050</v>
      </c>
      <c r="K722" s="69" t="s">
        <v>2052</v>
      </c>
      <c r="L722" s="253">
        <v>43.815165879999995</v>
      </c>
      <c r="M722" s="253">
        <v>43.272349668659047</v>
      </c>
      <c r="N722" s="253">
        <v>42.028324948604208</v>
      </c>
      <c r="O722" s="253">
        <v>50.144864676526311</v>
      </c>
      <c r="P722" s="253">
        <v>42.018957350000001</v>
      </c>
      <c r="Q722" s="253">
        <v>40.728157893999992</v>
      </c>
      <c r="R722" s="253">
        <v>44.832745889999998</v>
      </c>
      <c r="S722" s="253">
        <v>41.141246679999995</v>
      </c>
      <c r="T722" s="253">
        <v>45.249999999999993</v>
      </c>
      <c r="U722" s="253">
        <v>42.294372289999998</v>
      </c>
      <c r="V722" s="253">
        <v>43.339106504095234</v>
      </c>
      <c r="W722" s="253"/>
      <c r="X722" s="253">
        <v>44.196428571428577</v>
      </c>
      <c r="Y722" s="253">
        <v>52.621753250000005</v>
      </c>
      <c r="Z722" s="253">
        <v>51</v>
      </c>
      <c r="AA722" s="253"/>
      <c r="AB722" s="253"/>
      <c r="AC722" s="253"/>
      <c r="AD722" s="253"/>
      <c r="AE722" s="253"/>
    </row>
    <row r="723" spans="1:31">
      <c r="A723" s="33">
        <v>722</v>
      </c>
      <c r="B723" s="69" t="s">
        <v>2050</v>
      </c>
      <c r="C723" s="69" t="s">
        <v>1232</v>
      </c>
      <c r="D723" s="56">
        <v>42229</v>
      </c>
      <c r="F723" s="56"/>
      <c r="G723" s="69" t="str">
        <f t="shared" si="11"/>
        <v>E-Commerce</v>
      </c>
      <c r="H723" s="83" t="s">
        <v>2051</v>
      </c>
      <c r="I723" s="83"/>
      <c r="J723" s="69" t="s">
        <v>2050</v>
      </c>
      <c r="K723" s="69" t="s">
        <v>1314</v>
      </c>
      <c r="L723" s="253">
        <v>56.059022929999998</v>
      </c>
      <c r="M723" s="253">
        <v>56.924240191599992</v>
      </c>
      <c r="N723" s="253">
        <v>59.760809177229355</v>
      </c>
      <c r="O723" s="253">
        <v>62.869159628947365</v>
      </c>
      <c r="P723" s="253">
        <v>53.612994349999994</v>
      </c>
      <c r="Q723" s="253">
        <v>61</v>
      </c>
      <c r="R723" s="253">
        <v>58.204405919999999</v>
      </c>
      <c r="S723" s="253">
        <v>57.517441859999998</v>
      </c>
      <c r="T723" s="253">
        <v>56.145124564600003</v>
      </c>
      <c r="U723" s="253">
        <v>49.047619050000002</v>
      </c>
      <c r="V723" s="253">
        <v>56.217967599999994</v>
      </c>
      <c r="W723" s="253"/>
      <c r="X723" s="253"/>
      <c r="Y723" s="253">
        <v>63.037209299999994</v>
      </c>
      <c r="Z723" s="253">
        <v>65.843137249999998</v>
      </c>
      <c r="AA723" s="253"/>
      <c r="AB723" s="253"/>
      <c r="AC723" s="253"/>
      <c r="AD723" s="253"/>
      <c r="AE723" s="253"/>
    </row>
    <row r="724" spans="1:31">
      <c r="A724" s="33">
        <v>723</v>
      </c>
      <c r="B724" s="69" t="s">
        <v>2050</v>
      </c>
      <c r="C724" s="69" t="s">
        <v>1232</v>
      </c>
      <c r="D724" s="56">
        <v>42229</v>
      </c>
      <c r="F724" s="56"/>
      <c r="G724" s="69" t="str">
        <f t="shared" si="11"/>
        <v>E-Commerce</v>
      </c>
      <c r="H724" s="83" t="s">
        <v>2051</v>
      </c>
      <c r="I724" s="83"/>
      <c r="J724" s="69" t="s">
        <v>2050</v>
      </c>
      <c r="K724" s="69" t="s">
        <v>2053</v>
      </c>
      <c r="L724" s="253">
        <v>50.910258853999999</v>
      </c>
      <c r="M724" s="253">
        <v>46.137321665533335</v>
      </c>
      <c r="N724" s="253">
        <v>45.077626949359036</v>
      </c>
      <c r="O724" s="253">
        <v>50.883050921052629</v>
      </c>
      <c r="P724" s="253">
        <v>52.585843369999992</v>
      </c>
      <c r="Q724" s="253">
        <v>55</v>
      </c>
      <c r="R724" s="253">
        <v>50.930437419999997</v>
      </c>
      <c r="S724" s="253">
        <v>42.70244821</v>
      </c>
      <c r="T724" s="253">
        <v>46.500000000000007</v>
      </c>
      <c r="U724" s="253">
        <v>40.786026200000002</v>
      </c>
      <c r="V724" s="253">
        <v>43.125017823666667</v>
      </c>
      <c r="W724" s="253"/>
      <c r="X724" s="253"/>
      <c r="Y724" s="253">
        <v>54.617504050000001</v>
      </c>
      <c r="Z724" s="253">
        <v>44.207920790000003</v>
      </c>
      <c r="AA724" s="253"/>
      <c r="AB724" s="253"/>
      <c r="AC724" s="253"/>
      <c r="AD724" s="253"/>
      <c r="AE724" s="253"/>
    </row>
    <row r="725" spans="1:31">
      <c r="A725" s="33">
        <v>724</v>
      </c>
      <c r="B725" s="69" t="s">
        <v>2050</v>
      </c>
      <c r="C725" s="69" t="s">
        <v>1232</v>
      </c>
      <c r="D725" s="56">
        <v>42229</v>
      </c>
      <c r="F725" s="56"/>
      <c r="G725" s="69" t="str">
        <f t="shared" si="11"/>
        <v>E-Commerce</v>
      </c>
      <c r="H725" s="83" t="s">
        <v>2051</v>
      </c>
      <c r="I725" s="83"/>
      <c r="J725" s="69" t="s">
        <v>2050</v>
      </c>
      <c r="K725" s="69" t="s">
        <v>2054</v>
      </c>
      <c r="L725" s="253">
        <v>35.492682928000001</v>
      </c>
      <c r="M725" s="253">
        <v>40.663318528142852</v>
      </c>
      <c r="N725" s="253">
        <v>39.004366695167327</v>
      </c>
      <c r="O725" s="253">
        <v>40.702422770526319</v>
      </c>
      <c r="P725" s="253">
        <v>44.365853659999999</v>
      </c>
      <c r="Q725" s="253">
        <v>56.999999999999993</v>
      </c>
      <c r="R725" s="253">
        <v>53.598076920000004</v>
      </c>
      <c r="S725" s="253">
        <v>35.510638299999997</v>
      </c>
      <c r="T725" s="253">
        <v>38</v>
      </c>
      <c r="U725" s="253">
        <v>33.266375549999999</v>
      </c>
      <c r="V725" s="253">
        <v>42.443629530714283</v>
      </c>
      <c r="W725" s="253"/>
      <c r="X725" s="253">
        <v>43.660714285714285</v>
      </c>
      <c r="Y725" s="253">
        <v>57.363924050000001</v>
      </c>
      <c r="Z725" s="253">
        <v>0</v>
      </c>
      <c r="AA725" s="253"/>
      <c r="AB725" s="253"/>
      <c r="AC725" s="253"/>
      <c r="AD725" s="253"/>
      <c r="AE725" s="253"/>
    </row>
    <row r="726" spans="1:31">
      <c r="A726" s="33">
        <v>725</v>
      </c>
      <c r="B726" s="69" t="s">
        <v>2046</v>
      </c>
      <c r="C726" s="69" t="s">
        <v>740</v>
      </c>
      <c r="D726" s="56">
        <v>42235</v>
      </c>
      <c r="F726" s="56"/>
      <c r="G726" s="69" t="str">
        <f t="shared" si="11"/>
        <v>Both</v>
      </c>
      <c r="H726" s="83" t="s">
        <v>2047</v>
      </c>
      <c r="I726" s="83"/>
      <c r="J726" s="69" t="s">
        <v>2046</v>
      </c>
      <c r="K726" s="69" t="s">
        <v>2046</v>
      </c>
      <c r="L726" s="253">
        <v>54.51624121399999</v>
      </c>
      <c r="M726" s="253">
        <v>53.851376039700007</v>
      </c>
      <c r="N726" s="253">
        <v>49.170270916588848</v>
      </c>
      <c r="O726" s="253">
        <v>53.678752082157885</v>
      </c>
      <c r="P726" s="253">
        <v>57.058823529999998</v>
      </c>
      <c r="Q726" s="253">
        <v>50.910740741000005</v>
      </c>
      <c r="R726" s="253">
        <v>58.398623749999999</v>
      </c>
      <c r="S726" s="253">
        <v>55.65248227</v>
      </c>
      <c r="T726" s="253">
        <v>37.250000000000007</v>
      </c>
      <c r="U726" s="253">
        <v>54.01793722</v>
      </c>
      <c r="V726" s="253">
        <v>41.941828256999997</v>
      </c>
      <c r="W726" s="253">
        <v>45</v>
      </c>
      <c r="X726" s="253">
        <v>51.071428571428577</v>
      </c>
      <c r="Y726" s="253">
        <v>57.480625929999995</v>
      </c>
      <c r="Z726" s="253">
        <v>44.345911950000001</v>
      </c>
      <c r="AA726" s="253"/>
      <c r="AB726" s="253"/>
      <c r="AC726" s="253"/>
      <c r="AD726" s="253"/>
      <c r="AE726" s="253"/>
    </row>
    <row r="727" spans="1:31">
      <c r="A727" s="33">
        <v>726</v>
      </c>
      <c r="B727" s="69" t="s">
        <v>2046</v>
      </c>
      <c r="C727" s="69" t="s">
        <v>740</v>
      </c>
      <c r="D727" s="56">
        <v>42235</v>
      </c>
      <c r="F727" s="56"/>
      <c r="G727" s="69" t="str">
        <f t="shared" si="11"/>
        <v>Both</v>
      </c>
      <c r="H727" s="83" t="s">
        <v>2047</v>
      </c>
      <c r="I727" s="83"/>
      <c r="J727" s="69" t="s">
        <v>2046</v>
      </c>
      <c r="K727" s="69" t="s">
        <v>1320</v>
      </c>
      <c r="L727" s="253">
        <v>65.136348499999997</v>
      </c>
      <c r="M727" s="253">
        <v>57.109750705799996</v>
      </c>
      <c r="N727" s="253">
        <v>56.405587131721248</v>
      </c>
      <c r="O727" s="253">
        <v>53.57972752968422</v>
      </c>
      <c r="P727" s="253">
        <v>65.881127449999994</v>
      </c>
      <c r="Q727" s="253">
        <v>59.802962964000002</v>
      </c>
      <c r="R727" s="253">
        <v>55.715268679999994</v>
      </c>
      <c r="S727" s="253">
        <v>58.066810339999996</v>
      </c>
      <c r="T727" s="253">
        <v>43.75</v>
      </c>
      <c r="U727" s="253">
        <v>53.565022419999998</v>
      </c>
      <c r="V727" s="253">
        <v>39.110803325999996</v>
      </c>
      <c r="W727" s="253">
        <v>56.999999999999993</v>
      </c>
      <c r="X727" s="253">
        <v>54.910714285714278</v>
      </c>
      <c r="Y727" s="253">
        <v>47.792834890000002</v>
      </c>
      <c r="Z727" s="253">
        <v>62.157232699999994</v>
      </c>
      <c r="AA727" s="253"/>
      <c r="AB727" s="253"/>
      <c r="AC727" s="253"/>
      <c r="AD727" s="253"/>
      <c r="AE727" s="253"/>
    </row>
    <row r="728" spans="1:31">
      <c r="A728" s="33">
        <v>727</v>
      </c>
      <c r="B728" s="69" t="s">
        <v>2046</v>
      </c>
      <c r="C728" s="69" t="s">
        <v>740</v>
      </c>
      <c r="D728" s="56">
        <v>42235</v>
      </c>
      <c r="F728" s="56"/>
      <c r="G728" s="69" t="str">
        <f t="shared" si="11"/>
        <v>Both</v>
      </c>
      <c r="H728" s="83" t="s">
        <v>2047</v>
      </c>
      <c r="I728" s="83"/>
      <c r="J728" s="69" t="s">
        <v>2046</v>
      </c>
      <c r="K728" s="69" t="s">
        <v>2048</v>
      </c>
      <c r="L728" s="253">
        <v>58.027944258000005</v>
      </c>
      <c r="M728" s="253">
        <v>54.776089535200008</v>
      </c>
      <c r="N728" s="253">
        <v>57.00863200759931</v>
      </c>
      <c r="O728" s="253">
        <v>56.093510651631568</v>
      </c>
      <c r="P728" s="253">
        <v>58.967320260000001</v>
      </c>
      <c r="Q728" s="253">
        <v>65.252345680999994</v>
      </c>
      <c r="R728" s="253">
        <v>52.528050640000004</v>
      </c>
      <c r="S728" s="253">
        <v>50.63120567</v>
      </c>
      <c r="T728" s="253">
        <v>39.750000000000007</v>
      </c>
      <c r="U728" s="253">
        <v>52.161290319999999</v>
      </c>
      <c r="V728" s="253">
        <v>36.291549293999992</v>
      </c>
      <c r="W728" s="253">
        <v>61</v>
      </c>
      <c r="X728" s="253">
        <v>50.535714285714292</v>
      </c>
      <c r="Y728" s="253">
        <v>57.348484850000006</v>
      </c>
      <c r="Z728" s="253">
        <v>54.270440249999993</v>
      </c>
      <c r="AA728" s="253"/>
      <c r="AB728" s="253"/>
      <c r="AC728" s="253"/>
      <c r="AD728" s="253"/>
      <c r="AE728" s="253"/>
    </row>
    <row r="729" spans="1:31">
      <c r="A729" s="33">
        <v>728</v>
      </c>
      <c r="B729" s="69" t="s">
        <v>2046</v>
      </c>
      <c r="C729" s="69" t="s">
        <v>740</v>
      </c>
      <c r="D729" s="56">
        <v>42235</v>
      </c>
      <c r="F729" s="56"/>
      <c r="G729" s="69" t="str">
        <f t="shared" si="11"/>
        <v>Both</v>
      </c>
      <c r="H729" s="83" t="s">
        <v>2047</v>
      </c>
      <c r="I729" s="83"/>
      <c r="J729" s="69" t="s">
        <v>2046</v>
      </c>
      <c r="K729" s="69" t="s">
        <v>1163</v>
      </c>
      <c r="L729" s="253">
        <v>62.24103251999999</v>
      </c>
      <c r="M729" s="253">
        <v>60.859440945700001</v>
      </c>
      <c r="N729" s="253">
        <v>55.788716895770037</v>
      </c>
      <c r="O729" s="253">
        <v>55.075824537157892</v>
      </c>
      <c r="P729" s="253">
        <v>63.040284359999994</v>
      </c>
      <c r="Q729" s="253">
        <v>61.624444445999991</v>
      </c>
      <c r="R729" s="253">
        <v>63.505914660000009</v>
      </c>
      <c r="S729" s="253">
        <v>59.344391240000007</v>
      </c>
      <c r="T729" s="253">
        <v>51.250000000000007</v>
      </c>
      <c r="U729" s="253">
        <v>59.539170509999991</v>
      </c>
      <c r="V729" s="253">
        <v>42.690140842999995</v>
      </c>
      <c r="W729" s="253">
        <v>52</v>
      </c>
      <c r="X729" s="253">
        <v>56.785714285714285</v>
      </c>
      <c r="Y729" s="253">
        <v>50.323987540000005</v>
      </c>
      <c r="Z729" s="253">
        <v>59.044025160000004</v>
      </c>
      <c r="AA729" s="253"/>
      <c r="AB729" s="253"/>
      <c r="AC729" s="253"/>
      <c r="AD729" s="253"/>
      <c r="AE729" s="253"/>
    </row>
    <row r="730" spans="1:31">
      <c r="A730" s="33">
        <v>729</v>
      </c>
      <c r="B730" s="69" t="s">
        <v>2046</v>
      </c>
      <c r="C730" s="69" t="s">
        <v>740</v>
      </c>
      <c r="D730" s="56">
        <v>42235</v>
      </c>
      <c r="F730" s="56"/>
      <c r="G730" s="69" t="str">
        <f t="shared" si="11"/>
        <v>Both</v>
      </c>
      <c r="H730" s="83" t="s">
        <v>2047</v>
      </c>
      <c r="I730" s="83"/>
      <c r="J730" s="69" t="s">
        <v>2046</v>
      </c>
      <c r="K730" s="69" t="s">
        <v>2049</v>
      </c>
      <c r="L730" s="253">
        <v>66.787076084000006</v>
      </c>
      <c r="M730" s="253">
        <v>65.361010929000003</v>
      </c>
      <c r="N730" s="253">
        <v>57.395486783379788</v>
      </c>
      <c r="O730" s="253">
        <v>58.499733775789473</v>
      </c>
      <c r="P730" s="253">
        <v>68.321895420000004</v>
      </c>
      <c r="Q730" s="253">
        <v>69.052592589999989</v>
      </c>
      <c r="R730" s="253">
        <v>66.021434819999996</v>
      </c>
      <c r="S730" s="253">
        <v>62.632183910000002</v>
      </c>
      <c r="T730" s="253">
        <v>69.249999999999986</v>
      </c>
      <c r="U730" s="253">
        <v>65.815668200000005</v>
      </c>
      <c r="V730" s="253">
        <v>48.487323941</v>
      </c>
      <c r="W730" s="253">
        <v>49</v>
      </c>
      <c r="X730" s="253">
        <v>64.160714285714306</v>
      </c>
      <c r="Y730" s="253">
        <v>54.45283019</v>
      </c>
      <c r="Z730" s="253">
        <v>60.647798739999999</v>
      </c>
      <c r="AA730" s="253"/>
      <c r="AB730" s="253"/>
      <c r="AC730" s="253"/>
      <c r="AD730" s="253"/>
      <c r="AE730" s="253"/>
    </row>
    <row r="731" spans="1:31">
      <c r="A731" s="33">
        <v>730</v>
      </c>
      <c r="B731" s="69" t="s">
        <v>2045</v>
      </c>
      <c r="C731" s="69" t="s">
        <v>740</v>
      </c>
      <c r="D731" s="56">
        <v>42242</v>
      </c>
      <c r="F731" s="56"/>
      <c r="G731" s="69" t="str">
        <f t="shared" si="11"/>
        <v>Both</v>
      </c>
      <c r="H731" s="83" t="s">
        <v>922</v>
      </c>
      <c r="I731" s="83"/>
      <c r="J731" s="69" t="s">
        <v>2045</v>
      </c>
      <c r="K731" s="69" t="s">
        <v>2045</v>
      </c>
      <c r="L731" s="253">
        <v>38.214814816000001</v>
      </c>
      <c r="M731" s="253">
        <v>43.202676779900003</v>
      </c>
      <c r="N731" s="253">
        <v>44.205793769048775</v>
      </c>
      <c r="O731" s="253">
        <v>43.615488172473682</v>
      </c>
      <c r="P731" s="253">
        <v>38.018518520000001</v>
      </c>
      <c r="Q731" s="253">
        <v>43.966172836999995</v>
      </c>
      <c r="R731" s="253">
        <v>44.089837669999994</v>
      </c>
      <c r="S731" s="253">
        <v>43.970302100000005</v>
      </c>
      <c r="T731" s="253">
        <v>34.25</v>
      </c>
      <c r="U731" s="253">
        <v>42.771689500000001</v>
      </c>
      <c r="V731" s="253">
        <v>33.147632315000003</v>
      </c>
      <c r="W731" s="253">
        <v>45</v>
      </c>
      <c r="X731" s="253">
        <v>43</v>
      </c>
      <c r="Y731" s="253">
        <v>45.7578125</v>
      </c>
      <c r="Z731" s="253">
        <v>39</v>
      </c>
      <c r="AA731" s="253"/>
      <c r="AB731" s="253"/>
      <c r="AC731" s="253"/>
      <c r="AD731" s="253"/>
      <c r="AE731" s="253"/>
    </row>
    <row r="732" spans="1:31">
      <c r="A732" s="33">
        <v>731</v>
      </c>
      <c r="B732" s="69" t="s">
        <v>2045</v>
      </c>
      <c r="C732" s="69" t="s">
        <v>740</v>
      </c>
      <c r="D732" s="56">
        <v>42242</v>
      </c>
      <c r="F732" s="56"/>
      <c r="G732" s="69" t="str">
        <f t="shared" si="11"/>
        <v>Both</v>
      </c>
      <c r="H732" s="83" t="s">
        <v>922</v>
      </c>
      <c r="I732" s="83"/>
      <c r="J732" s="69" t="s">
        <v>2045</v>
      </c>
      <c r="K732" s="69" t="s">
        <v>1626</v>
      </c>
      <c r="L732" s="253">
        <v>55.066666663999996</v>
      </c>
      <c r="M732" s="253">
        <v>56.973136220000008</v>
      </c>
      <c r="N732" s="253">
        <v>61.734322788780482</v>
      </c>
      <c r="O732" s="253">
        <v>55.439680346315775</v>
      </c>
      <c r="P732" s="253">
        <v>54.583333329999995</v>
      </c>
      <c r="Q732" s="253">
        <v>62</v>
      </c>
      <c r="R732" s="253">
        <v>55.517872390000001</v>
      </c>
      <c r="S732" s="253">
        <v>53.5</v>
      </c>
      <c r="T732" s="253">
        <v>51.750000000000007</v>
      </c>
      <c r="U732" s="253">
        <v>57.174672489999999</v>
      </c>
      <c r="V732" s="253">
        <v>42.469168902999996</v>
      </c>
      <c r="W732" s="253">
        <v>57.999999999999993</v>
      </c>
      <c r="X732" s="253">
        <v>71</v>
      </c>
      <c r="Y732" s="253">
        <v>54.181818179999993</v>
      </c>
      <c r="Z732" s="253">
        <v>56.999999999999993</v>
      </c>
      <c r="AA732" s="253"/>
      <c r="AB732" s="253"/>
      <c r="AC732" s="253"/>
      <c r="AD732" s="253"/>
      <c r="AE732" s="253"/>
    </row>
    <row r="733" spans="1:31">
      <c r="A733" s="33">
        <v>732</v>
      </c>
      <c r="B733" s="69" t="s">
        <v>2045</v>
      </c>
      <c r="C733" s="69" t="s">
        <v>740</v>
      </c>
      <c r="D733" s="56">
        <v>42242</v>
      </c>
      <c r="F733" s="56"/>
      <c r="G733" s="69" t="str">
        <f t="shared" si="11"/>
        <v>Both</v>
      </c>
      <c r="H733" s="83" t="s">
        <v>922</v>
      </c>
      <c r="I733" s="83"/>
      <c r="J733" s="69" t="s">
        <v>2045</v>
      </c>
      <c r="K733" s="69" t="s">
        <v>1628</v>
      </c>
      <c r="L733" s="253">
        <v>45.540707968</v>
      </c>
      <c r="M733" s="253">
        <v>49.615797126999993</v>
      </c>
      <c r="N733" s="253">
        <v>51.184899380975608</v>
      </c>
      <c r="O733" s="253">
        <v>51.545732171052634</v>
      </c>
      <c r="P733" s="253">
        <v>41.425884959999998</v>
      </c>
      <c r="Q733" s="253">
        <v>51.66</v>
      </c>
      <c r="R733" s="253">
        <v>50.600145770000005</v>
      </c>
      <c r="S733" s="253">
        <v>46.30769231</v>
      </c>
      <c r="T733" s="253">
        <v>38.25</v>
      </c>
      <c r="U733" s="253">
        <v>44.688888890000001</v>
      </c>
      <c r="V733" s="253">
        <v>33.414457831999997</v>
      </c>
      <c r="W733" s="253">
        <v>55</v>
      </c>
      <c r="X733" s="253">
        <v>45</v>
      </c>
      <c r="Y733" s="253">
        <v>47.020092740000003</v>
      </c>
      <c r="Z733" s="253">
        <v>62</v>
      </c>
      <c r="AA733" s="253"/>
      <c r="AB733" s="253"/>
      <c r="AC733" s="253"/>
      <c r="AD733" s="253"/>
      <c r="AE733" s="253"/>
    </row>
    <row r="734" spans="1:31">
      <c r="A734" s="33">
        <v>733</v>
      </c>
      <c r="B734" s="69" t="s">
        <v>2045</v>
      </c>
      <c r="C734" s="69" t="s">
        <v>740</v>
      </c>
      <c r="D734" s="56">
        <v>42242</v>
      </c>
      <c r="F734" s="56"/>
      <c r="G734" s="69" t="str">
        <f t="shared" si="11"/>
        <v>Both</v>
      </c>
      <c r="H734" s="83" t="s">
        <v>922</v>
      </c>
      <c r="I734" s="83"/>
      <c r="J734" s="69" t="s">
        <v>2045</v>
      </c>
      <c r="K734" s="69" t="s">
        <v>2014</v>
      </c>
      <c r="L734" s="253">
        <v>57.190625000000004</v>
      </c>
      <c r="M734" s="253">
        <v>56.648041067000001</v>
      </c>
      <c r="N734" s="253">
        <v>56.669632186341467</v>
      </c>
      <c r="O734" s="253">
        <v>57.877380633684204</v>
      </c>
      <c r="P734" s="253">
        <v>56.488281250000007</v>
      </c>
      <c r="Q734" s="253">
        <v>64.259999999999991</v>
      </c>
      <c r="R734" s="253">
        <v>52.445819940000007</v>
      </c>
      <c r="S734" s="253">
        <v>55.191489359999998</v>
      </c>
      <c r="T734" s="253">
        <v>51.250000000000007</v>
      </c>
      <c r="U734" s="253">
        <v>54.585152839999992</v>
      </c>
      <c r="V734" s="253">
        <v>42.619302949999998</v>
      </c>
      <c r="W734" s="253">
        <v>58.4</v>
      </c>
      <c r="X734" s="253">
        <v>54</v>
      </c>
      <c r="Y734" s="253">
        <v>57.532710279999996</v>
      </c>
      <c r="Z734" s="253">
        <v>60</v>
      </c>
      <c r="AA734" s="253"/>
      <c r="AB734" s="253"/>
      <c r="AC734" s="253"/>
      <c r="AD734" s="253"/>
      <c r="AE734" s="253"/>
    </row>
    <row r="735" spans="1:31">
      <c r="A735" s="33">
        <v>734</v>
      </c>
      <c r="B735" s="69" t="s">
        <v>2045</v>
      </c>
      <c r="C735" s="69" t="s">
        <v>740</v>
      </c>
      <c r="D735" s="56">
        <v>42242</v>
      </c>
      <c r="F735" s="56"/>
      <c r="G735" s="69" t="str">
        <f t="shared" si="11"/>
        <v>Both</v>
      </c>
      <c r="H735" s="83" t="s">
        <v>922</v>
      </c>
      <c r="I735" s="83"/>
      <c r="J735" s="69" t="s">
        <v>2045</v>
      </c>
      <c r="K735" s="69" t="s">
        <v>2023</v>
      </c>
      <c r="L735" s="253">
        <v>34.116256160000006</v>
      </c>
      <c r="M735" s="253">
        <v>35.862744970499996</v>
      </c>
      <c r="N735" s="253">
        <v>37.172284074482761</v>
      </c>
      <c r="O735" s="253">
        <v>36.357097324210521</v>
      </c>
      <c r="P735" s="253">
        <v>35.1453202</v>
      </c>
      <c r="Q735" s="253">
        <v>41.160000000000004</v>
      </c>
      <c r="R735" s="253">
        <v>40.752706359999998</v>
      </c>
      <c r="S735" s="253">
        <v>32.246175239999999</v>
      </c>
      <c r="T735" s="253">
        <v>28.000000000000004</v>
      </c>
      <c r="U735" s="253">
        <v>31.973333329999996</v>
      </c>
      <c r="V735" s="253">
        <v>21.114698793999999</v>
      </c>
      <c r="W735" s="253">
        <v>35.5</v>
      </c>
      <c r="X735" s="253"/>
      <c r="Y735" s="253">
        <v>38.58732612</v>
      </c>
      <c r="Z735" s="253">
        <v>30</v>
      </c>
      <c r="AA735" s="253"/>
      <c r="AB735" s="253"/>
      <c r="AC735" s="253"/>
      <c r="AD735" s="253"/>
      <c r="AE735" s="253"/>
    </row>
    <row r="736" spans="1:31">
      <c r="A736" s="33">
        <v>735</v>
      </c>
      <c r="B736" s="69" t="s">
        <v>883</v>
      </c>
      <c r="C736" s="69" t="s">
        <v>1330</v>
      </c>
      <c r="D736" s="56">
        <v>42249</v>
      </c>
      <c r="F736" s="56"/>
      <c r="G736" s="69" t="str">
        <f t="shared" si="11"/>
        <v>E-Commerce</v>
      </c>
      <c r="H736" s="83" t="s">
        <v>828</v>
      </c>
      <c r="I736" s="83"/>
      <c r="J736" s="69" t="s">
        <v>883</v>
      </c>
      <c r="K736" s="69" t="s">
        <v>883</v>
      </c>
      <c r="L736" s="253">
        <v>61.304901959999988</v>
      </c>
      <c r="M736" s="253">
        <v>56.952849665599992</v>
      </c>
      <c r="N736" s="253">
        <v>55.304123157087979</v>
      </c>
      <c r="O736" s="253">
        <v>55.094597247368426</v>
      </c>
      <c r="P736" s="253">
        <v>62.881127449999994</v>
      </c>
      <c r="Q736" s="253">
        <v>63.3</v>
      </c>
      <c r="R736" s="253">
        <v>55.715268679999994</v>
      </c>
      <c r="S736" s="253">
        <v>57.066810339999996</v>
      </c>
      <c r="T736" s="253"/>
      <c r="U736" s="253">
        <v>53.565022419999998</v>
      </c>
      <c r="V736" s="253">
        <v>57.190508955999995</v>
      </c>
      <c r="W736" s="253"/>
      <c r="X736" s="253">
        <v>54</v>
      </c>
      <c r="Y736" s="253">
        <v>54</v>
      </c>
      <c r="Z736" s="253">
        <v>55</v>
      </c>
      <c r="AA736" s="253"/>
      <c r="AB736" s="253"/>
      <c r="AC736" s="253"/>
      <c r="AD736" s="253"/>
      <c r="AE736" s="253"/>
    </row>
    <row r="737" spans="1:31">
      <c r="A737" s="33">
        <v>736</v>
      </c>
      <c r="B737" s="69" t="s">
        <v>883</v>
      </c>
      <c r="C737" s="69" t="s">
        <v>1330</v>
      </c>
      <c r="D737" s="56">
        <v>42249</v>
      </c>
      <c r="F737" s="56"/>
      <c r="G737" s="69" t="str">
        <f t="shared" si="11"/>
        <v>E-Commerce</v>
      </c>
      <c r="H737" s="83" t="s">
        <v>828</v>
      </c>
      <c r="I737" s="83"/>
      <c r="J737" s="69" t="s">
        <v>883</v>
      </c>
      <c r="K737" s="69" t="s">
        <v>1790</v>
      </c>
      <c r="L737" s="253">
        <v>59.447058823999996</v>
      </c>
      <c r="M737" s="253">
        <v>57.917665833599997</v>
      </c>
      <c r="N737" s="253">
        <v>51.945183160694249</v>
      </c>
      <c r="O737" s="253">
        <v>58.890315214210517</v>
      </c>
      <c r="P737" s="253">
        <v>60.058823529999991</v>
      </c>
      <c r="Q737" s="253">
        <v>61.659999999999989</v>
      </c>
      <c r="R737" s="253">
        <v>58.398623749999999</v>
      </c>
      <c r="S737" s="253">
        <v>55.65248227</v>
      </c>
      <c r="T737" s="253"/>
      <c r="U737" s="253">
        <v>57.01793722</v>
      </c>
      <c r="V737" s="253">
        <v>57.521782381999998</v>
      </c>
      <c r="W737" s="253"/>
      <c r="X737" s="253">
        <v>56.999999999999993</v>
      </c>
      <c r="Y737" s="253">
        <v>59.980625929999995</v>
      </c>
      <c r="Z737" s="253">
        <v>56.999999999999993</v>
      </c>
      <c r="AA737" s="253"/>
      <c r="AB737" s="253"/>
      <c r="AC737" s="253"/>
      <c r="AD737" s="253"/>
      <c r="AE737" s="253"/>
    </row>
    <row r="738" spans="1:31">
      <c r="A738" s="33">
        <v>737</v>
      </c>
      <c r="B738" s="69" t="s">
        <v>883</v>
      </c>
      <c r="C738" s="69" t="s">
        <v>1330</v>
      </c>
      <c r="D738" s="56">
        <v>42249</v>
      </c>
      <c r="F738" s="56"/>
      <c r="G738" s="69" t="str">
        <f t="shared" si="11"/>
        <v>E-Commerce</v>
      </c>
      <c r="H738" s="83" t="s">
        <v>828</v>
      </c>
      <c r="I738" s="83"/>
      <c r="J738" s="69" t="s">
        <v>883</v>
      </c>
      <c r="K738" s="69" t="s">
        <v>885</v>
      </c>
      <c r="L738" s="253">
        <v>57.173856208000004</v>
      </c>
      <c r="M738" s="253">
        <v>52.404957962266664</v>
      </c>
      <c r="N738" s="253">
        <v>59.489368431999523</v>
      </c>
      <c r="O738" s="253">
        <v>56.34379765526316</v>
      </c>
      <c r="P738" s="253">
        <v>60.467320260000001</v>
      </c>
      <c r="Q738" s="253">
        <v>59.359999999999992</v>
      </c>
      <c r="R738" s="253">
        <v>52.528050640000004</v>
      </c>
      <c r="S738" s="253">
        <v>52.63120567</v>
      </c>
      <c r="T738" s="253"/>
      <c r="U738" s="253">
        <v>48.161290319999999</v>
      </c>
      <c r="V738" s="253">
        <v>54.142484315333327</v>
      </c>
      <c r="W738" s="253"/>
      <c r="X738" s="253">
        <v>49</v>
      </c>
      <c r="Y738" s="253">
        <v>63.348484849999998</v>
      </c>
      <c r="Z738" s="253">
        <v>44</v>
      </c>
      <c r="AA738" s="253"/>
      <c r="AB738" s="253"/>
      <c r="AC738" s="253"/>
      <c r="AD738" s="253"/>
      <c r="AE738" s="253"/>
    </row>
    <row r="739" spans="1:31">
      <c r="A739" s="33">
        <v>738</v>
      </c>
      <c r="B739" s="69" t="s">
        <v>883</v>
      </c>
      <c r="C739" s="69" t="s">
        <v>1330</v>
      </c>
      <c r="D739" s="56">
        <v>42249</v>
      </c>
      <c r="F739" s="56"/>
      <c r="G739" s="69" t="str">
        <f t="shared" si="11"/>
        <v>E-Commerce</v>
      </c>
      <c r="H739" s="83" t="s">
        <v>828</v>
      </c>
      <c r="I739" s="83"/>
      <c r="J739" s="69" t="s">
        <v>883</v>
      </c>
      <c r="K739" s="69" t="s">
        <v>2043</v>
      </c>
      <c r="L739" s="253">
        <v>61.432227487999988</v>
      </c>
      <c r="M739" s="253">
        <v>61.26792056539999</v>
      </c>
      <c r="N739" s="253">
        <v>62.054455884499781</v>
      </c>
      <c r="O739" s="253">
        <v>56.328215576842098</v>
      </c>
      <c r="P739" s="253">
        <v>63.040284359999994</v>
      </c>
      <c r="Q739" s="253">
        <v>64.639999999999986</v>
      </c>
      <c r="R739" s="253">
        <v>63.505914660000009</v>
      </c>
      <c r="S739" s="253">
        <v>60.344391239999993</v>
      </c>
      <c r="T739" s="253"/>
      <c r="U739" s="253">
        <v>59.539170509999991</v>
      </c>
      <c r="V739" s="253">
        <v>61.307004664999994</v>
      </c>
      <c r="W739" s="253"/>
      <c r="X739" s="253">
        <v>58.999999999999993</v>
      </c>
      <c r="Y739" s="253">
        <v>54.323987539999997</v>
      </c>
      <c r="Z739" s="253">
        <v>55</v>
      </c>
      <c r="AA739" s="253"/>
      <c r="AB739" s="253"/>
      <c r="AC739" s="253"/>
      <c r="AD739" s="253"/>
      <c r="AE739" s="253"/>
    </row>
    <row r="740" spans="1:31">
      <c r="A740" s="33">
        <v>739</v>
      </c>
      <c r="B740" s="69" t="s">
        <v>883</v>
      </c>
      <c r="C740" s="69" t="s">
        <v>1330</v>
      </c>
      <c r="D740" s="56">
        <v>42249</v>
      </c>
      <c r="F740" s="56"/>
      <c r="G740" s="69" t="str">
        <f t="shared" si="11"/>
        <v>E-Commerce</v>
      </c>
      <c r="H740" s="83" t="s">
        <v>828</v>
      </c>
      <c r="I740" s="83"/>
      <c r="J740" s="69" t="s">
        <v>883</v>
      </c>
      <c r="K740" s="69" t="s">
        <v>2044</v>
      </c>
      <c r="L740" s="253">
        <v>65.387076084</v>
      </c>
      <c r="M740" s="253">
        <v>63.767642444028581</v>
      </c>
      <c r="N740" s="253">
        <v>62.964887770236011</v>
      </c>
      <c r="O740" s="253">
        <v>57.156528802631577</v>
      </c>
      <c r="P740" s="253">
        <v>66.321895420000004</v>
      </c>
      <c r="Q740" s="253">
        <v>62.059999999999995</v>
      </c>
      <c r="R740" s="253">
        <v>66.021434819999996</v>
      </c>
      <c r="S740" s="253">
        <v>63.632183909999995</v>
      </c>
      <c r="T740" s="253"/>
      <c r="U740" s="253">
        <v>65.815668200000005</v>
      </c>
      <c r="V740" s="253">
        <v>61.788242576142856</v>
      </c>
      <c r="W740" s="253"/>
      <c r="X740" s="253"/>
      <c r="Y740" s="253">
        <v>52</v>
      </c>
      <c r="Z740" s="253">
        <v>61.647798740000006</v>
      </c>
      <c r="AA740" s="253"/>
      <c r="AB740" s="253"/>
      <c r="AC740" s="253"/>
      <c r="AD740" s="253"/>
      <c r="AE740" s="253"/>
    </row>
    <row r="741" spans="1:31">
      <c r="A741" s="33">
        <v>740</v>
      </c>
      <c r="B741" s="69" t="s">
        <v>1839</v>
      </c>
      <c r="C741" s="69" t="s">
        <v>1232</v>
      </c>
      <c r="D741" s="56">
        <v>42250</v>
      </c>
      <c r="E741" s="266"/>
      <c r="F741" s="56"/>
      <c r="G741" s="69" t="str">
        <f t="shared" si="11"/>
        <v>User Registration</v>
      </c>
      <c r="H741" s="83" t="s">
        <v>922</v>
      </c>
      <c r="I741" s="83"/>
      <c r="J741" s="69" t="s">
        <v>1839</v>
      </c>
      <c r="K741" s="69" t="s">
        <v>2039</v>
      </c>
      <c r="L741" s="253">
        <v>69.438600374000004</v>
      </c>
      <c r="M741" s="253">
        <v>69.799835473999991</v>
      </c>
      <c r="N741" s="253">
        <v>67.655553177073173</v>
      </c>
      <c r="O741" s="253">
        <v>70.386094113684209</v>
      </c>
      <c r="P741" s="253">
        <v>72.192913390000001</v>
      </c>
      <c r="Q741" s="253">
        <v>69.84</v>
      </c>
      <c r="R741" s="253">
        <v>71.142946710000004</v>
      </c>
      <c r="S741" s="253">
        <v>71.436486489999993</v>
      </c>
      <c r="T741" s="253">
        <v>71.249999999999986</v>
      </c>
      <c r="U741" s="253">
        <v>71.666666669999998</v>
      </c>
      <c r="V741" s="253"/>
      <c r="W741" s="253">
        <v>63</v>
      </c>
      <c r="X741" s="253">
        <v>73.125</v>
      </c>
      <c r="Y741" s="253">
        <v>76.166666669999998</v>
      </c>
      <c r="Z741" s="253">
        <v>58.421348309999999</v>
      </c>
      <c r="AA741" s="253"/>
      <c r="AB741" s="253"/>
      <c r="AC741" s="253"/>
      <c r="AD741" s="253"/>
      <c r="AE741" s="253"/>
    </row>
    <row r="742" spans="1:31">
      <c r="A742" s="33">
        <v>741</v>
      </c>
      <c r="B742" s="69" t="s">
        <v>1839</v>
      </c>
      <c r="C742" s="69" t="s">
        <v>1232</v>
      </c>
      <c r="D742" s="56">
        <v>42250</v>
      </c>
      <c r="G742" s="69" t="str">
        <f t="shared" si="11"/>
        <v>User Registration</v>
      </c>
      <c r="H742" s="69" t="s">
        <v>922</v>
      </c>
      <c r="J742" s="69" t="s">
        <v>1839</v>
      </c>
      <c r="K742" s="69" t="s">
        <v>391</v>
      </c>
      <c r="L742" s="253">
        <v>67.778499278161604</v>
      </c>
      <c r="M742" s="253">
        <v>65.309306695499998</v>
      </c>
      <c r="N742" s="253">
        <v>63.391083671707314</v>
      </c>
      <c r="O742" s="253">
        <v>68.79768460736841</v>
      </c>
      <c r="P742" s="253">
        <v>67.895202020202007</v>
      </c>
      <c r="Q742" s="253">
        <v>66.539999999999992</v>
      </c>
      <c r="R742" s="253">
        <v>68.980995089999993</v>
      </c>
      <c r="S742" s="253">
        <v>66.293144209999994</v>
      </c>
      <c r="T742" s="253">
        <v>66</v>
      </c>
      <c r="U742" s="253">
        <v>59.065040999999994</v>
      </c>
      <c r="V742" s="253"/>
      <c r="W742" s="253">
        <v>65.151422999999994</v>
      </c>
      <c r="X742" s="253">
        <v>56.875</v>
      </c>
      <c r="Y742" s="253">
        <v>69.980243160000001</v>
      </c>
      <c r="Z742" s="253">
        <v>67.311688309999994</v>
      </c>
      <c r="AA742" s="253"/>
      <c r="AB742" s="253"/>
      <c r="AC742" s="253"/>
      <c r="AD742" s="253"/>
      <c r="AE742" s="253"/>
    </row>
    <row r="743" spans="1:31">
      <c r="A743" s="33">
        <v>742</v>
      </c>
      <c r="B743" s="69" t="s">
        <v>1839</v>
      </c>
      <c r="C743" s="69" t="s">
        <v>1232</v>
      </c>
      <c r="D743" s="56">
        <v>42250</v>
      </c>
      <c r="G743" s="69" t="str">
        <f t="shared" si="11"/>
        <v>User Registration</v>
      </c>
      <c r="H743" s="69" t="s">
        <v>922</v>
      </c>
      <c r="J743" s="69" t="s">
        <v>1839</v>
      </c>
      <c r="K743" s="69" t="s">
        <v>1109</v>
      </c>
      <c r="L743" s="253">
        <v>59.925628143999994</v>
      </c>
      <c r="M743" s="253">
        <v>58.588654345999998</v>
      </c>
      <c r="N743" s="253">
        <v>50.855377914982569</v>
      </c>
      <c r="O743" s="253">
        <v>60.277885135789468</v>
      </c>
      <c r="P743" s="253">
        <v>61.657035179999994</v>
      </c>
      <c r="Q743" s="253">
        <v>62.82</v>
      </c>
      <c r="R743" s="253">
        <v>54.316034799999997</v>
      </c>
      <c r="S743" s="253">
        <v>63.28378378</v>
      </c>
      <c r="T743" s="253">
        <v>49.500000000000007</v>
      </c>
      <c r="U743" s="253">
        <v>57.955555560000001</v>
      </c>
      <c r="V743" s="253"/>
      <c r="W743" s="253">
        <v>48</v>
      </c>
      <c r="X743" s="253">
        <v>50.892857142857139</v>
      </c>
      <c r="Y743" s="253">
        <v>64.554396420000003</v>
      </c>
      <c r="Z743" s="253">
        <v>53</v>
      </c>
      <c r="AA743" s="253"/>
      <c r="AB743" s="253"/>
      <c r="AC743" s="253"/>
      <c r="AD743" s="253"/>
      <c r="AE743" s="253"/>
    </row>
    <row r="744" spans="1:31">
      <c r="A744" s="33">
        <v>743</v>
      </c>
      <c r="B744" s="69" t="s">
        <v>2040</v>
      </c>
      <c r="C744" s="69" t="s">
        <v>2041</v>
      </c>
      <c r="D744" s="56">
        <v>42250</v>
      </c>
      <c r="F744" s="56"/>
      <c r="G744" s="69" t="str">
        <f t="shared" si="11"/>
        <v>E-Commerce</v>
      </c>
      <c r="H744" s="83" t="s">
        <v>2042</v>
      </c>
      <c r="I744" s="83"/>
      <c r="J744" s="69" t="s">
        <v>2040</v>
      </c>
      <c r="K744" s="69" t="s">
        <v>2040</v>
      </c>
      <c r="L744" s="253">
        <v>66.760000000000005</v>
      </c>
      <c r="M744" s="253">
        <v>58.50202380952382</v>
      </c>
      <c r="N744" s="253">
        <v>52.679561070608202</v>
      </c>
      <c r="O744" s="253">
        <v>64.882777777777775</v>
      </c>
      <c r="P744" s="253">
        <v>69.95</v>
      </c>
      <c r="Q744" s="253">
        <v>38.508749999999999</v>
      </c>
      <c r="R744" s="253">
        <v>56.22</v>
      </c>
      <c r="S744" s="253">
        <v>69.7</v>
      </c>
      <c r="T744" s="253">
        <v>53.23749999999999</v>
      </c>
      <c r="U744" s="253">
        <v>59.45</v>
      </c>
      <c r="V744" s="253">
        <v>52.678499999999993</v>
      </c>
      <c r="W744" s="253"/>
      <c r="X744" s="253"/>
      <c r="Y744" s="253">
        <v>71.575000000000003</v>
      </c>
      <c r="Z744" s="253">
        <v>54</v>
      </c>
      <c r="AA744" s="253"/>
      <c r="AB744" s="253"/>
      <c r="AC744" s="253"/>
      <c r="AD744" s="253"/>
      <c r="AE744" s="253"/>
    </row>
    <row r="745" spans="1:31">
      <c r="A745" s="33">
        <v>744</v>
      </c>
      <c r="B745" s="69" t="s">
        <v>2040</v>
      </c>
      <c r="C745" s="69" t="s">
        <v>2041</v>
      </c>
      <c r="D745" s="56">
        <v>42250</v>
      </c>
      <c r="F745" s="56"/>
      <c r="G745" s="69" t="str">
        <f t="shared" si="11"/>
        <v>E-Commerce</v>
      </c>
      <c r="H745" s="83" t="s">
        <v>2042</v>
      </c>
      <c r="I745" s="83"/>
      <c r="J745" s="69" t="s">
        <v>2040</v>
      </c>
      <c r="K745" s="69" t="s">
        <v>1036</v>
      </c>
      <c r="L745" s="253">
        <v>68.599999999999994</v>
      </c>
      <c r="M745" s="253">
        <v>56.444642857142867</v>
      </c>
      <c r="N745" s="253">
        <v>49.0038864476181</v>
      </c>
      <c r="O745" s="253">
        <v>65.542222222222222</v>
      </c>
      <c r="P745" s="253">
        <v>69.5</v>
      </c>
      <c r="Q745" s="253">
        <v>44.738749999999996</v>
      </c>
      <c r="R745" s="253">
        <v>46.980000000000004</v>
      </c>
      <c r="S745" s="253">
        <v>68.050000000000011</v>
      </c>
      <c r="T745" s="253">
        <v>54.5625</v>
      </c>
      <c r="U745" s="253">
        <v>56.150000000000013</v>
      </c>
      <c r="V745" s="253">
        <v>53.497499999999995</v>
      </c>
      <c r="W745" s="253"/>
      <c r="X745" s="253"/>
      <c r="Y745" s="253">
        <v>69.275000000000006</v>
      </c>
      <c r="Z745" s="253">
        <v>65</v>
      </c>
      <c r="AA745" s="253"/>
      <c r="AB745" s="253"/>
      <c r="AC745" s="253"/>
      <c r="AD745" s="253"/>
      <c r="AE745" s="253"/>
    </row>
    <row r="746" spans="1:31">
      <c r="A746" s="33">
        <v>745</v>
      </c>
      <c r="B746" s="69" t="s">
        <v>2040</v>
      </c>
      <c r="C746" s="69" t="s">
        <v>2041</v>
      </c>
      <c r="D746" s="56">
        <v>42250</v>
      </c>
      <c r="F746" s="56"/>
      <c r="G746" s="69" t="str">
        <f t="shared" si="11"/>
        <v>E-Commerce</v>
      </c>
      <c r="H746" s="83" t="s">
        <v>2042</v>
      </c>
      <c r="I746" s="83"/>
      <c r="J746" s="69" t="s">
        <v>2040</v>
      </c>
      <c r="K746" s="69" t="s">
        <v>1035</v>
      </c>
      <c r="L746" s="253">
        <v>58.64</v>
      </c>
      <c r="M746" s="253">
        <v>46.94047619047619</v>
      </c>
      <c r="N746" s="253">
        <v>42.000154798761606</v>
      </c>
      <c r="O746" s="253">
        <v>58.927777777777777</v>
      </c>
      <c r="P746" s="253">
        <v>61.8</v>
      </c>
      <c r="Q746" s="253">
        <v>40.39875</v>
      </c>
      <c r="R746" s="253">
        <v>55.85</v>
      </c>
      <c r="S746" s="253">
        <v>54</v>
      </c>
      <c r="T746" s="253">
        <v>50.550000000000004</v>
      </c>
      <c r="U746" s="253">
        <v>41.7</v>
      </c>
      <c r="V746" s="253">
        <v>38</v>
      </c>
      <c r="W746" s="253"/>
      <c r="X746" s="253"/>
      <c r="Y746" s="253">
        <v>66.5</v>
      </c>
      <c r="Z746" s="253">
        <v>46</v>
      </c>
      <c r="AA746" s="253"/>
      <c r="AB746" s="253"/>
      <c r="AC746" s="253"/>
      <c r="AD746" s="253"/>
      <c r="AE746" s="253"/>
    </row>
    <row r="747" spans="1:31">
      <c r="A747" s="33">
        <v>746</v>
      </c>
      <c r="B747" s="151" t="s">
        <v>2040</v>
      </c>
      <c r="C747" s="69" t="s">
        <v>2041</v>
      </c>
      <c r="D747" s="56">
        <v>42250</v>
      </c>
      <c r="F747" s="56"/>
      <c r="G747" s="69" t="str">
        <f t="shared" si="11"/>
        <v>E-Commerce</v>
      </c>
      <c r="H747" s="83" t="s">
        <v>2042</v>
      </c>
      <c r="I747" s="83"/>
      <c r="J747" s="151" t="s">
        <v>2040</v>
      </c>
      <c r="K747" s="151" t="s">
        <v>1599</v>
      </c>
      <c r="L747" s="253">
        <v>59.3</v>
      </c>
      <c r="M747" s="253">
        <v>52.397380952380956</v>
      </c>
      <c r="N747" s="253">
        <v>46.532334964546081</v>
      </c>
      <c r="O747" s="253">
        <v>56.939999999999991</v>
      </c>
      <c r="P747" s="253">
        <v>61.124999999999993</v>
      </c>
      <c r="Q747" s="253">
        <v>41.133749999999999</v>
      </c>
      <c r="R747" s="253">
        <v>57.66</v>
      </c>
      <c r="S747" s="253">
        <v>56.1</v>
      </c>
      <c r="T747" s="253">
        <v>46.575000000000003</v>
      </c>
      <c r="U747" s="253">
        <v>50.199999999999996</v>
      </c>
      <c r="V747" s="253">
        <v>46.528999999999996</v>
      </c>
      <c r="W747" s="253"/>
      <c r="X747" s="253"/>
      <c r="Y747" s="253">
        <v>59.35</v>
      </c>
      <c r="Z747" s="253">
        <v>52</v>
      </c>
      <c r="AA747" s="253"/>
      <c r="AB747" s="253"/>
      <c r="AC747" s="253"/>
      <c r="AD747" s="253"/>
      <c r="AE747" s="253"/>
    </row>
    <row r="748" spans="1:31">
      <c r="A748" s="33">
        <v>747</v>
      </c>
      <c r="B748" s="151" t="s">
        <v>2040</v>
      </c>
      <c r="C748" s="69" t="s">
        <v>2041</v>
      </c>
      <c r="D748" s="56">
        <v>42250</v>
      </c>
      <c r="F748" s="56"/>
      <c r="G748" s="69" t="str">
        <f t="shared" si="11"/>
        <v>E-Commerce</v>
      </c>
      <c r="H748" s="83" t="s">
        <v>2042</v>
      </c>
      <c r="I748" s="83"/>
      <c r="J748" s="151" t="s">
        <v>2040</v>
      </c>
      <c r="K748" s="151" t="s">
        <v>389</v>
      </c>
      <c r="L748" s="253">
        <v>62.040000000000013</v>
      </c>
      <c r="M748" s="253">
        <v>66.92619047619047</v>
      </c>
      <c r="N748" s="253">
        <v>70.998278238290226</v>
      </c>
      <c r="O748" s="253">
        <v>64.23555555555555</v>
      </c>
      <c r="P748" s="253">
        <v>68.800000000000011</v>
      </c>
      <c r="Q748" s="253">
        <v>0</v>
      </c>
      <c r="R748" s="253">
        <v>61.919999999999995</v>
      </c>
      <c r="S748" s="253">
        <v>76.150000000000006</v>
      </c>
      <c r="T748" s="253">
        <v>61.61249999999999</v>
      </c>
      <c r="U748" s="253">
        <v>72.25</v>
      </c>
      <c r="V748" s="253">
        <v>72</v>
      </c>
      <c r="W748" s="253"/>
      <c r="X748" s="253"/>
      <c r="Y748" s="253">
        <v>78.125</v>
      </c>
      <c r="Z748" s="253">
        <v>35</v>
      </c>
      <c r="AA748" s="253"/>
      <c r="AB748" s="253"/>
      <c r="AC748" s="253"/>
      <c r="AD748" s="253"/>
      <c r="AE748" s="253"/>
    </row>
    <row r="749" spans="1:31">
      <c r="A749" s="33">
        <v>748</v>
      </c>
      <c r="B749" s="69" t="s">
        <v>1839</v>
      </c>
      <c r="C749" s="69" t="s">
        <v>1232</v>
      </c>
      <c r="D749" s="56">
        <v>42250</v>
      </c>
      <c r="F749" s="56"/>
      <c r="G749" s="69" t="str">
        <f t="shared" si="11"/>
        <v>User Registration</v>
      </c>
      <c r="H749" s="83" t="s">
        <v>922</v>
      </c>
      <c r="I749" s="83"/>
      <c r="J749" s="69" t="s">
        <v>1839</v>
      </c>
      <c r="K749" s="69" t="s">
        <v>396</v>
      </c>
      <c r="L749" s="253">
        <v>58.476716920000001</v>
      </c>
      <c r="M749" s="253">
        <v>57.292628655000001</v>
      </c>
      <c r="N749" s="253">
        <v>61.117056581379316</v>
      </c>
      <c r="O749" s="253">
        <v>60.456652474736835</v>
      </c>
      <c r="P749" s="253">
        <v>57.845896149999994</v>
      </c>
      <c r="Q749" s="253">
        <v>53.94</v>
      </c>
      <c r="R749" s="253">
        <v>58.429106809999993</v>
      </c>
      <c r="S749" s="253">
        <v>56.2520436</v>
      </c>
      <c r="T749" s="253">
        <v>53.5</v>
      </c>
      <c r="U749" s="253">
        <v>58.187772930000001</v>
      </c>
      <c r="V749" s="253"/>
      <c r="W749" s="253">
        <v>63</v>
      </c>
      <c r="X749" s="253"/>
      <c r="Y749" s="253">
        <v>61.662613980000003</v>
      </c>
      <c r="Z749" s="253">
        <v>61</v>
      </c>
      <c r="AA749" s="253"/>
      <c r="AB749" s="253"/>
      <c r="AC749" s="253"/>
      <c r="AD749" s="253"/>
      <c r="AE749" s="253"/>
    </row>
    <row r="750" spans="1:31">
      <c r="A750" s="33">
        <v>749</v>
      </c>
      <c r="B750" s="69" t="s">
        <v>1839</v>
      </c>
      <c r="C750" s="69" t="s">
        <v>1232</v>
      </c>
      <c r="D750" s="56">
        <v>42250</v>
      </c>
      <c r="F750" s="56"/>
      <c r="G750" s="69" t="str">
        <f t="shared" si="11"/>
        <v>User Registration</v>
      </c>
      <c r="H750" s="83" t="s">
        <v>922</v>
      </c>
      <c r="I750" s="83"/>
      <c r="J750" s="69" t="s">
        <v>1839</v>
      </c>
      <c r="K750" s="69" t="s">
        <v>1839</v>
      </c>
      <c r="L750" s="253">
        <v>59.607291664000002</v>
      </c>
      <c r="M750" s="253">
        <v>54.282728915500002</v>
      </c>
      <c r="N750" s="253">
        <v>50.243411170731711</v>
      </c>
      <c r="O750" s="253">
        <v>61.881488565263155</v>
      </c>
      <c r="P750" s="253">
        <v>58.509114579999995</v>
      </c>
      <c r="Q750" s="253">
        <v>45.4</v>
      </c>
      <c r="R750" s="253">
        <v>51.046643000000003</v>
      </c>
      <c r="S750" s="253">
        <v>61.815602839999997</v>
      </c>
      <c r="T750" s="253">
        <v>48.75</v>
      </c>
      <c r="U750" s="253">
        <v>54.711790390000004</v>
      </c>
      <c r="V750" s="253"/>
      <c r="W750" s="253">
        <v>52</v>
      </c>
      <c r="X750" s="253">
        <v>48.125</v>
      </c>
      <c r="Y750" s="253">
        <v>64.64393939</v>
      </c>
      <c r="Z750" s="253">
        <v>64</v>
      </c>
      <c r="AA750" s="253"/>
      <c r="AB750" s="253"/>
      <c r="AC750" s="253"/>
      <c r="AD750" s="253"/>
      <c r="AE750" s="253"/>
    </row>
    <row r="751" spans="1:31">
      <c r="A751" s="33">
        <v>750</v>
      </c>
      <c r="B751" s="69" t="s">
        <v>2037</v>
      </c>
      <c r="C751" s="69" t="s">
        <v>1232</v>
      </c>
      <c r="D751" s="56">
        <v>42256</v>
      </c>
      <c r="F751" s="56"/>
      <c r="G751" s="69" t="str">
        <f t="shared" si="11"/>
        <v>Both</v>
      </c>
      <c r="H751" s="83" t="s">
        <v>1994</v>
      </c>
      <c r="I751" s="83"/>
      <c r="J751" s="69" t="s">
        <v>2037</v>
      </c>
      <c r="K751" s="69" t="s">
        <v>2037</v>
      </c>
      <c r="L751" s="253">
        <v>71.774444447999997</v>
      </c>
      <c r="M751" s="253">
        <v>58.755632633799991</v>
      </c>
      <c r="N751" s="253">
        <v>58.170831487853654</v>
      </c>
      <c r="O751" s="253">
        <v>68.557233532842105</v>
      </c>
      <c r="P751" s="253">
        <v>70.368055560000002</v>
      </c>
      <c r="Q751" s="253">
        <v>58.335555553999995</v>
      </c>
      <c r="R751" s="253">
        <v>59.666237389999999</v>
      </c>
      <c r="S751" s="253">
        <v>58.070921990000002</v>
      </c>
      <c r="T751" s="253">
        <v>55.277777777777779</v>
      </c>
      <c r="U751" s="253">
        <v>51.27111111</v>
      </c>
      <c r="V751" s="253">
        <v>40.143561646999991</v>
      </c>
      <c r="W751" s="253">
        <v>62</v>
      </c>
      <c r="X751" s="253">
        <v>51</v>
      </c>
      <c r="Y751" s="253">
        <v>67.984848479999997</v>
      </c>
      <c r="Z751" s="253">
        <v>77.400000000000006</v>
      </c>
      <c r="AA751" s="253"/>
      <c r="AB751" s="253"/>
      <c r="AC751" s="253"/>
      <c r="AD751" s="253"/>
      <c r="AE751" s="253"/>
    </row>
    <row r="752" spans="1:31">
      <c r="A752" s="33">
        <v>751</v>
      </c>
      <c r="B752" s="69" t="s">
        <v>2037</v>
      </c>
      <c r="C752" s="69" t="s">
        <v>1232</v>
      </c>
      <c r="D752" s="56">
        <v>42256</v>
      </c>
      <c r="F752" s="56"/>
      <c r="G752" s="69" t="str">
        <f t="shared" si="11"/>
        <v>Both</v>
      </c>
      <c r="H752" s="83" t="s">
        <v>1994</v>
      </c>
      <c r="I752" s="83"/>
      <c r="J752" s="69" t="s">
        <v>2037</v>
      </c>
      <c r="K752" s="69" t="s">
        <v>1159</v>
      </c>
      <c r="L752" s="253">
        <v>70.582222223999992</v>
      </c>
      <c r="M752" s="253">
        <v>64.817559694699995</v>
      </c>
      <c r="N752" s="253">
        <v>63.796386440073171</v>
      </c>
      <c r="O752" s="253">
        <v>62.054345356368408</v>
      </c>
      <c r="P752" s="253">
        <v>72.652777779999994</v>
      </c>
      <c r="Q752" s="253">
        <v>64.062222220999999</v>
      </c>
      <c r="R752" s="253">
        <v>67.24419623</v>
      </c>
      <c r="S752" s="253">
        <v>65.042553189999992</v>
      </c>
      <c r="T752" s="253">
        <v>53.333333333333329</v>
      </c>
      <c r="U752" s="253">
        <v>63.82222222</v>
      </c>
      <c r="V752" s="253">
        <v>43.898630138999998</v>
      </c>
      <c r="W752" s="253">
        <v>68</v>
      </c>
      <c r="X752" s="253">
        <v>55</v>
      </c>
      <c r="Y752" s="253">
        <v>60.393939389999993</v>
      </c>
      <c r="Z752" s="253">
        <v>62.3</v>
      </c>
      <c r="AA752" s="253"/>
      <c r="AB752" s="253"/>
      <c r="AC752" s="253"/>
      <c r="AD752" s="253"/>
      <c r="AE752" s="253"/>
    </row>
    <row r="753" spans="1:31">
      <c r="A753" s="33">
        <v>752</v>
      </c>
      <c r="B753" s="69" t="s">
        <v>2037</v>
      </c>
      <c r="C753" s="69" t="s">
        <v>1232</v>
      </c>
      <c r="D753" s="56">
        <v>42256</v>
      </c>
      <c r="F753" s="56"/>
      <c r="G753" s="69" t="str">
        <f t="shared" si="11"/>
        <v>Both</v>
      </c>
      <c r="H753" s="83" t="s">
        <v>1994</v>
      </c>
      <c r="I753" s="83"/>
      <c r="J753" s="69" t="s">
        <v>2037</v>
      </c>
      <c r="K753" s="69" t="s">
        <v>2038</v>
      </c>
      <c r="L753" s="253">
        <v>65.018735630000009</v>
      </c>
      <c r="M753" s="253">
        <v>58.335763628000002</v>
      </c>
      <c r="N753" s="253">
        <v>55.237487035862067</v>
      </c>
      <c r="O753" s="253">
        <v>60.682030303157894</v>
      </c>
      <c r="P753" s="253">
        <v>68.445833329999999</v>
      </c>
      <c r="Q753" s="253">
        <v>54.502222219999993</v>
      </c>
      <c r="R753" s="253">
        <v>61.681599229999996</v>
      </c>
      <c r="S753" s="253">
        <v>60.386091129999997</v>
      </c>
      <c r="T753" s="253">
        <v>59.111111111111114</v>
      </c>
      <c r="U753" s="253">
        <v>59.226666670000007</v>
      </c>
      <c r="V753" s="253">
        <v>42.703835614999996</v>
      </c>
      <c r="W753" s="253">
        <v>53.414543099999996</v>
      </c>
      <c r="X753" s="253"/>
      <c r="Y753" s="253">
        <v>65.815533979999998</v>
      </c>
      <c r="Z753" s="253">
        <v>51.310344829999998</v>
      </c>
      <c r="AA753" s="253"/>
      <c r="AB753" s="253"/>
      <c r="AC753" s="253"/>
      <c r="AD753" s="253"/>
      <c r="AE753" s="253"/>
    </row>
    <row r="754" spans="1:31">
      <c r="A754" s="33">
        <v>753</v>
      </c>
      <c r="B754" s="69" t="s">
        <v>2037</v>
      </c>
      <c r="C754" s="69" t="s">
        <v>1232</v>
      </c>
      <c r="D754" s="56">
        <v>42256</v>
      </c>
      <c r="F754" s="56"/>
      <c r="G754" s="69" t="str">
        <f t="shared" si="11"/>
        <v>Both</v>
      </c>
      <c r="H754" s="83" t="s">
        <v>1994</v>
      </c>
      <c r="I754" s="83"/>
      <c r="J754" s="69" t="s">
        <v>2037</v>
      </c>
      <c r="K754" s="69" t="s">
        <v>1996</v>
      </c>
      <c r="L754" s="253">
        <v>63.413239537999999</v>
      </c>
      <c r="M754" s="253">
        <v>58.822543024700011</v>
      </c>
      <c r="N754" s="253">
        <v>54.741274570439025</v>
      </c>
      <c r="O754" s="253">
        <v>58.503694340842102</v>
      </c>
      <c r="P754" s="253">
        <v>65.454861109999996</v>
      </c>
      <c r="Q754" s="253">
        <v>61.575555555999991</v>
      </c>
      <c r="R754" s="253">
        <v>63.944265119999997</v>
      </c>
      <c r="S754" s="253">
        <v>55.872340430000001</v>
      </c>
      <c r="T754" s="253">
        <v>56.94444444444445</v>
      </c>
      <c r="U754" s="253">
        <v>55.288888889999996</v>
      </c>
      <c r="V754" s="253">
        <v>39.736986303000002</v>
      </c>
      <c r="W754" s="253">
        <v>55</v>
      </c>
      <c r="X754" s="253">
        <v>48</v>
      </c>
      <c r="Y754" s="253">
        <v>58.999999999999993</v>
      </c>
      <c r="Z754" s="253">
        <v>55.246753250000005</v>
      </c>
      <c r="AA754" s="253"/>
      <c r="AB754" s="253"/>
      <c r="AC754" s="253"/>
      <c r="AD754" s="253"/>
      <c r="AE754" s="253"/>
    </row>
    <row r="755" spans="1:31">
      <c r="A755" s="33">
        <v>754</v>
      </c>
      <c r="B755" s="69" t="s">
        <v>2037</v>
      </c>
      <c r="C755" s="69" t="s">
        <v>1232</v>
      </c>
      <c r="D755" s="56">
        <v>42256</v>
      </c>
      <c r="F755" s="56"/>
      <c r="G755" s="69" t="str">
        <f t="shared" si="11"/>
        <v>Both</v>
      </c>
      <c r="H755" s="83" t="s">
        <v>1994</v>
      </c>
      <c r="I755" s="83"/>
      <c r="J755" s="69" t="s">
        <v>2037</v>
      </c>
      <c r="K755" s="69" t="s">
        <v>932</v>
      </c>
      <c r="L755" s="253">
        <v>67.411525974</v>
      </c>
      <c r="M755" s="253">
        <v>57.981728288899994</v>
      </c>
      <c r="N755" s="253">
        <v>54.966245006000001</v>
      </c>
      <c r="O755" s="253">
        <v>59.288128288526316</v>
      </c>
      <c r="P755" s="253">
        <v>70.671875</v>
      </c>
      <c r="Q755" s="253">
        <v>53.282222221999994</v>
      </c>
      <c r="R755" s="253">
        <v>64.294896430000009</v>
      </c>
      <c r="S755" s="253">
        <v>62.751773050000004</v>
      </c>
      <c r="T755" s="253">
        <v>58.055555555555557</v>
      </c>
      <c r="U755" s="253">
        <v>53.056768560000002</v>
      </c>
      <c r="V755" s="253">
        <v>38.828418229999997</v>
      </c>
      <c r="W755" s="253">
        <v>56.000000000000007</v>
      </c>
      <c r="X755" s="253">
        <v>49</v>
      </c>
      <c r="Y755" s="253">
        <v>61</v>
      </c>
      <c r="Z755" s="253">
        <v>54.370129869999992</v>
      </c>
      <c r="AA755" s="253"/>
      <c r="AB755" s="253"/>
      <c r="AC755" s="253"/>
      <c r="AD755" s="253"/>
      <c r="AE755" s="253"/>
    </row>
    <row r="756" spans="1:31">
      <c r="A756" s="33">
        <v>755</v>
      </c>
      <c r="B756" s="69" t="s">
        <v>2031</v>
      </c>
      <c r="C756" s="69" t="s">
        <v>740</v>
      </c>
      <c r="D756" s="56">
        <v>42262</v>
      </c>
      <c r="F756" s="56"/>
      <c r="G756" s="69" t="str">
        <f t="shared" si="11"/>
        <v>Both</v>
      </c>
      <c r="H756" s="83" t="s">
        <v>2032</v>
      </c>
      <c r="I756" s="83"/>
      <c r="J756" s="69" t="s">
        <v>2031</v>
      </c>
      <c r="K756" s="69" t="s">
        <v>2031</v>
      </c>
      <c r="L756" s="253">
        <v>62.072050145999988</v>
      </c>
      <c r="M756" s="253">
        <v>58.423197590476185</v>
      </c>
      <c r="N756" s="253">
        <v>52.565982367939377</v>
      </c>
      <c r="O756" s="253">
        <v>64.417000718947364</v>
      </c>
      <c r="P756" s="253">
        <v>62.073933650000001</v>
      </c>
      <c r="Q756" s="253">
        <v>59.8</v>
      </c>
      <c r="R756" s="253">
        <v>60.705942999999998</v>
      </c>
      <c r="S756" s="253">
        <v>59.880758810000003</v>
      </c>
      <c r="T756" s="253">
        <v>53.250000000000007</v>
      </c>
      <c r="U756" s="253">
        <v>56.572052399999997</v>
      </c>
      <c r="V756" s="253">
        <v>54.267579052380952</v>
      </c>
      <c r="W756" s="253">
        <v>46.4</v>
      </c>
      <c r="X756" s="253">
        <v>56.160714285714285</v>
      </c>
      <c r="Y756" s="253">
        <v>67.250778819999994</v>
      </c>
      <c r="Z756" s="253">
        <v>62.064516130000001</v>
      </c>
      <c r="AA756" s="253"/>
      <c r="AB756" s="253"/>
      <c r="AC756" s="253"/>
      <c r="AD756" s="253"/>
      <c r="AE756" s="253"/>
    </row>
    <row r="757" spans="1:31">
      <c r="A757" s="33">
        <v>756</v>
      </c>
      <c r="B757" s="69" t="s">
        <v>2031</v>
      </c>
      <c r="C757" s="69" t="s">
        <v>740</v>
      </c>
      <c r="D757" s="56">
        <v>42262</v>
      </c>
      <c r="F757" s="56"/>
      <c r="G757" s="69" t="str">
        <f t="shared" si="11"/>
        <v>Both</v>
      </c>
      <c r="H757" s="83" t="s">
        <v>2032</v>
      </c>
      <c r="I757" s="83"/>
      <c r="J757" s="69" t="s">
        <v>2031</v>
      </c>
      <c r="K757" s="69" t="s">
        <v>2033</v>
      </c>
      <c r="L757" s="253">
        <v>56.202904289999999</v>
      </c>
      <c r="M757" s="253">
        <v>51.165993704399995</v>
      </c>
      <c r="N757" s="253">
        <v>49.856399990452957</v>
      </c>
      <c r="O757" s="253">
        <v>62.85372267157895</v>
      </c>
      <c r="P757" s="253">
        <v>53.770297030000002</v>
      </c>
      <c r="Q757" s="253">
        <v>53</v>
      </c>
      <c r="R757" s="253">
        <v>55.226123129999991</v>
      </c>
      <c r="S757" s="253">
        <v>55.925707550000006</v>
      </c>
      <c r="T757" s="253">
        <v>43.750000000000007</v>
      </c>
      <c r="U757" s="253">
        <v>43.098591549999995</v>
      </c>
      <c r="V757" s="253">
        <v>43.991354469999997</v>
      </c>
      <c r="W757" s="253">
        <v>28.000000000000004</v>
      </c>
      <c r="X757" s="253">
        <v>56.160714285714285</v>
      </c>
      <c r="Y757" s="253">
        <v>64.517611029999998</v>
      </c>
      <c r="Z757" s="253">
        <v>65.933333329999996</v>
      </c>
      <c r="AA757" s="253"/>
      <c r="AB757" s="253"/>
      <c r="AC757" s="253"/>
      <c r="AD757" s="253"/>
      <c r="AE757" s="253"/>
    </row>
    <row r="758" spans="1:31">
      <c r="A758" s="33">
        <v>757</v>
      </c>
      <c r="B758" s="69" t="s">
        <v>2031</v>
      </c>
      <c r="C758" s="69" t="s">
        <v>740</v>
      </c>
      <c r="D758" s="56">
        <v>42262</v>
      </c>
      <c r="F758" s="56"/>
      <c r="G758" s="69" t="str">
        <f t="shared" si="11"/>
        <v>Both</v>
      </c>
      <c r="H758" s="83" t="s">
        <v>2032</v>
      </c>
      <c r="I758" s="83"/>
      <c r="J758" s="69" t="s">
        <v>2031</v>
      </c>
      <c r="K758" s="69" t="s">
        <v>2034</v>
      </c>
      <c r="L758" s="253">
        <v>65.711822040000001</v>
      </c>
      <c r="M758" s="253">
        <v>60.514824146399988</v>
      </c>
      <c r="N758" s="253">
        <v>59.642738277979092</v>
      </c>
      <c r="O758" s="253">
        <v>67.208924585789461</v>
      </c>
      <c r="P758" s="253">
        <v>65.770297029999995</v>
      </c>
      <c r="Q758" s="253">
        <v>64.259999999999977</v>
      </c>
      <c r="R758" s="253">
        <v>64.952521090000005</v>
      </c>
      <c r="S758" s="253">
        <v>65.134540749999999</v>
      </c>
      <c r="T758" s="253">
        <v>61.000000000000007</v>
      </c>
      <c r="U758" s="253">
        <v>52.914798210000001</v>
      </c>
      <c r="V758" s="253">
        <v>55</v>
      </c>
      <c r="W758" s="253">
        <v>38</v>
      </c>
      <c r="X758" s="253">
        <v>63.571428571428569</v>
      </c>
      <c r="Y758" s="253">
        <v>69.028037380000001</v>
      </c>
      <c r="Z758" s="253">
        <v>65.477922079999999</v>
      </c>
      <c r="AA758" s="253"/>
      <c r="AB758" s="253"/>
      <c r="AC758" s="253"/>
      <c r="AD758" s="253"/>
      <c r="AE758" s="253"/>
    </row>
    <row r="759" spans="1:31">
      <c r="A759" s="33">
        <v>758</v>
      </c>
      <c r="B759" s="69" t="s">
        <v>2031</v>
      </c>
      <c r="C759" s="69" t="s">
        <v>740</v>
      </c>
      <c r="D759" s="56">
        <v>42262</v>
      </c>
      <c r="F759" s="56"/>
      <c r="G759" s="69" t="str">
        <f t="shared" si="11"/>
        <v>Both</v>
      </c>
      <c r="H759" s="83" t="s">
        <v>2032</v>
      </c>
      <c r="I759" s="83"/>
      <c r="J759" s="69" t="s">
        <v>2031</v>
      </c>
      <c r="K759" s="69" t="s">
        <v>2035</v>
      </c>
      <c r="L759" s="253">
        <v>55.522287140000003</v>
      </c>
      <c r="M759" s="253">
        <v>50.330401011600003</v>
      </c>
      <c r="N759" s="253">
        <v>47.041514635331005</v>
      </c>
      <c r="O759" s="253">
        <v>59.603192456315789</v>
      </c>
      <c r="P759" s="253">
        <v>51.620600859999996</v>
      </c>
      <c r="Q759" s="253">
        <v>51</v>
      </c>
      <c r="R759" s="253">
        <v>51.198193569999994</v>
      </c>
      <c r="S759" s="253">
        <v>50.693251529999991</v>
      </c>
      <c r="T759" s="253">
        <v>50.5</v>
      </c>
      <c r="U759" s="253">
        <v>44.543379000000002</v>
      </c>
      <c r="V759" s="253">
        <v>46.104218359999997</v>
      </c>
      <c r="W759" s="253">
        <v>50</v>
      </c>
      <c r="X759" s="253">
        <v>45.535714285714292</v>
      </c>
      <c r="Y759" s="253">
        <v>57.272585669999998</v>
      </c>
      <c r="Z759" s="253">
        <v>71.129032260000002</v>
      </c>
      <c r="AA759" s="253"/>
      <c r="AB759" s="253"/>
      <c r="AC759" s="253"/>
      <c r="AD759" s="253"/>
      <c r="AE759" s="253"/>
    </row>
    <row r="760" spans="1:31">
      <c r="A760" s="33">
        <v>759</v>
      </c>
      <c r="B760" s="69" t="s">
        <v>2031</v>
      </c>
      <c r="C760" s="69" t="s">
        <v>740</v>
      </c>
      <c r="D760" s="56">
        <v>42262</v>
      </c>
      <c r="F760" s="56"/>
      <c r="G760" s="69" t="str">
        <f t="shared" si="11"/>
        <v>Both</v>
      </c>
      <c r="H760" s="83" t="s">
        <v>2032</v>
      </c>
      <c r="I760" s="83"/>
      <c r="J760" s="69" t="s">
        <v>2031</v>
      </c>
      <c r="K760" s="69" t="s">
        <v>2036</v>
      </c>
      <c r="L760" s="253">
        <v>60.291586403999993</v>
      </c>
      <c r="M760" s="253">
        <v>61.188075639600001</v>
      </c>
      <c r="N760" s="253">
        <v>58.688855677241378</v>
      </c>
      <c r="O760" s="253">
        <v>62.881493249473671</v>
      </c>
      <c r="P760" s="253">
        <v>58.00157978</v>
      </c>
      <c r="Q760" s="253">
        <v>62.97999999999999</v>
      </c>
      <c r="R760" s="253">
        <v>57.314354940000001</v>
      </c>
      <c r="S760" s="253">
        <v>61.610360360000001</v>
      </c>
      <c r="T760" s="253">
        <v>42.75</v>
      </c>
      <c r="U760" s="253">
        <v>62.715555559999999</v>
      </c>
      <c r="V760" s="253">
        <v>58.457534249999995</v>
      </c>
      <c r="W760" s="253">
        <v>71</v>
      </c>
      <c r="X760" s="253"/>
      <c r="Y760" s="253">
        <v>60.827123699999994</v>
      </c>
      <c r="Z760" s="253">
        <v>69.451612900000001</v>
      </c>
      <c r="AA760" s="253"/>
      <c r="AB760" s="253"/>
      <c r="AC760" s="253"/>
      <c r="AD760" s="253"/>
      <c r="AE760" s="253"/>
    </row>
    <row r="761" spans="1:31">
      <c r="A761" s="33">
        <v>760</v>
      </c>
      <c r="B761" s="69" t="s">
        <v>2025</v>
      </c>
      <c r="C761" s="69" t="s">
        <v>1203</v>
      </c>
      <c r="D761" s="56">
        <v>42264</v>
      </c>
      <c r="F761" s="56"/>
      <c r="G761" s="69" t="str">
        <f t="shared" si="11"/>
        <v>E-Commerce</v>
      </c>
      <c r="H761" s="83" t="s">
        <v>2026</v>
      </c>
      <c r="I761" s="83"/>
      <c r="J761" s="69" t="s">
        <v>2027</v>
      </c>
      <c r="K761" s="69" t="s">
        <v>2027</v>
      </c>
      <c r="L761" s="253">
        <v>47.291785017999999</v>
      </c>
      <c r="M761" s="253">
        <v>53.551539336657136</v>
      </c>
      <c r="N761" s="253">
        <v>58.54687576769858</v>
      </c>
      <c r="O761" s="253">
        <v>52.471067733421052</v>
      </c>
      <c r="P761" s="253">
        <v>50.048941800000001</v>
      </c>
      <c r="Q761" s="253">
        <v>55.226666665000003</v>
      </c>
      <c r="R761" s="253">
        <v>54.820009929999998</v>
      </c>
      <c r="S761" s="253">
        <v>48.764970060000003</v>
      </c>
      <c r="T761" s="253">
        <v>0</v>
      </c>
      <c r="U761" s="253">
        <v>53.916083919999998</v>
      </c>
      <c r="V761" s="253">
        <v>61.323030297285705</v>
      </c>
      <c r="W761" s="253"/>
      <c r="X761" s="253"/>
      <c r="Y761" s="253">
        <v>60.200284089999997</v>
      </c>
      <c r="Z761" s="253">
        <v>36.263157889999995</v>
      </c>
      <c r="AA761" s="253"/>
      <c r="AB761" s="253"/>
      <c r="AC761" s="253"/>
      <c r="AD761" s="253"/>
      <c r="AE761" s="253"/>
    </row>
    <row r="762" spans="1:31">
      <c r="A762" s="33">
        <v>761</v>
      </c>
      <c r="B762" s="69" t="s">
        <v>2025</v>
      </c>
      <c r="C762" s="69" t="s">
        <v>1203</v>
      </c>
      <c r="D762" s="56">
        <v>42264</v>
      </c>
      <c r="F762" s="56"/>
      <c r="G762" s="69" t="str">
        <f t="shared" si="11"/>
        <v>E-Commerce</v>
      </c>
      <c r="H762" s="83" t="s">
        <v>2026</v>
      </c>
      <c r="I762" s="83"/>
      <c r="J762" s="69" t="s">
        <v>2027</v>
      </c>
      <c r="K762" s="69" t="s">
        <v>2028</v>
      </c>
      <c r="L762" s="253">
        <v>47.301622743999999</v>
      </c>
      <c r="M762" s="253">
        <v>54.436517389771446</v>
      </c>
      <c r="N762" s="253">
        <v>56.843105039811526</v>
      </c>
      <c r="O762" s="253">
        <v>56.443580752368412</v>
      </c>
      <c r="P762" s="253">
        <v>48.839947090000003</v>
      </c>
      <c r="Q762" s="253">
        <v>54.693333335000005</v>
      </c>
      <c r="R762" s="253">
        <v>57.887880270000004</v>
      </c>
      <c r="S762" s="253">
        <v>50.945347120000008</v>
      </c>
      <c r="T762" s="253">
        <v>0</v>
      </c>
      <c r="U762" s="253">
        <v>54.493006989999991</v>
      </c>
      <c r="V762" s="253">
        <v>58.831425180857146</v>
      </c>
      <c r="W762" s="253"/>
      <c r="X762" s="253"/>
      <c r="Y762" s="253">
        <v>64.527196649999993</v>
      </c>
      <c r="Z762" s="253">
        <v>41.148325360000001</v>
      </c>
      <c r="AA762" s="253"/>
      <c r="AB762" s="253"/>
      <c r="AC762" s="253"/>
      <c r="AD762" s="253"/>
      <c r="AE762" s="253"/>
    </row>
    <row r="763" spans="1:31">
      <c r="A763" s="33">
        <v>762</v>
      </c>
      <c r="B763" s="69" t="s">
        <v>2025</v>
      </c>
      <c r="C763" s="69" t="s">
        <v>1203</v>
      </c>
      <c r="D763" s="56">
        <v>42264</v>
      </c>
      <c r="F763" s="56"/>
      <c r="G763" s="69" t="str">
        <f t="shared" si="11"/>
        <v>E-Commerce</v>
      </c>
      <c r="H763" s="83" t="s">
        <v>2026</v>
      </c>
      <c r="I763" s="83"/>
      <c r="J763" s="69" t="s">
        <v>2027</v>
      </c>
      <c r="K763" s="69" t="s">
        <v>2029</v>
      </c>
      <c r="L763" s="253">
        <v>50.070185684000002</v>
      </c>
      <c r="M763" s="253">
        <v>53.254855715268569</v>
      </c>
      <c r="N763" s="253">
        <v>56.129686407204915</v>
      </c>
      <c r="O763" s="253">
        <v>57.866057310999999</v>
      </c>
      <c r="P763" s="253">
        <v>51.591269839999995</v>
      </c>
      <c r="Q763" s="253">
        <v>55.916666668999994</v>
      </c>
      <c r="R763" s="253">
        <v>56.898138830000001</v>
      </c>
      <c r="S763" s="253">
        <v>46.92150298</v>
      </c>
      <c r="T763" s="253">
        <v>0</v>
      </c>
      <c r="U763" s="253">
        <v>52.199300700000002</v>
      </c>
      <c r="V763" s="253">
        <v>57.311963703142865</v>
      </c>
      <c r="W763" s="253"/>
      <c r="X763" s="253"/>
      <c r="Y763" s="253">
        <v>66.289139629999994</v>
      </c>
      <c r="Z763" s="253">
        <v>43.98584906</v>
      </c>
      <c r="AA763" s="253"/>
      <c r="AB763" s="253"/>
      <c r="AC763" s="253"/>
      <c r="AD763" s="253"/>
      <c r="AE763" s="253"/>
    </row>
    <row r="764" spans="1:31">
      <c r="A764" s="33">
        <v>763</v>
      </c>
      <c r="B764" s="69" t="s">
        <v>2025</v>
      </c>
      <c r="C764" s="69" t="s">
        <v>1203</v>
      </c>
      <c r="D764" s="56">
        <v>42264</v>
      </c>
      <c r="F764" s="56"/>
      <c r="G764" s="69" t="str">
        <f t="shared" si="11"/>
        <v>E-Commerce</v>
      </c>
      <c r="H764" s="83" t="s">
        <v>2026</v>
      </c>
      <c r="I764" s="83"/>
      <c r="J764" s="69" t="s">
        <v>2027</v>
      </c>
      <c r="K764" s="69" t="s">
        <v>2030</v>
      </c>
      <c r="L764" s="253">
        <v>64.612279426000001</v>
      </c>
      <c r="M764" s="253">
        <v>67.23047322219999</v>
      </c>
      <c r="N764" s="253">
        <v>65.333062989899645</v>
      </c>
      <c r="O764" s="253">
        <v>68.8124361068421</v>
      </c>
      <c r="P764" s="253">
        <v>65.002617799999996</v>
      </c>
      <c r="Q764" s="253">
        <v>67.210000000000008</v>
      </c>
      <c r="R764" s="253">
        <v>67.306969699999996</v>
      </c>
      <c r="S764" s="253">
        <v>61.92150298</v>
      </c>
      <c r="T764" s="253">
        <v>0</v>
      </c>
      <c r="U764" s="253">
        <v>72.364583330000002</v>
      </c>
      <c r="V764" s="253">
        <v>67.955240324999991</v>
      </c>
      <c r="W764" s="253"/>
      <c r="X764" s="253"/>
      <c r="Y764" s="253">
        <v>72.843621400000004</v>
      </c>
      <c r="Z764" s="253">
        <v>63.050925929999998</v>
      </c>
      <c r="AA764" s="253"/>
      <c r="AB764" s="253"/>
      <c r="AC764" s="253"/>
      <c r="AD764" s="253"/>
      <c r="AE764" s="253"/>
    </row>
    <row r="765" spans="1:31">
      <c r="A765" s="33">
        <v>764</v>
      </c>
      <c r="B765" s="265" t="s">
        <v>566</v>
      </c>
      <c r="C765" s="69" t="s">
        <v>1203</v>
      </c>
      <c r="D765" s="56">
        <v>42270</v>
      </c>
      <c r="F765" s="56"/>
      <c r="G765" s="69" t="str">
        <f t="shared" si="11"/>
        <v>E-Commerce</v>
      </c>
      <c r="H765" s="83" t="s">
        <v>517</v>
      </c>
      <c r="I765" s="83"/>
      <c r="J765" s="265" t="s">
        <v>566</v>
      </c>
      <c r="K765" s="265" t="s">
        <v>566</v>
      </c>
      <c r="L765" s="253">
        <v>52.930748675999993</v>
      </c>
      <c r="M765" s="253">
        <v>47.17891937833334</v>
      </c>
      <c r="N765" s="253">
        <v>44.978578300294096</v>
      </c>
      <c r="O765" s="253">
        <v>52.874748145789475</v>
      </c>
      <c r="P765" s="253">
        <v>51.448459999999997</v>
      </c>
      <c r="Q765" s="253">
        <v>55.400000000000006</v>
      </c>
      <c r="R765" s="253">
        <v>46.091568960000004</v>
      </c>
      <c r="S765" s="253">
        <v>46.973484849999998</v>
      </c>
      <c r="T765" s="253">
        <v>38.488752153999997</v>
      </c>
      <c r="U765" s="253">
        <v>43.246521539999996</v>
      </c>
      <c r="V765" s="253">
        <v>50.803924383999998</v>
      </c>
      <c r="W765" s="253"/>
      <c r="X765" s="253"/>
      <c r="Y765" s="253">
        <v>51.576407509999996</v>
      </c>
      <c r="Z765" s="253">
        <v>58.859903379999999</v>
      </c>
      <c r="AA765" s="253"/>
      <c r="AB765" s="253"/>
      <c r="AC765" s="253"/>
      <c r="AD765" s="253"/>
      <c r="AE765" s="253"/>
    </row>
    <row r="766" spans="1:31">
      <c r="A766" s="33">
        <v>765</v>
      </c>
      <c r="B766" s="265" t="s">
        <v>566</v>
      </c>
      <c r="C766" s="69" t="s">
        <v>1203</v>
      </c>
      <c r="D766" s="56">
        <v>42271</v>
      </c>
      <c r="F766" s="56"/>
      <c r="G766" s="69" t="str">
        <f t="shared" si="11"/>
        <v>E-Commerce</v>
      </c>
      <c r="H766" s="83" t="s">
        <v>517</v>
      </c>
      <c r="I766" s="83"/>
      <c r="J766" s="265" t="s">
        <v>566</v>
      </c>
      <c r="K766" s="265" t="s">
        <v>1575</v>
      </c>
      <c r="L766" s="253">
        <v>54.497760147999998</v>
      </c>
      <c r="M766" s="253">
        <v>56.8197291096619</v>
      </c>
      <c r="N766" s="253">
        <v>53.292192704453775</v>
      </c>
      <c r="O766" s="253">
        <v>56.860977208052631</v>
      </c>
      <c r="P766" s="253">
        <v>52.030765000000002</v>
      </c>
      <c r="Q766" s="253">
        <v>56.6</v>
      </c>
      <c r="R766" s="253">
        <v>51.982263669999995</v>
      </c>
      <c r="S766" s="253">
        <v>53.461314512999998</v>
      </c>
      <c r="T766" s="253">
        <v>61.251234499999995</v>
      </c>
      <c r="U766" s="253">
        <v>62.690288709999997</v>
      </c>
      <c r="V766" s="253">
        <v>51.199239871571422</v>
      </c>
      <c r="W766" s="253"/>
      <c r="X766" s="253"/>
      <c r="Y766" s="253">
        <v>54.450402139999994</v>
      </c>
      <c r="Z766" s="253">
        <v>64.365740739999993</v>
      </c>
      <c r="AA766" s="253"/>
      <c r="AB766" s="253"/>
      <c r="AC766" s="253"/>
      <c r="AD766" s="253"/>
      <c r="AE766" s="253"/>
    </row>
    <row r="767" spans="1:31">
      <c r="A767" s="33">
        <v>766</v>
      </c>
      <c r="B767" s="265" t="s">
        <v>566</v>
      </c>
      <c r="C767" s="69" t="s">
        <v>1203</v>
      </c>
      <c r="D767" s="56">
        <v>42272</v>
      </c>
      <c r="F767" s="56"/>
      <c r="G767" s="69" t="str">
        <f t="shared" si="11"/>
        <v>E-Commerce</v>
      </c>
      <c r="H767" s="83" t="s">
        <v>517</v>
      </c>
      <c r="I767" s="83"/>
      <c r="J767" s="265" t="s">
        <v>566</v>
      </c>
      <c r="K767" s="265" t="s">
        <v>1524</v>
      </c>
      <c r="L767" s="253">
        <v>48.212560386</v>
      </c>
      <c r="M767" s="253">
        <v>60.022766626633739</v>
      </c>
      <c r="N767" s="253">
        <v>57.806462265958302</v>
      </c>
      <c r="O767" s="253">
        <v>54.203622444736844</v>
      </c>
      <c r="P767" s="253">
        <v>45</v>
      </c>
      <c r="Q767" s="253">
        <v>65.819999999999993</v>
      </c>
      <c r="R767" s="253">
        <v>55.677585549999996</v>
      </c>
      <c r="S767" s="253">
        <v>49.1241512</v>
      </c>
      <c r="T767" s="253">
        <v>64.491254654231</v>
      </c>
      <c r="U767" s="253">
        <v>59.215421300000003</v>
      </c>
      <c r="V767" s="253">
        <v>63.371896523571401</v>
      </c>
      <c r="W767" s="253"/>
      <c r="X767" s="253"/>
      <c r="Y767" s="253">
        <v>49.825549449999997</v>
      </c>
      <c r="Z767" s="253">
        <v>61.062801929999999</v>
      </c>
      <c r="AA767" s="253"/>
      <c r="AB767" s="253"/>
      <c r="AC767" s="253"/>
      <c r="AD767" s="253"/>
      <c r="AE767" s="253"/>
    </row>
    <row r="768" spans="1:31">
      <c r="A768" s="33">
        <v>767</v>
      </c>
      <c r="B768" s="265" t="s">
        <v>566</v>
      </c>
      <c r="C768" s="69" t="s">
        <v>1203</v>
      </c>
      <c r="D768" s="56">
        <v>42273</v>
      </c>
      <c r="F768" s="56"/>
      <c r="G768" s="69" t="str">
        <f t="shared" si="11"/>
        <v>E-Commerce</v>
      </c>
      <c r="H768" s="83" t="s">
        <v>517</v>
      </c>
      <c r="I768" s="83"/>
      <c r="J768" s="265" t="s">
        <v>566</v>
      </c>
      <c r="K768" s="265" t="s">
        <v>1573</v>
      </c>
      <c r="L768" s="253">
        <v>58.866703154</v>
      </c>
      <c r="M768" s="253">
        <v>59.239994783642857</v>
      </c>
      <c r="N768" s="253">
        <v>59.952978381680701</v>
      </c>
      <c r="O768" s="253">
        <v>62.914439244210492</v>
      </c>
      <c r="P768" s="253">
        <v>58.465625320000001</v>
      </c>
      <c r="Q768" s="253">
        <v>68.45999999999998</v>
      </c>
      <c r="R768" s="253">
        <v>58.02465565</v>
      </c>
      <c r="S768" s="253">
        <v>58.462450590000003</v>
      </c>
      <c r="T768" s="253">
        <v>58.481545999999994</v>
      </c>
      <c r="U768" s="253">
        <v>57.034120730000005</v>
      </c>
      <c r="V768" s="253">
        <v>59.173280053857098</v>
      </c>
      <c r="W768" s="253"/>
      <c r="X768" s="253"/>
      <c r="Y768" s="253">
        <v>62.204751129999998</v>
      </c>
      <c r="Z768" s="253">
        <v>64.471014490000002</v>
      </c>
      <c r="AA768" s="253"/>
      <c r="AB768" s="253"/>
      <c r="AC768" s="253"/>
      <c r="AD768" s="253"/>
      <c r="AE768" s="253"/>
    </row>
    <row r="769" spans="1:31">
      <c r="A769" s="33">
        <v>768</v>
      </c>
      <c r="B769" s="69" t="s">
        <v>2024</v>
      </c>
      <c r="C769" s="69" t="s">
        <v>740</v>
      </c>
      <c r="D769" s="56">
        <v>42282</v>
      </c>
      <c r="G769" s="69" t="str">
        <f t="shared" si="11"/>
        <v>User Registration</v>
      </c>
      <c r="H769" s="69" t="s">
        <v>922</v>
      </c>
      <c r="J769" s="69" t="s">
        <v>2024</v>
      </c>
      <c r="K769" s="69" t="s">
        <v>2014</v>
      </c>
      <c r="L769" s="253">
        <v>56.847663552000007</v>
      </c>
      <c r="M769" s="253">
        <v>56.212041066999994</v>
      </c>
      <c r="N769" s="253">
        <v>56.510119991219518</v>
      </c>
      <c r="O769" s="253">
        <v>57.762643791578945</v>
      </c>
      <c r="P769" s="253">
        <v>56.059579439999993</v>
      </c>
      <c r="Q769" s="253">
        <v>62.079999999999991</v>
      </c>
      <c r="R769" s="253">
        <v>52.445819940000007</v>
      </c>
      <c r="S769" s="253">
        <v>55.191489359999998</v>
      </c>
      <c r="T769" s="253">
        <v>51.250000000000007</v>
      </c>
      <c r="U769" s="253">
        <v>54.585152839999992</v>
      </c>
      <c r="V769" s="253"/>
      <c r="W769" s="253">
        <v>58.4</v>
      </c>
      <c r="X769" s="253">
        <v>54</v>
      </c>
      <c r="Y769" s="253">
        <v>57.532710279999996</v>
      </c>
      <c r="Z769" s="253">
        <v>60</v>
      </c>
      <c r="AA769" s="253"/>
      <c r="AB769" s="253"/>
      <c r="AC769" s="253"/>
      <c r="AD769" s="253"/>
      <c r="AE769" s="253"/>
    </row>
    <row r="770" spans="1:31">
      <c r="A770" s="33">
        <v>769</v>
      </c>
      <c r="B770" s="69" t="s">
        <v>2024</v>
      </c>
      <c r="C770" s="69" t="s">
        <v>740</v>
      </c>
      <c r="D770" s="56">
        <v>42282</v>
      </c>
      <c r="G770" s="69" t="str">
        <f t="shared" ref="G770:G833" si="12">IF(V770&gt;0,IF(W770&gt;0,"Both","E-Commerce"),IF(W770=0, "ERROR","User Registration"))</f>
        <v>User Registration</v>
      </c>
      <c r="H770" s="69" t="s">
        <v>922</v>
      </c>
      <c r="J770" s="69" t="s">
        <v>2024</v>
      </c>
      <c r="K770" s="69" t="s">
        <v>1626</v>
      </c>
      <c r="L770" s="253">
        <v>55.266666663999999</v>
      </c>
      <c r="M770" s="253">
        <v>56.737136220000004</v>
      </c>
      <c r="N770" s="253">
        <v>61.647981325365855</v>
      </c>
      <c r="O770" s="253">
        <v>55.377575083157893</v>
      </c>
      <c r="P770" s="253">
        <v>54.833333330000002</v>
      </c>
      <c r="Q770" s="253">
        <v>60.819999999999993</v>
      </c>
      <c r="R770" s="253">
        <v>55.517872390000001</v>
      </c>
      <c r="S770" s="253">
        <v>53.5</v>
      </c>
      <c r="T770" s="253">
        <v>51.750000000000007</v>
      </c>
      <c r="U770" s="253">
        <v>57.174672489999999</v>
      </c>
      <c r="V770" s="253"/>
      <c r="W770" s="253">
        <v>57.999999999999993</v>
      </c>
      <c r="X770" s="253">
        <v>71</v>
      </c>
      <c r="Y770" s="253">
        <v>54.181818179999993</v>
      </c>
      <c r="Z770" s="253">
        <v>56.999999999999993</v>
      </c>
      <c r="AA770" s="253"/>
      <c r="AB770" s="253"/>
      <c r="AC770" s="253"/>
      <c r="AD770" s="253"/>
      <c r="AE770" s="253"/>
    </row>
    <row r="771" spans="1:31">
      <c r="A771" s="33">
        <v>770</v>
      </c>
      <c r="B771" s="69" t="s">
        <v>2024</v>
      </c>
      <c r="C771" s="69" t="s">
        <v>740</v>
      </c>
      <c r="D771" s="56">
        <v>42282</v>
      </c>
      <c r="F771" s="56"/>
      <c r="G771" s="69" t="str">
        <f t="shared" si="12"/>
        <v>User Registration</v>
      </c>
      <c r="H771" s="83" t="s">
        <v>922</v>
      </c>
      <c r="I771" s="83"/>
      <c r="J771" s="69" t="s">
        <v>2024</v>
      </c>
      <c r="K771" s="69" t="s">
        <v>1628</v>
      </c>
      <c r="L771" s="253">
        <v>45.840625000000003</v>
      </c>
      <c r="M771" s="253">
        <v>49.434463793399992</v>
      </c>
      <c r="N771" s="253">
        <v>51.118557917463413</v>
      </c>
      <c r="O771" s="253">
        <v>51.498012872736844</v>
      </c>
      <c r="P771" s="253">
        <v>41.80078125</v>
      </c>
      <c r="Q771" s="253">
        <v>50.753333331999997</v>
      </c>
      <c r="R771" s="253">
        <v>50.600145770000005</v>
      </c>
      <c r="S771" s="253">
        <v>46.30769231</v>
      </c>
      <c r="T771" s="253">
        <v>38.25</v>
      </c>
      <c r="U771" s="253">
        <v>44.688888890000001</v>
      </c>
      <c r="V771" s="253"/>
      <c r="W771" s="253">
        <v>55</v>
      </c>
      <c r="X771" s="253">
        <v>45</v>
      </c>
      <c r="Y771" s="253">
        <v>47.020092740000003</v>
      </c>
      <c r="Z771" s="253">
        <v>62</v>
      </c>
      <c r="AA771" s="253"/>
      <c r="AB771" s="253"/>
      <c r="AC771" s="253"/>
      <c r="AD771" s="253"/>
      <c r="AE771" s="253"/>
    </row>
    <row r="772" spans="1:31">
      <c r="A772" s="33">
        <v>771</v>
      </c>
      <c r="B772" s="69" t="s">
        <v>2024</v>
      </c>
      <c r="C772" s="69" t="s">
        <v>740</v>
      </c>
      <c r="D772" s="56">
        <v>42282</v>
      </c>
      <c r="F772" s="56"/>
      <c r="G772" s="69" t="str">
        <f t="shared" si="12"/>
        <v>User Registration</v>
      </c>
      <c r="H772" s="83" t="s">
        <v>922</v>
      </c>
      <c r="I772" s="83"/>
      <c r="J772" s="69" t="s">
        <v>2024</v>
      </c>
      <c r="K772" s="69" t="s">
        <v>2023</v>
      </c>
      <c r="L772" s="253">
        <v>35.943455495999999</v>
      </c>
      <c r="M772" s="253">
        <v>35.898744970499997</v>
      </c>
      <c r="N772" s="253">
        <v>26.305761906341463</v>
      </c>
      <c r="O772" s="253">
        <v>36.366571008421047</v>
      </c>
      <c r="P772" s="253">
        <v>37.429319370000002</v>
      </c>
      <c r="Q772" s="253">
        <v>41.339999999999996</v>
      </c>
      <c r="R772" s="253">
        <v>40.752706359999998</v>
      </c>
      <c r="S772" s="253">
        <v>32.246175239999999</v>
      </c>
      <c r="T772" s="253">
        <v>28.000000000000004</v>
      </c>
      <c r="U772" s="253">
        <v>31.973333329999996</v>
      </c>
      <c r="V772" s="253"/>
      <c r="W772" s="253">
        <v>35.5</v>
      </c>
      <c r="X772" s="253"/>
      <c r="Y772" s="253">
        <v>38.58732612</v>
      </c>
      <c r="Z772" s="253">
        <v>30</v>
      </c>
      <c r="AA772" s="253"/>
      <c r="AB772" s="253"/>
      <c r="AC772" s="253"/>
      <c r="AD772" s="253"/>
      <c r="AE772" s="253"/>
    </row>
    <row r="773" spans="1:31">
      <c r="A773" s="33">
        <v>772</v>
      </c>
      <c r="B773" s="69" t="s">
        <v>2024</v>
      </c>
      <c r="C773" s="69" t="s">
        <v>740</v>
      </c>
      <c r="D773" s="56">
        <v>42282</v>
      </c>
      <c r="F773" s="56"/>
      <c r="G773" s="69" t="str">
        <f t="shared" si="12"/>
        <v>User Registration</v>
      </c>
      <c r="H773" s="83" t="s">
        <v>922</v>
      </c>
      <c r="I773" s="83"/>
      <c r="J773" s="69" t="s">
        <v>2024</v>
      </c>
      <c r="K773" s="69" t="s">
        <v>2024</v>
      </c>
      <c r="L773" s="253">
        <v>42.419926345999997</v>
      </c>
      <c r="M773" s="253">
        <v>40.141393684699999</v>
      </c>
      <c r="N773" s="253">
        <v>38.38236389380139</v>
      </c>
      <c r="O773" s="253">
        <v>44.002679585842102</v>
      </c>
      <c r="P773" s="253">
        <v>43.54086538</v>
      </c>
      <c r="Q773" s="253">
        <v>38.950000000999992</v>
      </c>
      <c r="R773" s="253">
        <v>42.447343750000002</v>
      </c>
      <c r="S773" s="253">
        <v>40.707191780000002</v>
      </c>
      <c r="T773" s="253">
        <v>32</v>
      </c>
      <c r="U773" s="253">
        <v>39.218009479999999</v>
      </c>
      <c r="V773" s="253"/>
      <c r="W773" s="253">
        <v>36</v>
      </c>
      <c r="X773" s="253">
        <v>40.178571428571431</v>
      </c>
      <c r="Y773" s="253">
        <v>48.18181818</v>
      </c>
      <c r="Z773" s="253">
        <v>37.93617021</v>
      </c>
      <c r="AA773" s="253"/>
      <c r="AB773" s="253"/>
      <c r="AC773" s="253"/>
      <c r="AD773" s="253"/>
      <c r="AE773" s="253"/>
    </row>
    <row r="774" spans="1:31">
      <c r="A774" s="33">
        <v>773</v>
      </c>
      <c r="B774" s="69" t="s">
        <v>1627</v>
      </c>
      <c r="C774" s="69" t="s">
        <v>740</v>
      </c>
      <c r="D774" s="56">
        <v>42283</v>
      </c>
      <c r="G774" s="69" t="str">
        <f t="shared" si="12"/>
        <v>User Registration</v>
      </c>
      <c r="H774" s="69" t="s">
        <v>922</v>
      </c>
      <c r="J774" s="69" t="s">
        <v>1627</v>
      </c>
      <c r="K774" s="69" t="s">
        <v>1626</v>
      </c>
      <c r="L774" s="253">
        <v>55.399999999999991</v>
      </c>
      <c r="M774" s="253">
        <v>57.803668122499992</v>
      </c>
      <c r="N774" s="253">
        <v>62.00975609756096</v>
      </c>
      <c r="O774" s="253">
        <v>53.515789473684201</v>
      </c>
      <c r="P774" s="253">
        <v>55</v>
      </c>
      <c r="Q774" s="253">
        <v>62.79999999999999</v>
      </c>
      <c r="R774" s="253">
        <v>56.999999999999993</v>
      </c>
      <c r="S774" s="253">
        <v>55</v>
      </c>
      <c r="T774" s="253">
        <v>51.750000000000007</v>
      </c>
      <c r="U774" s="253">
        <v>57.174672489999999</v>
      </c>
      <c r="V774" s="253"/>
      <c r="W774" s="253">
        <v>57.999999999999993</v>
      </c>
      <c r="X774" s="253">
        <v>71</v>
      </c>
      <c r="Y774" s="253">
        <v>50</v>
      </c>
      <c r="Z774" s="253">
        <v>56.999999999999993</v>
      </c>
      <c r="AA774" s="253"/>
      <c r="AB774" s="253"/>
      <c r="AC774" s="253"/>
      <c r="AD774" s="253"/>
      <c r="AE774" s="253"/>
    </row>
    <row r="775" spans="1:31">
      <c r="A775" s="33">
        <v>774</v>
      </c>
      <c r="B775" s="69" t="s">
        <v>1627</v>
      </c>
      <c r="C775" s="69" t="s">
        <v>740</v>
      </c>
      <c r="D775" s="56">
        <v>42283</v>
      </c>
      <c r="G775" s="69" t="str">
        <f t="shared" si="12"/>
        <v>User Registration</v>
      </c>
      <c r="H775" s="69" t="s">
        <v>922</v>
      </c>
      <c r="J775" s="69" t="s">
        <v>1627</v>
      </c>
      <c r="K775" s="69" t="s">
        <v>2014</v>
      </c>
      <c r="L775" s="253">
        <v>57.047663552000003</v>
      </c>
      <c r="M775" s="253">
        <v>55.182288209999996</v>
      </c>
      <c r="N775" s="253">
        <v>57.171707317073171</v>
      </c>
      <c r="O775" s="253">
        <v>57.631952778947358</v>
      </c>
      <c r="P775" s="253">
        <v>56.059579439999993</v>
      </c>
      <c r="Q775" s="253">
        <v>62.679999999999993</v>
      </c>
      <c r="R775" s="253">
        <v>50</v>
      </c>
      <c r="S775" s="253">
        <v>52</v>
      </c>
      <c r="T775" s="253">
        <v>51.250000000000007</v>
      </c>
      <c r="U775" s="253">
        <v>54.585152839999992</v>
      </c>
      <c r="V775" s="253"/>
      <c r="W775" s="253">
        <v>60.4</v>
      </c>
      <c r="X775" s="253">
        <v>54</v>
      </c>
      <c r="Y775" s="253">
        <v>57.532710279999996</v>
      </c>
      <c r="Z775" s="253">
        <v>61</v>
      </c>
      <c r="AA775" s="253"/>
      <c r="AB775" s="253"/>
      <c r="AC775" s="253"/>
      <c r="AD775" s="253"/>
      <c r="AE775" s="253"/>
    </row>
    <row r="776" spans="1:31">
      <c r="A776" s="33">
        <v>775</v>
      </c>
      <c r="B776" s="69" t="s">
        <v>2015</v>
      </c>
      <c r="C776" s="69" t="s">
        <v>1232</v>
      </c>
      <c r="D776" s="56">
        <v>42283</v>
      </c>
      <c r="F776" s="56"/>
      <c r="G776" s="69" t="str">
        <f t="shared" si="12"/>
        <v>User Registration</v>
      </c>
      <c r="H776" s="83" t="s">
        <v>922</v>
      </c>
      <c r="I776" s="83"/>
      <c r="J776" s="69" t="s">
        <v>2015</v>
      </c>
      <c r="K776" s="69" t="s">
        <v>2016</v>
      </c>
      <c r="L776" s="253">
        <v>58.715633421999989</v>
      </c>
      <c r="M776" s="253">
        <v>58.371225430500004</v>
      </c>
      <c r="N776" s="253">
        <v>55.113248698745643</v>
      </c>
      <c r="O776" s="253">
        <v>59.150261131052638</v>
      </c>
      <c r="P776" s="253">
        <v>59.771428569999998</v>
      </c>
      <c r="Q776" s="253">
        <v>56.29999999999999</v>
      </c>
      <c r="R776" s="253">
        <v>58.635770870000002</v>
      </c>
      <c r="S776" s="253">
        <v>59.145143099999999</v>
      </c>
      <c r="T776" s="253">
        <v>52</v>
      </c>
      <c r="U776" s="253">
        <v>60.69603524</v>
      </c>
      <c r="V776" s="253"/>
      <c r="W776" s="253">
        <v>54</v>
      </c>
      <c r="X776" s="253">
        <v>54.910714285714292</v>
      </c>
      <c r="Y776" s="253">
        <v>61.86760125</v>
      </c>
      <c r="Z776" s="253">
        <v>54.492452830000005</v>
      </c>
      <c r="AA776" s="253"/>
      <c r="AB776" s="253"/>
      <c r="AC776" s="253"/>
      <c r="AD776" s="253"/>
      <c r="AE776" s="253"/>
    </row>
    <row r="777" spans="1:31">
      <c r="A777" s="33">
        <v>776</v>
      </c>
      <c r="B777" s="69" t="s">
        <v>2017</v>
      </c>
      <c r="C777" s="69" t="s">
        <v>740</v>
      </c>
      <c r="D777" s="56">
        <v>42283</v>
      </c>
      <c r="F777" s="56"/>
      <c r="G777" s="69" t="str">
        <f t="shared" si="12"/>
        <v>E-Commerce</v>
      </c>
      <c r="H777" s="83" t="s">
        <v>1956</v>
      </c>
      <c r="I777" s="83"/>
      <c r="J777" s="69" t="s">
        <v>2017</v>
      </c>
      <c r="K777" s="69" t="s">
        <v>2017</v>
      </c>
      <c r="L777" s="253">
        <v>46.874829930000004</v>
      </c>
      <c r="M777" s="253">
        <v>49.271446181914285</v>
      </c>
      <c r="N777" s="253">
        <v>47.306008509165714</v>
      </c>
      <c r="O777" s="253">
        <v>47.322656807894738</v>
      </c>
      <c r="P777" s="253">
        <v>48.083333330000002</v>
      </c>
      <c r="Q777" s="253">
        <v>59.559999999999988</v>
      </c>
      <c r="R777" s="253">
        <v>51.104152249999999</v>
      </c>
      <c r="S777" s="253">
        <v>42.026717599999998</v>
      </c>
      <c r="T777" s="253">
        <v>52.105263157894733</v>
      </c>
      <c r="U777" s="253">
        <v>47.423580789999995</v>
      </c>
      <c r="V777" s="253">
        <v>49.743797257571423</v>
      </c>
      <c r="W777" s="253"/>
      <c r="X777" s="253"/>
      <c r="Y777" s="253">
        <v>48.513137560000004</v>
      </c>
      <c r="Z777" s="253">
        <v>42.040816329999998</v>
      </c>
      <c r="AA777" s="253"/>
      <c r="AB777" s="253"/>
      <c r="AC777" s="253"/>
      <c r="AD777" s="253"/>
      <c r="AE777" s="253"/>
    </row>
    <row r="778" spans="1:31">
      <c r="A778" s="33">
        <v>777</v>
      </c>
      <c r="B778" s="69" t="s">
        <v>2017</v>
      </c>
      <c r="C778" s="69" t="s">
        <v>740</v>
      </c>
      <c r="D778" s="56">
        <v>42283</v>
      </c>
      <c r="F778" s="56"/>
      <c r="G778" s="69" t="str">
        <f t="shared" si="12"/>
        <v>E-Commerce</v>
      </c>
      <c r="H778" s="83" t="s">
        <v>1956</v>
      </c>
      <c r="I778" s="83"/>
      <c r="J778" s="69" t="s">
        <v>2017</v>
      </c>
      <c r="K778" s="69" t="s">
        <v>2018</v>
      </c>
      <c r="L778" s="253">
        <v>52.578040128000005</v>
      </c>
      <c r="M778" s="253">
        <v>50.735302327714294</v>
      </c>
      <c r="N778" s="253">
        <v>42.959461830142295</v>
      </c>
      <c r="O778" s="253">
        <v>50.782727310526319</v>
      </c>
      <c r="P778" s="253">
        <v>52.530726260000002</v>
      </c>
      <c r="Q778" s="253">
        <v>55.02</v>
      </c>
      <c r="R778" s="253">
        <v>55.660071940000002</v>
      </c>
      <c r="S778" s="253">
        <v>53.146551719999998</v>
      </c>
      <c r="T778" s="253">
        <v>50.263157894736842</v>
      </c>
      <c r="U778" s="253">
        <v>45.013100440000002</v>
      </c>
      <c r="V778" s="253">
        <v>45.363179642571424</v>
      </c>
      <c r="W778" s="253"/>
      <c r="X778" s="253"/>
      <c r="Y778" s="253">
        <v>48.154864530000005</v>
      </c>
      <c r="Z778" s="253">
        <v>52.767295599999997</v>
      </c>
      <c r="AA778" s="253"/>
      <c r="AB778" s="253"/>
      <c r="AC778" s="253"/>
      <c r="AD778" s="253"/>
      <c r="AE778" s="253"/>
    </row>
    <row r="779" spans="1:31">
      <c r="A779" s="33">
        <v>778</v>
      </c>
      <c r="B779" s="69" t="s">
        <v>2017</v>
      </c>
      <c r="C779" s="69" t="s">
        <v>740</v>
      </c>
      <c r="D779" s="56">
        <v>42283</v>
      </c>
      <c r="F779" s="56"/>
      <c r="G779" s="69" t="str">
        <f t="shared" si="12"/>
        <v>E-Commerce</v>
      </c>
      <c r="H779" s="83" t="s">
        <v>1956</v>
      </c>
      <c r="I779" s="83"/>
      <c r="J779" s="69" t="s">
        <v>2017</v>
      </c>
      <c r="K779" s="69" t="s">
        <v>2019</v>
      </c>
      <c r="L779" s="253">
        <v>53.275000000000006</v>
      </c>
      <c r="M779" s="253">
        <v>57.069300518257151</v>
      </c>
      <c r="N779" s="253">
        <v>62.711076172426992</v>
      </c>
      <c r="O779" s="253">
        <v>53.54911768947369</v>
      </c>
      <c r="P779" s="253">
        <v>53.84375</v>
      </c>
      <c r="Q779" s="253">
        <v>52.239999999999995</v>
      </c>
      <c r="R779" s="253">
        <v>58.999999999999993</v>
      </c>
      <c r="S779" s="253">
        <v>57.461229999999993</v>
      </c>
      <c r="T779" s="253">
        <v>52.89473684210526</v>
      </c>
      <c r="U779" s="253">
        <v>56.000000000000007</v>
      </c>
      <c r="V779" s="253">
        <v>62.185518591285714</v>
      </c>
      <c r="W779" s="253"/>
      <c r="X779" s="253"/>
      <c r="Y779" s="253">
        <v>53.473200610000006</v>
      </c>
      <c r="Z779" s="253">
        <v>51</v>
      </c>
      <c r="AA779" s="253"/>
      <c r="AB779" s="253"/>
      <c r="AC779" s="253"/>
      <c r="AD779" s="253"/>
      <c r="AE779" s="253"/>
    </row>
    <row r="780" spans="1:31">
      <c r="A780" s="33">
        <v>779</v>
      </c>
      <c r="B780" s="69" t="s">
        <v>2017</v>
      </c>
      <c r="C780" s="69" t="s">
        <v>740</v>
      </c>
      <c r="D780" s="56">
        <v>42283</v>
      </c>
      <c r="F780" s="56"/>
      <c r="G780" s="69" t="str">
        <f t="shared" si="12"/>
        <v>E-Commerce</v>
      </c>
      <c r="H780" s="83" t="s">
        <v>1956</v>
      </c>
      <c r="I780" s="83"/>
      <c r="J780" s="69" t="s">
        <v>2017</v>
      </c>
      <c r="K780" s="69" t="s">
        <v>2020</v>
      </c>
      <c r="L780" s="253">
        <v>37.967041199999997</v>
      </c>
      <c r="M780" s="253">
        <v>48.740963086228568</v>
      </c>
      <c r="N780" s="253">
        <v>50.064279154071599</v>
      </c>
      <c r="O780" s="253">
        <v>45.566689759473689</v>
      </c>
      <c r="P780" s="253">
        <v>42.4588015</v>
      </c>
      <c r="Q780" s="253">
        <v>62.88</v>
      </c>
      <c r="R780" s="253">
        <v>45.457846949999997</v>
      </c>
      <c r="S780" s="253">
        <v>46.556701029999999</v>
      </c>
      <c r="T780" s="253">
        <v>38.421052631578945</v>
      </c>
      <c r="U780" s="253">
        <v>54.301310039999997</v>
      </c>
      <c r="V780" s="253">
        <v>48.396297617142849</v>
      </c>
      <c r="W780" s="253"/>
      <c r="X780" s="253"/>
      <c r="Y780" s="253">
        <v>56.541471049999998</v>
      </c>
      <c r="Z780" s="253">
        <v>20</v>
      </c>
      <c r="AA780" s="253"/>
      <c r="AB780" s="253"/>
      <c r="AC780" s="253"/>
      <c r="AD780" s="253"/>
      <c r="AE780" s="253"/>
    </row>
    <row r="781" spans="1:31">
      <c r="A781" s="33">
        <v>780</v>
      </c>
      <c r="B781" s="69" t="s">
        <v>2017</v>
      </c>
      <c r="C781" s="69" t="s">
        <v>740</v>
      </c>
      <c r="D781" s="56">
        <v>42283</v>
      </c>
      <c r="F781" s="56"/>
      <c r="G781" s="69" t="str">
        <f t="shared" si="12"/>
        <v>E-Commerce</v>
      </c>
      <c r="H781" s="83" t="s">
        <v>1956</v>
      </c>
      <c r="I781" s="83"/>
      <c r="J781" s="69" t="s">
        <v>2017</v>
      </c>
      <c r="K781" s="69" t="s">
        <v>2021</v>
      </c>
      <c r="L781" s="253">
        <v>46.407708335999992</v>
      </c>
      <c r="M781" s="253">
        <v>51.200514355314283</v>
      </c>
      <c r="N781" s="253">
        <v>53.943230315511514</v>
      </c>
      <c r="O781" s="253">
        <v>47.280958977368414</v>
      </c>
      <c r="P781" s="253">
        <v>46.709635419999991</v>
      </c>
      <c r="Q781" s="253">
        <v>61.040000000000006</v>
      </c>
      <c r="R781" s="253">
        <v>52.602519130000005</v>
      </c>
      <c r="S781" s="253">
        <v>41.366738509999998</v>
      </c>
      <c r="T781" s="253">
        <v>51.578947368421055</v>
      </c>
      <c r="U781" s="253">
        <v>50.100436680000001</v>
      </c>
      <c r="V781" s="253">
        <v>53.294225158571429</v>
      </c>
      <c r="W781" s="253"/>
      <c r="X781" s="253"/>
      <c r="Y781" s="253">
        <v>46.472644379999998</v>
      </c>
      <c r="Z781" s="253">
        <v>45.2</v>
      </c>
      <c r="AA781" s="253"/>
      <c r="AB781" s="253"/>
      <c r="AC781" s="253"/>
      <c r="AD781" s="253"/>
      <c r="AE781" s="253"/>
    </row>
    <row r="782" spans="1:31">
      <c r="A782" s="33">
        <v>781</v>
      </c>
      <c r="B782" s="69" t="s">
        <v>2015</v>
      </c>
      <c r="C782" s="69" t="s">
        <v>1232</v>
      </c>
      <c r="D782" s="56">
        <v>42283</v>
      </c>
      <c r="F782" s="56"/>
      <c r="G782" s="69" t="str">
        <f t="shared" si="12"/>
        <v>User Registration</v>
      </c>
      <c r="H782" s="83" t="s">
        <v>922</v>
      </c>
      <c r="I782" s="83"/>
      <c r="J782" s="69" t="s">
        <v>2015</v>
      </c>
      <c r="K782" s="69" t="s">
        <v>379</v>
      </c>
      <c r="L782" s="253">
        <v>63.005032467714315</v>
      </c>
      <c r="M782" s="253">
        <v>61.645731810000001</v>
      </c>
      <c r="N782" s="253">
        <v>58.070386002648085</v>
      </c>
      <c r="O782" s="253">
        <v>65.435796530526318</v>
      </c>
      <c r="P782" s="253">
        <v>64.341517857142904</v>
      </c>
      <c r="Q782" s="253">
        <v>55</v>
      </c>
      <c r="R782" s="253">
        <v>66.992875780000006</v>
      </c>
      <c r="S782" s="253">
        <v>69.408018869999992</v>
      </c>
      <c r="T782" s="253">
        <v>60.277777777777771</v>
      </c>
      <c r="U782" s="253">
        <v>56.999999999999993</v>
      </c>
      <c r="V782" s="253"/>
      <c r="W782" s="253">
        <v>60</v>
      </c>
      <c r="X782" s="253">
        <v>51.160714285714292</v>
      </c>
      <c r="Y782" s="253">
        <v>69.659090910000003</v>
      </c>
      <c r="Z782" s="253">
        <v>57.659090909999996</v>
      </c>
      <c r="AA782" s="253"/>
      <c r="AB782" s="253"/>
      <c r="AC782" s="253"/>
      <c r="AD782" s="253"/>
      <c r="AE782" s="253"/>
    </row>
    <row r="783" spans="1:31">
      <c r="A783" s="33">
        <v>782</v>
      </c>
      <c r="B783" s="69" t="s">
        <v>2015</v>
      </c>
      <c r="C783" s="69" t="s">
        <v>1232</v>
      </c>
      <c r="D783" s="56">
        <v>42283</v>
      </c>
      <c r="F783" s="56"/>
      <c r="G783" s="69" t="str">
        <f t="shared" si="12"/>
        <v>User Registration</v>
      </c>
      <c r="H783" s="83" t="s">
        <v>922</v>
      </c>
      <c r="I783" s="83"/>
      <c r="J783" s="69" t="s">
        <v>2015</v>
      </c>
      <c r="K783" s="69" t="s">
        <v>2015</v>
      </c>
      <c r="L783" s="253">
        <v>51.373417721999999</v>
      </c>
      <c r="M783" s="253">
        <v>50.647489002999997</v>
      </c>
      <c r="N783" s="253">
        <v>47.751219512195121</v>
      </c>
      <c r="O783" s="253">
        <v>51.911385182105263</v>
      </c>
      <c r="P783" s="253">
        <v>53</v>
      </c>
      <c r="Q783" s="253">
        <v>54.599999999999994</v>
      </c>
      <c r="R783" s="253">
        <v>54</v>
      </c>
      <c r="S783" s="253">
        <v>50.453900709999999</v>
      </c>
      <c r="T783" s="253">
        <v>45.833333333333336</v>
      </c>
      <c r="U783" s="253">
        <v>46.6</v>
      </c>
      <c r="V783" s="253"/>
      <c r="W783" s="253">
        <v>48</v>
      </c>
      <c r="X783" s="253">
        <v>42.5</v>
      </c>
      <c r="Y783" s="253">
        <v>54.892697469999995</v>
      </c>
      <c r="Z783" s="253">
        <v>44.867088609999996</v>
      </c>
      <c r="AA783" s="253"/>
      <c r="AB783" s="253"/>
      <c r="AC783" s="253"/>
      <c r="AD783" s="253"/>
      <c r="AE783" s="253"/>
    </row>
    <row r="784" spans="1:31">
      <c r="A784" s="33">
        <v>783</v>
      </c>
      <c r="B784" s="69" t="s">
        <v>2015</v>
      </c>
      <c r="C784" s="69" t="s">
        <v>1232</v>
      </c>
      <c r="D784" s="56">
        <v>42283</v>
      </c>
      <c r="F784" s="56"/>
      <c r="G784" s="69" t="str">
        <f t="shared" si="12"/>
        <v>User Registration</v>
      </c>
      <c r="H784" s="83" t="s">
        <v>922</v>
      </c>
      <c r="I784" s="83"/>
      <c r="J784" s="69" t="s">
        <v>2015</v>
      </c>
      <c r="K784" s="69" t="s">
        <v>1447</v>
      </c>
      <c r="L784" s="253">
        <v>63.96573718497028</v>
      </c>
      <c r="M784" s="253">
        <v>59.880490341000005</v>
      </c>
      <c r="N784" s="253">
        <v>62.146800870452957</v>
      </c>
      <c r="O784" s="253">
        <v>58.590404581578944</v>
      </c>
      <c r="P784" s="253">
        <v>65.496287128712865</v>
      </c>
      <c r="Q784" s="253">
        <v>54</v>
      </c>
      <c r="R784" s="253">
        <v>58.999999999999993</v>
      </c>
      <c r="S784" s="253">
        <v>62</v>
      </c>
      <c r="T784" s="253">
        <v>56.666666666666664</v>
      </c>
      <c r="U784" s="253">
        <v>64.584546399999994</v>
      </c>
      <c r="V784" s="253"/>
      <c r="W784" s="253">
        <v>67.154513213000001</v>
      </c>
      <c r="X784" s="253">
        <v>57.410714285714292</v>
      </c>
      <c r="Y784" s="253">
        <v>58.999999999999993</v>
      </c>
      <c r="Z784" s="253">
        <v>57.843537410000003</v>
      </c>
      <c r="AA784" s="253"/>
      <c r="AB784" s="253"/>
      <c r="AC784" s="253"/>
      <c r="AD784" s="253"/>
      <c r="AE784" s="253"/>
    </row>
    <row r="785" spans="1:31">
      <c r="A785" s="33">
        <v>784</v>
      </c>
      <c r="B785" s="69" t="s">
        <v>1627</v>
      </c>
      <c r="C785" s="69" t="s">
        <v>740</v>
      </c>
      <c r="D785" s="56">
        <v>42283</v>
      </c>
      <c r="F785" s="56"/>
      <c r="G785" s="69" t="str">
        <f t="shared" si="12"/>
        <v>User Registration</v>
      </c>
      <c r="H785" s="83" t="s">
        <v>922</v>
      </c>
      <c r="I785" s="83"/>
      <c r="J785" s="69" t="s">
        <v>1627</v>
      </c>
      <c r="K785" s="69" t="s">
        <v>1628</v>
      </c>
      <c r="L785" s="253">
        <v>46.240625000000009</v>
      </c>
      <c r="M785" s="253">
        <v>50.860888888899993</v>
      </c>
      <c r="N785" s="253">
        <v>51.087317073073166</v>
      </c>
      <c r="O785" s="253">
        <v>52.957543859578934</v>
      </c>
      <c r="P785" s="253">
        <v>41.80078125</v>
      </c>
      <c r="Q785" s="253">
        <v>52.193333331999987</v>
      </c>
      <c r="R785" s="253">
        <v>53</v>
      </c>
      <c r="S785" s="253">
        <v>48</v>
      </c>
      <c r="T785" s="253">
        <v>38.25</v>
      </c>
      <c r="U785" s="253">
        <v>44.688888890000001</v>
      </c>
      <c r="V785" s="253"/>
      <c r="W785" s="253">
        <v>54</v>
      </c>
      <c r="X785" s="253">
        <v>45</v>
      </c>
      <c r="Y785" s="253">
        <v>48</v>
      </c>
      <c r="Z785" s="253">
        <v>64</v>
      </c>
      <c r="AA785" s="253"/>
      <c r="AB785" s="253"/>
      <c r="AC785" s="253"/>
      <c r="AD785" s="253"/>
      <c r="AE785" s="253"/>
    </row>
    <row r="786" spans="1:31">
      <c r="A786" s="33">
        <v>785</v>
      </c>
      <c r="B786" s="69" t="s">
        <v>1627</v>
      </c>
      <c r="C786" s="69" t="s">
        <v>740</v>
      </c>
      <c r="D786" s="56">
        <v>42283</v>
      </c>
      <c r="F786" s="56"/>
      <c r="G786" s="69" t="str">
        <f t="shared" si="12"/>
        <v>User Registration</v>
      </c>
      <c r="H786" s="83" t="s">
        <v>922</v>
      </c>
      <c r="I786" s="83"/>
      <c r="J786" s="69" t="s">
        <v>1627</v>
      </c>
      <c r="K786" s="69" t="s">
        <v>1627</v>
      </c>
      <c r="L786" s="253">
        <v>45.800000000000004</v>
      </c>
      <c r="M786" s="253">
        <v>43.98170370359999</v>
      </c>
      <c r="N786" s="253">
        <v>21.168393341038328</v>
      </c>
      <c r="O786" s="253">
        <v>39.745185185157894</v>
      </c>
      <c r="P786" s="253">
        <v>49</v>
      </c>
      <c r="Q786" s="253">
        <v>50.158518517999994</v>
      </c>
      <c r="R786" s="253">
        <v>49</v>
      </c>
      <c r="S786" s="253">
        <v>42</v>
      </c>
      <c r="T786" s="253">
        <v>30.7</v>
      </c>
      <c r="U786" s="253">
        <v>40</v>
      </c>
      <c r="V786" s="253"/>
      <c r="W786" s="253">
        <v>23</v>
      </c>
      <c r="X786" s="253">
        <v>35.285714285714278</v>
      </c>
      <c r="Y786" s="253">
        <v>40</v>
      </c>
      <c r="Z786" s="253">
        <v>33</v>
      </c>
      <c r="AA786" s="253"/>
      <c r="AB786" s="253"/>
      <c r="AC786" s="253"/>
      <c r="AD786" s="253"/>
      <c r="AE786" s="253"/>
    </row>
    <row r="787" spans="1:31">
      <c r="A787" s="33">
        <v>786</v>
      </c>
      <c r="B787" s="69" t="s">
        <v>2015</v>
      </c>
      <c r="C787" s="69" t="s">
        <v>1232</v>
      </c>
      <c r="D787" s="56">
        <v>42283</v>
      </c>
      <c r="F787" s="56"/>
      <c r="G787" s="69" t="str">
        <f t="shared" si="12"/>
        <v>User Registration</v>
      </c>
      <c r="H787" s="83" t="s">
        <v>922</v>
      </c>
      <c r="I787" s="83"/>
      <c r="J787" s="69" t="s">
        <v>2015</v>
      </c>
      <c r="K787" s="69" t="s">
        <v>2022</v>
      </c>
      <c r="L787" s="253">
        <v>43.180331355999996</v>
      </c>
      <c r="M787" s="253">
        <v>40.989595238500002</v>
      </c>
      <c r="N787" s="253">
        <v>40.315389975121953</v>
      </c>
      <c r="O787" s="253">
        <v>44.145094528947361</v>
      </c>
      <c r="P787" s="253">
        <v>45.087064679999997</v>
      </c>
      <c r="Q787" s="253">
        <v>49.639999999999993</v>
      </c>
      <c r="R787" s="253">
        <v>44.570660050000001</v>
      </c>
      <c r="S787" s="253">
        <v>39.211742950000001</v>
      </c>
      <c r="T787" s="253">
        <v>32.222222222222221</v>
      </c>
      <c r="U787" s="253">
        <v>34.084967319999997</v>
      </c>
      <c r="V787" s="253"/>
      <c r="W787" s="253">
        <v>37.454351433999996</v>
      </c>
      <c r="X787" s="253">
        <v>40.625000000000007</v>
      </c>
      <c r="Y787" s="253">
        <v>48.299674269999997</v>
      </c>
      <c r="Z787" s="253">
        <v>35.553398059999999</v>
      </c>
      <c r="AA787" s="253"/>
      <c r="AB787" s="253"/>
      <c r="AC787" s="253"/>
      <c r="AD787" s="253"/>
      <c r="AE787" s="253"/>
    </row>
    <row r="788" spans="1:31">
      <c r="A788" s="33">
        <v>787</v>
      </c>
      <c r="B788" s="69" t="s">
        <v>1627</v>
      </c>
      <c r="C788" s="69" t="s">
        <v>740</v>
      </c>
      <c r="D788" s="56">
        <v>42283</v>
      </c>
      <c r="F788" s="56"/>
      <c r="G788" s="69" t="str">
        <f t="shared" si="12"/>
        <v>User Registration</v>
      </c>
      <c r="H788" s="83" t="s">
        <v>922</v>
      </c>
      <c r="I788" s="83"/>
      <c r="J788" s="69" t="s">
        <v>1627</v>
      </c>
      <c r="K788" s="69" t="s">
        <v>2023</v>
      </c>
      <c r="L788" s="253">
        <v>35.943455495999999</v>
      </c>
      <c r="M788" s="253">
        <v>34.701333332499999</v>
      </c>
      <c r="N788" s="253">
        <v>22.222439024390244</v>
      </c>
      <c r="O788" s="253">
        <v>35.942803221052635</v>
      </c>
      <c r="P788" s="253">
        <v>37.429319370000002</v>
      </c>
      <c r="Q788" s="253">
        <v>41.04</v>
      </c>
      <c r="R788" s="253">
        <v>38</v>
      </c>
      <c r="S788" s="253">
        <v>30</v>
      </c>
      <c r="T788" s="253">
        <v>28.000000000000004</v>
      </c>
      <c r="U788" s="253">
        <v>31.973333329999996</v>
      </c>
      <c r="V788" s="253"/>
      <c r="W788" s="253">
        <v>28.000000000000004</v>
      </c>
      <c r="X788" s="253">
        <v>0</v>
      </c>
      <c r="Y788" s="253">
        <v>38.58732612</v>
      </c>
      <c r="Z788" s="253">
        <v>30</v>
      </c>
      <c r="AA788" s="253"/>
      <c r="AB788" s="253"/>
      <c r="AC788" s="253"/>
      <c r="AD788" s="253"/>
      <c r="AE788" s="253"/>
    </row>
    <row r="789" spans="1:31">
      <c r="A789" s="33">
        <v>788</v>
      </c>
      <c r="B789" s="69" t="s">
        <v>1836</v>
      </c>
      <c r="C789" s="69" t="s">
        <v>1330</v>
      </c>
      <c r="D789" s="56">
        <v>42289</v>
      </c>
      <c r="F789" s="56"/>
      <c r="G789" s="69" t="str">
        <f t="shared" si="12"/>
        <v>E-Commerce</v>
      </c>
      <c r="H789" s="83" t="s">
        <v>2012</v>
      </c>
      <c r="I789" s="83"/>
      <c r="J789" s="69" t="s">
        <v>1836</v>
      </c>
      <c r="K789" s="69" t="s">
        <v>1836</v>
      </c>
      <c r="L789" s="253">
        <v>58.991609160000003</v>
      </c>
      <c r="M789" s="253">
        <v>56.554656440933329</v>
      </c>
      <c r="N789" s="253">
        <v>55.961920994919311</v>
      </c>
      <c r="O789" s="253">
        <v>58.418271144736842</v>
      </c>
      <c r="P789" s="253">
        <v>60.99441341</v>
      </c>
      <c r="Q789" s="253">
        <v>53.98</v>
      </c>
      <c r="R789" s="253">
        <v>54.611054940000002</v>
      </c>
      <c r="S789" s="253">
        <v>62.440988369999992</v>
      </c>
      <c r="T789" s="253"/>
      <c r="U789" s="253">
        <v>56.454545450000005</v>
      </c>
      <c r="V789" s="253">
        <v>58.178734254666665</v>
      </c>
      <c r="W789" s="253"/>
      <c r="X789" s="253">
        <v>62</v>
      </c>
      <c r="Y789" s="253">
        <v>62.940209270000004</v>
      </c>
      <c r="Z789" s="253">
        <v>50.980392160000001</v>
      </c>
      <c r="AA789" s="253"/>
      <c r="AB789" s="253"/>
      <c r="AC789" s="253"/>
      <c r="AD789" s="253"/>
      <c r="AE789" s="253"/>
    </row>
    <row r="790" spans="1:31">
      <c r="A790" s="33">
        <v>789</v>
      </c>
      <c r="B790" s="69" t="s">
        <v>1836</v>
      </c>
      <c r="C790" s="69" t="s">
        <v>1330</v>
      </c>
      <c r="D790" s="56">
        <v>42289</v>
      </c>
      <c r="F790" s="56"/>
      <c r="G790" s="69" t="str">
        <f t="shared" si="12"/>
        <v>E-Commerce</v>
      </c>
      <c r="H790" s="83" t="s">
        <v>2012</v>
      </c>
      <c r="I790" s="83"/>
      <c r="J790" s="69" t="s">
        <v>1836</v>
      </c>
      <c r="K790" s="69" t="s">
        <v>1653</v>
      </c>
      <c r="L790" s="253">
        <v>60.876684061999995</v>
      </c>
      <c r="M790" s="253">
        <v>57.368562728630764</v>
      </c>
      <c r="N790" s="253">
        <v>46.67400139083729</v>
      </c>
      <c r="O790" s="253">
        <v>54.673881530000003</v>
      </c>
      <c r="P790" s="253">
        <v>63.728971960000003</v>
      </c>
      <c r="Q790" s="253">
        <v>64.017499999999998</v>
      </c>
      <c r="R790" s="253">
        <v>55.276182429999999</v>
      </c>
      <c r="S790" s="253">
        <v>59.254300459999996</v>
      </c>
      <c r="T790" s="253"/>
      <c r="U790" s="253">
        <v>57.717808220000002</v>
      </c>
      <c r="V790" s="253">
        <v>55.444369637153841</v>
      </c>
      <c r="W790" s="253"/>
      <c r="X790" s="253">
        <v>60.446428571428569</v>
      </c>
      <c r="Y790" s="253">
        <v>55.764192139999999</v>
      </c>
      <c r="Z790" s="253">
        <v>49.467532470000002</v>
      </c>
      <c r="AA790" s="253"/>
      <c r="AB790" s="253"/>
      <c r="AC790" s="253"/>
      <c r="AD790" s="253"/>
      <c r="AE790" s="253"/>
    </row>
    <row r="791" spans="1:31">
      <c r="A791" s="33">
        <v>790</v>
      </c>
      <c r="B791" s="69" t="s">
        <v>1836</v>
      </c>
      <c r="C791" s="69" t="s">
        <v>1330</v>
      </c>
      <c r="D791" s="56">
        <v>42289</v>
      </c>
      <c r="F791" s="56"/>
      <c r="G791" s="69" t="str">
        <f t="shared" si="12"/>
        <v>E-Commerce</v>
      </c>
      <c r="H791" s="83" t="s">
        <v>2012</v>
      </c>
      <c r="I791" s="83"/>
      <c r="J791" s="69" t="s">
        <v>1836</v>
      </c>
      <c r="K791" s="69" t="s">
        <v>2013</v>
      </c>
      <c r="L791" s="253">
        <v>60.53177183399999</v>
      </c>
      <c r="M791" s="253">
        <v>60.324918911712807</v>
      </c>
      <c r="N791" s="253">
        <v>60.242167006471583</v>
      </c>
      <c r="O791" s="253">
        <v>61.969819494210519</v>
      </c>
      <c r="P791" s="253">
        <v>58.293636360000001</v>
      </c>
      <c r="Q791" s="253">
        <v>66.144999999999982</v>
      </c>
      <c r="R791" s="253">
        <v>62.447643309999997</v>
      </c>
      <c r="S791" s="253">
        <v>50.172866519999999</v>
      </c>
      <c r="T791" s="253"/>
      <c r="U791" s="253">
        <v>60.890410959999997</v>
      </c>
      <c r="V791" s="253">
        <v>57.438521580564093</v>
      </c>
      <c r="W791" s="253"/>
      <c r="X791" s="253">
        <v>44.732142857142861</v>
      </c>
      <c r="Y791" s="253">
        <v>58.879184860000002</v>
      </c>
      <c r="Z791" s="253">
        <v>69.484313729999997</v>
      </c>
      <c r="AA791" s="253"/>
      <c r="AB791" s="253"/>
      <c r="AC791" s="253"/>
      <c r="AD791" s="253"/>
      <c r="AE791" s="253"/>
    </row>
    <row r="792" spans="1:31">
      <c r="A792" s="33">
        <v>791</v>
      </c>
      <c r="B792" s="69" t="s">
        <v>1836</v>
      </c>
      <c r="C792" s="69" t="s">
        <v>1330</v>
      </c>
      <c r="D792" s="56">
        <v>42289</v>
      </c>
      <c r="F792" s="56"/>
      <c r="G792" s="69" t="str">
        <f t="shared" si="12"/>
        <v>E-Commerce</v>
      </c>
      <c r="H792" s="83" t="s">
        <v>2012</v>
      </c>
      <c r="I792" s="83"/>
      <c r="J792" s="69" t="s">
        <v>1836</v>
      </c>
      <c r="K792" s="69" t="s">
        <v>727</v>
      </c>
      <c r="L792" s="253">
        <v>56.527692303999999</v>
      </c>
      <c r="M792" s="253">
        <v>60.800768451066666</v>
      </c>
      <c r="N792" s="253">
        <v>59.597207993170116</v>
      </c>
      <c r="O792" s="253">
        <v>62.16187556894738</v>
      </c>
      <c r="P792" s="253">
        <v>55.309615379999997</v>
      </c>
      <c r="Q792" s="253">
        <v>57.46</v>
      </c>
      <c r="R792" s="253">
        <v>57.381605690000001</v>
      </c>
      <c r="S792" s="253">
        <v>56.142197130000007</v>
      </c>
      <c r="T792" s="253"/>
      <c r="U792" s="253">
        <v>66.787878789999994</v>
      </c>
      <c r="V792" s="253">
        <v>64.39260007133332</v>
      </c>
      <c r="W792" s="253"/>
      <c r="X792" s="253">
        <v>52</v>
      </c>
      <c r="Y792" s="253">
        <v>64.57102273000001</v>
      </c>
      <c r="Z792" s="253">
        <v>61.4</v>
      </c>
      <c r="AA792" s="253"/>
      <c r="AB792" s="253"/>
      <c r="AC792" s="253"/>
      <c r="AD792" s="253"/>
      <c r="AE792" s="253"/>
    </row>
    <row r="793" spans="1:31">
      <c r="A793" s="33">
        <v>792</v>
      </c>
      <c r="B793" s="69" t="s">
        <v>1836</v>
      </c>
      <c r="C793" s="69" t="s">
        <v>1330</v>
      </c>
      <c r="D793" s="56">
        <v>42289</v>
      </c>
      <c r="F793" s="56"/>
      <c r="G793" s="69" t="str">
        <f t="shared" si="12"/>
        <v>E-Commerce</v>
      </c>
      <c r="H793" s="83" t="s">
        <v>2012</v>
      </c>
      <c r="I793" s="83"/>
      <c r="J793" s="69" t="s">
        <v>1836</v>
      </c>
      <c r="K793" s="69" t="s">
        <v>1542</v>
      </c>
      <c r="L793" s="253">
        <v>54.545280396000003</v>
      </c>
      <c r="M793" s="253">
        <v>56.785441754199994</v>
      </c>
      <c r="N793" s="253">
        <v>55.187468589664178</v>
      </c>
      <c r="O793" s="253">
        <v>59.533264417894735</v>
      </c>
      <c r="P793" s="253">
        <v>51.993630570000001</v>
      </c>
      <c r="Q793" s="253">
        <v>54.16</v>
      </c>
      <c r="R793" s="253">
        <v>45.663840260000001</v>
      </c>
      <c r="S793" s="253">
        <v>58.577018119999998</v>
      </c>
      <c r="T793" s="253"/>
      <c r="U793" s="253">
        <v>63.064393940000009</v>
      </c>
      <c r="V793" s="253">
        <v>59.108608194999988</v>
      </c>
      <c r="W793" s="253"/>
      <c r="X793" s="253">
        <v>57.999999999999993</v>
      </c>
      <c r="Y793" s="253">
        <v>60.330792680000002</v>
      </c>
      <c r="Z793" s="253">
        <v>64.751879700000003</v>
      </c>
      <c r="AA793" s="253"/>
      <c r="AB793" s="253"/>
      <c r="AC793" s="253"/>
      <c r="AD793" s="253"/>
      <c r="AE793" s="253"/>
    </row>
    <row r="794" spans="1:31">
      <c r="A794" s="33">
        <v>793</v>
      </c>
      <c r="B794" s="69" t="s">
        <v>380</v>
      </c>
      <c r="C794" s="69" t="s">
        <v>2005</v>
      </c>
      <c r="D794" s="56">
        <v>42292</v>
      </c>
      <c r="F794" s="56"/>
      <c r="G794" s="69" t="str">
        <f t="shared" si="12"/>
        <v>Both</v>
      </c>
      <c r="H794" s="83" t="s">
        <v>749</v>
      </c>
      <c r="I794" s="83"/>
      <c r="J794" s="69" t="s">
        <v>2006</v>
      </c>
      <c r="K794" s="69" t="s">
        <v>2006</v>
      </c>
      <c r="L794" s="253">
        <v>59.302267762000007</v>
      </c>
      <c r="M794" s="253">
        <v>57.224292149500002</v>
      </c>
      <c r="N794" s="253">
        <v>52.987336249198599</v>
      </c>
      <c r="O794" s="253">
        <v>69.080301182631587</v>
      </c>
      <c r="P794" s="253">
        <v>57.585626909999995</v>
      </c>
      <c r="Q794" s="253">
        <v>52.879999999999995</v>
      </c>
      <c r="R794" s="253">
        <v>57.41394056</v>
      </c>
      <c r="S794" s="253">
        <v>59.790304400000004</v>
      </c>
      <c r="T794" s="253">
        <v>53.421052631578945</v>
      </c>
      <c r="U794" s="253">
        <v>54.879452049999998</v>
      </c>
      <c r="V794" s="253">
        <v>40.003512016999998</v>
      </c>
      <c r="W794" s="253">
        <v>56.2</v>
      </c>
      <c r="X794" s="253">
        <v>45.446428571428569</v>
      </c>
      <c r="Y794" s="253">
        <v>75.418338110000008</v>
      </c>
      <c r="Z794" s="253">
        <v>66.168831170000004</v>
      </c>
      <c r="AA794" s="253"/>
      <c r="AB794" s="253"/>
      <c r="AC794" s="253"/>
      <c r="AD794" s="253"/>
      <c r="AE794" s="253"/>
    </row>
    <row r="795" spans="1:31">
      <c r="A795" s="33">
        <v>794</v>
      </c>
      <c r="B795" s="69" t="s">
        <v>380</v>
      </c>
      <c r="C795" s="69" t="s">
        <v>2005</v>
      </c>
      <c r="D795" s="56">
        <v>42292</v>
      </c>
      <c r="F795" s="56"/>
      <c r="G795" s="69" t="str">
        <f t="shared" si="12"/>
        <v>Both</v>
      </c>
      <c r="H795" s="83" t="s">
        <v>749</v>
      </c>
      <c r="I795" s="83"/>
      <c r="J795" s="69" t="s">
        <v>2006</v>
      </c>
      <c r="K795" s="69" t="s">
        <v>1290</v>
      </c>
      <c r="L795" s="253">
        <v>59.89334775999999</v>
      </c>
      <c r="M795" s="253">
        <v>63.970173846499996</v>
      </c>
      <c r="N795" s="253">
        <v>56.833304052334498</v>
      </c>
      <c r="O795" s="253">
        <v>65.196918880000013</v>
      </c>
      <c r="P795" s="253">
        <v>59.731944439999992</v>
      </c>
      <c r="Q795" s="253">
        <v>62.059999999999995</v>
      </c>
      <c r="R795" s="253">
        <v>60.616625310000003</v>
      </c>
      <c r="S795" s="253">
        <v>69.602910600000001</v>
      </c>
      <c r="T795" s="253">
        <v>56.578947368421041</v>
      </c>
      <c r="U795" s="253">
        <v>65.718157180000006</v>
      </c>
      <c r="V795" s="253">
        <v>41.097337770999999</v>
      </c>
      <c r="W795" s="253">
        <v>58.8</v>
      </c>
      <c r="X795" s="253">
        <v>50.357142857142854</v>
      </c>
      <c r="Y795" s="253">
        <v>68.31504923</v>
      </c>
      <c r="Z795" s="253">
        <v>60.538961040000004</v>
      </c>
      <c r="AA795" s="253"/>
      <c r="AB795" s="253"/>
      <c r="AC795" s="253"/>
      <c r="AD795" s="253"/>
      <c r="AE795" s="253"/>
    </row>
    <row r="796" spans="1:31">
      <c r="A796" s="33">
        <v>795</v>
      </c>
      <c r="B796" s="69" t="s">
        <v>380</v>
      </c>
      <c r="C796" s="69" t="s">
        <v>2005</v>
      </c>
      <c r="D796" s="56">
        <v>42292</v>
      </c>
      <c r="F796" s="56"/>
      <c r="G796" s="69" t="str">
        <f t="shared" si="12"/>
        <v>Both</v>
      </c>
      <c r="H796" s="83" t="s">
        <v>749</v>
      </c>
      <c r="I796" s="83"/>
      <c r="J796" s="69" t="s">
        <v>2006</v>
      </c>
      <c r="K796" s="69" t="s">
        <v>2007</v>
      </c>
      <c r="L796" s="253">
        <v>57.881992929999988</v>
      </c>
      <c r="M796" s="253">
        <v>55.661663472500003</v>
      </c>
      <c r="N796" s="253">
        <v>53.838732495540064</v>
      </c>
      <c r="O796" s="253">
        <v>66.646990389999999</v>
      </c>
      <c r="P796" s="253">
        <v>54.535932719999998</v>
      </c>
      <c r="Q796" s="253">
        <v>51.459999999999994</v>
      </c>
      <c r="R796" s="253">
        <v>55.441814909999998</v>
      </c>
      <c r="S796" s="253">
        <v>57.001972940000002</v>
      </c>
      <c r="T796" s="253">
        <v>55</v>
      </c>
      <c r="U796" s="253">
        <v>51.928767120000003</v>
      </c>
      <c r="V796" s="253">
        <v>36.565009207999999</v>
      </c>
      <c r="W796" s="253">
        <v>52</v>
      </c>
      <c r="X796" s="253">
        <v>56.696428571428569</v>
      </c>
      <c r="Y796" s="253">
        <v>69.061604579999994</v>
      </c>
      <c r="Z796" s="253">
        <v>71.266233769999999</v>
      </c>
      <c r="AA796" s="253"/>
      <c r="AB796" s="253"/>
      <c r="AC796" s="253"/>
      <c r="AD796" s="253"/>
      <c r="AE796" s="253"/>
    </row>
    <row r="797" spans="1:31">
      <c r="A797" s="33">
        <v>796</v>
      </c>
      <c r="B797" s="69" t="s">
        <v>380</v>
      </c>
      <c r="C797" s="69" t="s">
        <v>2005</v>
      </c>
      <c r="D797" s="56">
        <v>42292</v>
      </c>
      <c r="F797" s="56"/>
      <c r="G797" s="69" t="str">
        <f t="shared" si="12"/>
        <v>Both</v>
      </c>
      <c r="H797" s="83" t="s">
        <v>749</v>
      </c>
      <c r="I797" s="83"/>
      <c r="J797" s="69" t="s">
        <v>2006</v>
      </c>
      <c r="K797" s="69" t="s">
        <v>376</v>
      </c>
      <c r="L797" s="253">
        <v>65.917820402000004</v>
      </c>
      <c r="M797" s="253">
        <v>65.221283601099998</v>
      </c>
      <c r="N797" s="253">
        <v>53.333092582414629</v>
      </c>
      <c r="O797" s="253">
        <v>74.856062331736837</v>
      </c>
      <c r="P797" s="253">
        <v>63.533639139999998</v>
      </c>
      <c r="Q797" s="253">
        <v>59.213333332999994</v>
      </c>
      <c r="R797" s="253">
        <v>65.669465979999998</v>
      </c>
      <c r="S797" s="253">
        <v>68.983089059999998</v>
      </c>
      <c r="T797" s="253">
        <v>63.94736842105263</v>
      </c>
      <c r="U797" s="253">
        <v>62.476712329999991</v>
      </c>
      <c r="V797" s="253">
        <v>41.435859520999998</v>
      </c>
      <c r="W797" s="253">
        <v>65</v>
      </c>
      <c r="X797" s="253">
        <v>26.25</v>
      </c>
      <c r="Y797" s="253">
        <v>78.545710270000001</v>
      </c>
      <c r="Z797" s="253">
        <v>75.454545449999998</v>
      </c>
      <c r="AA797" s="253"/>
      <c r="AB797" s="253"/>
      <c r="AC797" s="253"/>
      <c r="AD797" s="253"/>
      <c r="AE797" s="253"/>
    </row>
    <row r="798" spans="1:31">
      <c r="A798" s="33">
        <v>797</v>
      </c>
      <c r="B798" s="69" t="s">
        <v>380</v>
      </c>
      <c r="C798" s="69" t="s">
        <v>2005</v>
      </c>
      <c r="D798" s="56">
        <v>42292</v>
      </c>
      <c r="F798" s="56"/>
      <c r="G798" s="69" t="str">
        <f t="shared" si="12"/>
        <v>Both</v>
      </c>
      <c r="H798" s="83" t="s">
        <v>749</v>
      </c>
      <c r="I798" s="83"/>
      <c r="J798" s="69" t="s">
        <v>2006</v>
      </c>
      <c r="K798" s="69" t="s">
        <v>2008</v>
      </c>
      <c r="L798" s="253">
        <v>61.896796533999996</v>
      </c>
      <c r="M798" s="253">
        <v>59.082846246499997</v>
      </c>
      <c r="N798" s="253">
        <v>57.387641915888508</v>
      </c>
      <c r="O798" s="253">
        <v>70.082875891052623</v>
      </c>
      <c r="P798" s="253">
        <v>59.408333329999998</v>
      </c>
      <c r="Q798" s="253">
        <v>50.199999999999996</v>
      </c>
      <c r="R798" s="253">
        <v>63.45364833</v>
      </c>
      <c r="S798" s="253">
        <v>62.119542619999997</v>
      </c>
      <c r="T798" s="253">
        <v>53.421052631578945</v>
      </c>
      <c r="U798" s="253">
        <v>54.281842820000001</v>
      </c>
      <c r="V798" s="253">
        <v>37.766222962999997</v>
      </c>
      <c r="W798" s="253">
        <v>58.4</v>
      </c>
      <c r="X798" s="253">
        <v>54.464285714285722</v>
      </c>
      <c r="Y798" s="253">
        <v>73.309455589999999</v>
      </c>
      <c r="Z798" s="253">
        <v>71.850649349999998</v>
      </c>
      <c r="AA798" s="253"/>
      <c r="AB798" s="253"/>
      <c r="AC798" s="253"/>
      <c r="AD798" s="253"/>
      <c r="AE798" s="253"/>
    </row>
    <row r="799" spans="1:31">
      <c r="A799" s="33">
        <v>798</v>
      </c>
      <c r="B799" s="69" t="s">
        <v>2009</v>
      </c>
      <c r="C799" s="69" t="s">
        <v>1330</v>
      </c>
      <c r="D799" s="56">
        <v>42292</v>
      </c>
      <c r="F799" s="56"/>
      <c r="G799" s="69" t="str">
        <f t="shared" si="12"/>
        <v>Both</v>
      </c>
      <c r="H799" s="83" t="s">
        <v>2010</v>
      </c>
      <c r="I799" s="83"/>
      <c r="J799" s="69" t="s">
        <v>2009</v>
      </c>
      <c r="K799" s="69" t="s">
        <v>2009</v>
      </c>
      <c r="L799" s="253">
        <v>57.024365480000007</v>
      </c>
      <c r="M799" s="253">
        <v>53.074722043799994</v>
      </c>
      <c r="N799" s="253">
        <v>54.483039016599299</v>
      </c>
      <c r="O799" s="253">
        <v>54.288567134947364</v>
      </c>
      <c r="P799" s="253">
        <v>57.830456849999997</v>
      </c>
      <c r="Q799" s="253">
        <v>52.286666663999988</v>
      </c>
      <c r="R799" s="253">
        <v>56.336004709999997</v>
      </c>
      <c r="S799" s="253">
        <v>55.37804878</v>
      </c>
      <c r="T799" s="253"/>
      <c r="U799" s="253">
        <v>48.311111109999999</v>
      </c>
      <c r="V799" s="253">
        <v>36.083561647000003</v>
      </c>
      <c r="W799" s="253">
        <v>51</v>
      </c>
      <c r="X799" s="253">
        <v>59.910714285714285</v>
      </c>
      <c r="Y799" s="253">
        <v>54.214605069999998</v>
      </c>
      <c r="Z799" s="253">
        <v>53.800000000000004</v>
      </c>
      <c r="AA799" s="253"/>
      <c r="AB799" s="253"/>
      <c r="AC799" s="253"/>
      <c r="AD799" s="253"/>
      <c r="AE799" s="253"/>
    </row>
    <row r="800" spans="1:31">
      <c r="A800" s="33">
        <v>799</v>
      </c>
      <c r="B800" s="69" t="s">
        <v>2009</v>
      </c>
      <c r="C800" s="69" t="s">
        <v>1330</v>
      </c>
      <c r="D800" s="56">
        <v>42292</v>
      </c>
      <c r="F800" s="56"/>
      <c r="G800" s="69" t="str">
        <f t="shared" si="12"/>
        <v>Both</v>
      </c>
      <c r="H800" s="83" t="s">
        <v>2010</v>
      </c>
      <c r="I800" s="83"/>
      <c r="J800" s="69" t="s">
        <v>2009</v>
      </c>
      <c r="K800" s="69" t="s">
        <v>947</v>
      </c>
      <c r="L800" s="253">
        <v>56.724787372000009</v>
      </c>
      <c r="M800" s="253">
        <v>56.257582426200003</v>
      </c>
      <c r="N800" s="253">
        <v>58.296150181257858</v>
      </c>
      <c r="O800" s="253">
        <v>56.586480116368421</v>
      </c>
      <c r="P800" s="253">
        <v>55.321568630000009</v>
      </c>
      <c r="Q800" s="253">
        <v>62.740000000999991</v>
      </c>
      <c r="R800" s="253">
        <v>55.498930999999992</v>
      </c>
      <c r="S800" s="253">
        <v>59.567917209999997</v>
      </c>
      <c r="T800" s="253"/>
      <c r="U800" s="253">
        <v>46.75</v>
      </c>
      <c r="V800" s="253">
        <v>34.558981233000004</v>
      </c>
      <c r="W800" s="253">
        <v>56.000000000000007</v>
      </c>
      <c r="X800" s="253">
        <v>62.410714285714299</v>
      </c>
      <c r="Y800" s="253">
        <v>53.01490313</v>
      </c>
      <c r="Z800" s="253">
        <v>62.337662340000001</v>
      </c>
      <c r="AA800" s="253"/>
      <c r="AB800" s="253"/>
      <c r="AC800" s="253"/>
      <c r="AD800" s="253"/>
      <c r="AE800" s="253"/>
    </row>
    <row r="801" spans="1:31">
      <c r="A801" s="33">
        <v>800</v>
      </c>
      <c r="B801" s="69" t="s">
        <v>2009</v>
      </c>
      <c r="C801" s="69" t="s">
        <v>1330</v>
      </c>
      <c r="D801" s="56">
        <v>42292</v>
      </c>
      <c r="F801" s="56"/>
      <c r="G801" s="69" t="str">
        <f t="shared" si="12"/>
        <v>Both</v>
      </c>
      <c r="H801" s="83" t="s">
        <v>2010</v>
      </c>
      <c r="I801" s="83"/>
      <c r="J801" s="69" t="s">
        <v>2009</v>
      </c>
      <c r="K801" s="69" t="s">
        <v>948</v>
      </c>
      <c r="L801" s="253">
        <v>60.829204737999994</v>
      </c>
      <c r="M801" s="253">
        <v>59.0773462075</v>
      </c>
      <c r="N801" s="253">
        <v>56.572880938466881</v>
      </c>
      <c r="O801" s="253">
        <v>58.531537581578938</v>
      </c>
      <c r="P801" s="253">
        <v>60.078172590000001</v>
      </c>
      <c r="Q801" s="253">
        <v>59.439999999999991</v>
      </c>
      <c r="R801" s="253">
        <v>59.801829269999992</v>
      </c>
      <c r="S801" s="253">
        <v>63.055555560000009</v>
      </c>
      <c r="T801" s="253"/>
      <c r="U801" s="253">
        <v>52.977777780000004</v>
      </c>
      <c r="V801" s="253">
        <v>39.363013697</v>
      </c>
      <c r="W801" s="253">
        <v>59.599999999999994</v>
      </c>
      <c r="X801" s="253">
        <v>49.196428571428569</v>
      </c>
      <c r="Y801" s="253">
        <v>55.083333329999995</v>
      </c>
      <c r="Z801" s="253">
        <v>63.833333329999995</v>
      </c>
      <c r="AA801" s="253"/>
      <c r="AB801" s="253"/>
      <c r="AC801" s="253"/>
      <c r="AD801" s="253"/>
      <c r="AE801" s="253"/>
    </row>
    <row r="802" spans="1:31">
      <c r="A802" s="33">
        <v>801</v>
      </c>
      <c r="B802" s="69" t="s">
        <v>2009</v>
      </c>
      <c r="C802" s="69" t="s">
        <v>1330</v>
      </c>
      <c r="D802" s="56">
        <v>42292</v>
      </c>
      <c r="F802" s="56"/>
      <c r="G802" s="69" t="str">
        <f t="shared" si="12"/>
        <v>Both</v>
      </c>
      <c r="H802" s="83" t="s">
        <v>2010</v>
      </c>
      <c r="I802" s="83"/>
      <c r="J802" s="69" t="s">
        <v>2009</v>
      </c>
      <c r="K802" s="69" t="s">
        <v>2011</v>
      </c>
      <c r="L802" s="253">
        <v>54.850355328000013</v>
      </c>
      <c r="M802" s="253">
        <v>55.3338606119</v>
      </c>
      <c r="N802" s="253">
        <v>58.774029169101048</v>
      </c>
      <c r="O802" s="253">
        <v>60.47668744378948</v>
      </c>
      <c r="P802" s="253">
        <v>55.662944160000002</v>
      </c>
      <c r="Q802" s="253">
        <v>56.073333331999997</v>
      </c>
      <c r="R802" s="253">
        <v>58.276342179999993</v>
      </c>
      <c r="S802" s="253">
        <v>59.533875340000009</v>
      </c>
      <c r="T802" s="253"/>
      <c r="U802" s="253">
        <v>49.933333330000004</v>
      </c>
      <c r="V802" s="253">
        <v>38.778082188999988</v>
      </c>
      <c r="W802" s="253">
        <v>63.2</v>
      </c>
      <c r="X802" s="253">
        <v>52.321428571428584</v>
      </c>
      <c r="Y802" s="253">
        <v>65.889716840000006</v>
      </c>
      <c r="Z802" s="253">
        <v>51.6</v>
      </c>
      <c r="AA802" s="253"/>
      <c r="AB802" s="253"/>
      <c r="AC802" s="253"/>
      <c r="AD802" s="253"/>
      <c r="AE802" s="253"/>
    </row>
    <row r="803" spans="1:31">
      <c r="A803" s="33">
        <v>802</v>
      </c>
      <c r="B803" s="69" t="s">
        <v>2009</v>
      </c>
      <c r="C803" s="69" t="s">
        <v>1330</v>
      </c>
      <c r="D803" s="56">
        <v>42292</v>
      </c>
      <c r="F803" s="56"/>
      <c r="G803" s="69" t="str">
        <f t="shared" si="12"/>
        <v>Both</v>
      </c>
      <c r="H803" s="83" t="s">
        <v>2010</v>
      </c>
      <c r="I803" s="83"/>
      <c r="J803" s="69" t="s">
        <v>2009</v>
      </c>
      <c r="K803" s="69" t="s">
        <v>929</v>
      </c>
      <c r="L803" s="253">
        <v>67.484500846000003</v>
      </c>
      <c r="M803" s="253">
        <v>61.831576150800004</v>
      </c>
      <c r="N803" s="253">
        <v>61.974321993149829</v>
      </c>
      <c r="O803" s="253">
        <v>66.954929897052622</v>
      </c>
      <c r="P803" s="253">
        <v>67.513959389999997</v>
      </c>
      <c r="Q803" s="253">
        <v>58.485555554000008</v>
      </c>
      <c r="R803" s="253">
        <v>62.188898699999996</v>
      </c>
      <c r="S803" s="253">
        <v>68.136363639999999</v>
      </c>
      <c r="T803" s="253"/>
      <c r="U803" s="253">
        <v>56.893203879999994</v>
      </c>
      <c r="V803" s="253">
        <v>37.761643835999998</v>
      </c>
      <c r="W803" s="253">
        <v>65.599999999999994</v>
      </c>
      <c r="X803" s="253">
        <v>56.696428571428577</v>
      </c>
      <c r="Y803" s="253">
        <v>68.431061810000003</v>
      </c>
      <c r="Z803" s="253">
        <v>67.366666670000001</v>
      </c>
      <c r="AA803" s="253"/>
      <c r="AB803" s="253"/>
      <c r="AC803" s="253"/>
      <c r="AD803" s="253"/>
      <c r="AE803" s="253"/>
    </row>
    <row r="804" spans="1:31">
      <c r="A804" s="33">
        <v>803</v>
      </c>
      <c r="B804" s="69" t="s">
        <v>1997</v>
      </c>
      <c r="C804" s="69" t="s">
        <v>740</v>
      </c>
      <c r="D804" s="56">
        <v>42297</v>
      </c>
      <c r="G804" s="69" t="str">
        <f t="shared" si="12"/>
        <v>User Registration</v>
      </c>
      <c r="H804" s="69" t="s">
        <v>1998</v>
      </c>
      <c r="J804" s="69" t="s">
        <v>1999</v>
      </c>
      <c r="K804" s="69" t="s">
        <v>2000</v>
      </c>
      <c r="L804" s="253">
        <v>56.214392521999997</v>
      </c>
      <c r="M804" s="253">
        <v>58.190000810499996</v>
      </c>
      <c r="N804" s="253">
        <v>56.204886102857145</v>
      </c>
      <c r="O804" s="253">
        <v>57.515960101052634</v>
      </c>
      <c r="P804" s="253">
        <v>56.409657319999994</v>
      </c>
      <c r="Q804" s="253">
        <v>65.959999999999994</v>
      </c>
      <c r="R804" s="253">
        <v>57.48710135999999</v>
      </c>
      <c r="S804" s="253">
        <v>56.293281650000004</v>
      </c>
      <c r="T804" s="253">
        <v>64.73684210526315</v>
      </c>
      <c r="U804" s="253">
        <v>55.296943229999997</v>
      </c>
      <c r="V804" s="253"/>
      <c r="W804" s="253">
        <v>26.2</v>
      </c>
      <c r="X804" s="253">
        <v>53.125</v>
      </c>
      <c r="Y804" s="253">
        <v>57.840909090000004</v>
      </c>
      <c r="Z804" s="253">
        <v>55.433333329999996</v>
      </c>
      <c r="AA804" s="253"/>
      <c r="AB804" s="253"/>
      <c r="AC804" s="253"/>
      <c r="AD804" s="253"/>
      <c r="AE804" s="253"/>
    </row>
    <row r="805" spans="1:31">
      <c r="A805" s="33">
        <v>804</v>
      </c>
      <c r="B805" s="69" t="s">
        <v>1997</v>
      </c>
      <c r="C805" s="69" t="s">
        <v>740</v>
      </c>
      <c r="D805" s="56">
        <v>42297</v>
      </c>
      <c r="G805" s="69" t="str">
        <f t="shared" si="12"/>
        <v>User Registration</v>
      </c>
      <c r="H805" s="69" t="s">
        <v>1998</v>
      </c>
      <c r="J805" s="69" t="s">
        <v>1999</v>
      </c>
      <c r="K805" s="69" t="s">
        <v>2001</v>
      </c>
      <c r="L805" s="253">
        <v>51.459544591999993</v>
      </c>
      <c r="M805" s="253">
        <v>52.573506115000001</v>
      </c>
      <c r="N805" s="253">
        <v>56.133302611428569</v>
      </c>
      <c r="O805" s="253">
        <v>56.350654336315785</v>
      </c>
      <c r="P805" s="253">
        <v>52.526881719999992</v>
      </c>
      <c r="Q805" s="253">
        <v>60.9</v>
      </c>
      <c r="R805" s="253">
        <v>56.016559139999998</v>
      </c>
      <c r="S805" s="253">
        <v>49.875706209999997</v>
      </c>
      <c r="T805" s="253">
        <v>57.105263157894733</v>
      </c>
      <c r="U805" s="253">
        <v>46.780821920000001</v>
      </c>
      <c r="V805" s="253"/>
      <c r="W805" s="253">
        <v>46.2</v>
      </c>
      <c r="X805" s="253">
        <v>55</v>
      </c>
      <c r="Y805" s="253">
        <v>61.190262750000002</v>
      </c>
      <c r="Z805" s="253">
        <v>47.19019608</v>
      </c>
      <c r="AA805" s="253"/>
      <c r="AB805" s="253"/>
      <c r="AC805" s="253"/>
      <c r="AD805" s="253"/>
      <c r="AE805" s="253"/>
    </row>
    <row r="806" spans="1:31">
      <c r="A806" s="33">
        <v>805</v>
      </c>
      <c r="B806" s="69" t="s">
        <v>1997</v>
      </c>
      <c r="C806" s="69" t="s">
        <v>740</v>
      </c>
      <c r="D806" s="56">
        <v>42297</v>
      </c>
      <c r="F806" s="56"/>
      <c r="G806" s="69" t="str">
        <f t="shared" si="12"/>
        <v>User Registration</v>
      </c>
      <c r="H806" s="83" t="s">
        <v>1998</v>
      </c>
      <c r="I806" s="83"/>
      <c r="J806" s="69" t="s">
        <v>1999</v>
      </c>
      <c r="K806" s="69" t="s">
        <v>2002</v>
      </c>
      <c r="L806" s="253">
        <v>50.899875386000005</v>
      </c>
      <c r="M806" s="253">
        <v>52.872210321400004</v>
      </c>
      <c r="N806" s="253">
        <v>54.869177490285715</v>
      </c>
      <c r="O806" s="253">
        <v>54.741492144315785</v>
      </c>
      <c r="P806" s="253">
        <v>49.716510900000003</v>
      </c>
      <c r="Q806" s="253">
        <v>55.673333331999999</v>
      </c>
      <c r="R806" s="253">
        <v>51.705454549999992</v>
      </c>
      <c r="S806" s="253">
        <v>51.384582260000002</v>
      </c>
      <c r="T806" s="253">
        <v>56.84210526315789</v>
      </c>
      <c r="U806" s="253">
        <v>51.883720929999996</v>
      </c>
      <c r="V806" s="253"/>
      <c r="W806" s="253">
        <v>35</v>
      </c>
      <c r="X806" s="253">
        <v>56.25</v>
      </c>
      <c r="Y806" s="253">
        <v>55.145285940000001</v>
      </c>
      <c r="Z806" s="253">
        <v>55.633333329999999</v>
      </c>
      <c r="AA806" s="253"/>
      <c r="AB806" s="253"/>
      <c r="AC806" s="253"/>
      <c r="AD806" s="253"/>
      <c r="AE806" s="253"/>
    </row>
    <row r="807" spans="1:31">
      <c r="A807" s="33">
        <v>806</v>
      </c>
      <c r="B807" s="69" t="s">
        <v>1997</v>
      </c>
      <c r="C807" s="69" t="s">
        <v>740</v>
      </c>
      <c r="D807" s="56">
        <v>42297</v>
      </c>
      <c r="F807" s="56"/>
      <c r="G807" s="69" t="str">
        <f t="shared" si="12"/>
        <v>User Registration</v>
      </c>
      <c r="H807" s="83" t="s">
        <v>1998</v>
      </c>
      <c r="I807" s="83"/>
      <c r="J807" s="69" t="s">
        <v>1999</v>
      </c>
      <c r="K807" s="69" t="s">
        <v>1999</v>
      </c>
      <c r="L807" s="253">
        <v>51.879999998000002</v>
      </c>
      <c r="M807" s="253">
        <v>51.069948244499997</v>
      </c>
      <c r="N807" s="253">
        <v>61.551786796428573</v>
      </c>
      <c r="O807" s="253">
        <v>55.168127500789467</v>
      </c>
      <c r="P807" s="253">
        <v>52.458333330000002</v>
      </c>
      <c r="Q807" s="253">
        <v>54.293333334999993</v>
      </c>
      <c r="R807" s="253">
        <v>49.534587119999998</v>
      </c>
      <c r="S807" s="253">
        <v>50.331914889999993</v>
      </c>
      <c r="T807" s="253">
        <v>52.89473684210526</v>
      </c>
      <c r="U807" s="253">
        <v>51.218340609999991</v>
      </c>
      <c r="V807" s="253"/>
      <c r="W807" s="253">
        <v>28.6</v>
      </c>
      <c r="X807" s="253">
        <v>69.375</v>
      </c>
      <c r="Y807" s="253">
        <v>59.666666669999998</v>
      </c>
      <c r="Z807" s="253">
        <v>49.566666669999996</v>
      </c>
      <c r="AA807" s="253"/>
      <c r="AB807" s="253"/>
      <c r="AC807" s="253"/>
      <c r="AD807" s="253"/>
      <c r="AE807" s="253"/>
    </row>
    <row r="808" spans="1:31">
      <c r="A808" s="33">
        <v>807</v>
      </c>
      <c r="B808" s="69" t="s">
        <v>1997</v>
      </c>
      <c r="C808" s="69" t="s">
        <v>740</v>
      </c>
      <c r="D808" s="56">
        <v>42297</v>
      </c>
      <c r="F808" s="56"/>
      <c r="G808" s="69" t="str">
        <f t="shared" si="12"/>
        <v>User Registration</v>
      </c>
      <c r="H808" s="83" t="s">
        <v>1998</v>
      </c>
      <c r="I808" s="83"/>
      <c r="J808" s="69" t="s">
        <v>1999</v>
      </c>
      <c r="K808" s="69" t="s">
        <v>2003</v>
      </c>
      <c r="L808" s="253">
        <v>52.302813855999993</v>
      </c>
      <c r="M808" s="253">
        <v>50.605553824699996</v>
      </c>
      <c r="N808" s="253">
        <v>61.206208895857152</v>
      </c>
      <c r="O808" s="253">
        <v>52.796017032684219</v>
      </c>
      <c r="P808" s="253">
        <v>53.354166670000005</v>
      </c>
      <c r="Q808" s="253">
        <v>53.351111110999994</v>
      </c>
      <c r="R808" s="253">
        <v>48.796175579999996</v>
      </c>
      <c r="S808" s="253">
        <v>51.693848350000003</v>
      </c>
      <c r="T808" s="253">
        <v>52.89473684210526</v>
      </c>
      <c r="U808" s="253">
        <v>50.351111109999998</v>
      </c>
      <c r="V808" s="253"/>
      <c r="W808" s="253">
        <v>28.6</v>
      </c>
      <c r="X808" s="253">
        <v>69.375</v>
      </c>
      <c r="Y808" s="253">
        <v>56.000000000000007</v>
      </c>
      <c r="Z808" s="253">
        <v>48.097402600000002</v>
      </c>
      <c r="AA808" s="253"/>
      <c r="AB808" s="253"/>
      <c r="AC808" s="253"/>
      <c r="AD808" s="253"/>
      <c r="AE808" s="253"/>
    </row>
    <row r="809" spans="1:31">
      <c r="A809" s="33">
        <v>808</v>
      </c>
      <c r="B809" s="69" t="s">
        <v>1997</v>
      </c>
      <c r="C809" s="69" t="s">
        <v>740</v>
      </c>
      <c r="D809" s="56">
        <v>42297</v>
      </c>
      <c r="F809" s="56"/>
      <c r="G809" s="69" t="str">
        <f t="shared" si="12"/>
        <v>User Registration</v>
      </c>
      <c r="H809" s="83" t="s">
        <v>1998</v>
      </c>
      <c r="I809" s="83"/>
      <c r="J809" s="69" t="s">
        <v>1999</v>
      </c>
      <c r="K809" s="69" t="s">
        <v>2004</v>
      </c>
      <c r="L809" s="253">
        <v>49.892571083999997</v>
      </c>
      <c r="M809" s="253">
        <v>48.152417374800002</v>
      </c>
      <c r="N809" s="253">
        <v>44.887140795571433</v>
      </c>
      <c r="O809" s="253">
        <v>52.897525582052637</v>
      </c>
      <c r="P809" s="253">
        <v>49.541038529999994</v>
      </c>
      <c r="Q809" s="253">
        <v>48.751111109</v>
      </c>
      <c r="R809" s="253">
        <v>50.229437230000009</v>
      </c>
      <c r="S809" s="253">
        <v>50.446866489999998</v>
      </c>
      <c r="T809" s="253">
        <v>53.421052631578945</v>
      </c>
      <c r="U809" s="253">
        <v>42.50236967</v>
      </c>
      <c r="V809" s="253"/>
      <c r="W809" s="253">
        <v>43.4</v>
      </c>
      <c r="X809" s="253">
        <v>41.25</v>
      </c>
      <c r="Y809" s="253">
        <v>54.890262749999998</v>
      </c>
      <c r="Z809" s="253">
        <v>51.298701300000005</v>
      </c>
      <c r="AA809" s="253"/>
      <c r="AB809" s="253"/>
      <c r="AC809" s="253"/>
      <c r="AD809" s="253"/>
      <c r="AE809" s="253"/>
    </row>
    <row r="810" spans="1:31">
      <c r="A810" s="33">
        <v>809</v>
      </c>
      <c r="B810" s="69" t="s">
        <v>1993</v>
      </c>
      <c r="C810" s="69" t="s">
        <v>1203</v>
      </c>
      <c r="D810" s="56">
        <v>42299</v>
      </c>
      <c r="F810" s="56"/>
      <c r="G810" s="69" t="str">
        <f t="shared" si="12"/>
        <v>Both</v>
      </c>
      <c r="H810" s="83" t="s">
        <v>1994</v>
      </c>
      <c r="I810" s="83"/>
      <c r="J810" s="69" t="s">
        <v>1993</v>
      </c>
      <c r="K810" s="69" t="s">
        <v>1993</v>
      </c>
      <c r="L810" s="253">
        <v>70.132311701999996</v>
      </c>
      <c r="M810" s="253">
        <v>60.750326147300001</v>
      </c>
      <c r="N810" s="253">
        <v>56.60930245835889</v>
      </c>
      <c r="O810" s="253">
        <v>63.08099442205264</v>
      </c>
      <c r="P810" s="253">
        <v>72.84227641999999</v>
      </c>
      <c r="Q810" s="253">
        <v>59.111111108999999</v>
      </c>
      <c r="R810" s="253">
        <v>62.128521130000003</v>
      </c>
      <c r="S810" s="253">
        <v>69.052391799999995</v>
      </c>
      <c r="T810" s="253"/>
      <c r="U810" s="253">
        <v>54.625</v>
      </c>
      <c r="V810" s="253">
        <v>44.583801296999994</v>
      </c>
      <c r="W810" s="253">
        <v>59.154561319999999</v>
      </c>
      <c r="X810" s="253">
        <v>48.982142857142854</v>
      </c>
      <c r="Y810" s="253">
        <v>64.965608470000006</v>
      </c>
      <c r="Z810" s="253">
        <v>59.292452829999995</v>
      </c>
      <c r="AA810" s="253"/>
      <c r="AB810" s="253"/>
      <c r="AC810" s="253"/>
      <c r="AD810" s="253"/>
      <c r="AE810" s="253"/>
    </row>
    <row r="811" spans="1:31">
      <c r="A811" s="33">
        <v>810</v>
      </c>
      <c r="B811" s="69" t="s">
        <v>1993</v>
      </c>
      <c r="C811" s="69" t="s">
        <v>1203</v>
      </c>
      <c r="D811" s="56">
        <v>42299</v>
      </c>
      <c r="F811" s="56"/>
      <c r="G811" s="69" t="str">
        <f t="shared" si="12"/>
        <v>Both</v>
      </c>
      <c r="H811" s="83" t="s">
        <v>1994</v>
      </c>
      <c r="I811" s="83"/>
      <c r="J811" s="69" t="s">
        <v>1993</v>
      </c>
      <c r="K811" s="69" t="s">
        <v>1329</v>
      </c>
      <c r="L811" s="253">
        <v>72.014019873999999</v>
      </c>
      <c r="M811" s="253">
        <v>64.138168551799993</v>
      </c>
      <c r="N811" s="253">
        <v>60.547807987609758</v>
      </c>
      <c r="O811" s="253">
        <v>58.874462272315796</v>
      </c>
      <c r="P811" s="253">
        <v>75.313821140000002</v>
      </c>
      <c r="Q811" s="253">
        <v>65.864444443999986</v>
      </c>
      <c r="R811" s="253">
        <v>66.811132360000002</v>
      </c>
      <c r="S811" s="253">
        <v>70.108200460000006</v>
      </c>
      <c r="T811" s="253"/>
      <c r="U811" s="253">
        <v>57.437499999999993</v>
      </c>
      <c r="V811" s="253">
        <v>43.838444922999997</v>
      </c>
      <c r="W811" s="253">
        <v>65.400000000000006</v>
      </c>
      <c r="X811" s="253">
        <v>48</v>
      </c>
      <c r="Y811" s="253">
        <v>55.494579950000002</v>
      </c>
      <c r="Z811" s="253">
        <v>58.814814810000001</v>
      </c>
      <c r="AA811" s="253"/>
      <c r="AB811" s="253"/>
      <c r="AC811" s="253"/>
      <c r="AD811" s="253"/>
      <c r="AE811" s="253"/>
    </row>
    <row r="812" spans="1:31">
      <c r="A812" s="33">
        <v>811</v>
      </c>
      <c r="B812" s="69" t="s">
        <v>1993</v>
      </c>
      <c r="C812" s="69" t="s">
        <v>1203</v>
      </c>
      <c r="D812" s="56">
        <v>42299</v>
      </c>
      <c r="F812" s="56"/>
      <c r="G812" s="69" t="str">
        <f t="shared" si="12"/>
        <v>Both</v>
      </c>
      <c r="H812" s="83" t="s">
        <v>1994</v>
      </c>
      <c r="I812" s="83"/>
      <c r="J812" s="69" t="s">
        <v>1993</v>
      </c>
      <c r="K812" s="69" t="s">
        <v>1159</v>
      </c>
      <c r="L812" s="253">
        <v>72.960507746000005</v>
      </c>
      <c r="M812" s="253">
        <v>69.156222119500001</v>
      </c>
      <c r="N812" s="253">
        <v>60.953953556585361</v>
      </c>
      <c r="O812" s="253">
        <v>63.456654983684203</v>
      </c>
      <c r="P812" s="253">
        <v>75.37398374</v>
      </c>
      <c r="Q812" s="253">
        <v>68.819999999999993</v>
      </c>
      <c r="R812" s="253">
        <v>71.69201597</v>
      </c>
      <c r="S812" s="253">
        <v>73</v>
      </c>
      <c r="T812" s="253"/>
      <c r="U812" s="253">
        <v>66.154230999999996</v>
      </c>
      <c r="V812" s="253">
        <v>46.145491804999992</v>
      </c>
      <c r="W812" s="253">
        <v>68</v>
      </c>
      <c r="X812" s="253">
        <v>41.875</v>
      </c>
      <c r="Y812" s="253">
        <v>60.393939389999993</v>
      </c>
      <c r="Z812" s="253">
        <v>63.306603770000002</v>
      </c>
      <c r="AA812" s="253"/>
      <c r="AB812" s="253"/>
      <c r="AC812" s="253"/>
      <c r="AD812" s="253"/>
      <c r="AE812" s="253"/>
    </row>
    <row r="813" spans="1:31">
      <c r="A813" s="33">
        <v>812</v>
      </c>
      <c r="B813" s="69" t="s">
        <v>1993</v>
      </c>
      <c r="C813" s="69" t="s">
        <v>1203</v>
      </c>
      <c r="D813" s="56">
        <v>42299</v>
      </c>
      <c r="F813" s="56"/>
      <c r="G813" s="69" t="str">
        <f t="shared" si="12"/>
        <v>Both</v>
      </c>
      <c r="H813" s="83" t="s">
        <v>1994</v>
      </c>
      <c r="I813" s="83"/>
      <c r="J813" s="69" t="s">
        <v>1993</v>
      </c>
      <c r="K813" s="69" t="s">
        <v>394</v>
      </c>
      <c r="L813" s="253">
        <v>72.283577231999999</v>
      </c>
      <c r="M813" s="253">
        <v>63.113069880899992</v>
      </c>
      <c r="N813" s="253">
        <v>63.623797003560973</v>
      </c>
      <c r="O813" s="253">
        <v>68.160754014842098</v>
      </c>
      <c r="P813" s="253">
        <v>73.354471539999992</v>
      </c>
      <c r="Q813" s="253">
        <v>59.104444441999995</v>
      </c>
      <c r="R813" s="253">
        <v>64.543723970000016</v>
      </c>
      <c r="S813" s="253">
        <v>71</v>
      </c>
      <c r="T813" s="253"/>
      <c r="U813" s="253">
        <v>56.625</v>
      </c>
      <c r="V813" s="253">
        <v>46.907172129999992</v>
      </c>
      <c r="W813" s="253">
        <v>63.2</v>
      </c>
      <c r="X813" s="253">
        <v>65</v>
      </c>
      <c r="Y813" s="253">
        <v>69.586243390000007</v>
      </c>
      <c r="Z813" s="253">
        <v>68</v>
      </c>
      <c r="AA813" s="253"/>
      <c r="AB813" s="253"/>
      <c r="AC813" s="253"/>
      <c r="AD813" s="253"/>
      <c r="AE813" s="253"/>
    </row>
    <row r="814" spans="1:31">
      <c r="A814" s="33">
        <v>813</v>
      </c>
      <c r="B814" s="69" t="s">
        <v>1993</v>
      </c>
      <c r="C814" s="69" t="s">
        <v>1203</v>
      </c>
      <c r="D814" s="56">
        <v>42299</v>
      </c>
      <c r="F814" s="56"/>
      <c r="G814" s="69" t="str">
        <f t="shared" si="12"/>
        <v>Both</v>
      </c>
      <c r="H814" s="83" t="s">
        <v>1994</v>
      </c>
      <c r="I814" s="83"/>
      <c r="J814" s="69" t="s">
        <v>1993</v>
      </c>
      <c r="K814" s="69" t="s">
        <v>1327</v>
      </c>
      <c r="L814" s="253">
        <v>68.628865976</v>
      </c>
      <c r="M814" s="253">
        <v>63.0856878325</v>
      </c>
      <c r="N814" s="253">
        <v>56.867706926341462</v>
      </c>
      <c r="O814" s="253">
        <v>63.118441076842103</v>
      </c>
      <c r="P814" s="253">
        <v>72.036082469999997</v>
      </c>
      <c r="Q814" s="253">
        <v>56.480000000000004</v>
      </c>
      <c r="R814" s="253">
        <v>68.307520330000003</v>
      </c>
      <c r="S814" s="253">
        <v>73</v>
      </c>
      <c r="T814" s="253"/>
      <c r="U814" s="253">
        <v>58.451231</v>
      </c>
      <c r="V814" s="253">
        <v>46.717062636999991</v>
      </c>
      <c r="W814" s="253">
        <v>53.414543099999996</v>
      </c>
      <c r="X814" s="253">
        <v>56.999999999999993</v>
      </c>
      <c r="Y814" s="253">
        <v>65.815533979999998</v>
      </c>
      <c r="Z814" s="253">
        <v>55</v>
      </c>
      <c r="AA814" s="253"/>
      <c r="AB814" s="253"/>
      <c r="AC814" s="253"/>
      <c r="AD814" s="253"/>
      <c r="AE814" s="253"/>
    </row>
    <row r="815" spans="1:31">
      <c r="A815" s="33">
        <v>814</v>
      </c>
      <c r="B815" s="69" t="s">
        <v>1993</v>
      </c>
      <c r="C815" s="69" t="s">
        <v>1203</v>
      </c>
      <c r="D815" s="56">
        <v>42299</v>
      </c>
      <c r="F815" s="56"/>
      <c r="G815" s="69" t="str">
        <f t="shared" si="12"/>
        <v>Both</v>
      </c>
      <c r="H815" s="83" t="s">
        <v>1994</v>
      </c>
      <c r="I815" s="83"/>
      <c r="J815" s="69" t="s">
        <v>1993</v>
      </c>
      <c r="K815" s="69" t="s">
        <v>1995</v>
      </c>
      <c r="L815" s="253">
        <v>77.549056604</v>
      </c>
      <c r="M815" s="253">
        <v>64.066916574499999</v>
      </c>
      <c r="N815" s="253">
        <v>59.004188393658538</v>
      </c>
      <c r="O815" s="253">
        <v>69.347276821052631</v>
      </c>
      <c r="P815" s="253">
        <v>78.122641509999994</v>
      </c>
      <c r="Q815" s="253">
        <v>60.839999999999996</v>
      </c>
      <c r="R815" s="253">
        <v>63.358620690000009</v>
      </c>
      <c r="S815" s="253">
        <v>73.918948520000001</v>
      </c>
      <c r="T815" s="253"/>
      <c r="U815" s="253">
        <v>55</v>
      </c>
      <c r="V815" s="253">
        <v>44.53893442599999</v>
      </c>
      <c r="W815" s="253">
        <v>62</v>
      </c>
      <c r="X815" s="253">
        <v>51.375</v>
      </c>
      <c r="Y815" s="253">
        <v>67.984848479999997</v>
      </c>
      <c r="Z815" s="253">
        <v>75.254716979999998</v>
      </c>
      <c r="AA815" s="253"/>
      <c r="AB815" s="253"/>
      <c r="AC815" s="253"/>
      <c r="AD815" s="253"/>
      <c r="AE815" s="253"/>
    </row>
    <row r="816" spans="1:31">
      <c r="A816" s="33">
        <v>815</v>
      </c>
      <c r="B816" s="69" t="s">
        <v>1993</v>
      </c>
      <c r="C816" s="69" t="s">
        <v>1203</v>
      </c>
      <c r="D816" s="56">
        <v>42299</v>
      </c>
      <c r="F816" s="56"/>
      <c r="G816" s="69" t="str">
        <f t="shared" si="12"/>
        <v>Both</v>
      </c>
      <c r="H816" s="83" t="s">
        <v>1994</v>
      </c>
      <c r="I816" s="83"/>
      <c r="J816" s="69" t="s">
        <v>1993</v>
      </c>
      <c r="K816" s="69" t="s">
        <v>1996</v>
      </c>
      <c r="L816" s="253">
        <v>70.895582652000002</v>
      </c>
      <c r="M816" s="253">
        <v>61.360060826499996</v>
      </c>
      <c r="N816" s="253">
        <v>53.821154414024399</v>
      </c>
      <c r="O816" s="253">
        <v>60.60110864447369</v>
      </c>
      <c r="P816" s="253">
        <v>73.876422759999997</v>
      </c>
      <c r="Q816" s="253">
        <v>59.806666664999995</v>
      </c>
      <c r="R816" s="253">
        <v>68.291221829999998</v>
      </c>
      <c r="S816" s="253">
        <v>70.170842820000004</v>
      </c>
      <c r="T816" s="253"/>
      <c r="U816" s="253">
        <v>49.578125</v>
      </c>
      <c r="V816" s="253">
        <v>44.102868852</v>
      </c>
      <c r="W816" s="253">
        <v>55</v>
      </c>
      <c r="X816" s="253">
        <v>43.125</v>
      </c>
      <c r="Y816" s="253">
        <v>58.999999999999993</v>
      </c>
      <c r="Z816" s="253">
        <v>58.972222219999999</v>
      </c>
      <c r="AA816" s="253"/>
      <c r="AB816" s="253"/>
      <c r="AC816" s="253"/>
      <c r="AD816" s="253"/>
      <c r="AE816" s="253"/>
    </row>
    <row r="817" spans="1:31">
      <c r="A817" s="33">
        <v>816</v>
      </c>
      <c r="B817" s="69" t="s">
        <v>1993</v>
      </c>
      <c r="C817" s="69" t="s">
        <v>1203</v>
      </c>
      <c r="D817" s="56">
        <v>42299</v>
      </c>
      <c r="F817" s="56"/>
      <c r="G817" s="69" t="str">
        <f t="shared" si="12"/>
        <v>Both</v>
      </c>
      <c r="H817" s="83" t="s">
        <v>1994</v>
      </c>
      <c r="I817" s="83"/>
      <c r="J817" s="69" t="s">
        <v>1993</v>
      </c>
      <c r="K817" s="69" t="s">
        <v>932</v>
      </c>
      <c r="L817" s="253">
        <v>71.31743156200001</v>
      </c>
      <c r="M817" s="253">
        <v>59.127003110499999</v>
      </c>
      <c r="N817" s="253">
        <v>53.815060763658536</v>
      </c>
      <c r="O817" s="253">
        <v>61.905716222105269</v>
      </c>
      <c r="P817" s="253">
        <v>73.143317230000008</v>
      </c>
      <c r="Q817" s="253">
        <v>50.286666669999988</v>
      </c>
      <c r="R817" s="253">
        <v>63.426248549999997</v>
      </c>
      <c r="S817" s="253">
        <v>69</v>
      </c>
      <c r="T817" s="253"/>
      <c r="U817" s="253">
        <v>52.046875</v>
      </c>
      <c r="V817" s="253">
        <v>40.102591794999995</v>
      </c>
      <c r="W817" s="253">
        <v>56.000000000000007</v>
      </c>
      <c r="X817" s="253">
        <v>46.25</v>
      </c>
      <c r="Y817" s="253">
        <v>61</v>
      </c>
      <c r="Z817" s="253">
        <v>64.013888890000004</v>
      </c>
      <c r="AA817" s="253"/>
      <c r="AB817" s="253"/>
      <c r="AC817" s="253"/>
      <c r="AD817" s="253"/>
      <c r="AE817" s="253"/>
    </row>
    <row r="818" spans="1:31">
      <c r="A818" s="33">
        <v>817</v>
      </c>
      <c r="B818" s="151" t="s">
        <v>1987</v>
      </c>
      <c r="C818" s="69" t="s">
        <v>740</v>
      </c>
      <c r="D818" s="56">
        <v>42304</v>
      </c>
      <c r="F818" s="56"/>
      <c r="G818" s="69" t="str">
        <f t="shared" si="12"/>
        <v>E-Commerce</v>
      </c>
      <c r="H818" s="83" t="s">
        <v>1988</v>
      </c>
      <c r="I818" s="83"/>
      <c r="J818" s="151" t="s">
        <v>1987</v>
      </c>
      <c r="K818" s="151" t="s">
        <v>1987</v>
      </c>
      <c r="L818" s="253">
        <v>49.653743272</v>
      </c>
      <c r="M818" s="253">
        <v>52.419633419415575</v>
      </c>
      <c r="N818" s="253">
        <v>38.56268057406384</v>
      </c>
      <c r="O818" s="253">
        <v>53.357340646842111</v>
      </c>
      <c r="P818" s="253">
        <v>50.228070179999996</v>
      </c>
      <c r="Q818" s="253">
        <v>59.8</v>
      </c>
      <c r="R818" s="253">
        <v>54.410256410000002</v>
      </c>
      <c r="S818" s="253">
        <v>53.844145570000002</v>
      </c>
      <c r="T818" s="253">
        <v>52.73684210526315</v>
      </c>
      <c r="U818" s="253">
        <v>54.064935059999996</v>
      </c>
      <c r="V818" s="253">
        <v>43.765084915077921</v>
      </c>
      <c r="W818" s="253"/>
      <c r="X818" s="253">
        <v>37.321428571428569</v>
      </c>
      <c r="Y818" s="253">
        <v>55.454263569999995</v>
      </c>
      <c r="Z818" s="253">
        <v>47.356435640000001</v>
      </c>
      <c r="AA818" s="253"/>
      <c r="AB818" s="253"/>
      <c r="AC818" s="253"/>
      <c r="AD818" s="253"/>
      <c r="AE818" s="253"/>
    </row>
    <row r="819" spans="1:31">
      <c r="A819" s="33">
        <v>818</v>
      </c>
      <c r="B819" s="151" t="s">
        <v>1987</v>
      </c>
      <c r="C819" s="69" t="s">
        <v>740</v>
      </c>
      <c r="D819" s="56">
        <v>42304</v>
      </c>
      <c r="F819" s="56"/>
      <c r="G819" s="69" t="str">
        <f t="shared" si="12"/>
        <v>E-Commerce</v>
      </c>
      <c r="H819" s="83" t="s">
        <v>1988</v>
      </c>
      <c r="I819" s="83"/>
      <c r="J819" s="151" t="s">
        <v>1987</v>
      </c>
      <c r="K819" s="151" t="s">
        <v>1989</v>
      </c>
      <c r="L819" s="253">
        <v>51.799207920000001</v>
      </c>
      <c r="M819" s="253">
        <v>51.862616463825972</v>
      </c>
      <c r="N819" s="253">
        <v>39.868612128101191</v>
      </c>
      <c r="O819" s="253">
        <v>49.731748538947372</v>
      </c>
      <c r="P819" s="253">
        <v>53.4</v>
      </c>
      <c r="Q819" s="253">
        <v>55.66</v>
      </c>
      <c r="R819" s="253">
        <v>52.331552310000006</v>
      </c>
      <c r="S819" s="253">
        <v>52.592167719999992</v>
      </c>
      <c r="T819" s="253">
        <v>54.052631578947349</v>
      </c>
      <c r="U819" s="253">
        <v>58.064935059999996</v>
      </c>
      <c r="V819" s="253">
        <v>44.156444933129876</v>
      </c>
      <c r="W819" s="253"/>
      <c r="X819" s="253">
        <v>45.535714285714292</v>
      </c>
      <c r="Y819" s="253">
        <v>50.500775189999999</v>
      </c>
      <c r="Z819" s="253">
        <v>45.396039600000002</v>
      </c>
      <c r="AA819" s="253"/>
      <c r="AB819" s="253"/>
      <c r="AC819" s="253"/>
      <c r="AD819" s="253"/>
      <c r="AE819" s="253"/>
    </row>
    <row r="820" spans="1:31">
      <c r="A820" s="33">
        <v>819</v>
      </c>
      <c r="B820" s="69" t="s">
        <v>1987</v>
      </c>
      <c r="C820" s="69" t="s">
        <v>740</v>
      </c>
      <c r="D820" s="56">
        <v>42304</v>
      </c>
      <c r="F820" s="56"/>
      <c r="G820" s="69" t="str">
        <f t="shared" si="12"/>
        <v>E-Commerce</v>
      </c>
      <c r="H820" s="83" t="s">
        <v>1988</v>
      </c>
      <c r="I820" s="83"/>
      <c r="J820" s="69" t="s">
        <v>1987</v>
      </c>
      <c r="K820" s="69" t="s">
        <v>1990</v>
      </c>
      <c r="L820" s="253">
        <v>45.376624290000002</v>
      </c>
      <c r="M820" s="253">
        <v>45.141146698072731</v>
      </c>
      <c r="N820" s="253">
        <v>49.06906122904627</v>
      </c>
      <c r="O820" s="253">
        <v>56.514552298947365</v>
      </c>
      <c r="P820" s="253">
        <v>43.002958579999998</v>
      </c>
      <c r="Q820" s="253">
        <v>43.059999999999995</v>
      </c>
      <c r="R820" s="253">
        <v>44.702502840000001</v>
      </c>
      <c r="S820" s="253">
        <v>41.119186050000003</v>
      </c>
      <c r="T820" s="253">
        <v>43.526315789473671</v>
      </c>
      <c r="U820" s="253">
        <v>44.792207789999999</v>
      </c>
      <c r="V820" s="253">
        <v>46.919159168363635</v>
      </c>
      <c r="W820" s="253"/>
      <c r="X820" s="253">
        <v>65</v>
      </c>
      <c r="Y820" s="253">
        <v>62.583586629999999</v>
      </c>
      <c r="Z820" s="253">
        <v>54.871287129999999</v>
      </c>
      <c r="AA820" s="253"/>
      <c r="AB820" s="253"/>
      <c r="AC820" s="253"/>
      <c r="AD820" s="253"/>
      <c r="AE820" s="253"/>
    </row>
    <row r="821" spans="1:31">
      <c r="A821" s="33">
        <v>820</v>
      </c>
      <c r="B821" s="69" t="s">
        <v>1987</v>
      </c>
      <c r="C821" s="69" t="s">
        <v>740</v>
      </c>
      <c r="D821" s="56">
        <v>42304</v>
      </c>
      <c r="F821" s="56"/>
      <c r="G821" s="69" t="str">
        <f t="shared" si="12"/>
        <v>E-Commerce</v>
      </c>
      <c r="H821" s="83" t="s">
        <v>1988</v>
      </c>
      <c r="I821" s="83"/>
      <c r="J821" s="69" t="s">
        <v>1987</v>
      </c>
      <c r="K821" s="69" t="s">
        <v>1991</v>
      </c>
      <c r="L821" s="253">
        <v>49.849879520000002</v>
      </c>
      <c r="M821" s="253">
        <v>49.555277628266666</v>
      </c>
      <c r="N821" s="253">
        <v>38.350035431443317</v>
      </c>
      <c r="O821" s="253">
        <v>55.545088890000002</v>
      </c>
      <c r="P821" s="253">
        <v>51.962349399999994</v>
      </c>
      <c r="Q821" s="253">
        <v>53.859999999999992</v>
      </c>
      <c r="R821" s="253">
        <v>50.262378899999995</v>
      </c>
      <c r="S821" s="253">
        <v>50.482834509999996</v>
      </c>
      <c r="T821" s="253">
        <v>57.473684210526308</v>
      </c>
      <c r="U821" s="253">
        <v>54.470995670000001</v>
      </c>
      <c r="V821" s="253">
        <v>43.008745963333332</v>
      </c>
      <c r="W821" s="253"/>
      <c r="X821" s="253"/>
      <c r="Y821" s="253">
        <v>64.34890965999999</v>
      </c>
      <c r="Z821" s="253">
        <v>41.4</v>
      </c>
      <c r="AA821" s="253"/>
      <c r="AB821" s="253"/>
      <c r="AC821" s="253"/>
      <c r="AD821" s="253"/>
      <c r="AE821" s="253"/>
    </row>
    <row r="822" spans="1:31">
      <c r="A822" s="33">
        <v>821</v>
      </c>
      <c r="B822" s="69" t="s">
        <v>1987</v>
      </c>
      <c r="C822" s="69" t="s">
        <v>740</v>
      </c>
      <c r="D822" s="56">
        <v>42304</v>
      </c>
      <c r="F822" s="56"/>
      <c r="G822" s="69" t="str">
        <f t="shared" si="12"/>
        <v>E-Commerce</v>
      </c>
      <c r="H822" s="83" t="s">
        <v>1988</v>
      </c>
      <c r="I822" s="83"/>
      <c r="J822" s="69" t="s">
        <v>1987</v>
      </c>
      <c r="K822" s="69" t="s">
        <v>1992</v>
      </c>
      <c r="L822" s="253">
        <v>50.079745744</v>
      </c>
      <c r="M822" s="253">
        <v>50.973951450333331</v>
      </c>
      <c r="N822" s="253">
        <v>42.400193101447591</v>
      </c>
      <c r="O822" s="253">
        <v>59.983341980526319</v>
      </c>
      <c r="P822" s="253">
        <v>48.594780219999997</v>
      </c>
      <c r="Q822" s="253">
        <v>57.14</v>
      </c>
      <c r="R822" s="253">
        <v>51.769075250000007</v>
      </c>
      <c r="S822" s="253">
        <v>49.093354429999998</v>
      </c>
      <c r="T822" s="253">
        <v>59.842105263157897</v>
      </c>
      <c r="U822" s="253">
        <v>51.480519479999998</v>
      </c>
      <c r="V822" s="253">
        <v>44.225635841666666</v>
      </c>
      <c r="W822" s="253"/>
      <c r="X822" s="253"/>
      <c r="Y822" s="253">
        <v>64.98139535</v>
      </c>
      <c r="Z822" s="253">
        <v>56.019607839999992</v>
      </c>
      <c r="AA822" s="253"/>
      <c r="AB822" s="253"/>
      <c r="AC822" s="253"/>
      <c r="AD822" s="253"/>
      <c r="AE822" s="253"/>
    </row>
    <row r="823" spans="1:31">
      <c r="A823" s="33">
        <v>822</v>
      </c>
      <c r="B823" s="69" t="s">
        <v>872</v>
      </c>
      <c r="C823" s="69" t="s">
        <v>1232</v>
      </c>
      <c r="D823" s="56">
        <v>42307</v>
      </c>
      <c r="F823" s="56"/>
      <c r="G823" s="69" t="str">
        <f t="shared" si="12"/>
        <v>Both</v>
      </c>
      <c r="H823" s="83" t="s">
        <v>1982</v>
      </c>
      <c r="I823" s="83"/>
      <c r="J823" s="69" t="s">
        <v>872</v>
      </c>
      <c r="K823" s="69" t="s">
        <v>872</v>
      </c>
      <c r="L823" s="253">
        <v>62.311838100000003</v>
      </c>
      <c r="M823" s="253">
        <v>54.591882440699997</v>
      </c>
      <c r="N823" s="253">
        <v>48.274082260448274</v>
      </c>
      <c r="O823" s="253">
        <v>59.720135547421052</v>
      </c>
      <c r="P823" s="253">
        <v>64.817216979999998</v>
      </c>
      <c r="Q823" s="253">
        <v>55.41814815099999</v>
      </c>
      <c r="R823" s="253">
        <v>55.615656849999993</v>
      </c>
      <c r="S823" s="253">
        <v>56.581500650000002</v>
      </c>
      <c r="T823" s="253">
        <v>47.631578947368425</v>
      </c>
      <c r="U823" s="253">
        <v>52.236024839999992</v>
      </c>
      <c r="V823" s="253">
        <v>39.366220732999992</v>
      </c>
      <c r="W823" s="253">
        <v>45</v>
      </c>
      <c r="X823" s="253"/>
      <c r="Y823" s="253">
        <v>65</v>
      </c>
      <c r="Z823" s="253">
        <v>52.290322580000002</v>
      </c>
      <c r="AA823" s="253"/>
      <c r="AB823" s="253"/>
      <c r="AC823" s="253"/>
      <c r="AD823" s="253"/>
      <c r="AE823" s="253"/>
    </row>
    <row r="824" spans="1:31">
      <c r="A824" s="33">
        <v>823</v>
      </c>
      <c r="B824" s="69" t="s">
        <v>872</v>
      </c>
      <c r="C824" s="69" t="s">
        <v>1232</v>
      </c>
      <c r="D824" s="56">
        <v>42307</v>
      </c>
      <c r="F824" s="56"/>
      <c r="G824" s="69" t="str">
        <f t="shared" si="12"/>
        <v>Both</v>
      </c>
      <c r="H824" s="83" t="s">
        <v>1982</v>
      </c>
      <c r="I824" s="83"/>
      <c r="J824" s="69" t="s">
        <v>872</v>
      </c>
      <c r="K824" s="69" t="s">
        <v>1983</v>
      </c>
      <c r="L824" s="253">
        <v>58.933952535999985</v>
      </c>
      <c r="M824" s="253">
        <v>53.045400871999995</v>
      </c>
      <c r="N824" s="253">
        <v>40.125694951724135</v>
      </c>
      <c r="O824" s="253">
        <v>58.864942453684208</v>
      </c>
      <c r="P824" s="253">
        <v>58.987028299999999</v>
      </c>
      <c r="Q824" s="253">
        <v>57.819999999999993</v>
      </c>
      <c r="R824" s="253">
        <v>51.697525599999992</v>
      </c>
      <c r="S824" s="253">
        <v>53.610608019999994</v>
      </c>
      <c r="T824" s="253">
        <v>50</v>
      </c>
      <c r="U824" s="253">
        <v>47.850931679999995</v>
      </c>
      <c r="V824" s="253">
        <v>35</v>
      </c>
      <c r="W824" s="253">
        <v>34</v>
      </c>
      <c r="X824" s="253"/>
      <c r="Y824" s="253">
        <v>61</v>
      </c>
      <c r="Z824" s="253">
        <v>58.721649480000004</v>
      </c>
      <c r="AA824" s="253"/>
      <c r="AB824" s="253"/>
      <c r="AC824" s="253"/>
      <c r="AD824" s="253"/>
      <c r="AE824" s="253"/>
    </row>
    <row r="825" spans="1:31">
      <c r="A825" s="33">
        <v>824</v>
      </c>
      <c r="B825" s="69" t="s">
        <v>872</v>
      </c>
      <c r="C825" s="69" t="s">
        <v>1232</v>
      </c>
      <c r="D825" s="56">
        <v>42307</v>
      </c>
      <c r="F825" s="56"/>
      <c r="G825" s="69" t="str">
        <f t="shared" si="12"/>
        <v>Both</v>
      </c>
      <c r="H825" s="83" t="s">
        <v>1982</v>
      </c>
      <c r="I825" s="83"/>
      <c r="J825" s="69" t="s">
        <v>872</v>
      </c>
      <c r="K825" s="69" t="s">
        <v>1984</v>
      </c>
      <c r="L825" s="253">
        <v>63.295911948000004</v>
      </c>
      <c r="M825" s="253">
        <v>54.812459712500008</v>
      </c>
      <c r="N825" s="253">
        <v>57.48939311862069</v>
      </c>
      <c r="O825" s="253">
        <v>65.656786188421052</v>
      </c>
      <c r="P825" s="253">
        <v>62.984669810000007</v>
      </c>
      <c r="Q825" s="253">
        <v>50.68</v>
      </c>
      <c r="R825" s="253">
        <v>57.59206674</v>
      </c>
      <c r="S825" s="253">
        <v>52.211837000000003</v>
      </c>
      <c r="T825" s="253">
        <v>43.684210526315788</v>
      </c>
      <c r="U825" s="253">
        <v>53.527950310000001</v>
      </c>
      <c r="V825" s="253">
        <v>42.060869563999994</v>
      </c>
      <c r="W825" s="253">
        <v>58.48</v>
      </c>
      <c r="X825" s="253"/>
      <c r="Y825" s="253">
        <v>70.669856460000005</v>
      </c>
      <c r="Z825" s="253">
        <v>64.5408805</v>
      </c>
      <c r="AA825" s="253"/>
      <c r="AB825" s="253"/>
      <c r="AC825" s="253"/>
      <c r="AD825" s="253"/>
      <c r="AE825" s="253"/>
    </row>
    <row r="826" spans="1:31">
      <c r="A826" s="33">
        <v>825</v>
      </c>
      <c r="B826" s="69" t="s">
        <v>872</v>
      </c>
      <c r="C826" s="69" t="s">
        <v>1232</v>
      </c>
      <c r="D826" s="56">
        <v>42307</v>
      </c>
      <c r="F826" s="56"/>
      <c r="G826" s="69" t="str">
        <f t="shared" si="12"/>
        <v>Both</v>
      </c>
      <c r="H826" s="83" t="s">
        <v>1982</v>
      </c>
      <c r="I826" s="83"/>
      <c r="J826" s="69" t="s">
        <v>872</v>
      </c>
      <c r="K826" s="69" t="s">
        <v>1985</v>
      </c>
      <c r="L826" s="253">
        <v>64.063619197999998</v>
      </c>
      <c r="M826" s="253">
        <v>57.274307639</v>
      </c>
      <c r="N826" s="253">
        <v>54.766278854482749</v>
      </c>
      <c r="O826" s="253">
        <v>66.565934727894728</v>
      </c>
      <c r="P826" s="253">
        <v>62.210975610000006</v>
      </c>
      <c r="Q826" s="253">
        <v>62.159999999999989</v>
      </c>
      <c r="R826" s="253">
        <v>53.623681130000001</v>
      </c>
      <c r="S826" s="253">
        <v>59.441734420000003</v>
      </c>
      <c r="T826" s="253">
        <v>40.263157894736842</v>
      </c>
      <c r="U826" s="253">
        <v>49.60248447</v>
      </c>
      <c r="V826" s="253">
        <v>36.568561875999997</v>
      </c>
      <c r="W826" s="253">
        <v>54</v>
      </c>
      <c r="X826" s="253"/>
      <c r="Y826" s="253">
        <v>67.853269539999999</v>
      </c>
      <c r="Z826" s="253">
        <v>71.474193549999995</v>
      </c>
      <c r="AA826" s="253"/>
      <c r="AB826" s="253"/>
      <c r="AC826" s="253"/>
      <c r="AD826" s="253"/>
      <c r="AE826" s="253"/>
    </row>
    <row r="827" spans="1:31">
      <c r="A827" s="33">
        <v>826</v>
      </c>
      <c r="B827" s="69" t="s">
        <v>872</v>
      </c>
      <c r="C827" s="69" t="s">
        <v>1232</v>
      </c>
      <c r="D827" s="56">
        <v>42307</v>
      </c>
      <c r="F827" s="56"/>
      <c r="G827" s="69" t="str">
        <f t="shared" si="12"/>
        <v>Both</v>
      </c>
      <c r="H827" s="83" t="s">
        <v>1982</v>
      </c>
      <c r="I827" s="83"/>
      <c r="J827" s="69" t="s">
        <v>872</v>
      </c>
      <c r="K827" s="69" t="s">
        <v>1986</v>
      </c>
      <c r="L827" s="253">
        <v>61.934591198</v>
      </c>
      <c r="M827" s="253">
        <v>57.259282645499994</v>
      </c>
      <c r="N827" s="253">
        <v>52.084132381379312</v>
      </c>
      <c r="O827" s="253">
        <v>65.091135028947363</v>
      </c>
      <c r="P827" s="253">
        <v>61.586477989999999</v>
      </c>
      <c r="Q827" s="253">
        <v>62.696790119999989</v>
      </c>
      <c r="R827" s="253">
        <v>59.724911449999993</v>
      </c>
      <c r="S827" s="253">
        <v>58.561017679999992</v>
      </c>
      <c r="T827" s="253">
        <v>54.473684210526315</v>
      </c>
      <c r="U827" s="253">
        <v>46.975155280000003</v>
      </c>
      <c r="V827" s="253">
        <v>38.113712377999995</v>
      </c>
      <c r="W827" s="253">
        <v>48.199999999999996</v>
      </c>
      <c r="X827" s="253"/>
      <c r="Y827" s="253">
        <v>67.938871469999995</v>
      </c>
      <c r="Z827" s="253">
        <v>63.327044030000003</v>
      </c>
      <c r="AA827" s="253"/>
      <c r="AB827" s="253"/>
      <c r="AC827" s="253"/>
      <c r="AD827" s="253"/>
      <c r="AE827" s="253"/>
    </row>
    <row r="828" spans="1:31">
      <c r="A828" s="33">
        <v>827</v>
      </c>
      <c r="B828" s="69" t="s">
        <v>1980</v>
      </c>
      <c r="C828" s="69" t="s">
        <v>1232</v>
      </c>
      <c r="D828" s="56">
        <v>42320</v>
      </c>
      <c r="F828" s="56"/>
      <c r="G828" s="69" t="str">
        <f t="shared" si="12"/>
        <v>E-Commerce</v>
      </c>
      <c r="H828" s="69" t="s">
        <v>1981</v>
      </c>
      <c r="J828" s="69" t="s">
        <v>1980</v>
      </c>
      <c r="K828" s="69" t="s">
        <v>1980</v>
      </c>
      <c r="L828" s="253">
        <v>58.947368421052623</v>
      </c>
      <c r="M828" s="253">
        <v>61.424520030234319</v>
      </c>
      <c r="N828" s="253">
        <v>62.451398226228825</v>
      </c>
      <c r="O828" s="253">
        <v>67.305454545454538</v>
      </c>
      <c r="P828" s="253">
        <v>57.999999999999993</v>
      </c>
      <c r="Q828" s="253">
        <v>63.539999999999992</v>
      </c>
      <c r="R828" s="253">
        <v>63</v>
      </c>
      <c r="S828" s="253">
        <v>41</v>
      </c>
      <c r="T828" s="253">
        <v>63</v>
      </c>
      <c r="U828" s="253">
        <v>70</v>
      </c>
      <c r="V828" s="253">
        <v>65.148148148148138</v>
      </c>
      <c r="W828" s="253"/>
      <c r="X828" s="253">
        <v>69</v>
      </c>
      <c r="Y828" s="253">
        <v>72</v>
      </c>
      <c r="Z828" s="253">
        <v>64</v>
      </c>
      <c r="AA828" s="253"/>
      <c r="AB828" s="253"/>
      <c r="AC828" s="253"/>
      <c r="AD828" s="253"/>
      <c r="AE828" s="253"/>
    </row>
    <row r="829" spans="1:31">
      <c r="A829" s="33">
        <v>828</v>
      </c>
      <c r="B829" s="69" t="s">
        <v>1980</v>
      </c>
      <c r="C829" s="69" t="s">
        <v>1232</v>
      </c>
      <c r="D829" s="56">
        <v>42320</v>
      </c>
      <c r="F829" s="56"/>
      <c r="G829" s="69" t="str">
        <f t="shared" si="12"/>
        <v>E-Commerce</v>
      </c>
      <c r="H829" s="69" t="s">
        <v>1981</v>
      </c>
      <c r="J829" s="69" t="s">
        <v>1980</v>
      </c>
      <c r="K829" s="69" t="s">
        <v>389</v>
      </c>
      <c r="L829" s="253">
        <v>57.78947368421052</v>
      </c>
      <c r="M829" s="253">
        <v>67.408979591836726</v>
      </c>
      <c r="N829" s="253">
        <v>66.8892479306311</v>
      </c>
      <c r="O829" s="253">
        <v>68.962424242424234</v>
      </c>
      <c r="P829" s="253">
        <v>63</v>
      </c>
      <c r="Q829" s="253">
        <v>67.88</v>
      </c>
      <c r="R829" s="253">
        <v>65</v>
      </c>
      <c r="S829" s="253">
        <v>65</v>
      </c>
      <c r="T829" s="253">
        <v>63</v>
      </c>
      <c r="U829" s="253">
        <v>83</v>
      </c>
      <c r="V829" s="253">
        <v>67</v>
      </c>
      <c r="W829" s="253"/>
      <c r="X829" s="253">
        <v>68</v>
      </c>
      <c r="Y829" s="253">
        <v>80</v>
      </c>
      <c r="Z829" s="253">
        <v>30</v>
      </c>
      <c r="AA829" s="253"/>
      <c r="AB829" s="253"/>
      <c r="AC829" s="253"/>
      <c r="AD829" s="253"/>
      <c r="AE829" s="253"/>
    </row>
    <row r="830" spans="1:31">
      <c r="A830" s="33">
        <v>829</v>
      </c>
      <c r="B830" s="69" t="s">
        <v>1980</v>
      </c>
      <c r="C830" s="69" t="s">
        <v>1232</v>
      </c>
      <c r="D830" s="56">
        <v>42320</v>
      </c>
      <c r="F830" s="56"/>
      <c r="G830" s="69" t="str">
        <f t="shared" si="12"/>
        <v>E-Commerce</v>
      </c>
      <c r="H830" s="69" t="s">
        <v>1981</v>
      </c>
      <c r="J830" s="69" t="s">
        <v>1980</v>
      </c>
      <c r="K830" s="69" t="s">
        <v>78</v>
      </c>
      <c r="L830" s="253">
        <v>65.157894736842096</v>
      </c>
      <c r="M830" s="253">
        <v>65.377959183673454</v>
      </c>
      <c r="N830" s="253">
        <v>67.960921111720964</v>
      </c>
      <c r="O830" s="253">
        <v>69.511515151515155</v>
      </c>
      <c r="P830" s="253">
        <v>65</v>
      </c>
      <c r="Q830" s="253">
        <v>64.94</v>
      </c>
      <c r="R830" s="253">
        <v>65</v>
      </c>
      <c r="S830" s="253">
        <v>67</v>
      </c>
      <c r="T830" s="253">
        <v>71</v>
      </c>
      <c r="U830" s="253">
        <v>58.999999999999993</v>
      </c>
      <c r="V830" s="253">
        <v>71</v>
      </c>
      <c r="W830" s="253"/>
      <c r="X830" s="253"/>
      <c r="Y830" s="253">
        <v>72</v>
      </c>
      <c r="Z830" s="253">
        <v>66</v>
      </c>
      <c r="AA830" s="253"/>
      <c r="AB830" s="253"/>
      <c r="AC830" s="253"/>
      <c r="AD830" s="253"/>
      <c r="AE830" s="253"/>
    </row>
    <row r="831" spans="1:31">
      <c r="A831" s="33">
        <v>830</v>
      </c>
      <c r="B831" s="69" t="s">
        <v>1980</v>
      </c>
      <c r="C831" s="69" t="s">
        <v>1232</v>
      </c>
      <c r="D831" s="56">
        <v>42320</v>
      </c>
      <c r="F831" s="56"/>
      <c r="G831" s="69" t="str">
        <f t="shared" si="12"/>
        <v>E-Commerce</v>
      </c>
      <c r="H831" s="69" t="s">
        <v>1981</v>
      </c>
      <c r="J831" s="69" t="s">
        <v>1980</v>
      </c>
      <c r="K831" s="69" t="s">
        <v>1425</v>
      </c>
      <c r="L831" s="253">
        <v>64.210526315789465</v>
      </c>
      <c r="M831" s="253">
        <v>62.245139833711256</v>
      </c>
      <c r="N831" s="253">
        <v>60.561068550212816</v>
      </c>
      <c r="O831" s="253">
        <v>64.698181818181808</v>
      </c>
      <c r="P831" s="253">
        <v>65</v>
      </c>
      <c r="Q831" s="253">
        <v>66.519999999999982</v>
      </c>
      <c r="R831" s="253">
        <v>67</v>
      </c>
      <c r="S831" s="253">
        <v>56.999999999999993</v>
      </c>
      <c r="T831" s="253">
        <v>63</v>
      </c>
      <c r="U831" s="253">
        <v>60</v>
      </c>
      <c r="V831" s="253">
        <v>61.185185185185183</v>
      </c>
      <c r="W831" s="253"/>
      <c r="X831" s="253">
        <v>64</v>
      </c>
      <c r="Y831" s="253">
        <v>66</v>
      </c>
      <c r="Z831" s="253">
        <v>60</v>
      </c>
      <c r="AA831" s="253"/>
      <c r="AB831" s="253"/>
      <c r="AC831" s="253"/>
      <c r="AD831" s="253"/>
      <c r="AE831" s="253"/>
    </row>
    <row r="832" spans="1:31">
      <c r="A832" s="33">
        <v>831</v>
      </c>
      <c r="B832" s="69" t="s">
        <v>1980</v>
      </c>
      <c r="C832" s="69" t="s">
        <v>1232</v>
      </c>
      <c r="D832" s="56">
        <v>42320</v>
      </c>
      <c r="F832" s="56"/>
      <c r="G832" s="69" t="str">
        <f t="shared" si="12"/>
        <v>E-Commerce</v>
      </c>
      <c r="H832" s="69" t="s">
        <v>1981</v>
      </c>
      <c r="J832" s="69" t="s">
        <v>1980</v>
      </c>
      <c r="K832" s="69" t="s">
        <v>393</v>
      </c>
      <c r="L832" s="253">
        <v>67.31578947368422</v>
      </c>
      <c r="M832" s="253">
        <v>63.183280423280415</v>
      </c>
      <c r="N832" s="253">
        <v>68.216719022300595</v>
      </c>
      <c r="O832" s="253">
        <v>66.198787878787883</v>
      </c>
      <c r="P832" s="253">
        <v>67</v>
      </c>
      <c r="Q832" s="253">
        <v>69.78</v>
      </c>
      <c r="R832" s="253">
        <v>60</v>
      </c>
      <c r="S832" s="253">
        <v>70</v>
      </c>
      <c r="T832" s="253">
        <v>63</v>
      </c>
      <c r="U832" s="253">
        <v>55</v>
      </c>
      <c r="V832" s="253">
        <v>62.074074074074083</v>
      </c>
      <c r="W832" s="253"/>
      <c r="X832" s="253">
        <v>73</v>
      </c>
      <c r="Y832" s="253">
        <v>66</v>
      </c>
      <c r="Z832" s="253">
        <v>69</v>
      </c>
      <c r="AA832" s="253"/>
      <c r="AB832" s="253"/>
      <c r="AC832" s="253"/>
      <c r="AD832" s="253"/>
      <c r="AE832" s="253"/>
    </row>
    <row r="833" spans="1:31">
      <c r="A833" s="33">
        <v>832</v>
      </c>
      <c r="B833" s="69" t="s">
        <v>1053</v>
      </c>
      <c r="C833" s="69" t="s">
        <v>1639</v>
      </c>
      <c r="D833" s="56">
        <v>42328</v>
      </c>
      <c r="F833" s="56"/>
      <c r="G833" s="69" t="str">
        <f t="shared" si="12"/>
        <v>E-Commerce</v>
      </c>
      <c r="H833" s="69" t="s">
        <v>749</v>
      </c>
      <c r="J833" s="69" t="s">
        <v>1053</v>
      </c>
      <c r="K833" s="69" t="s">
        <v>1053</v>
      </c>
      <c r="L833" s="253">
        <v>63.4</v>
      </c>
      <c r="M833" s="253">
        <v>57.784821428571419</v>
      </c>
      <c r="N833" s="253">
        <v>60.613302729404701</v>
      </c>
      <c r="O833" s="253">
        <v>68.047368421052624</v>
      </c>
      <c r="P833" s="253">
        <v>62</v>
      </c>
      <c r="Q833" s="253">
        <v>61.899999999999984</v>
      </c>
      <c r="R833" s="253">
        <v>57.999999999999993</v>
      </c>
      <c r="S833" s="253">
        <v>60</v>
      </c>
      <c r="T833" s="253">
        <v>56.000000000000007</v>
      </c>
      <c r="U833" s="253">
        <v>51</v>
      </c>
      <c r="V833" s="253">
        <v>55.874999999999993</v>
      </c>
      <c r="W833" s="253"/>
      <c r="X833" s="253">
        <v>50</v>
      </c>
      <c r="Y833" s="253">
        <v>71</v>
      </c>
      <c r="Z833" s="253">
        <v>69</v>
      </c>
      <c r="AA833" s="253"/>
      <c r="AB833" s="253"/>
      <c r="AC833" s="253"/>
      <c r="AD833" s="253"/>
      <c r="AE833" s="253"/>
    </row>
    <row r="834" spans="1:31">
      <c r="A834" s="33">
        <v>833</v>
      </c>
      <c r="B834" s="69" t="s">
        <v>1053</v>
      </c>
      <c r="C834" s="69" t="s">
        <v>1639</v>
      </c>
      <c r="D834" s="56">
        <v>42328</v>
      </c>
      <c r="F834" s="56"/>
      <c r="G834" s="69" t="str">
        <f t="shared" ref="G834:G897" si="13">IF(V834&gt;0,IF(W834&gt;0,"Both","E-Commerce"),IF(W834=0, "ERROR","User Registration"))</f>
        <v>E-Commerce</v>
      </c>
      <c r="H834" s="69" t="s">
        <v>749</v>
      </c>
      <c r="J834" s="69" t="s">
        <v>1053</v>
      </c>
      <c r="K834" s="69" t="s">
        <v>79</v>
      </c>
      <c r="L834" s="253">
        <v>69</v>
      </c>
      <c r="M834" s="253">
        <v>65.842261904761884</v>
      </c>
      <c r="N834" s="253">
        <v>68.74783360777073</v>
      </c>
      <c r="O834" s="253">
        <v>71.421052631578945</v>
      </c>
      <c r="P834" s="253">
        <v>70</v>
      </c>
      <c r="Q834" s="253">
        <v>69</v>
      </c>
      <c r="R834" s="253">
        <v>65</v>
      </c>
      <c r="S834" s="253">
        <v>63</v>
      </c>
      <c r="T834" s="253">
        <v>67</v>
      </c>
      <c r="U834" s="253">
        <v>65</v>
      </c>
      <c r="V834" s="253">
        <v>66.916666666666657</v>
      </c>
      <c r="W834" s="253"/>
      <c r="X834" s="253">
        <v>70</v>
      </c>
      <c r="Y834" s="253">
        <v>77</v>
      </c>
      <c r="Z834" s="253">
        <v>65</v>
      </c>
      <c r="AA834" s="253"/>
      <c r="AB834" s="253"/>
      <c r="AC834" s="253"/>
      <c r="AD834" s="253"/>
      <c r="AE834" s="253"/>
    </row>
    <row r="835" spans="1:31">
      <c r="A835" s="33">
        <v>834</v>
      </c>
      <c r="B835" s="69" t="s">
        <v>1053</v>
      </c>
      <c r="C835" s="69" t="s">
        <v>1639</v>
      </c>
      <c r="D835" s="56">
        <v>42328</v>
      </c>
      <c r="F835" s="56"/>
      <c r="G835" s="69" t="str">
        <f t="shared" si="13"/>
        <v>E-Commerce</v>
      </c>
      <c r="H835" s="69" t="s">
        <v>749</v>
      </c>
      <c r="J835" s="69" t="s">
        <v>1053</v>
      </c>
      <c r="K835" s="69" t="s">
        <v>1052</v>
      </c>
      <c r="L835" s="253">
        <v>66.599999999999994</v>
      </c>
      <c r="M835" s="253">
        <v>63.111607142857139</v>
      </c>
      <c r="N835" s="253">
        <v>64.872486402874117</v>
      </c>
      <c r="O835" s="253">
        <v>67.26315789473685</v>
      </c>
      <c r="P835" s="253">
        <v>65</v>
      </c>
      <c r="Q835" s="253">
        <v>65</v>
      </c>
      <c r="R835" s="253">
        <v>63</v>
      </c>
      <c r="S835" s="253">
        <v>52</v>
      </c>
      <c r="T835" s="253">
        <v>65</v>
      </c>
      <c r="U835" s="253">
        <v>64</v>
      </c>
      <c r="V835" s="253">
        <v>64.625000000000014</v>
      </c>
      <c r="W835" s="253"/>
      <c r="X835" s="253">
        <v>62</v>
      </c>
      <c r="Y835" s="253">
        <v>67</v>
      </c>
      <c r="Z835" s="253">
        <v>73</v>
      </c>
      <c r="AA835" s="253"/>
      <c r="AB835" s="253"/>
      <c r="AC835" s="253"/>
      <c r="AD835" s="253"/>
      <c r="AE835" s="253"/>
    </row>
    <row r="836" spans="1:31">
      <c r="A836" s="33">
        <v>835</v>
      </c>
      <c r="B836" s="69" t="s">
        <v>1053</v>
      </c>
      <c r="C836" s="69" t="s">
        <v>1639</v>
      </c>
      <c r="D836" s="56">
        <v>42328</v>
      </c>
      <c r="F836" s="56"/>
      <c r="G836" s="69" t="str">
        <f t="shared" si="13"/>
        <v>E-Commerce</v>
      </c>
      <c r="H836" s="69" t="s">
        <v>749</v>
      </c>
      <c r="J836" s="69" t="s">
        <v>1053</v>
      </c>
      <c r="K836" s="69" t="s">
        <v>397</v>
      </c>
      <c r="L836" s="253">
        <v>61.6</v>
      </c>
      <c r="M836" s="253">
        <v>57.93452380952381</v>
      </c>
      <c r="N836" s="253">
        <v>57.496315885767501</v>
      </c>
      <c r="O836" s="253">
        <v>62.578947368421055</v>
      </c>
      <c r="P836" s="253">
        <v>60</v>
      </c>
      <c r="Q836" s="253">
        <v>58.999999999999993</v>
      </c>
      <c r="R836" s="253">
        <v>55</v>
      </c>
      <c r="S836" s="253">
        <v>50</v>
      </c>
      <c r="T836" s="253">
        <v>56.999999999999993</v>
      </c>
      <c r="U836" s="253">
        <v>62</v>
      </c>
      <c r="V836" s="253">
        <v>58.833333333333329</v>
      </c>
      <c r="W836" s="253"/>
      <c r="X836" s="253">
        <v>50</v>
      </c>
      <c r="Y836" s="253">
        <v>63</v>
      </c>
      <c r="Z836" s="253">
        <v>68</v>
      </c>
      <c r="AA836" s="253"/>
      <c r="AB836" s="253"/>
      <c r="AC836" s="253"/>
      <c r="AD836" s="253"/>
      <c r="AE836" s="253"/>
    </row>
    <row r="837" spans="1:31">
      <c r="A837" s="33">
        <v>836</v>
      </c>
      <c r="B837" s="69" t="s">
        <v>1053</v>
      </c>
      <c r="C837" s="69" t="s">
        <v>1639</v>
      </c>
      <c r="D837" s="56">
        <v>42328</v>
      </c>
      <c r="F837" s="56"/>
      <c r="G837" s="69" t="str">
        <f t="shared" si="13"/>
        <v>E-Commerce</v>
      </c>
      <c r="H837" s="69" t="s">
        <v>749</v>
      </c>
      <c r="J837" s="69" t="s">
        <v>1053</v>
      </c>
      <c r="K837" s="69" t="s">
        <v>1979</v>
      </c>
      <c r="L837" s="253">
        <v>61.6</v>
      </c>
      <c r="M837" s="253">
        <v>54.776250000000005</v>
      </c>
      <c r="N837" s="253">
        <v>55.624021755401429</v>
      </c>
      <c r="O837" s="253">
        <v>62.781052631578945</v>
      </c>
      <c r="P837" s="253">
        <v>60</v>
      </c>
      <c r="Q837" s="253">
        <v>65.84</v>
      </c>
      <c r="R837" s="253">
        <v>51</v>
      </c>
      <c r="S837" s="253">
        <v>55</v>
      </c>
      <c r="T837" s="253">
        <v>50</v>
      </c>
      <c r="U837" s="253">
        <v>50</v>
      </c>
      <c r="V837" s="253">
        <v>51.874999999999993</v>
      </c>
      <c r="W837" s="253"/>
      <c r="X837" s="253">
        <v>60</v>
      </c>
      <c r="Y837" s="253">
        <v>63</v>
      </c>
      <c r="Z837" s="253">
        <v>68</v>
      </c>
      <c r="AA837" s="253"/>
      <c r="AB837" s="253"/>
      <c r="AC837" s="253"/>
      <c r="AD837" s="253"/>
      <c r="AE837" s="253"/>
    </row>
    <row r="838" spans="1:31">
      <c r="A838" s="33">
        <v>837</v>
      </c>
      <c r="B838" s="69" t="s">
        <v>1955</v>
      </c>
      <c r="C838" s="69" t="s">
        <v>740</v>
      </c>
      <c r="D838" s="56">
        <v>42332</v>
      </c>
      <c r="F838" s="56"/>
      <c r="G838" s="69" t="str">
        <f t="shared" si="13"/>
        <v>E-Commerce</v>
      </c>
      <c r="H838" s="69" t="s">
        <v>1976</v>
      </c>
      <c r="J838" s="69" t="s">
        <v>1955</v>
      </c>
      <c r="K838" s="69" t="s">
        <v>1955</v>
      </c>
      <c r="L838" s="253">
        <v>54.692693286000001</v>
      </c>
      <c r="M838" s="253">
        <v>55.569671726392855</v>
      </c>
      <c r="N838" s="253">
        <v>50.341582646957718</v>
      </c>
      <c r="O838" s="253">
        <v>58.979355302684212</v>
      </c>
      <c r="P838" s="253">
        <v>53.231638420000003</v>
      </c>
      <c r="Q838" s="253">
        <v>58.720970870999999</v>
      </c>
      <c r="R838" s="253">
        <v>55.981236670000001</v>
      </c>
      <c r="S838" s="253">
        <v>52.802052789999998</v>
      </c>
      <c r="T838" s="253">
        <v>54.499999999999993</v>
      </c>
      <c r="U838" s="253">
        <v>53.228699550000002</v>
      </c>
      <c r="V838" s="253">
        <v>55.847041419</v>
      </c>
      <c r="W838" s="253"/>
      <c r="X838" s="253">
        <v>50</v>
      </c>
      <c r="Y838" s="253">
        <v>59.443769000000003</v>
      </c>
      <c r="Z838" s="253">
        <v>60.536912749999992</v>
      </c>
      <c r="AA838" s="253"/>
      <c r="AB838" s="253"/>
      <c r="AC838" s="253"/>
      <c r="AD838" s="253"/>
      <c r="AE838" s="253"/>
    </row>
    <row r="839" spans="1:31">
      <c r="A839" s="33">
        <v>838</v>
      </c>
      <c r="B839" s="69" t="s">
        <v>1955</v>
      </c>
      <c r="C839" s="69" t="s">
        <v>740</v>
      </c>
      <c r="D839" s="56">
        <v>42332</v>
      </c>
      <c r="F839" s="56"/>
      <c r="G839" s="69" t="str">
        <f t="shared" si="13"/>
        <v>E-Commerce</v>
      </c>
      <c r="H839" s="69" t="s">
        <v>1976</v>
      </c>
      <c r="J839" s="69" t="s">
        <v>1955</v>
      </c>
      <c r="K839" s="69" t="s">
        <v>1957</v>
      </c>
      <c r="L839" s="253">
        <v>56.211461723999996</v>
      </c>
      <c r="M839" s="253">
        <v>55.225425561297627</v>
      </c>
      <c r="N839" s="253">
        <v>53.551876359985549</v>
      </c>
      <c r="O839" s="253">
        <v>61.222492530631577</v>
      </c>
      <c r="P839" s="253">
        <v>52.839830509999999</v>
      </c>
      <c r="Q839" s="253">
        <v>59.116116502000004</v>
      </c>
      <c r="R839" s="253">
        <v>54.520775030000003</v>
      </c>
      <c r="S839" s="253">
        <v>48.812316719999998</v>
      </c>
      <c r="T839" s="253">
        <v>49.6</v>
      </c>
      <c r="U839" s="253">
        <v>55.381165919999994</v>
      </c>
      <c r="V839" s="253">
        <v>55.378500983666669</v>
      </c>
      <c r="W839" s="253"/>
      <c r="X839" s="253">
        <v>42.500000000000007</v>
      </c>
      <c r="Y839" s="253">
        <v>59.776744189999995</v>
      </c>
      <c r="Z839" s="253">
        <v>69.697986580000006</v>
      </c>
      <c r="AA839" s="253"/>
      <c r="AB839" s="253"/>
      <c r="AC839" s="253"/>
      <c r="AD839" s="253"/>
      <c r="AE839" s="253"/>
    </row>
    <row r="840" spans="1:31">
      <c r="A840" s="33">
        <v>839</v>
      </c>
      <c r="B840" s="69" t="s">
        <v>1955</v>
      </c>
      <c r="C840" s="69" t="s">
        <v>740</v>
      </c>
      <c r="D840" s="56">
        <v>42332</v>
      </c>
      <c r="F840" s="56"/>
      <c r="G840" s="69" t="str">
        <f t="shared" si="13"/>
        <v>E-Commerce</v>
      </c>
      <c r="H840" s="69" t="s">
        <v>1976</v>
      </c>
      <c r="J840" s="69" t="s">
        <v>1955</v>
      </c>
      <c r="K840" s="69" t="s">
        <v>1958</v>
      </c>
      <c r="L840" s="253">
        <v>53.045348402000002</v>
      </c>
      <c r="M840" s="253">
        <v>56.688521410107136</v>
      </c>
      <c r="N840" s="253">
        <v>66.94623234352332</v>
      </c>
      <c r="O840" s="253">
        <v>55.750526638789474</v>
      </c>
      <c r="P840" s="253">
        <v>50.334463279999994</v>
      </c>
      <c r="Q840" s="253">
        <v>54.191844656999997</v>
      </c>
      <c r="R840" s="253">
        <v>49.760593219999997</v>
      </c>
      <c r="S840" s="253">
        <v>52.151162790000001</v>
      </c>
      <c r="T840" s="253">
        <v>57.749999999999986</v>
      </c>
      <c r="U840" s="253">
        <v>62</v>
      </c>
      <c r="V840" s="253">
        <v>60.415165163000005</v>
      </c>
      <c r="W840" s="253"/>
      <c r="X840" s="253"/>
      <c r="Y840" s="253">
        <v>53.395136779999994</v>
      </c>
      <c r="Z840" s="253">
        <v>63.888888889999997</v>
      </c>
      <c r="AA840" s="253"/>
      <c r="AB840" s="253"/>
      <c r="AC840" s="253"/>
      <c r="AD840" s="253"/>
      <c r="AE840" s="253"/>
    </row>
    <row r="841" spans="1:31">
      <c r="A841" s="33">
        <v>840</v>
      </c>
      <c r="B841" s="69" t="s">
        <v>1955</v>
      </c>
      <c r="C841" s="69" t="s">
        <v>740</v>
      </c>
      <c r="D841" s="56">
        <v>42332</v>
      </c>
      <c r="F841" s="56"/>
      <c r="G841" s="69" t="str">
        <f t="shared" si="13"/>
        <v>E-Commerce</v>
      </c>
      <c r="H841" s="69" t="s">
        <v>1976</v>
      </c>
      <c r="J841" s="69" t="s">
        <v>1955</v>
      </c>
      <c r="K841" s="69" t="s">
        <v>1959</v>
      </c>
      <c r="L841" s="253">
        <v>58.076184778000005</v>
      </c>
      <c r="M841" s="253">
        <v>62.767539893392851</v>
      </c>
      <c r="N841" s="253">
        <v>69.950654419552421</v>
      </c>
      <c r="O841" s="253">
        <v>67.16921640578947</v>
      </c>
      <c r="P841" s="253">
        <v>56.149152540000003</v>
      </c>
      <c r="Q841" s="253">
        <v>63.614368929999998</v>
      </c>
      <c r="R841" s="253">
        <v>59.734935900000004</v>
      </c>
      <c r="S841" s="253">
        <v>64.20930233</v>
      </c>
      <c r="T841" s="253">
        <v>61</v>
      </c>
      <c r="U841" s="253">
        <v>60</v>
      </c>
      <c r="V841" s="253">
        <v>66.590625003</v>
      </c>
      <c r="W841" s="253"/>
      <c r="X841" s="253"/>
      <c r="Y841" s="253">
        <v>70</v>
      </c>
      <c r="Z841" s="253">
        <v>65.784313729999994</v>
      </c>
      <c r="AA841" s="253"/>
      <c r="AB841" s="253"/>
      <c r="AC841" s="253"/>
      <c r="AD841" s="253"/>
      <c r="AE841" s="253"/>
    </row>
    <row r="842" spans="1:31">
      <c r="A842" s="33">
        <v>841</v>
      </c>
      <c r="B842" s="69" t="s">
        <v>1955</v>
      </c>
      <c r="C842" s="69" t="s">
        <v>740</v>
      </c>
      <c r="D842" s="56">
        <v>42332</v>
      </c>
      <c r="F842" s="56"/>
      <c r="G842" s="69" t="str">
        <f t="shared" si="13"/>
        <v>E-Commerce</v>
      </c>
      <c r="H842" s="69" t="s">
        <v>1976</v>
      </c>
      <c r="J842" s="69" t="s">
        <v>1955</v>
      </c>
      <c r="K842" s="69" t="s">
        <v>1960</v>
      </c>
      <c r="L842" s="253">
        <v>56.112152431999995</v>
      </c>
      <c r="M842" s="253">
        <v>56.593962250202381</v>
      </c>
      <c r="N842" s="253">
        <v>61.60045138843504</v>
      </c>
      <c r="O842" s="253">
        <v>66.334571597157904</v>
      </c>
      <c r="P842" s="253">
        <v>53.293785309999997</v>
      </c>
      <c r="Q842" s="253">
        <v>62.176699025999994</v>
      </c>
      <c r="R842" s="253">
        <v>52.508295800000006</v>
      </c>
      <c r="S842" s="253">
        <v>56.235465120000008</v>
      </c>
      <c r="T842" s="253">
        <v>51</v>
      </c>
      <c r="U842" s="253">
        <v>55.941704039999998</v>
      </c>
      <c r="V842" s="253">
        <v>56.192209076333334</v>
      </c>
      <c r="W842" s="253"/>
      <c r="X842" s="253">
        <v>57.25</v>
      </c>
      <c r="Y842" s="253">
        <v>70</v>
      </c>
      <c r="Z842" s="253">
        <v>67.385620919999994</v>
      </c>
      <c r="AA842" s="253"/>
      <c r="AB842" s="253"/>
      <c r="AC842" s="253"/>
      <c r="AD842" s="253"/>
      <c r="AE842" s="253"/>
    </row>
    <row r="843" spans="1:31">
      <c r="A843" s="33">
        <v>842</v>
      </c>
      <c r="B843" s="69" t="s">
        <v>1977</v>
      </c>
      <c r="C843" s="69" t="s">
        <v>1330</v>
      </c>
      <c r="D843" s="56">
        <v>42332</v>
      </c>
      <c r="F843" s="56"/>
      <c r="G843" s="69" t="str">
        <f t="shared" si="13"/>
        <v>Both</v>
      </c>
      <c r="H843" s="69" t="s">
        <v>922</v>
      </c>
      <c r="J843" s="69" t="s">
        <v>1977</v>
      </c>
      <c r="K843" s="69" t="s">
        <v>1977</v>
      </c>
      <c r="L843" s="253">
        <v>48.277869796000004</v>
      </c>
      <c r="M843" s="253">
        <v>47.606086121299995</v>
      </c>
      <c r="N843" s="253">
        <v>42.024646796686405</v>
      </c>
      <c r="O843" s="253">
        <v>46.64720843521053</v>
      </c>
      <c r="P843" s="253">
        <v>48.417989419999998</v>
      </c>
      <c r="Q843" s="253">
        <v>44.006666668999991</v>
      </c>
      <c r="R843" s="253">
        <v>48.772229299999999</v>
      </c>
      <c r="S843" s="253">
        <v>42</v>
      </c>
      <c r="T843" s="253"/>
      <c r="U843" s="253">
        <v>53.759825329999998</v>
      </c>
      <c r="V843" s="253">
        <v>37.077479893999993</v>
      </c>
      <c r="W843" s="253">
        <v>38.4</v>
      </c>
      <c r="X843" s="253">
        <v>44.196428571428569</v>
      </c>
      <c r="Y843" s="253">
        <v>46.415887849999997</v>
      </c>
      <c r="Z843" s="253">
        <v>47.717391300000003</v>
      </c>
      <c r="AA843" s="253"/>
      <c r="AB843" s="253"/>
      <c r="AC843" s="253"/>
      <c r="AD843" s="253"/>
      <c r="AE843" s="253"/>
    </row>
    <row r="844" spans="1:31">
      <c r="A844" s="33">
        <v>843</v>
      </c>
      <c r="B844" s="69" t="s">
        <v>1977</v>
      </c>
      <c r="C844" s="69" t="s">
        <v>1330</v>
      </c>
      <c r="D844" s="56">
        <v>42332</v>
      </c>
      <c r="F844" s="56"/>
      <c r="G844" s="69" t="str">
        <f t="shared" si="13"/>
        <v>Both</v>
      </c>
      <c r="H844" s="69" t="s">
        <v>922</v>
      </c>
      <c r="J844" s="69" t="s">
        <v>1977</v>
      </c>
      <c r="K844" s="69" t="s">
        <v>379</v>
      </c>
      <c r="L844" s="253">
        <v>63.005032467714315</v>
      </c>
      <c r="M844" s="253">
        <v>61.351614162499999</v>
      </c>
      <c r="N844" s="253">
        <v>58.070386002648085</v>
      </c>
      <c r="O844" s="253">
        <v>65.435796530526318</v>
      </c>
      <c r="P844" s="253">
        <v>64.341517857142904</v>
      </c>
      <c r="Q844" s="253">
        <v>55</v>
      </c>
      <c r="R844" s="253">
        <v>66.992875780000006</v>
      </c>
      <c r="S844" s="253">
        <v>69.408018869999992</v>
      </c>
      <c r="T844" s="253"/>
      <c r="U844" s="253">
        <v>55.823529409999992</v>
      </c>
      <c r="V844" s="253">
        <v>40.09712643999999</v>
      </c>
      <c r="W844" s="253">
        <v>60</v>
      </c>
      <c r="X844" s="253">
        <v>51.160714285714292</v>
      </c>
      <c r="Y844" s="253">
        <v>69.659090910000003</v>
      </c>
      <c r="Z844" s="253">
        <v>57.659090909999996</v>
      </c>
      <c r="AA844" s="253"/>
      <c r="AB844" s="253"/>
      <c r="AC844" s="253"/>
      <c r="AD844" s="253"/>
      <c r="AE844" s="253"/>
    </row>
    <row r="845" spans="1:31">
      <c r="A845" s="33">
        <v>844</v>
      </c>
      <c r="B845" s="69" t="s">
        <v>1977</v>
      </c>
      <c r="C845" s="69" t="s">
        <v>1330</v>
      </c>
      <c r="D845" s="56">
        <v>42332</v>
      </c>
      <c r="F845" s="56"/>
      <c r="G845" s="69" t="str">
        <f t="shared" si="13"/>
        <v>Both</v>
      </c>
      <c r="H845" s="69" t="s">
        <v>922</v>
      </c>
      <c r="J845" s="69" t="s">
        <v>1977</v>
      </c>
      <c r="K845" s="69" t="s">
        <v>926</v>
      </c>
      <c r="L845" s="253">
        <v>52.604300726000005</v>
      </c>
      <c r="M845" s="253">
        <v>52.335187933900009</v>
      </c>
      <c r="N845" s="253">
        <v>44.22606271767247</v>
      </c>
      <c r="O845" s="253">
        <v>57.435550693789473</v>
      </c>
      <c r="P845" s="253">
        <v>50.792713570000004</v>
      </c>
      <c r="Q845" s="253">
        <v>52.613333331999996</v>
      </c>
      <c r="R845" s="253">
        <v>49</v>
      </c>
      <c r="S845" s="253">
        <v>49.4375</v>
      </c>
      <c r="T845" s="253"/>
      <c r="U845" s="253">
        <v>54.759825329999998</v>
      </c>
      <c r="V845" s="253">
        <v>39.907506701999999</v>
      </c>
      <c r="W845" s="253">
        <v>40</v>
      </c>
      <c r="X845" s="253">
        <v>46.785714285714292</v>
      </c>
      <c r="Y845" s="253">
        <v>59.197138309999993</v>
      </c>
      <c r="Z845" s="253">
        <v>59.850649349999998</v>
      </c>
      <c r="AA845" s="253"/>
      <c r="AB845" s="253"/>
      <c r="AC845" s="253"/>
      <c r="AD845" s="253"/>
      <c r="AE845" s="253"/>
    </row>
    <row r="846" spans="1:31">
      <c r="A846" s="33">
        <v>845</v>
      </c>
      <c r="B846" s="69" t="s">
        <v>1977</v>
      </c>
      <c r="C846" s="69" t="s">
        <v>1330</v>
      </c>
      <c r="D846" s="56">
        <v>42332</v>
      </c>
      <c r="F846" s="56"/>
      <c r="G846" s="69" t="str">
        <f t="shared" si="13"/>
        <v>Both</v>
      </c>
      <c r="H846" s="69" t="s">
        <v>922</v>
      </c>
      <c r="J846" s="69" t="s">
        <v>1977</v>
      </c>
      <c r="K846" s="69" t="s">
        <v>391</v>
      </c>
      <c r="L846" s="253">
        <v>67.378499278161613</v>
      </c>
      <c r="M846" s="253">
        <v>64.061648169500003</v>
      </c>
      <c r="N846" s="253">
        <v>63.403037975818819</v>
      </c>
      <c r="O846" s="253">
        <v>68.479261536315789</v>
      </c>
      <c r="P846" s="253">
        <v>67.895202020202007</v>
      </c>
      <c r="Q846" s="253">
        <v>60.02</v>
      </c>
      <c r="R846" s="253">
        <v>69.167920930000008</v>
      </c>
      <c r="S846" s="253">
        <v>69.97708068</v>
      </c>
      <c r="T846" s="253"/>
      <c r="U846" s="253">
        <v>56.95633188</v>
      </c>
      <c r="V846" s="253">
        <v>41.568364613999996</v>
      </c>
      <c r="W846" s="253">
        <v>66.151422999999994</v>
      </c>
      <c r="X846" s="253">
        <v>56.785714285714285</v>
      </c>
      <c r="Y846" s="253">
        <v>70.621460510000006</v>
      </c>
      <c r="Z846" s="253">
        <v>65.311688310000008</v>
      </c>
      <c r="AA846" s="253"/>
      <c r="AB846" s="253"/>
      <c r="AC846" s="253"/>
      <c r="AD846" s="253"/>
      <c r="AE846" s="253"/>
    </row>
    <row r="847" spans="1:31">
      <c r="A847" s="33">
        <v>846</v>
      </c>
      <c r="B847" s="69" t="s">
        <v>1977</v>
      </c>
      <c r="C847" s="69" t="s">
        <v>1330</v>
      </c>
      <c r="D847" s="56">
        <v>42332</v>
      </c>
      <c r="F847" s="56"/>
      <c r="G847" s="69" t="str">
        <f t="shared" si="13"/>
        <v>Both</v>
      </c>
      <c r="H847" s="69" t="s">
        <v>922</v>
      </c>
      <c r="J847" s="69" t="s">
        <v>1977</v>
      </c>
      <c r="K847" s="69" t="s">
        <v>1756</v>
      </c>
      <c r="L847" s="253">
        <v>54.400000000000006</v>
      </c>
      <c r="M847" s="253">
        <v>54.500873362500002</v>
      </c>
      <c r="N847" s="253">
        <v>55.240418118466891</v>
      </c>
      <c r="O847" s="253">
        <v>53.277750452631579</v>
      </c>
      <c r="P847" s="253">
        <v>55</v>
      </c>
      <c r="Q847" s="253">
        <v>49</v>
      </c>
      <c r="R847" s="253">
        <v>54</v>
      </c>
      <c r="S847" s="253">
        <v>54</v>
      </c>
      <c r="T847" s="253"/>
      <c r="U847" s="253">
        <v>60.803493449999998</v>
      </c>
      <c r="V847" s="253">
        <v>42.964611262999995</v>
      </c>
      <c r="W847" s="253">
        <v>62.8</v>
      </c>
      <c r="X847" s="253">
        <v>44.821428571428569</v>
      </c>
      <c r="Y847" s="253">
        <v>54.127725859999998</v>
      </c>
      <c r="Z847" s="253">
        <v>52</v>
      </c>
      <c r="AA847" s="253"/>
      <c r="AB847" s="253"/>
      <c r="AC847" s="253"/>
      <c r="AD847" s="253"/>
      <c r="AE847" s="253"/>
    </row>
    <row r="848" spans="1:31">
      <c r="A848" s="33">
        <v>847</v>
      </c>
      <c r="B848" s="69" t="s">
        <v>1977</v>
      </c>
      <c r="C848" s="69" t="s">
        <v>1330</v>
      </c>
      <c r="D848" s="56">
        <v>42332</v>
      </c>
      <c r="F848" s="56"/>
      <c r="G848" s="69" t="str">
        <f t="shared" si="13"/>
        <v>Both</v>
      </c>
      <c r="H848" s="69" t="s">
        <v>922</v>
      </c>
      <c r="J848" s="69" t="s">
        <v>1977</v>
      </c>
      <c r="K848" s="69" t="s">
        <v>1978</v>
      </c>
      <c r="L848" s="253">
        <v>54.938268398969683</v>
      </c>
      <c r="M848" s="253">
        <v>57.458177788000008</v>
      </c>
      <c r="N848" s="253">
        <v>52.044921377160279</v>
      </c>
      <c r="O848" s="253">
        <v>57.30003193236842</v>
      </c>
      <c r="P848" s="253">
        <v>55.296212121212093</v>
      </c>
      <c r="Q848" s="253">
        <v>60.736666664999994</v>
      </c>
      <c r="R848" s="253">
        <v>59.615680839999996</v>
      </c>
      <c r="S848" s="253">
        <v>54.871985819999999</v>
      </c>
      <c r="T848" s="253"/>
      <c r="U848" s="253">
        <v>56.327510920000002</v>
      </c>
      <c r="V848" s="253">
        <v>39.093390804999991</v>
      </c>
      <c r="W848" s="253">
        <v>47.125456</v>
      </c>
      <c r="X848" s="253">
        <v>54.285714285714292</v>
      </c>
      <c r="Y848" s="253">
        <v>58.6328125</v>
      </c>
      <c r="Z848" s="253">
        <v>53.506493509999999</v>
      </c>
      <c r="AA848" s="253"/>
      <c r="AB848" s="253"/>
      <c r="AC848" s="253"/>
      <c r="AD848" s="253"/>
      <c r="AE848" s="253"/>
    </row>
    <row r="849" spans="1:31">
      <c r="A849" s="33">
        <v>848</v>
      </c>
      <c r="B849" s="69" t="s">
        <v>397</v>
      </c>
      <c r="C849" s="69" t="s">
        <v>1232</v>
      </c>
      <c r="D849" s="56">
        <v>42333</v>
      </c>
      <c r="F849" s="56"/>
      <c r="G849" s="69" t="str">
        <f t="shared" si="13"/>
        <v>Both</v>
      </c>
      <c r="H849" s="69" t="s">
        <v>749</v>
      </c>
      <c r="J849" s="69" t="s">
        <v>397</v>
      </c>
      <c r="K849" s="69" t="s">
        <v>397</v>
      </c>
      <c r="L849" s="253">
        <v>69.179012594</v>
      </c>
      <c r="M849" s="253">
        <v>59.99422791986666</v>
      </c>
      <c r="N849" s="253">
        <v>57.113948228712587</v>
      </c>
      <c r="O849" s="253">
        <v>72.254087633157894</v>
      </c>
      <c r="P849" s="253">
        <v>66.154216869999999</v>
      </c>
      <c r="Q849" s="253">
        <v>52.92</v>
      </c>
      <c r="R849" s="253">
        <v>60.258343789999998</v>
      </c>
      <c r="S849" s="253">
        <v>63</v>
      </c>
      <c r="T849" s="253">
        <v>57.999999999999993</v>
      </c>
      <c r="U849" s="253">
        <v>57.760309280000001</v>
      </c>
      <c r="V849" s="253">
        <v>56.705208333333324</v>
      </c>
      <c r="W849" s="253">
        <v>43.4</v>
      </c>
      <c r="X849" s="253">
        <v>62</v>
      </c>
      <c r="Y849" s="253">
        <v>73</v>
      </c>
      <c r="Z849" s="253">
        <v>81.278195490000002</v>
      </c>
      <c r="AA849" s="253"/>
      <c r="AB849" s="253"/>
      <c r="AC849" s="253"/>
      <c r="AD849" s="253"/>
      <c r="AE849" s="253"/>
    </row>
    <row r="850" spans="1:31">
      <c r="A850" s="33">
        <v>849</v>
      </c>
      <c r="B850" s="69" t="s">
        <v>397</v>
      </c>
      <c r="C850" s="69" t="s">
        <v>1232</v>
      </c>
      <c r="D850" s="56">
        <v>42333</v>
      </c>
      <c r="F850" s="56"/>
      <c r="G850" s="69" t="str">
        <f t="shared" si="13"/>
        <v>Both</v>
      </c>
      <c r="H850" s="69" t="s">
        <v>749</v>
      </c>
      <c r="J850" s="69" t="s">
        <v>397</v>
      </c>
      <c r="K850" s="69" t="s">
        <v>385</v>
      </c>
      <c r="L850" s="253">
        <v>62.499047617999992</v>
      </c>
      <c r="M850" s="253">
        <v>62.230543545413326</v>
      </c>
      <c r="N850" s="253">
        <v>57.555775636949924</v>
      </c>
      <c r="O850" s="253">
        <v>64.008705536999997</v>
      </c>
      <c r="P850" s="253">
        <v>61.940476189999991</v>
      </c>
      <c r="Q850" s="253">
        <v>60.484444443000008</v>
      </c>
      <c r="R850" s="253">
        <v>60.675068490000008</v>
      </c>
      <c r="S850" s="253">
        <v>65.091638029999999</v>
      </c>
      <c r="T850" s="253">
        <v>62.150000000000006</v>
      </c>
      <c r="U850" s="253">
        <v>63.039215689999992</v>
      </c>
      <c r="V850" s="253">
        <v>61.084234236666667</v>
      </c>
      <c r="W850" s="253">
        <v>61.6</v>
      </c>
      <c r="X850" s="253">
        <v>49.750000000000007</v>
      </c>
      <c r="Y850" s="253">
        <v>64.557251910000005</v>
      </c>
      <c r="Z850" s="253">
        <v>64.733333329999994</v>
      </c>
      <c r="AA850" s="253"/>
      <c r="AB850" s="253"/>
      <c r="AC850" s="253"/>
      <c r="AD850" s="253"/>
      <c r="AE850" s="253"/>
    </row>
    <row r="851" spans="1:31">
      <c r="A851" s="33">
        <v>850</v>
      </c>
      <c r="B851" s="69" t="s">
        <v>397</v>
      </c>
      <c r="C851" s="69" t="s">
        <v>1232</v>
      </c>
      <c r="D851" s="56">
        <v>42333</v>
      </c>
      <c r="F851" s="56"/>
      <c r="G851" s="69" t="str">
        <f t="shared" si="13"/>
        <v>Both</v>
      </c>
      <c r="H851" s="69" t="s">
        <v>749</v>
      </c>
      <c r="J851" s="69" t="s">
        <v>397</v>
      </c>
      <c r="K851" s="69" t="s">
        <v>1975</v>
      </c>
      <c r="L851" s="253">
        <v>65.312615383999997</v>
      </c>
      <c r="M851" s="253">
        <v>59.566798735946669</v>
      </c>
      <c r="N851" s="253">
        <v>58.436715725485229</v>
      </c>
      <c r="O851" s="253">
        <v>66.145866915157896</v>
      </c>
      <c r="P851" s="253">
        <v>64.190769230000001</v>
      </c>
      <c r="Q851" s="253">
        <v>62.659999998000004</v>
      </c>
      <c r="R851" s="253">
        <v>57.674535210000002</v>
      </c>
      <c r="S851" s="253">
        <v>62.943570770000001</v>
      </c>
      <c r="T851" s="253">
        <v>54</v>
      </c>
      <c r="U851" s="253">
        <v>56.391414140000009</v>
      </c>
      <c r="V851" s="253">
        <v>55.365187715333327</v>
      </c>
      <c r="W851" s="253">
        <v>30</v>
      </c>
      <c r="X851" s="253">
        <v>50</v>
      </c>
      <c r="Y851" s="253">
        <v>66.681883020000001</v>
      </c>
      <c r="Z851" s="253">
        <v>69.8</v>
      </c>
      <c r="AA851" s="253"/>
      <c r="AB851" s="253"/>
      <c r="AC851" s="253"/>
      <c r="AD851" s="253"/>
      <c r="AE851" s="253"/>
    </row>
    <row r="852" spans="1:31">
      <c r="A852" s="33">
        <v>851</v>
      </c>
      <c r="B852" s="69" t="s">
        <v>397</v>
      </c>
      <c r="C852" s="69" t="s">
        <v>1232</v>
      </c>
      <c r="D852" s="56">
        <v>42333</v>
      </c>
      <c r="F852" s="56"/>
      <c r="G852" s="69" t="str">
        <f t="shared" si="13"/>
        <v>Both</v>
      </c>
      <c r="H852" s="69" t="s">
        <v>749</v>
      </c>
      <c r="J852" s="69" t="s">
        <v>397</v>
      </c>
      <c r="K852" s="69" t="s">
        <v>1346</v>
      </c>
      <c r="L852" s="253">
        <v>63.216410253999996</v>
      </c>
      <c r="M852" s="253">
        <v>58.577643002160009</v>
      </c>
      <c r="N852" s="253">
        <v>60.655924429468655</v>
      </c>
      <c r="O852" s="253">
        <v>65.101767284526318</v>
      </c>
      <c r="P852" s="253">
        <v>62.95384614999999</v>
      </c>
      <c r="Q852" s="253">
        <v>63.963333336000005</v>
      </c>
      <c r="R852" s="253">
        <v>59.258142560000003</v>
      </c>
      <c r="S852" s="253">
        <v>58.902842499999998</v>
      </c>
      <c r="T852" s="253">
        <v>56.95</v>
      </c>
      <c r="U852" s="253">
        <v>54</v>
      </c>
      <c r="V852" s="253">
        <v>55.630465114000003</v>
      </c>
      <c r="W852" s="253">
        <v>57.600000000000009</v>
      </c>
      <c r="X852" s="253">
        <v>51</v>
      </c>
      <c r="Y852" s="253">
        <v>67.421778410000002</v>
      </c>
      <c r="Z852" s="253">
        <v>64.266666670000006</v>
      </c>
      <c r="AA852" s="253"/>
      <c r="AB852" s="253"/>
      <c r="AC852" s="253"/>
      <c r="AD852" s="253"/>
      <c r="AE852" s="253"/>
    </row>
    <row r="853" spans="1:31">
      <c r="A853" s="33">
        <v>852</v>
      </c>
      <c r="B853" s="69" t="s">
        <v>397</v>
      </c>
      <c r="C853" s="69" t="s">
        <v>1232</v>
      </c>
      <c r="D853" s="56">
        <v>42333</v>
      </c>
      <c r="F853" s="56"/>
      <c r="G853" s="69" t="str">
        <f t="shared" si="13"/>
        <v>Both</v>
      </c>
      <c r="H853" s="69" t="s">
        <v>749</v>
      </c>
      <c r="J853" s="69" t="s">
        <v>397</v>
      </c>
      <c r="K853" s="69" t="s">
        <v>79</v>
      </c>
      <c r="L853" s="253">
        <v>69</v>
      </c>
      <c r="M853" s="253">
        <v>65.703333333333333</v>
      </c>
      <c r="N853" s="253">
        <v>68.74783360777073</v>
      </c>
      <c r="O853" s="253">
        <v>71.421052631578945</v>
      </c>
      <c r="P853" s="253">
        <v>70</v>
      </c>
      <c r="Q853" s="253">
        <v>69</v>
      </c>
      <c r="R853" s="253">
        <v>65</v>
      </c>
      <c r="S853" s="253">
        <v>67</v>
      </c>
      <c r="T853" s="253">
        <v>67</v>
      </c>
      <c r="U853" s="253">
        <v>65</v>
      </c>
      <c r="V853" s="253">
        <v>66.916666666666657</v>
      </c>
      <c r="W853" s="253">
        <v>60</v>
      </c>
      <c r="X853" s="253">
        <v>67</v>
      </c>
      <c r="Y853" s="253">
        <v>77</v>
      </c>
      <c r="Z853" s="253">
        <v>65</v>
      </c>
      <c r="AA853" s="253"/>
      <c r="AB853" s="253"/>
      <c r="AC853" s="253"/>
      <c r="AD853" s="253"/>
      <c r="AE853" s="253"/>
    </row>
    <row r="854" spans="1:31">
      <c r="A854" s="33">
        <v>853</v>
      </c>
      <c r="B854" s="69" t="s">
        <v>1095</v>
      </c>
      <c r="C854" s="69" t="s">
        <v>1232</v>
      </c>
      <c r="D854" s="56">
        <v>42340</v>
      </c>
      <c r="F854" s="56"/>
      <c r="G854" s="69" t="str">
        <f t="shared" si="13"/>
        <v>E-Commerce</v>
      </c>
      <c r="H854" s="69" t="s">
        <v>1547</v>
      </c>
      <c r="J854" s="69" t="s">
        <v>1095</v>
      </c>
      <c r="K854" s="69" t="s">
        <v>1095</v>
      </c>
      <c r="L854" s="253">
        <v>63.2</v>
      </c>
      <c r="M854" s="253">
        <v>60.476190476190482</v>
      </c>
      <c r="N854" s="253">
        <v>58.99901867837599</v>
      </c>
      <c r="O854" s="253">
        <v>64.210526315789465</v>
      </c>
      <c r="P854" s="253">
        <v>62</v>
      </c>
      <c r="Q854" s="253">
        <v>68</v>
      </c>
      <c r="R854" s="253">
        <v>62</v>
      </c>
      <c r="S854" s="253">
        <v>57.999999999999993</v>
      </c>
      <c r="T854" s="253">
        <v>62.500000000000007</v>
      </c>
      <c r="U854" s="253">
        <v>53</v>
      </c>
      <c r="V854" s="253">
        <v>58.166666666666664</v>
      </c>
      <c r="W854" s="253"/>
      <c r="X854" s="253">
        <v>55</v>
      </c>
      <c r="Y854" s="253">
        <v>63</v>
      </c>
      <c r="Z854" s="253">
        <v>68</v>
      </c>
      <c r="AA854" s="253"/>
      <c r="AB854" s="253"/>
      <c r="AC854" s="253"/>
      <c r="AD854" s="253"/>
      <c r="AE854" s="253"/>
    </row>
    <row r="855" spans="1:31">
      <c r="A855" s="33">
        <v>854</v>
      </c>
      <c r="B855" s="69" t="s">
        <v>1095</v>
      </c>
      <c r="C855" s="69" t="s">
        <v>1232</v>
      </c>
      <c r="D855" s="56">
        <v>42340</v>
      </c>
      <c r="F855" s="56"/>
      <c r="G855" s="69" t="str">
        <f t="shared" si="13"/>
        <v>E-Commerce</v>
      </c>
      <c r="H855" s="69" t="s">
        <v>1547</v>
      </c>
      <c r="J855" s="69" t="s">
        <v>1095</v>
      </c>
      <c r="K855" s="69" t="s">
        <v>78</v>
      </c>
      <c r="L855" s="253">
        <v>66.8</v>
      </c>
      <c r="M855" s="253">
        <v>63.832857142857144</v>
      </c>
      <c r="N855" s="253">
        <v>66.958372336709743</v>
      </c>
      <c r="O855" s="253">
        <v>66.188421052631568</v>
      </c>
      <c r="P855" s="253">
        <v>67</v>
      </c>
      <c r="Q855" s="253">
        <v>73.579999999999984</v>
      </c>
      <c r="R855" s="253">
        <v>67</v>
      </c>
      <c r="S855" s="253">
        <v>50</v>
      </c>
      <c r="T855" s="253">
        <v>64.5</v>
      </c>
      <c r="U855" s="253">
        <v>62</v>
      </c>
      <c r="V855" s="253">
        <v>64.5</v>
      </c>
      <c r="W855" s="253"/>
      <c r="X855" s="253"/>
      <c r="Y855" s="253">
        <v>67</v>
      </c>
      <c r="Z855" s="253">
        <v>66</v>
      </c>
      <c r="AA855" s="253"/>
      <c r="AB855" s="253"/>
      <c r="AC855" s="253"/>
      <c r="AD855" s="253"/>
      <c r="AE855" s="253"/>
    </row>
    <row r="856" spans="1:31">
      <c r="A856" s="33">
        <v>855</v>
      </c>
      <c r="B856" s="69" t="s">
        <v>1095</v>
      </c>
      <c r="C856" s="69" t="s">
        <v>1232</v>
      </c>
      <c r="D856" s="56">
        <v>42340</v>
      </c>
      <c r="F856" s="56"/>
      <c r="G856" s="69" t="str">
        <f t="shared" si="13"/>
        <v>E-Commerce</v>
      </c>
      <c r="H856" s="69" t="s">
        <v>1547</v>
      </c>
      <c r="J856" s="69" t="s">
        <v>1095</v>
      </c>
      <c r="K856" s="69" t="s">
        <v>1098</v>
      </c>
      <c r="L856" s="253">
        <v>61</v>
      </c>
      <c r="M856" s="253">
        <v>58.948571428571427</v>
      </c>
      <c r="N856" s="253">
        <v>56.002989870764942</v>
      </c>
      <c r="O856" s="253">
        <v>62.507368421052632</v>
      </c>
      <c r="P856" s="253">
        <v>60</v>
      </c>
      <c r="Q856" s="253">
        <v>58.64</v>
      </c>
      <c r="R856" s="253">
        <v>66</v>
      </c>
      <c r="S856" s="253">
        <v>52</v>
      </c>
      <c r="T856" s="253">
        <v>66</v>
      </c>
      <c r="U856" s="253">
        <v>52</v>
      </c>
      <c r="V856" s="253">
        <v>58.000000000000007</v>
      </c>
      <c r="W856" s="253"/>
      <c r="X856" s="253">
        <v>52</v>
      </c>
      <c r="Y856" s="253">
        <v>62</v>
      </c>
      <c r="Z856" s="253">
        <v>65</v>
      </c>
      <c r="AA856" s="253"/>
      <c r="AB856" s="253"/>
      <c r="AC856" s="253"/>
      <c r="AD856" s="253"/>
      <c r="AE856" s="253"/>
    </row>
    <row r="857" spans="1:31">
      <c r="A857" s="33">
        <v>856</v>
      </c>
      <c r="B857" s="69" t="s">
        <v>1095</v>
      </c>
      <c r="C857" s="69" t="s">
        <v>1232</v>
      </c>
      <c r="D857" s="56">
        <v>42340</v>
      </c>
      <c r="F857" s="56"/>
      <c r="G857" s="69" t="str">
        <f t="shared" si="13"/>
        <v>E-Commerce</v>
      </c>
      <c r="H857" s="69" t="s">
        <v>1547</v>
      </c>
      <c r="J857" s="69" t="s">
        <v>1095</v>
      </c>
      <c r="K857" s="69" t="s">
        <v>1974</v>
      </c>
      <c r="L857" s="253">
        <v>62.8</v>
      </c>
      <c r="M857" s="253">
        <v>56.345238095238095</v>
      </c>
      <c r="N857" s="253">
        <v>49.977778886615766</v>
      </c>
      <c r="O857" s="253">
        <v>57.999999999999993</v>
      </c>
      <c r="P857" s="253">
        <v>64</v>
      </c>
      <c r="Q857" s="253">
        <v>60</v>
      </c>
      <c r="R857" s="253">
        <v>57.999999999999993</v>
      </c>
      <c r="S857" s="253">
        <v>56.000000000000007</v>
      </c>
      <c r="T857" s="253">
        <v>59.499999999999993</v>
      </c>
      <c r="U857" s="253">
        <v>52</v>
      </c>
      <c r="V857" s="253">
        <v>53.833333333333329</v>
      </c>
      <c r="W857" s="253"/>
      <c r="X857" s="253"/>
      <c r="Y857" s="253">
        <v>57.999999999999993</v>
      </c>
      <c r="Z857" s="253">
        <v>57.999999999999993</v>
      </c>
      <c r="AA857" s="253"/>
      <c r="AB857" s="253"/>
      <c r="AC857" s="253"/>
      <c r="AD857" s="253"/>
      <c r="AE857" s="253"/>
    </row>
    <row r="858" spans="1:31">
      <c r="A858" s="33">
        <v>857</v>
      </c>
      <c r="B858" s="69" t="s">
        <v>1095</v>
      </c>
      <c r="C858" s="69" t="s">
        <v>1232</v>
      </c>
      <c r="D858" s="56">
        <v>42340</v>
      </c>
      <c r="F858" s="56"/>
      <c r="G858" s="69" t="str">
        <f t="shared" si="13"/>
        <v>E-Commerce</v>
      </c>
      <c r="H858" s="69" t="s">
        <v>1547</v>
      </c>
      <c r="J858" s="69" t="s">
        <v>1095</v>
      </c>
      <c r="K858" s="69" t="s">
        <v>1796</v>
      </c>
      <c r="L858" s="253">
        <v>48.2</v>
      </c>
      <c r="M858" s="253">
        <v>46.029047619047624</v>
      </c>
      <c r="N858" s="253">
        <v>43.977430933253494</v>
      </c>
      <c r="O858" s="253">
        <v>49.690526315789477</v>
      </c>
      <c r="P858" s="253">
        <v>48</v>
      </c>
      <c r="Q858" s="253">
        <v>40.119999999999997</v>
      </c>
      <c r="R858" s="253">
        <v>53</v>
      </c>
      <c r="S858" s="253">
        <v>43</v>
      </c>
      <c r="T858" s="253">
        <v>50</v>
      </c>
      <c r="U858" s="253">
        <v>43</v>
      </c>
      <c r="V858" s="253">
        <v>45.666666666666657</v>
      </c>
      <c r="W858" s="253"/>
      <c r="X858" s="253"/>
      <c r="Y858" s="253">
        <v>51</v>
      </c>
      <c r="Z858" s="253">
        <v>49</v>
      </c>
      <c r="AA858" s="253"/>
      <c r="AB858" s="253"/>
      <c r="AC858" s="253"/>
      <c r="AD858" s="253"/>
      <c r="AE858" s="253"/>
    </row>
    <row r="859" spans="1:31">
      <c r="A859" s="33">
        <v>858</v>
      </c>
      <c r="B859" s="69" t="s">
        <v>1701</v>
      </c>
      <c r="C859" s="69" t="s">
        <v>1330</v>
      </c>
      <c r="D859" s="56">
        <v>42341</v>
      </c>
      <c r="F859" s="56"/>
      <c r="G859" s="69" t="str">
        <f t="shared" si="13"/>
        <v>E-Commerce</v>
      </c>
      <c r="H859" s="69" t="s">
        <v>1971</v>
      </c>
      <c r="J859" s="69" t="s">
        <v>1701</v>
      </c>
      <c r="K859" s="69" t="s">
        <v>1701</v>
      </c>
      <c r="L859" s="253">
        <v>52.75111111199999</v>
      </c>
      <c r="M859" s="253">
        <v>55.407445924106653</v>
      </c>
      <c r="N859" s="253">
        <v>56.96697946089845</v>
      </c>
      <c r="O859" s="253">
        <v>57.09271086257894</v>
      </c>
      <c r="P859" s="253">
        <v>50.438888890000001</v>
      </c>
      <c r="Q859" s="253">
        <v>54.956310678999998</v>
      </c>
      <c r="R859" s="253">
        <v>53.762871789999998</v>
      </c>
      <c r="S859" s="253">
        <v>50.166129029999993</v>
      </c>
      <c r="T859" s="253"/>
      <c r="U859" s="253">
        <v>55.339366519999999</v>
      </c>
      <c r="V859" s="253">
        <v>59.037039543333321</v>
      </c>
      <c r="W859" s="253"/>
      <c r="X859" s="253">
        <v>44.500000000000007</v>
      </c>
      <c r="Y859" s="253">
        <v>56.211332309999996</v>
      </c>
      <c r="Z859" s="253">
        <v>62</v>
      </c>
      <c r="AA859" s="253"/>
      <c r="AB859" s="253"/>
      <c r="AC859" s="253"/>
      <c r="AD859" s="253"/>
      <c r="AE859" s="253"/>
    </row>
    <row r="860" spans="1:31">
      <c r="A860" s="33">
        <v>859</v>
      </c>
      <c r="B860" s="69" t="s">
        <v>1701</v>
      </c>
      <c r="C860" s="69" t="s">
        <v>1330</v>
      </c>
      <c r="D860" s="56">
        <v>42341</v>
      </c>
      <c r="F860" s="56"/>
      <c r="G860" s="69" t="str">
        <f t="shared" si="13"/>
        <v>E-Commerce</v>
      </c>
      <c r="H860" s="69" t="s">
        <v>1971</v>
      </c>
      <c r="J860" s="69" t="s">
        <v>1701</v>
      </c>
      <c r="K860" s="69" t="s">
        <v>646</v>
      </c>
      <c r="L860" s="253">
        <v>61.694245492000007</v>
      </c>
      <c r="M860" s="253">
        <v>63.008777959519989</v>
      </c>
      <c r="N860" s="253">
        <v>68.616176874267481</v>
      </c>
      <c r="O860" s="253">
        <v>65.319279969315787</v>
      </c>
      <c r="P860" s="253">
        <v>61.23708791</v>
      </c>
      <c r="Q860" s="253">
        <v>65.83165048699999</v>
      </c>
      <c r="R860" s="253">
        <v>62.863247859999994</v>
      </c>
      <c r="S860" s="253">
        <v>59.188626909999996</v>
      </c>
      <c r="T860" s="253"/>
      <c r="U860" s="253">
        <v>60.668161429999998</v>
      </c>
      <c r="V860" s="253">
        <v>66.087108261999987</v>
      </c>
      <c r="W860" s="253"/>
      <c r="X860" s="253">
        <v>63.875</v>
      </c>
      <c r="Y860" s="253">
        <v>67.270516720000003</v>
      </c>
      <c r="Z860" s="253">
        <v>63.522875820000003</v>
      </c>
      <c r="AA860" s="253"/>
      <c r="AB860" s="253"/>
      <c r="AC860" s="253"/>
      <c r="AD860" s="253"/>
      <c r="AE860" s="253"/>
    </row>
    <row r="861" spans="1:31">
      <c r="A861" s="33">
        <v>860</v>
      </c>
      <c r="B861" s="69" t="s">
        <v>1701</v>
      </c>
      <c r="C861" s="69" t="s">
        <v>1330</v>
      </c>
      <c r="D861" s="56">
        <v>42341</v>
      </c>
      <c r="F861" s="56"/>
      <c r="G861" s="69" t="str">
        <f t="shared" si="13"/>
        <v>E-Commerce</v>
      </c>
      <c r="H861" s="69" t="s">
        <v>1971</v>
      </c>
      <c r="J861" s="69" t="s">
        <v>1701</v>
      </c>
      <c r="K861" s="69" t="s">
        <v>1703</v>
      </c>
      <c r="L861" s="253">
        <v>53.471111112000003</v>
      </c>
      <c r="M861" s="253">
        <v>54.428582117786668</v>
      </c>
      <c r="N861" s="253">
        <v>52.847317522152245</v>
      </c>
      <c r="O861" s="253">
        <v>57.37701567721053</v>
      </c>
      <c r="P861" s="253">
        <v>51.7</v>
      </c>
      <c r="Q861" s="253">
        <v>57.828932036999987</v>
      </c>
      <c r="R861" s="253">
        <v>52.147289719999996</v>
      </c>
      <c r="S861" s="253">
        <v>49.255910989999997</v>
      </c>
      <c r="T861" s="253"/>
      <c r="U861" s="253">
        <v>55.318385650000003</v>
      </c>
      <c r="V861" s="253">
        <v>54.787138573333337</v>
      </c>
      <c r="W861" s="253"/>
      <c r="X861" s="253">
        <v>44.75</v>
      </c>
      <c r="Y861" s="253">
        <v>57.600609759999998</v>
      </c>
      <c r="Z861" s="253">
        <v>60.555555560000009</v>
      </c>
      <c r="AA861" s="253"/>
      <c r="AB861" s="253"/>
      <c r="AC861" s="253"/>
      <c r="AD861" s="253"/>
      <c r="AE861" s="253"/>
    </row>
    <row r="862" spans="1:31">
      <c r="A862" s="33">
        <v>861</v>
      </c>
      <c r="B862" s="69" t="s">
        <v>1701</v>
      </c>
      <c r="C862" s="69" t="s">
        <v>1330</v>
      </c>
      <c r="D862" s="56">
        <v>42341</v>
      </c>
      <c r="F862" s="56"/>
      <c r="G862" s="69" t="str">
        <f t="shared" si="13"/>
        <v>E-Commerce</v>
      </c>
      <c r="H862" s="69" t="s">
        <v>1971</v>
      </c>
      <c r="J862" s="69" t="s">
        <v>1701</v>
      </c>
      <c r="K862" s="69" t="s">
        <v>1972</v>
      </c>
      <c r="L862" s="253">
        <v>56.615036509999996</v>
      </c>
      <c r="M862" s="253">
        <v>58.697011076693329</v>
      </c>
      <c r="N862" s="253">
        <v>67.615307319746137</v>
      </c>
      <c r="O862" s="253">
        <v>64.571081260842107</v>
      </c>
      <c r="P862" s="253">
        <v>56.356043960000001</v>
      </c>
      <c r="Q862" s="253">
        <v>62.085242715999996</v>
      </c>
      <c r="R862" s="253">
        <v>59.734328359999999</v>
      </c>
      <c r="S862" s="253">
        <v>53.753120669999994</v>
      </c>
      <c r="T862" s="253"/>
      <c r="U862" s="253">
        <v>56.681614349999997</v>
      </c>
      <c r="V862" s="253">
        <v>61.338019280666664</v>
      </c>
      <c r="W862" s="253"/>
      <c r="X862" s="253">
        <v>46.999999999999993</v>
      </c>
      <c r="Y862" s="253">
        <v>70.328849030000001</v>
      </c>
      <c r="Z862" s="253">
        <v>57.651006709999997</v>
      </c>
      <c r="AA862" s="253"/>
      <c r="AB862" s="253"/>
      <c r="AC862" s="253"/>
      <c r="AD862" s="253"/>
      <c r="AE862" s="253"/>
    </row>
    <row r="863" spans="1:31">
      <c r="A863" s="33">
        <v>862</v>
      </c>
      <c r="B863" s="69" t="s">
        <v>1701</v>
      </c>
      <c r="C863" s="69" t="s">
        <v>1330</v>
      </c>
      <c r="D863" s="56">
        <v>42341</v>
      </c>
      <c r="F863" s="56"/>
      <c r="G863" s="69" t="str">
        <f t="shared" si="13"/>
        <v>E-Commerce</v>
      </c>
      <c r="H863" s="69" t="s">
        <v>1971</v>
      </c>
      <c r="J863" s="69" t="s">
        <v>1701</v>
      </c>
      <c r="K863" s="69" t="s">
        <v>1706</v>
      </c>
      <c r="L863" s="253">
        <v>57.676793246000003</v>
      </c>
      <c r="M863" s="253">
        <v>56.463575891279994</v>
      </c>
      <c r="N863" s="253">
        <v>64.565570954827137</v>
      </c>
      <c r="O863" s="253">
        <v>54.804326509894743</v>
      </c>
      <c r="P863" s="253">
        <v>55.958333329999995</v>
      </c>
      <c r="Q863" s="253">
        <v>62.151578947999994</v>
      </c>
      <c r="R863" s="253">
        <v>53.708034529999992</v>
      </c>
      <c r="S863" s="253">
        <v>52.164516130000003</v>
      </c>
      <c r="T863" s="253"/>
      <c r="U863" s="253">
        <v>50.361990949999999</v>
      </c>
      <c r="V863" s="253">
        <v>60.97472475</v>
      </c>
      <c r="W863" s="253"/>
      <c r="X863" s="253">
        <v>54.75</v>
      </c>
      <c r="Y863" s="253">
        <v>49.6796875</v>
      </c>
      <c r="Z863" s="253">
        <v>64.550632910000004</v>
      </c>
      <c r="AA863" s="253"/>
      <c r="AB863" s="253"/>
      <c r="AC863" s="253"/>
      <c r="AD863" s="253"/>
      <c r="AE863" s="253"/>
    </row>
    <row r="864" spans="1:31">
      <c r="A864" s="33">
        <v>863</v>
      </c>
      <c r="B864" s="69" t="s">
        <v>1701</v>
      </c>
      <c r="C864" s="69" t="s">
        <v>1330</v>
      </c>
      <c r="D864" s="56">
        <v>42341</v>
      </c>
      <c r="F864" s="56"/>
      <c r="G864" s="69" t="str">
        <f t="shared" si="13"/>
        <v>ERROR</v>
      </c>
      <c r="H864" s="69" t="s">
        <v>1971</v>
      </c>
      <c r="J864" s="69" t="s">
        <v>1701</v>
      </c>
      <c r="K864" s="69" t="s">
        <v>1973</v>
      </c>
      <c r="L864" s="253">
        <v>58.890026607999999</v>
      </c>
      <c r="M864" s="253">
        <v>38.504247258319992</v>
      </c>
      <c r="N864" s="253">
        <v>28.000000000000004</v>
      </c>
      <c r="O864" s="253">
        <v>51.499720436947371</v>
      </c>
      <c r="P864" s="253">
        <v>58.280254779999993</v>
      </c>
      <c r="Q864" s="253">
        <v>62.222105261999992</v>
      </c>
      <c r="R864" s="253">
        <v>44.824960130000001</v>
      </c>
      <c r="S864" s="253">
        <v>47.983682979999998</v>
      </c>
      <c r="T864" s="253"/>
      <c r="U864" s="253">
        <v>35</v>
      </c>
      <c r="V864" s="253"/>
      <c r="W864" s="253"/>
      <c r="X864" s="253">
        <v>42.875</v>
      </c>
      <c r="Y864" s="253">
        <v>47.199341019999999</v>
      </c>
      <c r="Z864" s="253">
        <v>61.329113919999998</v>
      </c>
      <c r="AA864" s="253"/>
      <c r="AB864" s="253"/>
      <c r="AC864" s="253"/>
      <c r="AD864" s="253"/>
      <c r="AE864" s="253"/>
    </row>
    <row r="865" spans="1:31">
      <c r="A865" s="33">
        <v>864</v>
      </c>
      <c r="B865" s="69" t="s">
        <v>1965</v>
      </c>
      <c r="C865" s="69" t="s">
        <v>1232</v>
      </c>
      <c r="D865" s="56">
        <v>42345</v>
      </c>
      <c r="G865" s="69" t="str">
        <f t="shared" si="13"/>
        <v>User Registration</v>
      </c>
      <c r="H865" s="69" t="s">
        <v>1966</v>
      </c>
      <c r="J865" s="69" t="s">
        <v>1965</v>
      </c>
      <c r="K865" s="69" t="s">
        <v>1967</v>
      </c>
      <c r="L865" s="253">
        <v>60.596632999999997</v>
      </c>
      <c r="M865" s="253">
        <v>52.608695652173907</v>
      </c>
      <c r="N865" s="253">
        <v>56.000000000000007</v>
      </c>
      <c r="O865" s="253">
        <v>59.210526315789465</v>
      </c>
      <c r="P865" s="253">
        <v>58.245791249999996</v>
      </c>
      <c r="Q865" s="253">
        <v>62</v>
      </c>
      <c r="R865" s="253">
        <v>45</v>
      </c>
      <c r="S865" s="253">
        <v>53</v>
      </c>
      <c r="T865" s="253">
        <v>45</v>
      </c>
      <c r="U865" s="253">
        <v>50</v>
      </c>
      <c r="V865" s="253">
        <v>0</v>
      </c>
      <c r="W865" s="253">
        <v>57.999999999999993</v>
      </c>
      <c r="X865" s="253"/>
      <c r="Y865" s="253">
        <v>56.999999999999993</v>
      </c>
      <c r="Z865" s="253">
        <v>70</v>
      </c>
      <c r="AA865" s="253"/>
      <c r="AB865" s="253"/>
      <c r="AC865" s="253"/>
      <c r="AD865" s="253"/>
      <c r="AE865" s="253"/>
    </row>
    <row r="866" spans="1:31">
      <c r="A866" s="33">
        <v>865</v>
      </c>
      <c r="B866" s="69" t="s">
        <v>1965</v>
      </c>
      <c r="C866" s="69" t="s">
        <v>1232</v>
      </c>
      <c r="D866" s="56">
        <v>42345</v>
      </c>
      <c r="F866" s="56"/>
      <c r="G866" s="69" t="str">
        <f t="shared" si="13"/>
        <v>E-Commerce</v>
      </c>
      <c r="H866" s="69" t="s">
        <v>1966</v>
      </c>
      <c r="J866" s="69" t="s">
        <v>1965</v>
      </c>
      <c r="K866" s="69" t="s">
        <v>1968</v>
      </c>
      <c r="L866" s="253">
        <v>53.709090912000001</v>
      </c>
      <c r="M866" s="253">
        <v>54.260869565217398</v>
      </c>
      <c r="N866" s="253">
        <v>61.926945649824596</v>
      </c>
      <c r="O866" s="253">
        <v>56.26315789473685</v>
      </c>
      <c r="P866" s="253">
        <v>50.886363639999999</v>
      </c>
      <c r="Q866" s="253">
        <v>60</v>
      </c>
      <c r="R866" s="253">
        <v>50</v>
      </c>
      <c r="S866" s="253">
        <v>54</v>
      </c>
      <c r="T866" s="253">
        <v>49</v>
      </c>
      <c r="U866" s="253">
        <v>53</v>
      </c>
      <c r="V866" s="253">
        <v>54.666666666666671</v>
      </c>
      <c r="W866" s="253"/>
      <c r="X866" s="253"/>
      <c r="Y866" s="253">
        <v>53</v>
      </c>
      <c r="Z866" s="253">
        <v>65</v>
      </c>
      <c r="AA866" s="253"/>
      <c r="AB866" s="253"/>
      <c r="AC866" s="253"/>
      <c r="AD866" s="253"/>
      <c r="AE866" s="253"/>
    </row>
    <row r="867" spans="1:31">
      <c r="A867" s="33">
        <v>866</v>
      </c>
      <c r="B867" s="69" t="s">
        <v>1965</v>
      </c>
      <c r="C867" s="69" t="s">
        <v>1232</v>
      </c>
      <c r="D867" s="56">
        <v>42345</v>
      </c>
      <c r="F867" s="56"/>
      <c r="G867" s="69" t="str">
        <f t="shared" si="13"/>
        <v>Both</v>
      </c>
      <c r="H867" s="69" t="s">
        <v>1966</v>
      </c>
      <c r="J867" s="69" t="s">
        <v>1965</v>
      </c>
      <c r="K867" s="69" t="s">
        <v>1969</v>
      </c>
      <c r="L867" s="253">
        <v>65.400000000000006</v>
      </c>
      <c r="M867" s="253">
        <v>65.102974828375281</v>
      </c>
      <c r="N867" s="253">
        <v>62.00342144202844</v>
      </c>
      <c r="O867" s="253">
        <v>67</v>
      </c>
      <c r="P867" s="253">
        <v>63</v>
      </c>
      <c r="Q867" s="253">
        <v>64</v>
      </c>
      <c r="R867" s="253">
        <v>66</v>
      </c>
      <c r="S867" s="253">
        <v>62</v>
      </c>
      <c r="T867" s="253">
        <v>67.78947368421052</v>
      </c>
      <c r="U867" s="253">
        <v>62</v>
      </c>
      <c r="V867" s="253">
        <v>63.9298245614035</v>
      </c>
      <c r="W867" s="253">
        <v>62</v>
      </c>
      <c r="X867" s="253"/>
      <c r="Y867" s="253">
        <v>64</v>
      </c>
      <c r="Z867" s="253">
        <v>75</v>
      </c>
      <c r="AA867" s="253"/>
      <c r="AB867" s="253"/>
      <c r="AC867" s="253"/>
      <c r="AD867" s="253"/>
      <c r="AE867" s="253"/>
    </row>
    <row r="868" spans="1:31">
      <c r="A868" s="33">
        <v>867</v>
      </c>
      <c r="B868" s="69" t="s">
        <v>1965</v>
      </c>
      <c r="C868" s="69" t="s">
        <v>1232</v>
      </c>
      <c r="D868" s="56">
        <v>42345</v>
      </c>
      <c r="F868" s="56"/>
      <c r="G868" s="69" t="str">
        <f t="shared" si="13"/>
        <v>E-Commerce</v>
      </c>
      <c r="H868" s="69" t="s">
        <v>1966</v>
      </c>
      <c r="J868" s="69" t="s">
        <v>1965</v>
      </c>
      <c r="K868" s="69" t="s">
        <v>831</v>
      </c>
      <c r="L868" s="253">
        <v>64</v>
      </c>
      <c r="M868" s="253">
        <v>70.434782608695656</v>
      </c>
      <c r="N868" s="253">
        <v>62.946098724790929</v>
      </c>
      <c r="O868" s="253">
        <v>64.10526315789474</v>
      </c>
      <c r="P868" s="253">
        <v>61</v>
      </c>
      <c r="Q868" s="253">
        <v>69</v>
      </c>
      <c r="R868" s="253">
        <v>71</v>
      </c>
      <c r="S868" s="253">
        <v>67</v>
      </c>
      <c r="T868" s="253">
        <v>73</v>
      </c>
      <c r="U868" s="253">
        <v>70</v>
      </c>
      <c r="V868" s="253">
        <v>68.666666666666657</v>
      </c>
      <c r="W868" s="253">
        <v>0</v>
      </c>
      <c r="X868" s="253"/>
      <c r="Y868" s="253">
        <v>56.000000000000007</v>
      </c>
      <c r="Z868" s="253">
        <v>76</v>
      </c>
      <c r="AA868" s="253"/>
      <c r="AB868" s="253"/>
      <c r="AC868" s="253"/>
      <c r="AD868" s="253"/>
      <c r="AE868" s="253"/>
    </row>
    <row r="869" spans="1:31">
      <c r="A869" s="33">
        <v>868</v>
      </c>
      <c r="B869" s="69" t="s">
        <v>1965</v>
      </c>
      <c r="C869" s="69" t="s">
        <v>1232</v>
      </c>
      <c r="D869" s="56">
        <v>42345</v>
      </c>
      <c r="F869" s="56"/>
      <c r="G869" s="69" t="str">
        <f t="shared" si="13"/>
        <v>E-Commerce</v>
      </c>
      <c r="H869" s="69" t="s">
        <v>1966</v>
      </c>
      <c r="J869" s="69" t="s">
        <v>1965</v>
      </c>
      <c r="K869" s="69" t="s">
        <v>1970</v>
      </c>
      <c r="L869" s="253">
        <v>55.800000000000004</v>
      </c>
      <c r="M869" s="253">
        <v>52.521739130434781</v>
      </c>
      <c r="N869" s="253">
        <v>66.926995527623973</v>
      </c>
      <c r="O869" s="253">
        <v>57.947368421052623</v>
      </c>
      <c r="P869" s="253">
        <v>54</v>
      </c>
      <c r="Q869" s="253">
        <v>64</v>
      </c>
      <c r="R869" s="253">
        <v>58.999999999999993</v>
      </c>
      <c r="S869" s="253">
        <v>54</v>
      </c>
      <c r="T869" s="253">
        <v>61</v>
      </c>
      <c r="U869" s="253">
        <v>63</v>
      </c>
      <c r="V869" s="253">
        <v>63.666666666666671</v>
      </c>
      <c r="W869" s="253"/>
      <c r="X869" s="253"/>
      <c r="Y869" s="253">
        <v>55</v>
      </c>
      <c r="Z869" s="253">
        <v>63</v>
      </c>
      <c r="AA869" s="253"/>
      <c r="AB869" s="253"/>
      <c r="AC869" s="253"/>
      <c r="AD869" s="253"/>
      <c r="AE869" s="253"/>
    </row>
    <row r="870" spans="1:31">
      <c r="A870" s="33">
        <v>869</v>
      </c>
      <c r="B870" s="69" t="s">
        <v>1965</v>
      </c>
      <c r="C870" s="69" t="s">
        <v>1232</v>
      </c>
      <c r="D870" s="56">
        <v>42345</v>
      </c>
      <c r="F870" s="56"/>
      <c r="G870" s="69" t="str">
        <f t="shared" si="13"/>
        <v>User Registration</v>
      </c>
      <c r="H870" s="69" t="s">
        <v>1966</v>
      </c>
      <c r="J870" s="69" t="s">
        <v>1965</v>
      </c>
      <c r="K870" s="69" t="s">
        <v>1965</v>
      </c>
      <c r="L870" s="253">
        <v>54.400000000000006</v>
      </c>
      <c r="M870" s="253">
        <v>49.608695652173914</v>
      </c>
      <c r="N870" s="253">
        <v>49</v>
      </c>
      <c r="O870" s="253">
        <v>54.84210526315789</v>
      </c>
      <c r="P870" s="253">
        <v>50</v>
      </c>
      <c r="Q870" s="253">
        <v>55</v>
      </c>
      <c r="R870" s="253">
        <v>43</v>
      </c>
      <c r="S870" s="253">
        <v>51</v>
      </c>
      <c r="T870" s="253">
        <v>41</v>
      </c>
      <c r="U870" s="253">
        <v>46.999999999999993</v>
      </c>
      <c r="V870" s="253"/>
      <c r="W870" s="253">
        <v>50</v>
      </c>
      <c r="X870" s="253"/>
      <c r="Y870" s="253">
        <v>49</v>
      </c>
      <c r="Z870" s="253">
        <v>72</v>
      </c>
      <c r="AA870" s="253"/>
      <c r="AB870" s="253"/>
      <c r="AC870" s="253"/>
      <c r="AD870" s="253"/>
      <c r="AE870" s="253"/>
    </row>
    <row r="871" spans="1:31">
      <c r="A871" s="33">
        <v>870</v>
      </c>
      <c r="B871" s="69" t="s">
        <v>1961</v>
      </c>
      <c r="C871" s="69" t="s">
        <v>1232</v>
      </c>
      <c r="D871" s="56">
        <v>42349</v>
      </c>
      <c r="F871" s="56"/>
      <c r="G871" s="69" t="str">
        <f t="shared" si="13"/>
        <v>Both</v>
      </c>
      <c r="H871" s="69" t="s">
        <v>1088</v>
      </c>
      <c r="J871" s="69" t="s">
        <v>1961</v>
      </c>
      <c r="K871" s="69" t="s">
        <v>1961</v>
      </c>
      <c r="L871" s="253">
        <v>52.643999999999998</v>
      </c>
      <c r="M871" s="253">
        <v>47.433126372500006</v>
      </c>
      <c r="N871" s="253">
        <v>44.848090791724132</v>
      </c>
      <c r="O871" s="253">
        <v>45.7097651168421</v>
      </c>
      <c r="P871" s="253">
        <v>59.555</v>
      </c>
      <c r="Q871" s="253">
        <v>44.3</v>
      </c>
      <c r="R871" s="253">
        <v>54.615772159999999</v>
      </c>
      <c r="S871" s="253">
        <v>55.2685624</v>
      </c>
      <c r="T871" s="253">
        <v>50.750000000000007</v>
      </c>
      <c r="U871" s="253">
        <v>45.461883410000006</v>
      </c>
      <c r="V871" s="253">
        <v>34.59805352499999</v>
      </c>
      <c r="W871" s="253">
        <v>42</v>
      </c>
      <c r="X871" s="253"/>
      <c r="Y871" s="253">
        <v>53.468543049999994</v>
      </c>
      <c r="Z871" s="253">
        <v>25</v>
      </c>
      <c r="AA871" s="253"/>
      <c r="AB871" s="253"/>
      <c r="AC871" s="253"/>
      <c r="AD871" s="253"/>
      <c r="AE871" s="253"/>
    </row>
    <row r="872" spans="1:31">
      <c r="A872" s="33">
        <v>871</v>
      </c>
      <c r="B872" s="69" t="s">
        <v>1961</v>
      </c>
      <c r="C872" s="69" t="s">
        <v>1232</v>
      </c>
      <c r="D872" s="56">
        <v>42349</v>
      </c>
      <c r="F872" s="56"/>
      <c r="G872" s="69" t="str">
        <f t="shared" si="13"/>
        <v>Both</v>
      </c>
      <c r="H872" s="69" t="s">
        <v>1088</v>
      </c>
      <c r="J872" s="69" t="s">
        <v>1961</v>
      </c>
      <c r="K872" s="69" t="s">
        <v>929</v>
      </c>
      <c r="L872" s="253">
        <v>67.432936220000002</v>
      </c>
      <c r="M872" s="253">
        <v>62.464682726999996</v>
      </c>
      <c r="N872" s="253">
        <v>61.309427317241379</v>
      </c>
      <c r="O872" s="253">
        <v>67.19205246526316</v>
      </c>
      <c r="P872" s="253">
        <v>67.513959389999997</v>
      </c>
      <c r="Q872" s="253">
        <v>64.28</v>
      </c>
      <c r="R872" s="253">
        <v>62.188898699999996</v>
      </c>
      <c r="S872" s="253">
        <v>68.136363639999999</v>
      </c>
      <c r="T872" s="253">
        <v>51</v>
      </c>
      <c r="U872" s="253">
        <v>54.893203879999994</v>
      </c>
      <c r="V872" s="253">
        <v>38.934349026999996</v>
      </c>
      <c r="W872" s="253">
        <v>60.599999999999994</v>
      </c>
      <c r="X872" s="253">
        <v>48.035714285714292</v>
      </c>
      <c r="Y872" s="253">
        <v>68.431061810000003</v>
      </c>
      <c r="Z872" s="253">
        <v>67.108843539999995</v>
      </c>
      <c r="AA872" s="253"/>
      <c r="AB872" s="253"/>
      <c r="AC872" s="253"/>
      <c r="AD872" s="253"/>
      <c r="AE872" s="253"/>
    </row>
    <row r="873" spans="1:31">
      <c r="A873" s="33">
        <v>872</v>
      </c>
      <c r="B873" s="69" t="s">
        <v>1961</v>
      </c>
      <c r="C873" s="69" t="s">
        <v>1232</v>
      </c>
      <c r="D873" s="56">
        <v>42349</v>
      </c>
      <c r="F873" s="56"/>
      <c r="G873" s="69" t="str">
        <f t="shared" si="13"/>
        <v>Both</v>
      </c>
      <c r="H873" s="69" t="s">
        <v>1088</v>
      </c>
      <c r="J873" s="69" t="s">
        <v>1961</v>
      </c>
      <c r="K873" s="69" t="s">
        <v>1083</v>
      </c>
      <c r="L873" s="253">
        <v>64.191833420000009</v>
      </c>
      <c r="M873" s="253">
        <v>57.428223674099996</v>
      </c>
      <c r="N873" s="253">
        <v>50.824920383758617</v>
      </c>
      <c r="O873" s="253">
        <v>54.202742870684204</v>
      </c>
      <c r="P873" s="253">
        <v>65.363963960000007</v>
      </c>
      <c r="Q873" s="253">
        <v>55.380000002999992</v>
      </c>
      <c r="R873" s="253">
        <v>62.630448520000002</v>
      </c>
      <c r="S873" s="253">
        <v>61.562865499999994</v>
      </c>
      <c r="T873" s="253">
        <v>54</v>
      </c>
      <c r="U873" s="253">
        <v>49.726829270000003</v>
      </c>
      <c r="V873" s="253">
        <v>39.055457224000001</v>
      </c>
      <c r="W873" s="253">
        <v>46.6</v>
      </c>
      <c r="X873" s="253"/>
      <c r="Y873" s="253">
        <v>49.013179569999998</v>
      </c>
      <c r="Z873" s="253">
        <v>59.50331125999999</v>
      </c>
      <c r="AA873" s="253"/>
      <c r="AB873" s="253"/>
      <c r="AC873" s="253"/>
      <c r="AD873" s="253"/>
      <c r="AE873" s="253"/>
    </row>
    <row r="874" spans="1:31">
      <c r="A874" s="33">
        <v>873</v>
      </c>
      <c r="B874" s="69" t="s">
        <v>1961</v>
      </c>
      <c r="C874" s="69" t="s">
        <v>1232</v>
      </c>
      <c r="D874" s="56">
        <v>42349</v>
      </c>
      <c r="F874" s="56"/>
      <c r="G874" s="69" t="str">
        <f t="shared" si="13"/>
        <v>Both</v>
      </c>
      <c r="H874" s="69" t="s">
        <v>1088</v>
      </c>
      <c r="J874" s="69" t="s">
        <v>1961</v>
      </c>
      <c r="K874" s="69" t="s">
        <v>1962</v>
      </c>
      <c r="L874" s="253">
        <v>53.16566515800001</v>
      </c>
      <c r="M874" s="253">
        <v>56.014290499999994</v>
      </c>
      <c r="N874" s="253">
        <v>53.163208135172425</v>
      </c>
      <c r="O874" s="253">
        <v>53.474090039473687</v>
      </c>
      <c r="P874" s="253">
        <v>50.414035089999999</v>
      </c>
      <c r="Q874" s="253">
        <v>60.36</v>
      </c>
      <c r="R874" s="253">
        <v>54.108839320000001</v>
      </c>
      <c r="S874" s="253">
        <v>58.423943659999999</v>
      </c>
      <c r="T874" s="253">
        <v>49.250000000000007</v>
      </c>
      <c r="U874" s="253">
        <v>49.252293579999993</v>
      </c>
      <c r="V874" s="253">
        <v>37.528651685</v>
      </c>
      <c r="W874" s="253">
        <v>51.8</v>
      </c>
      <c r="X874" s="253"/>
      <c r="Y874" s="253">
        <v>46.814516130000001</v>
      </c>
      <c r="Z874" s="253">
        <v>64.172185429999999</v>
      </c>
      <c r="AA874" s="253"/>
      <c r="AB874" s="253"/>
      <c r="AC874" s="253"/>
      <c r="AD874" s="253"/>
      <c r="AE874" s="253"/>
    </row>
    <row r="875" spans="1:31">
      <c r="A875" s="33">
        <v>874</v>
      </c>
      <c r="B875" s="69" t="s">
        <v>1961</v>
      </c>
      <c r="C875" s="69" t="s">
        <v>1232</v>
      </c>
      <c r="D875" s="56">
        <v>42349</v>
      </c>
      <c r="F875" s="56"/>
      <c r="G875" s="69" t="str">
        <f t="shared" si="13"/>
        <v>Both</v>
      </c>
      <c r="H875" s="69" t="s">
        <v>1088</v>
      </c>
      <c r="J875" s="69" t="s">
        <v>1961</v>
      </c>
      <c r="K875" s="69" t="s">
        <v>1963</v>
      </c>
      <c r="L875" s="253">
        <v>60.414958547999994</v>
      </c>
      <c r="M875" s="253">
        <v>55.764189901499996</v>
      </c>
      <c r="N875" s="253">
        <v>52.843628552413797</v>
      </c>
      <c r="O875" s="253">
        <v>54.005233043157887</v>
      </c>
      <c r="P875" s="253">
        <v>63.358834239999993</v>
      </c>
      <c r="Q875" s="253">
        <v>61.160000000000004</v>
      </c>
      <c r="R875" s="253">
        <v>58.164204669999997</v>
      </c>
      <c r="S875" s="253">
        <v>58.881481479999998</v>
      </c>
      <c r="T875" s="253">
        <v>56.75</v>
      </c>
      <c r="U875" s="253">
        <v>49.403587439999995</v>
      </c>
      <c r="V875" s="253">
        <v>40.190858728999999</v>
      </c>
      <c r="W875" s="253">
        <v>50</v>
      </c>
      <c r="X875" s="253"/>
      <c r="Y875" s="253">
        <v>54.653225809999995</v>
      </c>
      <c r="Z875" s="253">
        <v>48.639455779999992</v>
      </c>
      <c r="AA875" s="253"/>
      <c r="AB875" s="253"/>
      <c r="AC875" s="253"/>
      <c r="AD875" s="253"/>
      <c r="AE875" s="253"/>
    </row>
    <row r="876" spans="1:31">
      <c r="A876" s="33">
        <v>875</v>
      </c>
      <c r="B876" s="69" t="s">
        <v>1961</v>
      </c>
      <c r="C876" s="69" t="s">
        <v>1232</v>
      </c>
      <c r="D876" s="56">
        <v>42349</v>
      </c>
      <c r="F876" s="56"/>
      <c r="G876" s="69" t="str">
        <f t="shared" si="13"/>
        <v>Both</v>
      </c>
      <c r="H876" s="69" t="s">
        <v>1088</v>
      </c>
      <c r="J876" s="69" t="s">
        <v>1961</v>
      </c>
      <c r="K876" s="69" t="s">
        <v>1964</v>
      </c>
      <c r="L876" s="253">
        <v>60.123170138000006</v>
      </c>
      <c r="M876" s="253">
        <v>60.184426289499989</v>
      </c>
      <c r="N876" s="253">
        <v>62.886680729655176</v>
      </c>
      <c r="O876" s="253">
        <v>59.805836715789475</v>
      </c>
      <c r="P876" s="253">
        <v>59.193078320000005</v>
      </c>
      <c r="Q876" s="253">
        <v>64.16</v>
      </c>
      <c r="R876" s="253">
        <v>64.538956859999999</v>
      </c>
      <c r="S876" s="253">
        <v>59.177877430000002</v>
      </c>
      <c r="T876" s="253">
        <v>50.5</v>
      </c>
      <c r="U876" s="253">
        <v>51.991031389999996</v>
      </c>
      <c r="V876" s="253">
        <v>40.450692519999997</v>
      </c>
      <c r="W876" s="253">
        <v>62.199999999999996</v>
      </c>
      <c r="X876" s="253">
        <v>31.874999999999996</v>
      </c>
      <c r="Y876" s="253">
        <v>56.467741940000003</v>
      </c>
      <c r="Z876" s="253">
        <v>63.843537410000003</v>
      </c>
      <c r="AA876" s="253"/>
      <c r="AB876" s="253"/>
      <c r="AC876" s="253"/>
      <c r="AD876" s="253"/>
      <c r="AE876" s="253"/>
    </row>
    <row r="877" spans="1:31">
      <c r="A877" s="33">
        <v>876</v>
      </c>
      <c r="B877" s="69" t="s">
        <v>1955</v>
      </c>
      <c r="C877" s="69" t="s">
        <v>1639</v>
      </c>
      <c r="D877" s="56">
        <v>42353</v>
      </c>
      <c r="F877" s="56"/>
      <c r="G877" s="69" t="str">
        <f t="shared" si="13"/>
        <v>E-Commerce</v>
      </c>
      <c r="H877" s="69" t="s">
        <v>1956</v>
      </c>
      <c r="J877" s="69" t="s">
        <v>1955</v>
      </c>
      <c r="K877" s="69" t="s">
        <v>1955</v>
      </c>
      <c r="L877" s="253">
        <v>54.692693286000001</v>
      </c>
      <c r="M877" s="253">
        <v>52.575418491428572</v>
      </c>
      <c r="N877" s="253">
        <v>50.337159527303356</v>
      </c>
      <c r="O877" s="253">
        <v>58.247725256842095</v>
      </c>
      <c r="P877" s="253">
        <v>53.231638420000003</v>
      </c>
      <c r="Q877" s="253">
        <v>54.82</v>
      </c>
      <c r="R877" s="253">
        <v>52.981236669999994</v>
      </c>
      <c r="S877" s="253">
        <v>48.802052789999998</v>
      </c>
      <c r="T877" s="253">
        <v>52</v>
      </c>
      <c r="U877" s="253">
        <v>50.228699550000002</v>
      </c>
      <c r="V877" s="253">
        <v>52.9</v>
      </c>
      <c r="W877" s="253"/>
      <c r="X877" s="253">
        <v>50</v>
      </c>
      <c r="Y877" s="253">
        <v>59.443769000000003</v>
      </c>
      <c r="Z877" s="253">
        <v>60.536912749999992</v>
      </c>
      <c r="AA877" s="253"/>
      <c r="AB877" s="253"/>
      <c r="AC877" s="253"/>
      <c r="AD877" s="253"/>
      <c r="AE877" s="253"/>
    </row>
    <row r="878" spans="1:31">
      <c r="A878" s="33">
        <v>877</v>
      </c>
      <c r="B878" s="69" t="s">
        <v>1955</v>
      </c>
      <c r="C878" s="69" t="s">
        <v>1639</v>
      </c>
      <c r="D878" s="56">
        <v>42353</v>
      </c>
      <c r="F878" s="56"/>
      <c r="G878" s="69" t="str">
        <f t="shared" si="13"/>
        <v>E-Commerce</v>
      </c>
      <c r="H878" s="69" t="s">
        <v>1956</v>
      </c>
      <c r="J878" s="69" t="s">
        <v>1955</v>
      </c>
      <c r="K878" s="69" t="s">
        <v>1957</v>
      </c>
      <c r="L878" s="253">
        <v>56.211461723999996</v>
      </c>
      <c r="M878" s="253">
        <v>55.225425561297627</v>
      </c>
      <c r="N878" s="253">
        <v>53.551876359985549</v>
      </c>
      <c r="O878" s="253">
        <v>61.222492530631577</v>
      </c>
      <c r="P878" s="253">
        <v>52.839830509999999</v>
      </c>
      <c r="Q878" s="253">
        <v>59.116116502000004</v>
      </c>
      <c r="R878" s="253">
        <v>54.520775030000003</v>
      </c>
      <c r="S878" s="253">
        <v>48.812316719999998</v>
      </c>
      <c r="T878" s="253">
        <v>49.6</v>
      </c>
      <c r="U878" s="253">
        <v>55.381165919999994</v>
      </c>
      <c r="V878" s="253">
        <v>55.378500983666669</v>
      </c>
      <c r="W878" s="253"/>
      <c r="X878" s="253">
        <v>42.500000000000007</v>
      </c>
      <c r="Y878" s="253">
        <v>59.776744189999995</v>
      </c>
      <c r="Z878" s="253">
        <v>69.697986580000006</v>
      </c>
      <c r="AA878" s="253"/>
      <c r="AB878" s="253"/>
      <c r="AC878" s="253"/>
      <c r="AD878" s="253"/>
      <c r="AE878" s="253"/>
    </row>
    <row r="879" spans="1:31">
      <c r="A879" s="33">
        <v>878</v>
      </c>
      <c r="B879" s="69" t="s">
        <v>1955</v>
      </c>
      <c r="C879" s="69" t="s">
        <v>1639</v>
      </c>
      <c r="D879" s="56">
        <v>42353</v>
      </c>
      <c r="F879" s="56"/>
      <c r="G879" s="69" t="str">
        <f t="shared" si="13"/>
        <v>E-Commerce</v>
      </c>
      <c r="H879" s="69" t="s">
        <v>1956</v>
      </c>
      <c r="J879" s="69" t="s">
        <v>1955</v>
      </c>
      <c r="K879" s="69" t="s">
        <v>1958</v>
      </c>
      <c r="L879" s="253">
        <v>53.045348402000002</v>
      </c>
      <c r="M879" s="253">
        <v>56.688521410107136</v>
      </c>
      <c r="N879" s="253">
        <v>66.94623234352332</v>
      </c>
      <c r="O879" s="253">
        <v>55.750526638789474</v>
      </c>
      <c r="P879" s="253">
        <v>50.334463279999994</v>
      </c>
      <c r="Q879" s="253">
        <v>54.191844656999997</v>
      </c>
      <c r="R879" s="253">
        <v>49.760593219999997</v>
      </c>
      <c r="S879" s="253">
        <v>52.151162790000001</v>
      </c>
      <c r="T879" s="253">
        <v>57.749999999999986</v>
      </c>
      <c r="U879" s="253">
        <v>62</v>
      </c>
      <c r="V879" s="253">
        <v>60.415165163000005</v>
      </c>
      <c r="W879" s="253"/>
      <c r="X879" s="253"/>
      <c r="Y879" s="253">
        <v>53.395136779999994</v>
      </c>
      <c r="Z879" s="253">
        <v>63.888888889999997</v>
      </c>
      <c r="AA879" s="253"/>
      <c r="AB879" s="253"/>
      <c r="AC879" s="253"/>
      <c r="AD879" s="253"/>
      <c r="AE879" s="253"/>
    </row>
    <row r="880" spans="1:31">
      <c r="A880" s="33">
        <v>879</v>
      </c>
      <c r="B880" s="69" t="s">
        <v>1955</v>
      </c>
      <c r="C880" s="69" t="s">
        <v>1639</v>
      </c>
      <c r="D880" s="56">
        <v>42353</v>
      </c>
      <c r="F880" s="56"/>
      <c r="G880" s="69" t="str">
        <f t="shared" si="13"/>
        <v>E-Commerce</v>
      </c>
      <c r="H880" s="69" t="s">
        <v>1956</v>
      </c>
      <c r="J880" s="69" t="s">
        <v>1955</v>
      </c>
      <c r="K880" s="69" t="s">
        <v>1959</v>
      </c>
      <c r="L880" s="253">
        <v>58.076184778000005</v>
      </c>
      <c r="M880" s="253">
        <v>62.767539893392851</v>
      </c>
      <c r="N880" s="253">
        <v>69.950654419552421</v>
      </c>
      <c r="O880" s="253">
        <v>67.16921640578947</v>
      </c>
      <c r="P880" s="253">
        <v>56.149152540000003</v>
      </c>
      <c r="Q880" s="253">
        <v>63.614368929999998</v>
      </c>
      <c r="R880" s="253">
        <v>59.734935900000004</v>
      </c>
      <c r="S880" s="253">
        <v>64.20930233</v>
      </c>
      <c r="T880" s="253">
        <v>61</v>
      </c>
      <c r="U880" s="253">
        <v>60</v>
      </c>
      <c r="V880" s="253">
        <v>66.590625003</v>
      </c>
      <c r="W880" s="253"/>
      <c r="X880" s="253"/>
      <c r="Y880" s="253">
        <v>70</v>
      </c>
      <c r="Z880" s="253">
        <v>65.784313729999994</v>
      </c>
      <c r="AA880" s="253"/>
      <c r="AB880" s="253"/>
      <c r="AC880" s="253"/>
      <c r="AD880" s="253"/>
      <c r="AE880" s="253"/>
    </row>
    <row r="881" spans="1:31">
      <c r="A881" s="33">
        <v>880</v>
      </c>
      <c r="B881" s="69" t="s">
        <v>1955</v>
      </c>
      <c r="C881" s="69" t="s">
        <v>1639</v>
      </c>
      <c r="D881" s="56">
        <v>42353</v>
      </c>
      <c r="F881" s="56"/>
      <c r="G881" s="69" t="str">
        <f t="shared" si="13"/>
        <v>E-Commerce</v>
      </c>
      <c r="H881" s="69" t="s">
        <v>1956</v>
      </c>
      <c r="J881" s="69" t="s">
        <v>1955</v>
      </c>
      <c r="K881" s="69" t="s">
        <v>1960</v>
      </c>
      <c r="L881" s="253">
        <v>56.112152431999995</v>
      </c>
      <c r="M881" s="253">
        <v>56.593962250202381</v>
      </c>
      <c r="N881" s="253">
        <v>61.60045138843504</v>
      </c>
      <c r="O881" s="253">
        <v>66.334571597157904</v>
      </c>
      <c r="P881" s="253">
        <v>53.293785309999997</v>
      </c>
      <c r="Q881" s="253">
        <v>62.176699025999994</v>
      </c>
      <c r="R881" s="253">
        <v>52.508295800000006</v>
      </c>
      <c r="S881" s="253">
        <v>56.235465120000008</v>
      </c>
      <c r="T881" s="253">
        <v>51</v>
      </c>
      <c r="U881" s="253">
        <v>55.941704039999998</v>
      </c>
      <c r="V881" s="253">
        <v>56.192209076333334</v>
      </c>
      <c r="W881" s="253"/>
      <c r="X881" s="253">
        <v>57.25</v>
      </c>
      <c r="Y881" s="253">
        <v>70</v>
      </c>
      <c r="Z881" s="253">
        <v>67.385620919999994</v>
      </c>
      <c r="AA881" s="253"/>
      <c r="AB881" s="253"/>
      <c r="AC881" s="253"/>
      <c r="AD881" s="253"/>
      <c r="AE881" s="253"/>
    </row>
    <row r="882" spans="1:31">
      <c r="A882" s="33">
        <v>881</v>
      </c>
      <c r="B882" s="69" t="s">
        <v>1949</v>
      </c>
      <c r="C882" s="69" t="s">
        <v>740</v>
      </c>
      <c r="D882" s="56">
        <v>42354</v>
      </c>
      <c r="F882" s="56"/>
      <c r="G882" s="69" t="str">
        <f t="shared" si="13"/>
        <v>E-Commerce</v>
      </c>
      <c r="H882" s="69" t="s">
        <v>1950</v>
      </c>
      <c r="J882" s="69" t="s">
        <v>1949</v>
      </c>
      <c r="K882" s="69" t="s">
        <v>1949</v>
      </c>
      <c r="L882" s="253">
        <v>56.364532015999998</v>
      </c>
      <c r="M882" s="253">
        <v>41.687506849199998</v>
      </c>
      <c r="N882" s="253">
        <v>55.99423435382068</v>
      </c>
      <c r="O882" s="253">
        <v>53.05405129999999</v>
      </c>
      <c r="P882" s="253">
        <v>58.955665020000005</v>
      </c>
      <c r="Q882" s="253">
        <v>55.099999999999994</v>
      </c>
      <c r="R882" s="253">
        <v>52</v>
      </c>
      <c r="S882" s="253">
        <v>50</v>
      </c>
      <c r="T882" s="253">
        <v>47.000000000000007</v>
      </c>
      <c r="U882" s="253">
        <v>51.6</v>
      </c>
      <c r="V882" s="253">
        <v>53.957534245999994</v>
      </c>
      <c r="W882" s="253"/>
      <c r="X882" s="253">
        <v>52</v>
      </c>
      <c r="Y882" s="253">
        <v>56.892697469999995</v>
      </c>
      <c r="Z882" s="253">
        <v>46</v>
      </c>
      <c r="AA882" s="253"/>
      <c r="AB882" s="253"/>
      <c r="AC882" s="253"/>
      <c r="AD882" s="253"/>
      <c r="AE882" s="253"/>
    </row>
    <row r="883" spans="1:31">
      <c r="A883" s="33">
        <v>882</v>
      </c>
      <c r="B883" s="69" t="s">
        <v>1949</v>
      </c>
      <c r="C883" s="69" t="s">
        <v>740</v>
      </c>
      <c r="D883" s="56">
        <v>42354</v>
      </c>
      <c r="F883" s="56"/>
      <c r="G883" s="69" t="str">
        <f t="shared" si="13"/>
        <v>E-Commerce</v>
      </c>
      <c r="H883" s="69" t="s">
        <v>1950</v>
      </c>
      <c r="J883" s="69" t="s">
        <v>1949</v>
      </c>
      <c r="K883" s="69" t="s">
        <v>1951</v>
      </c>
      <c r="L883" s="253">
        <v>56.897889448000001</v>
      </c>
      <c r="M883" s="253">
        <v>42.664046537399997</v>
      </c>
      <c r="N883" s="253">
        <v>51.974295926038629</v>
      </c>
      <c r="O883" s="253">
        <v>51.233354531578946</v>
      </c>
      <c r="P883" s="253">
        <v>60.372361809999994</v>
      </c>
      <c r="Q883" s="253">
        <v>54.579999999999991</v>
      </c>
      <c r="R883" s="253">
        <v>50</v>
      </c>
      <c r="S883" s="253">
        <v>56.000000000000007</v>
      </c>
      <c r="T883" s="253">
        <v>55</v>
      </c>
      <c r="U883" s="253">
        <v>56.999999999999993</v>
      </c>
      <c r="V883" s="253">
        <v>57.656232686999999</v>
      </c>
      <c r="W883" s="253"/>
      <c r="X883" s="253"/>
      <c r="Y883" s="253">
        <v>54.785373610000001</v>
      </c>
      <c r="Z883" s="253">
        <v>43</v>
      </c>
      <c r="AA883" s="253"/>
      <c r="AB883" s="253"/>
      <c r="AC883" s="253"/>
      <c r="AD883" s="253"/>
      <c r="AE883" s="253"/>
    </row>
    <row r="884" spans="1:31">
      <c r="A884" s="33">
        <v>883</v>
      </c>
      <c r="B884" s="69" t="s">
        <v>1949</v>
      </c>
      <c r="C884" s="69" t="s">
        <v>740</v>
      </c>
      <c r="D884" s="56">
        <v>42354</v>
      </c>
      <c r="F884" s="56"/>
      <c r="G884" s="69" t="str">
        <f t="shared" si="13"/>
        <v>E-Commerce</v>
      </c>
      <c r="H884" s="69" t="s">
        <v>1950</v>
      </c>
      <c r="J884" s="69" t="s">
        <v>1949</v>
      </c>
      <c r="K884" s="69" t="s">
        <v>1952</v>
      </c>
      <c r="L884" s="253">
        <v>60.357661927999992</v>
      </c>
      <c r="M884" s="253">
        <v>44.7294069712</v>
      </c>
      <c r="N884" s="253">
        <v>45.981630691937532</v>
      </c>
      <c r="O884" s="253">
        <v>59.799206426315784</v>
      </c>
      <c r="P884" s="253">
        <v>62.947077409999999</v>
      </c>
      <c r="Q884" s="253">
        <v>55.159999999999982</v>
      </c>
      <c r="R884" s="253">
        <v>56.999999999999993</v>
      </c>
      <c r="S884" s="253">
        <v>65</v>
      </c>
      <c r="T884" s="253">
        <v>55</v>
      </c>
      <c r="U884" s="253">
        <v>53</v>
      </c>
      <c r="V884" s="253">
        <v>50.519034855999998</v>
      </c>
      <c r="W884" s="253"/>
      <c r="X884" s="253"/>
      <c r="Y884" s="253">
        <v>65.202492210000003</v>
      </c>
      <c r="Z884" s="253">
        <v>50</v>
      </c>
      <c r="AA884" s="253"/>
      <c r="AB884" s="253"/>
      <c r="AC884" s="253"/>
      <c r="AD884" s="253"/>
      <c r="AE884" s="253"/>
    </row>
    <row r="885" spans="1:31">
      <c r="A885" s="33">
        <v>884</v>
      </c>
      <c r="B885" s="69" t="s">
        <v>1949</v>
      </c>
      <c r="C885" s="69" t="s">
        <v>740</v>
      </c>
      <c r="D885" s="56">
        <v>42354</v>
      </c>
      <c r="F885" s="56"/>
      <c r="G885" s="69" t="str">
        <f t="shared" si="13"/>
        <v>E-Commerce</v>
      </c>
      <c r="H885" s="69" t="s">
        <v>1950</v>
      </c>
      <c r="J885" s="69" t="s">
        <v>1949</v>
      </c>
      <c r="K885" s="69" t="s">
        <v>1953</v>
      </c>
      <c r="L885" s="253">
        <v>63.817142855999997</v>
      </c>
      <c r="M885" s="253">
        <v>50.741242276400001</v>
      </c>
      <c r="N885" s="253">
        <v>67.954226047983639</v>
      </c>
      <c r="O885" s="253">
        <v>65.366315789473688</v>
      </c>
      <c r="P885" s="253">
        <v>66.771428569999998</v>
      </c>
      <c r="Q885" s="253">
        <v>65.959999999999994</v>
      </c>
      <c r="R885" s="253">
        <v>67</v>
      </c>
      <c r="S885" s="253">
        <v>62</v>
      </c>
      <c r="T885" s="253">
        <v>67.5</v>
      </c>
      <c r="U885" s="253">
        <v>61.69603524</v>
      </c>
      <c r="V885" s="253">
        <v>63.538211382</v>
      </c>
      <c r="W885" s="253"/>
      <c r="X885" s="253"/>
      <c r="Y885" s="253">
        <v>72</v>
      </c>
      <c r="Z885" s="253">
        <v>52</v>
      </c>
      <c r="AA885" s="253"/>
      <c r="AB885" s="253"/>
      <c r="AC885" s="253"/>
      <c r="AD885" s="253"/>
      <c r="AE885" s="253"/>
    </row>
    <row r="886" spans="1:31">
      <c r="A886" s="33">
        <v>885</v>
      </c>
      <c r="B886" s="69" t="s">
        <v>1949</v>
      </c>
      <c r="C886" s="69" t="s">
        <v>740</v>
      </c>
      <c r="D886" s="56">
        <v>42354</v>
      </c>
      <c r="F886" s="56"/>
      <c r="G886" s="69" t="str">
        <f t="shared" si="13"/>
        <v>E-Commerce</v>
      </c>
      <c r="H886" s="69" t="s">
        <v>1950</v>
      </c>
      <c r="J886" s="69" t="s">
        <v>1949</v>
      </c>
      <c r="K886" s="69" t="s">
        <v>1954</v>
      </c>
      <c r="L886" s="253">
        <v>44.869651743999995</v>
      </c>
      <c r="M886" s="253">
        <v>41.935288888888891</v>
      </c>
      <c r="N886" s="253">
        <v>62.429239946997541</v>
      </c>
      <c r="O886" s="253">
        <v>51.028421052631579</v>
      </c>
      <c r="P886" s="253">
        <v>45.087064679999997</v>
      </c>
      <c r="Q886" s="253">
        <v>51.54</v>
      </c>
      <c r="R886" s="253">
        <v>50</v>
      </c>
      <c r="S886" s="253">
        <v>48</v>
      </c>
      <c r="T886" s="253">
        <v>57.999999999999993</v>
      </c>
      <c r="U886" s="253">
        <v>49</v>
      </c>
      <c r="V886" s="253">
        <v>62.444444444444443</v>
      </c>
      <c r="W886" s="253"/>
      <c r="X886" s="253">
        <v>46</v>
      </c>
      <c r="Y886" s="253">
        <v>55</v>
      </c>
      <c r="Z886" s="253">
        <v>44</v>
      </c>
      <c r="AA886" s="253"/>
      <c r="AB886" s="253"/>
      <c r="AC886" s="253"/>
      <c r="AD886" s="253"/>
      <c r="AE886" s="253"/>
    </row>
    <row r="887" spans="1:31">
      <c r="A887" s="33">
        <v>886</v>
      </c>
      <c r="B887" s="69" t="s">
        <v>697</v>
      </c>
      <c r="C887" s="69" t="s">
        <v>1232</v>
      </c>
      <c r="D887" s="56">
        <v>42358</v>
      </c>
      <c r="F887" s="56"/>
      <c r="G887" s="69" t="str">
        <f t="shared" si="13"/>
        <v>E-Commerce</v>
      </c>
      <c r="H887" s="69" t="s">
        <v>1943</v>
      </c>
      <c r="J887" s="69" t="s">
        <v>697</v>
      </c>
      <c r="K887" s="69" t="s">
        <v>697</v>
      </c>
      <c r="L887" s="253">
        <v>38.416793894000001</v>
      </c>
      <c r="M887" s="253">
        <v>43.490686786521742</v>
      </c>
      <c r="N887" s="253">
        <v>43.715306122857136</v>
      </c>
      <c r="O887" s="253">
        <v>45.706683695263152</v>
      </c>
      <c r="P887" s="253">
        <v>37</v>
      </c>
      <c r="Q887" s="253">
        <v>48.199999999999989</v>
      </c>
      <c r="R887" s="253">
        <v>46.40357143</v>
      </c>
      <c r="S887" s="253">
        <v>37</v>
      </c>
      <c r="T887" s="253">
        <v>43.1</v>
      </c>
      <c r="U887" s="253">
        <v>42</v>
      </c>
      <c r="V887" s="253">
        <v>42.55</v>
      </c>
      <c r="W887" s="253"/>
      <c r="X887" s="253">
        <v>41.25</v>
      </c>
      <c r="Y887" s="253">
        <v>46.999999999999993</v>
      </c>
      <c r="Z887" s="253">
        <v>44.08396947</v>
      </c>
      <c r="AA887" s="253"/>
      <c r="AB887" s="253"/>
      <c r="AC887" s="253"/>
      <c r="AD887" s="253"/>
      <c r="AE887" s="253"/>
    </row>
    <row r="888" spans="1:31">
      <c r="A888" s="33">
        <v>887</v>
      </c>
      <c r="B888" s="69" t="s">
        <v>697</v>
      </c>
      <c r="C888" s="69" t="s">
        <v>1232</v>
      </c>
      <c r="D888" s="56">
        <v>42358</v>
      </c>
      <c r="F888" s="56"/>
      <c r="G888" s="69" t="str">
        <f t="shared" si="13"/>
        <v>E-Commerce</v>
      </c>
      <c r="H888" s="69" t="s">
        <v>1943</v>
      </c>
      <c r="J888" s="69" t="s">
        <v>697</v>
      </c>
      <c r="K888" s="69" t="s">
        <v>1944</v>
      </c>
      <c r="L888" s="253">
        <v>46.2</v>
      </c>
      <c r="M888" s="253">
        <v>46.326990056521737</v>
      </c>
      <c r="N888" s="253">
        <v>51.274901217142855</v>
      </c>
      <c r="O888" s="253">
        <v>50.838121501052633</v>
      </c>
      <c r="P888" s="253">
        <v>45</v>
      </c>
      <c r="Q888" s="253">
        <v>56.74</v>
      </c>
      <c r="R888" s="253">
        <v>52.092154260000001</v>
      </c>
      <c r="S888" s="253">
        <v>40</v>
      </c>
      <c r="T888" s="253">
        <v>43.699999999999996</v>
      </c>
      <c r="U888" s="253">
        <v>37</v>
      </c>
      <c r="V888" s="253">
        <v>40.349999999999994</v>
      </c>
      <c r="W888" s="253"/>
      <c r="X888" s="253">
        <v>49.5</v>
      </c>
      <c r="Y888" s="253">
        <v>51</v>
      </c>
      <c r="Z888" s="253">
        <v>51</v>
      </c>
      <c r="AA888" s="253"/>
      <c r="AB888" s="253"/>
      <c r="AC888" s="253"/>
      <c r="AD888" s="253"/>
      <c r="AE888" s="253"/>
    </row>
    <row r="889" spans="1:31">
      <c r="A889" s="33">
        <v>888</v>
      </c>
      <c r="B889" s="69" t="s">
        <v>697</v>
      </c>
      <c r="C889" s="69" t="s">
        <v>1232</v>
      </c>
      <c r="D889" s="56">
        <v>42358</v>
      </c>
      <c r="F889" s="56"/>
      <c r="G889" s="69" t="str">
        <f t="shared" si="13"/>
        <v>E-Commerce</v>
      </c>
      <c r="H889" s="69" t="s">
        <v>1943</v>
      </c>
      <c r="J889" s="69" t="s">
        <v>697</v>
      </c>
      <c r="K889" s="69" t="s">
        <v>1945</v>
      </c>
      <c r="L889" s="253">
        <v>50.273804405999996</v>
      </c>
      <c r="M889" s="253">
        <v>52.179132161304338</v>
      </c>
      <c r="N889" s="253">
        <v>51.843188940000005</v>
      </c>
      <c r="O889" s="253">
        <v>53.441983651578951</v>
      </c>
      <c r="P889" s="253">
        <v>51.558525349999996</v>
      </c>
      <c r="Q889" s="253">
        <v>64.36</v>
      </c>
      <c r="R889" s="253">
        <v>51.021161290000002</v>
      </c>
      <c r="S889" s="253">
        <v>48.39407744999999</v>
      </c>
      <c r="T889" s="253">
        <v>49.85</v>
      </c>
      <c r="U889" s="253">
        <v>50.835616439999995</v>
      </c>
      <c r="V889" s="253">
        <v>50.342808220000002</v>
      </c>
      <c r="W889" s="253"/>
      <c r="X889" s="253">
        <v>49.124999999999993</v>
      </c>
      <c r="Y889" s="253">
        <v>57.492668619999996</v>
      </c>
      <c r="Z889" s="253">
        <v>45.134920630000003</v>
      </c>
      <c r="AA889" s="253"/>
      <c r="AB889" s="253"/>
      <c r="AC889" s="253"/>
      <c r="AD889" s="253"/>
      <c r="AE889" s="253"/>
    </row>
    <row r="890" spans="1:31">
      <c r="A890" s="33">
        <v>889</v>
      </c>
      <c r="B890" s="69" t="s">
        <v>697</v>
      </c>
      <c r="C890" s="69" t="s">
        <v>1232</v>
      </c>
      <c r="D890" s="56">
        <v>42358</v>
      </c>
      <c r="F890" s="56"/>
      <c r="G890" s="69" t="str">
        <f t="shared" si="13"/>
        <v>E-Commerce</v>
      </c>
      <c r="H890" s="69" t="s">
        <v>1943</v>
      </c>
      <c r="J890" s="69" t="s">
        <v>697</v>
      </c>
      <c r="K890" s="69" t="s">
        <v>1946</v>
      </c>
      <c r="L890" s="253">
        <v>55.417587255999997</v>
      </c>
      <c r="M890" s="253">
        <v>55.738025789565214</v>
      </c>
      <c r="N890" s="253">
        <v>60.899564677142855</v>
      </c>
      <c r="O890" s="253">
        <v>57.879693744210535</v>
      </c>
      <c r="P890" s="253">
        <v>55.409388650000004</v>
      </c>
      <c r="Q890" s="253">
        <v>55.999999999999993</v>
      </c>
      <c r="R890" s="253">
        <v>57.898476369999997</v>
      </c>
      <c r="S890" s="253">
        <v>52.093891400000004</v>
      </c>
      <c r="T890" s="253">
        <v>54.25</v>
      </c>
      <c r="U890" s="253">
        <v>57.291176470000003</v>
      </c>
      <c r="V890" s="253">
        <v>55.770588235000005</v>
      </c>
      <c r="W890" s="253"/>
      <c r="X890" s="253">
        <v>63.625</v>
      </c>
      <c r="Y890" s="253">
        <v>59.857142860000003</v>
      </c>
      <c r="Z890" s="253">
        <v>55.450381680000007</v>
      </c>
      <c r="AA890" s="253"/>
      <c r="AB890" s="253"/>
      <c r="AC890" s="253"/>
      <c r="AD890" s="253"/>
      <c r="AE890" s="253"/>
    </row>
    <row r="891" spans="1:31">
      <c r="A891" s="33">
        <v>890</v>
      </c>
      <c r="B891" s="69" t="s">
        <v>697</v>
      </c>
      <c r="C891" s="69" t="s">
        <v>1232</v>
      </c>
      <c r="D891" s="56">
        <v>42358</v>
      </c>
      <c r="F891" s="56"/>
      <c r="G891" s="69" t="str">
        <f t="shared" si="13"/>
        <v>E-Commerce</v>
      </c>
      <c r="H891" s="69" t="s">
        <v>1943</v>
      </c>
      <c r="J891" s="69" t="s">
        <v>697</v>
      </c>
      <c r="K891" s="69" t="s">
        <v>1947</v>
      </c>
      <c r="L891" s="253">
        <v>44.138658475999996</v>
      </c>
      <c r="M891" s="253">
        <v>46.085416533043478</v>
      </c>
      <c r="N891" s="253">
        <v>47.827698411428571</v>
      </c>
      <c r="O891" s="253">
        <v>50.512338782631574</v>
      </c>
      <c r="P891" s="253">
        <v>45.847926270000002</v>
      </c>
      <c r="Q891" s="253">
        <v>52.559999999999995</v>
      </c>
      <c r="R891" s="253">
        <v>53.866944439999997</v>
      </c>
      <c r="S891" s="253">
        <v>44.468325790000002</v>
      </c>
      <c r="T891" s="253">
        <v>32.450000000000003</v>
      </c>
      <c r="U891" s="253">
        <v>46.112676059999998</v>
      </c>
      <c r="V891" s="253">
        <v>39.281338030000001</v>
      </c>
      <c r="W891" s="253"/>
      <c r="X891" s="253">
        <v>43.625</v>
      </c>
      <c r="Y891" s="253">
        <v>56.846428569999993</v>
      </c>
      <c r="Z891" s="253">
        <v>37.301587300000001</v>
      </c>
      <c r="AA891" s="253"/>
      <c r="AB891" s="253"/>
      <c r="AC891" s="253"/>
      <c r="AD891" s="253"/>
      <c r="AE891" s="253"/>
    </row>
    <row r="892" spans="1:31">
      <c r="A892" s="33">
        <v>891</v>
      </c>
      <c r="B892" s="69" t="s">
        <v>697</v>
      </c>
      <c r="C892" s="69" t="s">
        <v>1232</v>
      </c>
      <c r="D892" s="56">
        <v>42358</v>
      </c>
      <c r="F892" s="56"/>
      <c r="G892" s="69" t="str">
        <f t="shared" si="13"/>
        <v>E-Commerce</v>
      </c>
      <c r="H892" s="69" t="s">
        <v>1943</v>
      </c>
      <c r="J892" s="69" t="s">
        <v>697</v>
      </c>
      <c r="K892" s="69" t="s">
        <v>1948</v>
      </c>
      <c r="L892" s="253">
        <v>45.6</v>
      </c>
      <c r="M892" s="253">
        <v>47.317484002173913</v>
      </c>
      <c r="N892" s="253">
        <v>45.998407545714279</v>
      </c>
      <c r="O892" s="253">
        <v>52.341518569473685</v>
      </c>
      <c r="P892" s="253">
        <v>45</v>
      </c>
      <c r="Q892" s="253">
        <v>57.919999999999995</v>
      </c>
      <c r="R892" s="253">
        <v>45.284426410000002</v>
      </c>
      <c r="S892" s="253">
        <v>46</v>
      </c>
      <c r="T892" s="253">
        <v>38.4</v>
      </c>
      <c r="U892" s="253">
        <v>46.999999999999993</v>
      </c>
      <c r="V892" s="253">
        <v>42.699999999999996</v>
      </c>
      <c r="W892" s="253"/>
      <c r="X892" s="253">
        <v>43.374999999999993</v>
      </c>
      <c r="Y892" s="253">
        <v>56.000000000000007</v>
      </c>
      <c r="Z892" s="253">
        <v>48</v>
      </c>
      <c r="AA892" s="253"/>
      <c r="AB892" s="253"/>
      <c r="AC892" s="253"/>
      <c r="AD892" s="253"/>
      <c r="AE892" s="253"/>
    </row>
    <row r="893" spans="1:31">
      <c r="A893" s="33">
        <v>892</v>
      </c>
      <c r="B893" s="69" t="s">
        <v>1934</v>
      </c>
      <c r="C893" s="69" t="s">
        <v>1232</v>
      </c>
      <c r="D893" s="56">
        <v>42367</v>
      </c>
      <c r="F893" s="56"/>
      <c r="G893" s="69" t="str">
        <f t="shared" si="13"/>
        <v>Both</v>
      </c>
      <c r="H893" s="69" t="s">
        <v>749</v>
      </c>
      <c r="J893" s="69" t="s">
        <v>1934</v>
      </c>
      <c r="K893" s="69" t="s">
        <v>1934</v>
      </c>
      <c r="L893" s="253">
        <v>53.224556113999995</v>
      </c>
      <c r="M893" s="253">
        <v>52.112829849565223</v>
      </c>
      <c r="N893" s="253">
        <v>46.112220084808371</v>
      </c>
      <c r="O893" s="253">
        <v>54.919648311052626</v>
      </c>
      <c r="P893" s="253">
        <v>52.372361809999987</v>
      </c>
      <c r="Q893" s="253">
        <v>50.44</v>
      </c>
      <c r="R893" s="253">
        <v>54.820646770000003</v>
      </c>
      <c r="S893" s="253">
        <v>52.371621619999999</v>
      </c>
      <c r="T893" s="253">
        <v>47.25</v>
      </c>
      <c r="U893" s="253">
        <v>51.645739909999996</v>
      </c>
      <c r="V893" s="253">
        <v>46.256232686999994</v>
      </c>
      <c r="W893" s="253">
        <v>41</v>
      </c>
      <c r="X893" s="253">
        <v>49.196428571428577</v>
      </c>
      <c r="Y893" s="253">
        <v>54.785373610000001</v>
      </c>
      <c r="Z893" s="253">
        <v>56.633333329999999</v>
      </c>
      <c r="AA893" s="253"/>
      <c r="AB893" s="253"/>
      <c r="AC893" s="253"/>
      <c r="AD893" s="253"/>
      <c r="AE893" s="253"/>
    </row>
    <row r="894" spans="1:31">
      <c r="A894" s="33">
        <v>893</v>
      </c>
      <c r="B894" s="69" t="s">
        <v>1934</v>
      </c>
      <c r="C894" s="69" t="s">
        <v>1232</v>
      </c>
      <c r="D894" s="56">
        <v>42367</v>
      </c>
      <c r="F894" s="56"/>
      <c r="G894" s="69" t="str">
        <f t="shared" si="13"/>
        <v>Both</v>
      </c>
      <c r="H894" s="69" t="s">
        <v>749</v>
      </c>
      <c r="J894" s="69" t="s">
        <v>1934</v>
      </c>
      <c r="K894" s="69" t="s">
        <v>1935</v>
      </c>
      <c r="L894" s="253">
        <v>55.594025563999992</v>
      </c>
      <c r="M894" s="253">
        <v>51.567289771304345</v>
      </c>
      <c r="N894" s="253">
        <v>47.913312831916386</v>
      </c>
      <c r="O894" s="253">
        <v>60.719535972631576</v>
      </c>
      <c r="P894" s="253">
        <v>54.947077409999991</v>
      </c>
      <c r="Q894" s="253">
        <v>50.019999999999996</v>
      </c>
      <c r="R894" s="253">
        <v>52.992875780000006</v>
      </c>
      <c r="S894" s="253">
        <v>54.731418919999996</v>
      </c>
      <c r="T894" s="253">
        <v>40.5</v>
      </c>
      <c r="U894" s="253">
        <v>52.842794759999997</v>
      </c>
      <c r="V894" s="253">
        <v>42.319034855999995</v>
      </c>
      <c r="W894" s="253">
        <v>43.000000000000007</v>
      </c>
      <c r="X894" s="253">
        <v>53.035714285714299</v>
      </c>
      <c r="Y894" s="253">
        <v>65.202492210000003</v>
      </c>
      <c r="Z894" s="253">
        <v>58.18181818</v>
      </c>
      <c r="AA894" s="253"/>
      <c r="AB894" s="253"/>
      <c r="AC894" s="253"/>
      <c r="AD894" s="253"/>
      <c r="AE894" s="253"/>
    </row>
    <row r="895" spans="1:31">
      <c r="A895" s="33">
        <v>894</v>
      </c>
      <c r="B895" s="69" t="s">
        <v>1934</v>
      </c>
      <c r="C895" s="69" t="s">
        <v>1232</v>
      </c>
      <c r="D895" s="56">
        <v>42367</v>
      </c>
      <c r="F895" s="56"/>
      <c r="G895" s="69" t="str">
        <f t="shared" si="13"/>
        <v>E-Commerce</v>
      </c>
      <c r="H895" s="69" t="s">
        <v>749</v>
      </c>
      <c r="J895" s="69" t="s">
        <v>1934</v>
      </c>
      <c r="K895" s="69" t="s">
        <v>1936</v>
      </c>
      <c r="L895" s="253">
        <v>54.375633422</v>
      </c>
      <c r="M895" s="253">
        <v>56.112049516521743</v>
      </c>
      <c r="N895" s="253">
        <v>27.351093259233448</v>
      </c>
      <c r="O895" s="253">
        <v>61.430109075263175</v>
      </c>
      <c r="P895" s="253">
        <v>53.771428569999998</v>
      </c>
      <c r="Q895" s="253">
        <v>60.24</v>
      </c>
      <c r="R895" s="253">
        <v>59.457708699999998</v>
      </c>
      <c r="S895" s="253">
        <v>55.378378380000001</v>
      </c>
      <c r="T895" s="253">
        <v>51.250000000000007</v>
      </c>
      <c r="U895" s="253">
        <v>52.696035240000008</v>
      </c>
      <c r="V895" s="253">
        <v>43.138211382000001</v>
      </c>
      <c r="W895" s="253"/>
      <c r="X895" s="253">
        <v>48.660714285714285</v>
      </c>
      <c r="Y895" s="253">
        <v>64.867601250000007</v>
      </c>
      <c r="Z895" s="253">
        <v>56.792452830000002</v>
      </c>
      <c r="AA895" s="253"/>
      <c r="AB895" s="253"/>
      <c r="AC895" s="253"/>
      <c r="AD895" s="253"/>
      <c r="AE895" s="253"/>
    </row>
    <row r="896" spans="1:31">
      <c r="A896" s="33">
        <v>895</v>
      </c>
      <c r="B896" s="69" t="s">
        <v>1934</v>
      </c>
      <c r="C896" s="69" t="s">
        <v>1232</v>
      </c>
      <c r="D896" s="56">
        <v>42367</v>
      </c>
      <c r="F896" s="56"/>
      <c r="G896" s="69" t="str">
        <f t="shared" si="13"/>
        <v>E-Commerce</v>
      </c>
      <c r="H896" s="69" t="s">
        <v>749</v>
      </c>
      <c r="J896" s="69" t="s">
        <v>1934</v>
      </c>
      <c r="K896" s="69" t="s">
        <v>1937</v>
      </c>
      <c r="L896" s="253">
        <v>51.137949737999996</v>
      </c>
      <c r="M896" s="253">
        <v>49.086562265652169</v>
      </c>
      <c r="N896" s="253">
        <v>27.983950094843205</v>
      </c>
      <c r="O896" s="253">
        <v>51.790567330526329</v>
      </c>
      <c r="P896" s="253">
        <v>50.955665019999998</v>
      </c>
      <c r="Q896" s="253">
        <v>57.11999999999999</v>
      </c>
      <c r="R896" s="253">
        <v>56.592230409999999</v>
      </c>
      <c r="S896" s="253">
        <v>45.453900709999999</v>
      </c>
      <c r="T896" s="253">
        <v>33</v>
      </c>
      <c r="U896" s="253">
        <v>46.6</v>
      </c>
      <c r="V896" s="253">
        <v>36.457534245999994</v>
      </c>
      <c r="W896" s="253"/>
      <c r="X896" s="253">
        <v>53.035714285714299</v>
      </c>
      <c r="Y896" s="253">
        <v>50.892697470000002</v>
      </c>
      <c r="Z896" s="253">
        <v>51.867088609999996</v>
      </c>
      <c r="AA896" s="253"/>
      <c r="AB896" s="253"/>
      <c r="AC896" s="253"/>
      <c r="AD896" s="253"/>
      <c r="AE896" s="253"/>
    </row>
    <row r="897" spans="1:31">
      <c r="A897" s="33">
        <v>896</v>
      </c>
      <c r="B897" s="69" t="s">
        <v>1934</v>
      </c>
      <c r="C897" s="69" t="s">
        <v>1232</v>
      </c>
      <c r="D897" s="56">
        <v>42367</v>
      </c>
      <c r="F897" s="56"/>
      <c r="G897" s="69" t="str">
        <f t="shared" si="13"/>
        <v>Both</v>
      </c>
      <c r="H897" s="69" t="s">
        <v>749</v>
      </c>
      <c r="J897" s="69" t="s">
        <v>1934</v>
      </c>
      <c r="K897" s="69" t="s">
        <v>1938</v>
      </c>
      <c r="L897" s="253">
        <v>38.980331356000001</v>
      </c>
      <c r="M897" s="253">
        <v>44.671821946521739</v>
      </c>
      <c r="N897" s="253">
        <v>42.033964188501741</v>
      </c>
      <c r="O897" s="253">
        <v>50.910357686842097</v>
      </c>
      <c r="P897" s="253">
        <v>37.087064680000005</v>
      </c>
      <c r="Q897" s="253">
        <v>52.18</v>
      </c>
      <c r="R897" s="253">
        <v>52.570660049999994</v>
      </c>
      <c r="S897" s="253">
        <v>34.211742950000001</v>
      </c>
      <c r="T897" s="253">
        <v>33.5</v>
      </c>
      <c r="U897" s="253">
        <v>45.084967320000004</v>
      </c>
      <c r="V897" s="253">
        <v>27.874999999</v>
      </c>
      <c r="W897" s="253">
        <v>30</v>
      </c>
      <c r="X897" s="253">
        <v>54.285714285714292</v>
      </c>
      <c r="Y897" s="253">
        <v>54.299674269999997</v>
      </c>
      <c r="Z897" s="253">
        <v>46.553398059999999</v>
      </c>
      <c r="AA897" s="253"/>
      <c r="AB897" s="253"/>
      <c r="AC897" s="253"/>
      <c r="AD897" s="253"/>
      <c r="AE897" s="253"/>
    </row>
    <row r="898" spans="1:31">
      <c r="A898" s="33">
        <v>897</v>
      </c>
      <c r="B898" s="69" t="s">
        <v>1934</v>
      </c>
      <c r="C898" s="69" t="s">
        <v>1232</v>
      </c>
      <c r="D898" s="56">
        <v>42367</v>
      </c>
      <c r="F898" s="56"/>
      <c r="G898" s="69" t="str">
        <f t="shared" ref="G898:G961" si="14">IF(V898&gt;0,IF(W898&gt;0,"Both","E-Commerce"),IF(W898=0, "ERROR","User Registration"))</f>
        <v>Both</v>
      </c>
      <c r="H898" s="69" t="s">
        <v>749</v>
      </c>
      <c r="J898" s="69" t="s">
        <v>1934</v>
      </c>
      <c r="K898" s="69" t="s">
        <v>1939</v>
      </c>
      <c r="L898" s="253">
        <v>49.623860545999996</v>
      </c>
      <c r="M898" s="253">
        <v>45.29265592965217</v>
      </c>
      <c r="N898" s="253">
        <v>43.715172758965146</v>
      </c>
      <c r="O898" s="253">
        <v>61.038224328578949</v>
      </c>
      <c r="P898" s="253">
        <v>47.194791669999994</v>
      </c>
      <c r="Q898" s="253">
        <v>57.360000002999996</v>
      </c>
      <c r="R898" s="253">
        <v>52.635585279999994</v>
      </c>
      <c r="S898" s="253">
        <v>48.525252530000003</v>
      </c>
      <c r="T898" s="253">
        <v>42.25</v>
      </c>
      <c r="U898" s="253">
        <v>47.266375549999999</v>
      </c>
      <c r="V898" s="253">
        <v>37.830026808</v>
      </c>
      <c r="W898" s="253">
        <v>36.4</v>
      </c>
      <c r="X898" s="253">
        <v>48.035714285714278</v>
      </c>
      <c r="Y898" s="253">
        <v>65.186915889999995</v>
      </c>
      <c r="Z898" s="253">
        <v>59.340136050000005</v>
      </c>
      <c r="AA898" s="253"/>
      <c r="AB898" s="253"/>
      <c r="AC898" s="253"/>
      <c r="AD898" s="253"/>
      <c r="AE898" s="253"/>
    </row>
    <row r="899" spans="1:31">
      <c r="A899" s="33">
        <v>898</v>
      </c>
      <c r="B899" s="69" t="s">
        <v>1934</v>
      </c>
      <c r="C899" s="69" t="s">
        <v>1232</v>
      </c>
      <c r="D899" s="56">
        <v>42367</v>
      </c>
      <c r="F899" s="56"/>
      <c r="G899" s="69" t="str">
        <f t="shared" si="14"/>
        <v>Both</v>
      </c>
      <c r="H899" s="69" t="s">
        <v>749</v>
      </c>
      <c r="J899" s="69" t="s">
        <v>1934</v>
      </c>
      <c r="K899" s="69" t="s">
        <v>1940</v>
      </c>
      <c r="L899" s="253">
        <v>45.472080278</v>
      </c>
      <c r="M899" s="253">
        <v>42.992548326521742</v>
      </c>
      <c r="N899" s="253">
        <v>43.0291639087108</v>
      </c>
      <c r="O899" s="253">
        <v>56.724903183157892</v>
      </c>
      <c r="P899" s="253">
        <v>44.556149730000001</v>
      </c>
      <c r="Q899" s="253">
        <v>60.760000000000005</v>
      </c>
      <c r="R899" s="253">
        <v>56.009762899999991</v>
      </c>
      <c r="S899" s="253">
        <v>43.978159130000002</v>
      </c>
      <c r="T899" s="253">
        <v>32.25</v>
      </c>
      <c r="U899" s="253">
        <v>38.311111109999999</v>
      </c>
      <c r="V899" s="253">
        <v>32.497260270999995</v>
      </c>
      <c r="W899" s="253">
        <v>38.4</v>
      </c>
      <c r="X899" s="253">
        <v>39.821428571428569</v>
      </c>
      <c r="Y899" s="253">
        <v>61.533646320000003</v>
      </c>
      <c r="Z899" s="253">
        <v>49.135802470000002</v>
      </c>
      <c r="AA899" s="253"/>
      <c r="AB899" s="253"/>
      <c r="AC899" s="253"/>
      <c r="AD899" s="253"/>
      <c r="AE899" s="253"/>
    </row>
    <row r="900" spans="1:31">
      <c r="A900" s="33">
        <v>899</v>
      </c>
      <c r="B900" s="69" t="s">
        <v>1934</v>
      </c>
      <c r="C900" s="69" t="s">
        <v>1232</v>
      </c>
      <c r="D900" s="56">
        <v>42367</v>
      </c>
      <c r="F900" s="56"/>
      <c r="G900" s="69" t="str">
        <f t="shared" si="14"/>
        <v>Both</v>
      </c>
      <c r="H900" s="69" t="s">
        <v>749</v>
      </c>
      <c r="J900" s="69" t="s">
        <v>1934</v>
      </c>
      <c r="K900" s="69" t="s">
        <v>1941</v>
      </c>
      <c r="L900" s="253">
        <v>51.625033029999997</v>
      </c>
      <c r="M900" s="253">
        <v>51.130204597826086</v>
      </c>
      <c r="N900" s="253">
        <v>52.491907425087099</v>
      </c>
      <c r="O900" s="253">
        <v>66.455258561578944</v>
      </c>
      <c r="P900" s="253">
        <v>50.003513509999998</v>
      </c>
      <c r="Q900" s="253">
        <v>61.059999999999988</v>
      </c>
      <c r="R900" s="253">
        <v>60.426605499999994</v>
      </c>
      <c r="S900" s="253">
        <v>57.485893419999996</v>
      </c>
      <c r="T900" s="253">
        <v>36</v>
      </c>
      <c r="U900" s="253">
        <v>56.691176470000002</v>
      </c>
      <c r="V900" s="253">
        <v>42.621551720999996</v>
      </c>
      <c r="W900" s="253">
        <v>53</v>
      </c>
      <c r="X900" s="253">
        <v>45.535714285714292</v>
      </c>
      <c r="Y900" s="253">
        <v>73.269525270000003</v>
      </c>
      <c r="Z900" s="253">
        <v>58.111111110000003</v>
      </c>
      <c r="AA900" s="253"/>
      <c r="AB900" s="253"/>
      <c r="AC900" s="253"/>
      <c r="AD900" s="253"/>
      <c r="AE900" s="253"/>
    </row>
    <row r="901" spans="1:31">
      <c r="A901" s="33">
        <v>900</v>
      </c>
      <c r="B901" s="69" t="s">
        <v>1934</v>
      </c>
      <c r="C901" s="69" t="s">
        <v>1232</v>
      </c>
      <c r="D901" s="56">
        <v>42367</v>
      </c>
      <c r="F901" s="56"/>
      <c r="G901" s="69" t="str">
        <f t="shared" si="14"/>
        <v>Both</v>
      </c>
      <c r="H901" s="69" t="s">
        <v>749</v>
      </c>
      <c r="J901" s="69" t="s">
        <v>1934</v>
      </c>
      <c r="K901" s="69" t="s">
        <v>1942</v>
      </c>
      <c r="L901" s="253">
        <v>54.52057418599999</v>
      </c>
      <c r="M901" s="253">
        <v>47.611679495217395</v>
      </c>
      <c r="N901" s="253">
        <v>48.924271960209062</v>
      </c>
      <c r="O901" s="253">
        <v>59.192801547894732</v>
      </c>
      <c r="P901" s="253">
        <v>53.039790579999988</v>
      </c>
      <c r="Q901" s="253">
        <v>60.540000000000006</v>
      </c>
      <c r="R901" s="253">
        <v>55.14109649000001</v>
      </c>
      <c r="S901" s="253">
        <v>52.17893217999999</v>
      </c>
      <c r="T901" s="253">
        <v>47.5</v>
      </c>
      <c r="U901" s="253">
        <v>49.52</v>
      </c>
      <c r="V901" s="253">
        <v>39.123823528999992</v>
      </c>
      <c r="W901" s="253">
        <v>46.6</v>
      </c>
      <c r="X901" s="253">
        <v>46.785714285714285</v>
      </c>
      <c r="Y901" s="253">
        <v>59.944356119999995</v>
      </c>
      <c r="Z901" s="253">
        <v>60.443708610000002</v>
      </c>
      <c r="AA901" s="253"/>
      <c r="AB901" s="253"/>
      <c r="AC901" s="253"/>
      <c r="AD901" s="253"/>
      <c r="AE901" s="253"/>
    </row>
    <row r="902" spans="1:31">
      <c r="A902" s="33">
        <v>901</v>
      </c>
      <c r="B902" s="69" t="s">
        <v>1916</v>
      </c>
      <c r="C902" s="69" t="s">
        <v>1214</v>
      </c>
      <c r="D902" s="56">
        <v>42376</v>
      </c>
      <c r="F902" s="56"/>
      <c r="G902" s="69" t="str">
        <f t="shared" si="14"/>
        <v>Both</v>
      </c>
      <c r="H902" s="69" t="s">
        <v>749</v>
      </c>
      <c r="J902" s="69" t="s">
        <v>1916</v>
      </c>
      <c r="K902" s="69" t="s">
        <v>1917</v>
      </c>
      <c r="L902" s="253">
        <v>49.764873953999995</v>
      </c>
      <c r="M902" s="253">
        <v>52.91614709739131</v>
      </c>
      <c r="N902" s="253">
        <v>50.675868350731712</v>
      </c>
      <c r="O902" s="253">
        <v>60.201747318421063</v>
      </c>
      <c r="P902" s="253">
        <v>45.259663869999997</v>
      </c>
      <c r="Q902" s="253">
        <v>64.02</v>
      </c>
      <c r="R902" s="253">
        <v>53.108433730000002</v>
      </c>
      <c r="S902" s="253">
        <v>48.407597540000005</v>
      </c>
      <c r="T902" s="253">
        <v>47.000000000000007</v>
      </c>
      <c r="U902" s="253">
        <v>45.049479169999998</v>
      </c>
      <c r="V902" s="253">
        <v>35.898165134999992</v>
      </c>
      <c r="W902" s="253">
        <v>50.6</v>
      </c>
      <c r="X902" s="253">
        <v>46.25</v>
      </c>
      <c r="Y902" s="253">
        <v>58.62601626</v>
      </c>
      <c r="Z902" s="253">
        <v>67.785714290000001</v>
      </c>
      <c r="AA902" s="253"/>
      <c r="AB902" s="253"/>
      <c r="AC902" s="253"/>
      <c r="AD902" s="253"/>
      <c r="AE902" s="253"/>
    </row>
    <row r="903" spans="1:31">
      <c r="A903" s="33">
        <v>902</v>
      </c>
      <c r="B903" s="69" t="s">
        <v>1916</v>
      </c>
      <c r="C903" s="69" t="s">
        <v>1214</v>
      </c>
      <c r="D903" s="56">
        <v>42376</v>
      </c>
      <c r="F903" s="56"/>
      <c r="G903" s="69" t="str">
        <f t="shared" si="14"/>
        <v>Both</v>
      </c>
      <c r="H903" s="69" t="s">
        <v>749</v>
      </c>
      <c r="J903" s="69" t="s">
        <v>1916</v>
      </c>
      <c r="K903" s="69" t="s">
        <v>1918</v>
      </c>
      <c r="L903" s="253">
        <v>48.658120093999997</v>
      </c>
      <c r="M903" s="253">
        <v>49.182186934347818</v>
      </c>
      <c r="N903" s="253">
        <v>44.324275521463413</v>
      </c>
      <c r="O903" s="253">
        <v>62.117833600526303</v>
      </c>
      <c r="P903" s="253">
        <v>45.37563025</v>
      </c>
      <c r="Q903" s="253">
        <v>46.56</v>
      </c>
      <c r="R903" s="253">
        <v>43.935882730000003</v>
      </c>
      <c r="S903" s="253">
        <v>55.572745899999994</v>
      </c>
      <c r="T903" s="253">
        <v>51</v>
      </c>
      <c r="U903" s="253">
        <v>45.280748659999993</v>
      </c>
      <c r="V903" s="253">
        <v>31.757798163</v>
      </c>
      <c r="W903" s="253">
        <v>45.2</v>
      </c>
      <c r="X903" s="253">
        <v>42.5</v>
      </c>
      <c r="Y903" s="253">
        <v>68.129392969999998</v>
      </c>
      <c r="Z903" s="253">
        <v>61.78807947</v>
      </c>
      <c r="AA903" s="253"/>
      <c r="AB903" s="253"/>
      <c r="AC903" s="253"/>
      <c r="AD903" s="253"/>
      <c r="AE903" s="253"/>
    </row>
    <row r="904" spans="1:31">
      <c r="A904" s="33">
        <v>903</v>
      </c>
      <c r="B904" s="69" t="s">
        <v>1916</v>
      </c>
      <c r="C904" s="69" t="s">
        <v>1214</v>
      </c>
      <c r="D904" s="56">
        <v>42376</v>
      </c>
      <c r="F904" s="56"/>
      <c r="G904" s="69" t="str">
        <f t="shared" si="14"/>
        <v>Both</v>
      </c>
      <c r="H904" s="69" t="s">
        <v>749</v>
      </c>
      <c r="J904" s="69" t="s">
        <v>1916</v>
      </c>
      <c r="K904" s="69" t="s">
        <v>1919</v>
      </c>
      <c r="L904" s="253">
        <v>57.175167484000013</v>
      </c>
      <c r="M904" s="253">
        <v>60.985890964782605</v>
      </c>
      <c r="N904" s="253">
        <v>56.471778935172409</v>
      </c>
      <c r="O904" s="253">
        <v>59.002950254736838</v>
      </c>
      <c r="P904" s="253">
        <v>55.3524545</v>
      </c>
      <c r="Q904" s="253">
        <v>64.339999999999989</v>
      </c>
      <c r="R904" s="253">
        <v>56.776931519999998</v>
      </c>
      <c r="S904" s="253">
        <v>62.450591799999998</v>
      </c>
      <c r="T904" s="253">
        <v>56.999999999999993</v>
      </c>
      <c r="U904" s="253">
        <v>62.339285709999999</v>
      </c>
      <c r="V904" s="253">
        <v>41.945337076999991</v>
      </c>
      <c r="W904" s="253">
        <v>55.2</v>
      </c>
      <c r="X904" s="253"/>
      <c r="Y904" s="253">
        <v>55.838150290000002</v>
      </c>
      <c r="Z904" s="253">
        <v>64.466019419999995</v>
      </c>
      <c r="AA904" s="253"/>
      <c r="AB904" s="253"/>
      <c r="AC904" s="253"/>
      <c r="AD904" s="253"/>
      <c r="AE904" s="253"/>
    </row>
    <row r="905" spans="1:31">
      <c r="A905" s="33">
        <v>904</v>
      </c>
      <c r="B905" s="151" t="s">
        <v>1916</v>
      </c>
      <c r="C905" s="69" t="s">
        <v>1214</v>
      </c>
      <c r="D905" s="56">
        <v>42376</v>
      </c>
      <c r="F905" s="56"/>
      <c r="G905" s="69" t="str">
        <f t="shared" si="14"/>
        <v>Both</v>
      </c>
      <c r="H905" s="69" t="s">
        <v>749</v>
      </c>
      <c r="J905" s="151" t="s">
        <v>1916</v>
      </c>
      <c r="K905" s="151" t="s">
        <v>1920</v>
      </c>
      <c r="L905" s="253">
        <v>49.479090200000002</v>
      </c>
      <c r="M905" s="253">
        <v>49.012346837391306</v>
      </c>
      <c r="N905" s="253">
        <v>47.850963526341459</v>
      </c>
      <c r="O905" s="253">
        <v>49.651261559473689</v>
      </c>
      <c r="P905" s="253">
        <v>50.514403289999997</v>
      </c>
      <c r="Q905" s="253">
        <v>50</v>
      </c>
      <c r="R905" s="253">
        <v>49.314917430000001</v>
      </c>
      <c r="S905" s="253">
        <v>44.301191769999996</v>
      </c>
      <c r="T905" s="253">
        <v>51.250000000000007</v>
      </c>
      <c r="U905" s="253">
        <v>51.815789469999991</v>
      </c>
      <c r="V905" s="253">
        <v>31.024381184999999</v>
      </c>
      <c r="W905" s="253">
        <v>48.8</v>
      </c>
      <c r="X905" s="253">
        <v>45</v>
      </c>
      <c r="Y905" s="253">
        <v>52.375375380000001</v>
      </c>
      <c r="Z905" s="253">
        <v>45.337837839999999</v>
      </c>
      <c r="AA905" s="253"/>
      <c r="AB905" s="253"/>
      <c r="AC905" s="253"/>
      <c r="AD905" s="253"/>
      <c r="AE905" s="253"/>
    </row>
    <row r="906" spans="1:31">
      <c r="A906" s="33">
        <v>905</v>
      </c>
      <c r="B906" s="151" t="s">
        <v>1916</v>
      </c>
      <c r="C906" s="69" t="s">
        <v>1214</v>
      </c>
      <c r="D906" s="56">
        <v>42376</v>
      </c>
      <c r="F906" s="56"/>
      <c r="G906" s="69" t="str">
        <f t="shared" si="14"/>
        <v>Both</v>
      </c>
      <c r="H906" s="69" t="s">
        <v>749</v>
      </c>
      <c r="J906" s="151" t="s">
        <v>1916</v>
      </c>
      <c r="K906" s="151" t="s">
        <v>1346</v>
      </c>
      <c r="L906" s="253">
        <v>58.931434833999994</v>
      </c>
      <c r="M906" s="253">
        <v>57.32844271078261</v>
      </c>
      <c r="N906" s="253">
        <v>57.02473248660975</v>
      </c>
      <c r="O906" s="253">
        <v>67.119625762473689</v>
      </c>
      <c r="P906" s="253">
        <v>57.641566269999998</v>
      </c>
      <c r="Q906" s="253">
        <v>51.099999996999991</v>
      </c>
      <c r="R906" s="253">
        <v>59.952338660000002</v>
      </c>
      <c r="S906" s="253">
        <v>63.419855219999995</v>
      </c>
      <c r="T906" s="253">
        <v>54.750000000000007</v>
      </c>
      <c r="U906" s="253">
        <v>53.656250000000007</v>
      </c>
      <c r="V906" s="253">
        <v>38.094067794999994</v>
      </c>
      <c r="W906" s="253">
        <v>62</v>
      </c>
      <c r="X906" s="253">
        <v>48.75</v>
      </c>
      <c r="Y906" s="253">
        <v>72.039381149999997</v>
      </c>
      <c r="Z906" s="253">
        <v>64.090909089999997</v>
      </c>
      <c r="AA906" s="253"/>
      <c r="AB906" s="253"/>
      <c r="AC906" s="253"/>
      <c r="AD906" s="253"/>
      <c r="AE906" s="253"/>
    </row>
    <row r="907" spans="1:31">
      <c r="A907" s="33">
        <v>906</v>
      </c>
      <c r="B907" s="151" t="s">
        <v>1916</v>
      </c>
      <c r="C907" s="69" t="s">
        <v>1214</v>
      </c>
      <c r="D907" s="56">
        <v>42376</v>
      </c>
      <c r="F907" s="56"/>
      <c r="G907" s="69" t="str">
        <f t="shared" si="14"/>
        <v>Both</v>
      </c>
      <c r="H907" s="69" t="s">
        <v>749</v>
      </c>
      <c r="J907" s="151" t="s">
        <v>1916</v>
      </c>
      <c r="K907" s="151" t="s">
        <v>1921</v>
      </c>
      <c r="L907" s="253">
        <v>50.356494894000001</v>
      </c>
      <c r="M907" s="253">
        <v>50.041394140869564</v>
      </c>
      <c r="N907" s="253">
        <v>49.933466962068955</v>
      </c>
      <c r="O907" s="253">
        <v>48.281892454210521</v>
      </c>
      <c r="P907" s="253">
        <v>50.389227640000001</v>
      </c>
      <c r="Q907" s="253">
        <v>49.980000000000004</v>
      </c>
      <c r="R907" s="253">
        <v>51.68842364999999</v>
      </c>
      <c r="S907" s="253">
        <v>41.58004158</v>
      </c>
      <c r="T907" s="253">
        <v>46.999999999999993</v>
      </c>
      <c r="U907" s="253">
        <v>56.963730570000003</v>
      </c>
      <c r="V907" s="253">
        <v>37.592658228999994</v>
      </c>
      <c r="W907" s="253">
        <v>49.4</v>
      </c>
      <c r="X907" s="253">
        <v>46.999999999999993</v>
      </c>
      <c r="Y907" s="253">
        <v>47.129124820000001</v>
      </c>
      <c r="Z907" s="253">
        <v>50.225563910000005</v>
      </c>
      <c r="AA907" s="253"/>
      <c r="AB907" s="253"/>
      <c r="AC907" s="253"/>
      <c r="AD907" s="253"/>
      <c r="AE907" s="253"/>
    </row>
    <row r="908" spans="1:31">
      <c r="A908" s="33">
        <v>907</v>
      </c>
      <c r="B908" s="151" t="s">
        <v>1916</v>
      </c>
      <c r="C908" s="69" t="s">
        <v>1214</v>
      </c>
      <c r="D908" s="56">
        <v>42376</v>
      </c>
      <c r="F908" s="56"/>
      <c r="G908" s="69" t="str">
        <f t="shared" si="14"/>
        <v>Both</v>
      </c>
      <c r="H908" s="69" t="s">
        <v>749</v>
      </c>
      <c r="J908" s="151" t="s">
        <v>1916</v>
      </c>
      <c r="K908" s="151" t="s">
        <v>1922</v>
      </c>
      <c r="L908" s="253">
        <v>54.526902858</v>
      </c>
      <c r="M908" s="253">
        <v>61.093131141739129</v>
      </c>
      <c r="N908" s="253">
        <v>59.05722002439024</v>
      </c>
      <c r="O908" s="253">
        <v>66.125325466842114</v>
      </c>
      <c r="P908" s="253">
        <v>53.087200000000003</v>
      </c>
      <c r="Q908" s="253">
        <v>68.239999999999995</v>
      </c>
      <c r="R908" s="253">
        <v>58.521003499999999</v>
      </c>
      <c r="S908" s="253">
        <v>64.748841519999999</v>
      </c>
      <c r="T908" s="253">
        <v>51.5</v>
      </c>
      <c r="U908" s="253">
        <v>61.102040819999999</v>
      </c>
      <c r="V908" s="253">
        <v>40.531186443999999</v>
      </c>
      <c r="W908" s="253">
        <v>64.400000000000006</v>
      </c>
      <c r="X908" s="253">
        <v>48.125</v>
      </c>
      <c r="Y908" s="253">
        <v>70.492176389999997</v>
      </c>
      <c r="Z908" s="253">
        <v>60.285714290000001</v>
      </c>
      <c r="AA908" s="253"/>
      <c r="AB908" s="253"/>
      <c r="AC908" s="253"/>
      <c r="AD908" s="253"/>
      <c r="AE908" s="253"/>
    </row>
    <row r="909" spans="1:31">
      <c r="A909" s="33">
        <v>908</v>
      </c>
      <c r="B909" s="151" t="s">
        <v>1916</v>
      </c>
      <c r="C909" s="69" t="s">
        <v>1214</v>
      </c>
      <c r="D909" s="56">
        <v>42376</v>
      </c>
      <c r="F909" s="56"/>
      <c r="G909" s="69" t="str">
        <f t="shared" si="14"/>
        <v>Both</v>
      </c>
      <c r="H909" s="69" t="s">
        <v>749</v>
      </c>
      <c r="J909" s="151" t="s">
        <v>1916</v>
      </c>
      <c r="K909" s="151" t="s">
        <v>1923</v>
      </c>
      <c r="L909" s="253">
        <v>43.249279999999999</v>
      </c>
      <c r="M909" s="253">
        <v>46.362530060869567</v>
      </c>
      <c r="N909" s="253">
        <v>52.005207657241378</v>
      </c>
      <c r="O909" s="253">
        <v>44.144419016842107</v>
      </c>
      <c r="P909" s="253">
        <v>42.811599999999999</v>
      </c>
      <c r="Q909" s="253">
        <v>50.28</v>
      </c>
      <c r="R909" s="253">
        <v>51.55183701</v>
      </c>
      <c r="S909" s="253">
        <v>40.360287299999996</v>
      </c>
      <c r="T909" s="253">
        <v>44.000000000000007</v>
      </c>
      <c r="U909" s="253">
        <v>44.803571429999998</v>
      </c>
      <c r="V909" s="253">
        <v>34.421739127999999</v>
      </c>
      <c r="W909" s="253">
        <v>52.4</v>
      </c>
      <c r="X909" s="253">
        <v>46</v>
      </c>
      <c r="Y909" s="253">
        <v>42</v>
      </c>
      <c r="Z909" s="253">
        <v>45</v>
      </c>
      <c r="AA909" s="253"/>
      <c r="AB909" s="253"/>
      <c r="AC909" s="253"/>
      <c r="AD909" s="253"/>
      <c r="AE909" s="253"/>
    </row>
    <row r="910" spans="1:31">
      <c r="A910" s="33">
        <v>909</v>
      </c>
      <c r="B910" s="69" t="s">
        <v>1924</v>
      </c>
      <c r="C910" s="69" t="s">
        <v>1214</v>
      </c>
      <c r="D910" s="56">
        <v>42376</v>
      </c>
      <c r="F910" s="56"/>
      <c r="G910" s="69" t="str">
        <f t="shared" si="14"/>
        <v>E-Commerce</v>
      </c>
      <c r="H910" s="69" t="s">
        <v>1925</v>
      </c>
      <c r="J910" s="69" t="s">
        <v>1924</v>
      </c>
      <c r="K910" s="69" t="s">
        <v>1926</v>
      </c>
      <c r="L910" s="253">
        <v>71.399999999999991</v>
      </c>
      <c r="M910" s="253">
        <v>61.755007045652178</v>
      </c>
      <c r="N910" s="253">
        <v>58.920351533103442</v>
      </c>
      <c r="O910" s="253">
        <v>63.33667007999999</v>
      </c>
      <c r="P910" s="253">
        <v>72</v>
      </c>
      <c r="Q910" s="253">
        <v>53.859999999999992</v>
      </c>
      <c r="R910" s="253">
        <v>61.185032409999991</v>
      </c>
      <c r="S910" s="253">
        <v>68</v>
      </c>
      <c r="T910" s="253">
        <v>63</v>
      </c>
      <c r="U910" s="253">
        <v>60</v>
      </c>
      <c r="V910" s="253">
        <v>40.939693759999997</v>
      </c>
      <c r="W910" s="253"/>
      <c r="X910" s="253"/>
      <c r="Y910" s="253">
        <v>61.416666669999998</v>
      </c>
      <c r="Z910" s="253">
        <v>69</v>
      </c>
      <c r="AA910" s="253"/>
      <c r="AB910" s="253"/>
      <c r="AC910" s="253"/>
      <c r="AD910" s="253"/>
      <c r="AE910" s="253"/>
    </row>
    <row r="911" spans="1:31">
      <c r="A911" s="33">
        <v>910</v>
      </c>
      <c r="B911" s="69" t="s">
        <v>1924</v>
      </c>
      <c r="C911" s="69" t="s">
        <v>1214</v>
      </c>
      <c r="D911" s="56">
        <v>42376</v>
      </c>
      <c r="F911" s="56"/>
      <c r="G911" s="69" t="str">
        <f t="shared" si="14"/>
        <v>E-Commerce</v>
      </c>
      <c r="H911" s="69" t="s">
        <v>1925</v>
      </c>
      <c r="J911" s="69" t="s">
        <v>1924</v>
      </c>
      <c r="K911" s="69" t="s">
        <v>1927</v>
      </c>
      <c r="L911" s="253">
        <v>59.439669423999995</v>
      </c>
      <c r="M911" s="253">
        <v>57.831476847826082</v>
      </c>
      <c r="N911" s="253">
        <v>51.28733256482758</v>
      </c>
      <c r="O911" s="253">
        <v>59.532151655789477</v>
      </c>
      <c r="P911" s="253">
        <v>60.299586779999998</v>
      </c>
      <c r="Q911" s="253">
        <v>55.72</v>
      </c>
      <c r="R911" s="253">
        <v>56.695440730000001</v>
      </c>
      <c r="S911" s="253">
        <v>62</v>
      </c>
      <c r="T911" s="253">
        <v>57.999999999999993</v>
      </c>
      <c r="U911" s="253">
        <v>57.953352769999995</v>
      </c>
      <c r="V911" s="253">
        <v>34.346235139999997</v>
      </c>
      <c r="W911" s="253"/>
      <c r="X911" s="253"/>
      <c r="Y911" s="253">
        <v>62</v>
      </c>
      <c r="Z911" s="253">
        <v>56.000000000000007</v>
      </c>
      <c r="AA911" s="253"/>
      <c r="AB911" s="253"/>
      <c r="AC911" s="253"/>
      <c r="AD911" s="253"/>
      <c r="AE911" s="253"/>
    </row>
    <row r="912" spans="1:31">
      <c r="A912" s="33">
        <v>911</v>
      </c>
      <c r="B912" s="69" t="s">
        <v>1924</v>
      </c>
      <c r="C912" s="69" t="s">
        <v>1214</v>
      </c>
      <c r="D912" s="56">
        <v>42376</v>
      </c>
      <c r="F912" s="56"/>
      <c r="G912" s="69" t="str">
        <f t="shared" si="14"/>
        <v>E-Commerce</v>
      </c>
      <c r="H912" s="69" t="s">
        <v>1925</v>
      </c>
      <c r="J912" s="69" t="s">
        <v>1924</v>
      </c>
      <c r="K912" s="69" t="s">
        <v>1928</v>
      </c>
      <c r="L912" s="253">
        <v>65.987210888000007</v>
      </c>
      <c r="M912" s="253">
        <v>57.934593973913039</v>
      </c>
      <c r="N912" s="253">
        <v>56.865506695862067</v>
      </c>
      <c r="O912" s="253">
        <v>59.142099897894731</v>
      </c>
      <c r="P912" s="253">
        <v>66.234013610000005</v>
      </c>
      <c r="Q912" s="253">
        <v>57.779999999999994</v>
      </c>
      <c r="R912" s="253">
        <v>55.959949029999997</v>
      </c>
      <c r="S912" s="253">
        <v>58.999999999999993</v>
      </c>
      <c r="T912" s="253">
        <v>55</v>
      </c>
      <c r="U912" s="253">
        <v>58.115183250000001</v>
      </c>
      <c r="V912" s="253">
        <v>38.350947599999998</v>
      </c>
      <c r="W912" s="253"/>
      <c r="X912" s="253"/>
      <c r="Y912" s="253">
        <v>56.999999999999993</v>
      </c>
      <c r="Z912" s="253">
        <v>65</v>
      </c>
      <c r="AA912" s="253"/>
      <c r="AB912" s="253"/>
      <c r="AC912" s="253"/>
      <c r="AD912" s="253"/>
      <c r="AE912" s="253"/>
    </row>
    <row r="913" spans="1:31">
      <c r="A913" s="33">
        <v>912</v>
      </c>
      <c r="B913" s="69" t="s">
        <v>1924</v>
      </c>
      <c r="C913" s="69" t="s">
        <v>1214</v>
      </c>
      <c r="D913" s="56">
        <v>42376</v>
      </c>
      <c r="F913" s="56"/>
      <c r="G913" s="69" t="str">
        <f t="shared" si="14"/>
        <v>E-Commerce</v>
      </c>
      <c r="H913" s="69" t="s">
        <v>1925</v>
      </c>
      <c r="J913" s="69" t="s">
        <v>1924</v>
      </c>
      <c r="K913" s="69" t="s">
        <v>1929</v>
      </c>
      <c r="L913" s="253">
        <v>66.051028807999998</v>
      </c>
      <c r="M913" s="253">
        <v>59.103253339130433</v>
      </c>
      <c r="N913" s="253">
        <v>61.797600591034474</v>
      </c>
      <c r="O913" s="253">
        <v>67.633866967368405</v>
      </c>
      <c r="P913" s="253">
        <v>65.813786010000001</v>
      </c>
      <c r="Q913" s="253">
        <v>55.199999999999996</v>
      </c>
      <c r="R913" s="253">
        <v>54.42173618999999</v>
      </c>
      <c r="S913" s="253">
        <v>66</v>
      </c>
      <c r="T913" s="253">
        <v>53</v>
      </c>
      <c r="U913" s="253">
        <v>61.893229169999998</v>
      </c>
      <c r="V913" s="253">
        <v>39.854137932</v>
      </c>
      <c r="W913" s="253"/>
      <c r="X913" s="253"/>
      <c r="Y913" s="253">
        <v>72</v>
      </c>
      <c r="Z913" s="253">
        <v>67</v>
      </c>
      <c r="AA913" s="253"/>
      <c r="AB913" s="253"/>
      <c r="AC913" s="253"/>
      <c r="AD913" s="253"/>
      <c r="AE913" s="253"/>
    </row>
    <row r="914" spans="1:31">
      <c r="A914" s="33">
        <v>913</v>
      </c>
      <c r="B914" s="69" t="s">
        <v>1924</v>
      </c>
      <c r="C914" s="69" t="s">
        <v>1214</v>
      </c>
      <c r="D914" s="56">
        <v>42376</v>
      </c>
      <c r="F914" s="56"/>
      <c r="G914" s="69" t="str">
        <f t="shared" si="14"/>
        <v>E-Commerce</v>
      </c>
      <c r="H914" s="69" t="s">
        <v>1925</v>
      </c>
      <c r="J914" s="69" t="s">
        <v>1924</v>
      </c>
      <c r="K914" s="69" t="s">
        <v>1930</v>
      </c>
      <c r="L914" s="253">
        <v>61.028824503999999</v>
      </c>
      <c r="M914" s="253">
        <v>57.391777571304345</v>
      </c>
      <c r="N914" s="253">
        <v>60.791307479310355</v>
      </c>
      <c r="O914" s="253">
        <v>63.807846573684209</v>
      </c>
      <c r="P914" s="253">
        <v>61.534374999999997</v>
      </c>
      <c r="Q914" s="253">
        <v>48.760000000000005</v>
      </c>
      <c r="R914" s="253">
        <v>62.777986149999997</v>
      </c>
      <c r="S914" s="253">
        <v>63</v>
      </c>
      <c r="T914" s="253">
        <v>60</v>
      </c>
      <c r="U914" s="253">
        <v>52.213541669999998</v>
      </c>
      <c r="V914" s="253">
        <v>37.105671295</v>
      </c>
      <c r="W914" s="253"/>
      <c r="X914" s="253"/>
      <c r="Y914" s="253">
        <v>68</v>
      </c>
      <c r="Z914" s="253">
        <v>59.006622519999993</v>
      </c>
      <c r="AA914" s="253"/>
      <c r="AB914" s="253"/>
      <c r="AC914" s="253"/>
      <c r="AD914" s="253"/>
      <c r="AE914" s="253"/>
    </row>
    <row r="915" spans="1:31">
      <c r="A915" s="33">
        <v>914</v>
      </c>
      <c r="B915" s="69" t="s">
        <v>1924</v>
      </c>
      <c r="C915" s="69" t="s">
        <v>1214</v>
      </c>
      <c r="D915" s="56">
        <v>42376</v>
      </c>
      <c r="F915" s="56"/>
      <c r="G915" s="69" t="str">
        <f t="shared" si="14"/>
        <v>E-Commerce</v>
      </c>
      <c r="H915" s="69" t="s">
        <v>1925</v>
      </c>
      <c r="J915" s="69" t="s">
        <v>1924</v>
      </c>
      <c r="K915" s="69" t="s">
        <v>1931</v>
      </c>
      <c r="L915" s="253">
        <v>63.703673471999998</v>
      </c>
      <c r="M915" s="253">
        <v>62.192160395652159</v>
      </c>
      <c r="N915" s="253">
        <v>63.931034482758619</v>
      </c>
      <c r="O915" s="253">
        <v>65.368421052631575</v>
      </c>
      <c r="P915" s="253">
        <v>65.129591840000003</v>
      </c>
      <c r="Q915" s="253">
        <v>66</v>
      </c>
      <c r="R915" s="253">
        <v>56.000000000000007</v>
      </c>
      <c r="S915" s="253">
        <v>64</v>
      </c>
      <c r="T915" s="253">
        <v>67</v>
      </c>
      <c r="U915" s="253">
        <v>62.683937820000004</v>
      </c>
      <c r="V915" s="253">
        <v>41.269264546999992</v>
      </c>
      <c r="W915" s="253"/>
      <c r="X915" s="253"/>
      <c r="Y915" s="253">
        <v>71</v>
      </c>
      <c r="Z915" s="253">
        <v>57.999999999999993</v>
      </c>
      <c r="AA915" s="253"/>
      <c r="AB915" s="253"/>
      <c r="AC915" s="253"/>
      <c r="AD915" s="253"/>
      <c r="AE915" s="253"/>
    </row>
    <row r="916" spans="1:31">
      <c r="A916" s="33">
        <v>915</v>
      </c>
      <c r="B916" s="69" t="s">
        <v>1924</v>
      </c>
      <c r="C916" s="69" t="s">
        <v>1214</v>
      </c>
      <c r="D916" s="56">
        <v>42376</v>
      </c>
      <c r="F916" s="56"/>
      <c r="G916" s="69" t="str">
        <f t="shared" si="14"/>
        <v>E-Commerce</v>
      </c>
      <c r="H916" s="69" t="s">
        <v>1925</v>
      </c>
      <c r="J916" s="69" t="s">
        <v>1924</v>
      </c>
      <c r="K916" s="69" t="s">
        <v>1932</v>
      </c>
      <c r="L916" s="253">
        <v>69.497942383999998</v>
      </c>
      <c r="M916" s="253">
        <v>60.048406457826097</v>
      </c>
      <c r="N916" s="253">
        <v>57.321154432413792</v>
      </c>
      <c r="O916" s="253">
        <v>64.484474839473677</v>
      </c>
      <c r="P916" s="253">
        <v>68.622427979999998</v>
      </c>
      <c r="Q916" s="253">
        <v>52.29999999999999</v>
      </c>
      <c r="R916" s="253">
        <v>57.568913090000002</v>
      </c>
      <c r="S916" s="253">
        <v>62.767195770000008</v>
      </c>
      <c r="T916" s="253">
        <v>58.999999999999993</v>
      </c>
      <c r="U916" s="253">
        <v>62</v>
      </c>
      <c r="V916" s="253">
        <v>39.733134685999993</v>
      </c>
      <c r="W916" s="253"/>
      <c r="X916" s="253"/>
      <c r="Y916" s="253">
        <v>63</v>
      </c>
      <c r="Z916" s="253">
        <v>73</v>
      </c>
      <c r="AA916" s="253"/>
      <c r="AB916" s="253"/>
      <c r="AC916" s="253"/>
      <c r="AD916" s="253"/>
      <c r="AE916" s="253"/>
    </row>
    <row r="917" spans="1:31">
      <c r="A917" s="33">
        <v>916</v>
      </c>
      <c r="B917" s="69" t="s">
        <v>1924</v>
      </c>
      <c r="C917" s="69" t="s">
        <v>1214</v>
      </c>
      <c r="D917" s="56">
        <v>42376</v>
      </c>
      <c r="F917" s="56"/>
      <c r="G917" s="69" t="str">
        <f t="shared" si="14"/>
        <v>E-Commerce</v>
      </c>
      <c r="H917" s="69" t="s">
        <v>1925</v>
      </c>
      <c r="J917" s="69" t="s">
        <v>1924</v>
      </c>
      <c r="K917" s="69" t="s">
        <v>1933</v>
      </c>
      <c r="L917" s="253">
        <v>58.4</v>
      </c>
      <c r="M917" s="253">
        <v>54.311187478260869</v>
      </c>
      <c r="N917" s="253">
        <v>53.430284417241367</v>
      </c>
      <c r="O917" s="253">
        <v>55.727688563157905</v>
      </c>
      <c r="P917" s="253">
        <v>57.999999999999993</v>
      </c>
      <c r="Q917" s="253">
        <v>59.499999999999993</v>
      </c>
      <c r="R917" s="253">
        <v>49.16304135</v>
      </c>
      <c r="S917" s="253">
        <v>51</v>
      </c>
      <c r="T917" s="253">
        <v>54</v>
      </c>
      <c r="U917" s="253">
        <v>55.868421050000002</v>
      </c>
      <c r="V917" s="253">
        <v>33.169940118</v>
      </c>
      <c r="W917" s="253"/>
      <c r="X917" s="253"/>
      <c r="Y917" s="253">
        <v>55</v>
      </c>
      <c r="Z917" s="253">
        <v>60</v>
      </c>
      <c r="AA917" s="253"/>
      <c r="AB917" s="253"/>
      <c r="AC917" s="253"/>
      <c r="AD917" s="253"/>
      <c r="AE917" s="253"/>
    </row>
    <row r="918" spans="1:31">
      <c r="A918" s="33">
        <v>917</v>
      </c>
      <c r="B918" s="69" t="s">
        <v>1908</v>
      </c>
      <c r="C918" s="69" t="s">
        <v>740</v>
      </c>
      <c r="D918" s="56">
        <v>42396</v>
      </c>
      <c r="F918" s="56"/>
      <c r="G918" s="69" t="str">
        <f t="shared" si="14"/>
        <v>E-Commerce</v>
      </c>
      <c r="H918" s="69" t="s">
        <v>1909</v>
      </c>
      <c r="J918" s="69" t="s">
        <v>1908</v>
      </c>
      <c r="K918" s="69" t="s">
        <v>1910</v>
      </c>
      <c r="L918" s="253">
        <v>53.522613063999998</v>
      </c>
      <c r="M918" s="253">
        <v>51.217352894761888</v>
      </c>
      <c r="N918" s="253">
        <v>52.301393503138456</v>
      </c>
      <c r="O918" s="253">
        <v>50.475571220000006</v>
      </c>
      <c r="P918" s="253">
        <v>54.153266330000001</v>
      </c>
      <c r="Q918" s="253">
        <v>56.08</v>
      </c>
      <c r="R918" s="253">
        <v>46.977926590000003</v>
      </c>
      <c r="S918" s="253">
        <v>54</v>
      </c>
      <c r="T918" s="253">
        <v>48.5</v>
      </c>
      <c r="U918" s="253">
        <v>47.04999999999999</v>
      </c>
      <c r="V918" s="253">
        <v>55.225249620666659</v>
      </c>
      <c r="W918" s="253"/>
      <c r="X918" s="253"/>
      <c r="Y918" s="253">
        <v>50</v>
      </c>
      <c r="Z918" s="253">
        <v>51</v>
      </c>
      <c r="AA918" s="253"/>
      <c r="AB918" s="253"/>
      <c r="AC918" s="253"/>
      <c r="AD918" s="253"/>
      <c r="AE918" s="253"/>
    </row>
    <row r="919" spans="1:31">
      <c r="A919" s="33">
        <v>918</v>
      </c>
      <c r="B919" s="69" t="s">
        <v>1908</v>
      </c>
      <c r="C919" s="69" t="s">
        <v>740</v>
      </c>
      <c r="D919" s="56">
        <v>42396</v>
      </c>
      <c r="F919" s="56"/>
      <c r="G919" s="69" t="str">
        <f t="shared" si="14"/>
        <v>E-Commerce</v>
      </c>
      <c r="H919" s="69" t="s">
        <v>1909</v>
      </c>
      <c r="J919" s="69" t="s">
        <v>1908</v>
      </c>
      <c r="K919" s="69" t="s">
        <v>1911</v>
      </c>
      <c r="L919" s="253">
        <v>53.608040199999998</v>
      </c>
      <c r="M919" s="253">
        <v>52.846913613511902</v>
      </c>
      <c r="N919" s="253">
        <v>53.644285327145582</v>
      </c>
      <c r="O919" s="253">
        <v>55.015174394736839</v>
      </c>
      <c r="P919" s="253">
        <v>52.260050249999999</v>
      </c>
      <c r="Q919" s="253">
        <v>58.14</v>
      </c>
      <c r="R919" s="253">
        <v>51.07415675</v>
      </c>
      <c r="S919" s="253">
        <v>50</v>
      </c>
      <c r="T919" s="253">
        <v>51.250000000000007</v>
      </c>
      <c r="U919" s="253">
        <v>48.699999999999996</v>
      </c>
      <c r="V919" s="253">
        <v>55.306559485666661</v>
      </c>
      <c r="W919" s="253"/>
      <c r="X919" s="253"/>
      <c r="Y919" s="253">
        <v>54</v>
      </c>
      <c r="Z919" s="253">
        <v>58.999999999999993</v>
      </c>
      <c r="AA919" s="253"/>
      <c r="AB919" s="253"/>
      <c r="AC919" s="253"/>
      <c r="AD919" s="253"/>
      <c r="AE919" s="253"/>
    </row>
    <row r="920" spans="1:31">
      <c r="A920" s="33">
        <v>919</v>
      </c>
      <c r="B920" s="69" t="s">
        <v>1908</v>
      </c>
      <c r="C920" s="69" t="s">
        <v>740</v>
      </c>
      <c r="D920" s="56">
        <v>42396</v>
      </c>
      <c r="F920" s="56"/>
      <c r="G920" s="69" t="str">
        <f t="shared" si="14"/>
        <v>E-Commerce</v>
      </c>
      <c r="H920" s="69" t="s">
        <v>1909</v>
      </c>
      <c r="J920" s="69" t="s">
        <v>1908</v>
      </c>
      <c r="K920" s="69" t="s">
        <v>1912</v>
      </c>
      <c r="L920" s="253">
        <v>59.997727271999999</v>
      </c>
      <c r="M920" s="253">
        <v>56.438369407380947</v>
      </c>
      <c r="N920" s="253">
        <v>57.948990950594734</v>
      </c>
      <c r="O920" s="253">
        <v>53.557389302105264</v>
      </c>
      <c r="P920" s="253">
        <v>58.247159089999997</v>
      </c>
      <c r="Q920" s="253">
        <v>56.900000000000006</v>
      </c>
      <c r="R920" s="253">
        <v>52.845198369999999</v>
      </c>
      <c r="S920" s="253">
        <v>60</v>
      </c>
      <c r="T920" s="253">
        <v>55.75</v>
      </c>
      <c r="U920" s="253">
        <v>53.688888890000008</v>
      </c>
      <c r="V920" s="253">
        <v>55.750781421333329</v>
      </c>
      <c r="W920" s="253"/>
      <c r="X920" s="253">
        <v>54.375000000000007</v>
      </c>
      <c r="Y920" s="253">
        <v>46</v>
      </c>
      <c r="Z920" s="253">
        <v>67</v>
      </c>
      <c r="AA920" s="253"/>
      <c r="AB920" s="253"/>
      <c r="AC920" s="253"/>
      <c r="AD920" s="253"/>
      <c r="AE920" s="253"/>
    </row>
    <row r="921" spans="1:31">
      <c r="A921" s="33">
        <v>920</v>
      </c>
      <c r="B921" s="69" t="s">
        <v>1908</v>
      </c>
      <c r="C921" s="69" t="s">
        <v>740</v>
      </c>
      <c r="D921" s="56">
        <v>42396</v>
      </c>
      <c r="F921" s="56"/>
      <c r="G921" s="69" t="str">
        <f t="shared" si="14"/>
        <v>E-Commerce</v>
      </c>
      <c r="H921" s="69" t="s">
        <v>1909</v>
      </c>
      <c r="J921" s="69" t="s">
        <v>1908</v>
      </c>
      <c r="K921" s="69" t="s">
        <v>1913</v>
      </c>
      <c r="L921" s="253">
        <v>64.290285711999999</v>
      </c>
      <c r="M921" s="253">
        <v>61.052444314261898</v>
      </c>
      <c r="N921" s="253">
        <v>60.866298031479523</v>
      </c>
      <c r="O921" s="253">
        <v>67.545969467315786</v>
      </c>
      <c r="P921" s="253">
        <v>65.612857140000003</v>
      </c>
      <c r="Q921" s="253">
        <v>61.076310679000002</v>
      </c>
      <c r="R921" s="253">
        <v>58.148554600000004</v>
      </c>
      <c r="S921" s="253">
        <v>71</v>
      </c>
      <c r="T921" s="253">
        <v>57.500000000000007</v>
      </c>
      <c r="U921" s="253">
        <v>60.91111111</v>
      </c>
      <c r="V921" s="253">
        <v>59.072973906666661</v>
      </c>
      <c r="W921" s="253"/>
      <c r="X921" s="253"/>
      <c r="Y921" s="253">
        <v>74</v>
      </c>
      <c r="Z921" s="253">
        <v>58.999999999999993</v>
      </c>
      <c r="AA921" s="253"/>
      <c r="AB921" s="253"/>
      <c r="AC921" s="253"/>
      <c r="AD921" s="253"/>
      <c r="AE921" s="253"/>
    </row>
    <row r="922" spans="1:31">
      <c r="A922" s="33">
        <v>921</v>
      </c>
      <c r="B922" s="69" t="s">
        <v>1908</v>
      </c>
      <c r="C922" s="69" t="s">
        <v>740</v>
      </c>
      <c r="D922" s="56">
        <v>42396</v>
      </c>
      <c r="F922" s="56"/>
      <c r="G922" s="69" t="str">
        <f t="shared" si="14"/>
        <v>E-Commerce</v>
      </c>
      <c r="H922" s="69" t="s">
        <v>1909</v>
      </c>
      <c r="J922" s="69" t="s">
        <v>1908</v>
      </c>
      <c r="K922" s="69" t="s">
        <v>1914</v>
      </c>
      <c r="L922" s="253">
        <v>59.803389831999993</v>
      </c>
      <c r="M922" s="253">
        <v>58.36366524941667</v>
      </c>
      <c r="N922" s="253">
        <v>63.34133470118396</v>
      </c>
      <c r="O922" s="253">
        <v>55.980189457526315</v>
      </c>
      <c r="P922" s="253">
        <v>60.004237290000006</v>
      </c>
      <c r="Q922" s="253">
        <v>65.41834951300001</v>
      </c>
      <c r="R922" s="253">
        <v>57.102625089999989</v>
      </c>
      <c r="S922" s="253">
        <v>58.999999999999993</v>
      </c>
      <c r="T922" s="253">
        <v>56.750000000000007</v>
      </c>
      <c r="U922" s="253">
        <v>52.044444439999999</v>
      </c>
      <c r="V922" s="253">
        <v>60.504776256333322</v>
      </c>
      <c r="W922" s="253"/>
      <c r="X922" s="253">
        <v>64.999999999999986</v>
      </c>
      <c r="Y922" s="253">
        <v>53</v>
      </c>
      <c r="Z922" s="253">
        <v>58.999999999999993</v>
      </c>
      <c r="AA922" s="253"/>
      <c r="AB922" s="253"/>
      <c r="AC922" s="253"/>
      <c r="AD922" s="253"/>
      <c r="AE922" s="253"/>
    </row>
    <row r="923" spans="1:31">
      <c r="A923" s="33">
        <v>922</v>
      </c>
      <c r="B923" s="69" t="s">
        <v>1908</v>
      </c>
      <c r="C923" s="69" t="s">
        <v>740</v>
      </c>
      <c r="D923" s="56">
        <v>42396</v>
      </c>
      <c r="F923" s="56"/>
      <c r="G923" s="69" t="str">
        <f t="shared" si="14"/>
        <v>E-Commerce</v>
      </c>
      <c r="H923" s="69" t="s">
        <v>1909</v>
      </c>
      <c r="J923" s="69" t="s">
        <v>1908</v>
      </c>
      <c r="K923" s="69" t="s">
        <v>1915</v>
      </c>
      <c r="L923" s="253">
        <v>58.579428568000004</v>
      </c>
      <c r="M923" s="253">
        <v>56.35082560077381</v>
      </c>
      <c r="N923" s="253">
        <v>46.74383522053401</v>
      </c>
      <c r="O923" s="253">
        <v>55.552772692631571</v>
      </c>
      <c r="P923" s="253">
        <v>61.224285710000004</v>
      </c>
      <c r="Q923" s="253">
        <v>56.739999999999988</v>
      </c>
      <c r="R923" s="253">
        <v>56.881340579999993</v>
      </c>
      <c r="S923" s="253">
        <v>65</v>
      </c>
      <c r="T923" s="253">
        <v>56.000000000000007</v>
      </c>
      <c r="U923" s="253">
        <v>58.999999999999993</v>
      </c>
      <c r="V923" s="253">
        <v>49.491282784333336</v>
      </c>
      <c r="W923" s="253"/>
      <c r="X923" s="253"/>
      <c r="Y923" s="253">
        <v>57.999999999999993</v>
      </c>
      <c r="Z923" s="253">
        <v>48</v>
      </c>
      <c r="AA923" s="253"/>
      <c r="AB923" s="253"/>
      <c r="AC923" s="253"/>
      <c r="AD923" s="253"/>
      <c r="AE923" s="253"/>
    </row>
    <row r="924" spans="1:31">
      <c r="A924" s="33">
        <v>923</v>
      </c>
      <c r="B924" s="69" t="s">
        <v>1903</v>
      </c>
      <c r="C924" s="69" t="s">
        <v>1214</v>
      </c>
      <c r="D924" s="56">
        <v>42398</v>
      </c>
      <c r="F924" s="56"/>
      <c r="G924" s="69" t="str">
        <f t="shared" si="14"/>
        <v>ERROR</v>
      </c>
      <c r="H924" s="69" t="s">
        <v>1904</v>
      </c>
      <c r="J924" s="69" t="s">
        <v>1903</v>
      </c>
      <c r="K924" s="69" t="s">
        <v>1903</v>
      </c>
      <c r="L924" s="253">
        <v>49.156144050000002</v>
      </c>
      <c r="M924" s="253">
        <v>48.911319916521741</v>
      </c>
      <c r="N924" s="253">
        <v>35.270709427142897</v>
      </c>
      <c r="O924" s="253">
        <v>49.970800621578945</v>
      </c>
      <c r="P924" s="253">
        <v>48.653301890000002</v>
      </c>
      <c r="Q924" s="253">
        <v>49.813333329999999</v>
      </c>
      <c r="R924" s="253">
        <v>53.540816329999998</v>
      </c>
      <c r="S924" s="253">
        <v>44.909403669999996</v>
      </c>
      <c r="T924" s="253">
        <v>48</v>
      </c>
      <c r="U924" s="253">
        <v>46.406060609999997</v>
      </c>
      <c r="V924" s="253"/>
      <c r="W924" s="253"/>
      <c r="X924" s="253">
        <v>48.75</v>
      </c>
      <c r="Y924" s="253">
        <v>49.180327869999999</v>
      </c>
      <c r="Z924" s="253">
        <v>51.167512690000002</v>
      </c>
      <c r="AA924" s="253"/>
      <c r="AB924" s="253"/>
      <c r="AC924" s="253"/>
      <c r="AD924" s="253"/>
      <c r="AE924" s="253"/>
    </row>
    <row r="925" spans="1:31">
      <c r="A925" s="33">
        <v>924</v>
      </c>
      <c r="B925" s="69" t="s">
        <v>1903</v>
      </c>
      <c r="C925" s="69" t="s">
        <v>1214</v>
      </c>
      <c r="D925" s="56">
        <v>42398</v>
      </c>
      <c r="F925" s="56"/>
      <c r="G925" s="69" t="str">
        <f t="shared" si="14"/>
        <v>Both</v>
      </c>
      <c r="H925" s="69" t="s">
        <v>1904</v>
      </c>
      <c r="J925" s="69" t="s">
        <v>1903</v>
      </c>
      <c r="K925" s="151" t="s">
        <v>1738</v>
      </c>
      <c r="L925" s="253">
        <v>55.290988078000005</v>
      </c>
      <c r="M925" s="253">
        <v>57.259626763043478</v>
      </c>
      <c r="N925" s="253">
        <v>62.24551775804877</v>
      </c>
      <c r="O925" s="253">
        <v>58.153133392631581</v>
      </c>
      <c r="P925" s="253">
        <v>54.880232559999996</v>
      </c>
      <c r="Q925" s="253">
        <v>57.399999999999991</v>
      </c>
      <c r="R925" s="253">
        <v>58.727704680000002</v>
      </c>
      <c r="S925" s="253">
        <v>57.128096849999999</v>
      </c>
      <c r="T925" s="253">
        <v>59.25</v>
      </c>
      <c r="U925" s="253">
        <v>54.72049689</v>
      </c>
      <c r="V925" s="253">
        <v>60</v>
      </c>
      <c r="W925" s="253">
        <v>62</v>
      </c>
      <c r="X925" s="253">
        <v>65.625</v>
      </c>
      <c r="Y925" s="253">
        <v>58.82559775</v>
      </c>
      <c r="Z925" s="253">
        <v>56.934010149999999</v>
      </c>
      <c r="AA925" s="253"/>
      <c r="AB925" s="253"/>
      <c r="AC925" s="253"/>
      <c r="AD925" s="253"/>
      <c r="AE925" s="253"/>
    </row>
    <row r="926" spans="1:31">
      <c r="A926" s="33">
        <v>925</v>
      </c>
      <c r="B926" s="69" t="s">
        <v>1903</v>
      </c>
      <c r="C926" s="69" t="s">
        <v>1214</v>
      </c>
      <c r="D926" s="56">
        <v>42398</v>
      </c>
      <c r="F926" s="56"/>
      <c r="G926" s="69" t="str">
        <f t="shared" si="14"/>
        <v>Both</v>
      </c>
      <c r="H926" s="69" t="s">
        <v>1904</v>
      </c>
      <c r="J926" s="69" t="s">
        <v>1903</v>
      </c>
      <c r="K926" s="151" t="s">
        <v>1905</v>
      </c>
      <c r="L926" s="253">
        <v>48.333873359999998</v>
      </c>
      <c r="M926" s="253">
        <v>50.836434041739132</v>
      </c>
      <c r="N926" s="253">
        <v>55.420999645365853</v>
      </c>
      <c r="O926" s="253">
        <v>50.325480364210513</v>
      </c>
      <c r="P926" s="253">
        <v>48.24765258</v>
      </c>
      <c r="Q926" s="253">
        <v>41.14</v>
      </c>
      <c r="R926" s="253">
        <v>58.556830910000002</v>
      </c>
      <c r="S926" s="253">
        <v>51.435321099999996</v>
      </c>
      <c r="T926" s="253">
        <v>52</v>
      </c>
      <c r="U926" s="253">
        <v>50.55900621</v>
      </c>
      <c r="V926" s="253">
        <v>50.420999645365903</v>
      </c>
      <c r="W926" s="253">
        <v>52</v>
      </c>
      <c r="X926" s="253">
        <v>63.125000000000007</v>
      </c>
      <c r="Y926" s="253">
        <v>50.310136159999992</v>
      </c>
      <c r="Z926" s="253">
        <v>48.678756479999997</v>
      </c>
      <c r="AA926" s="253"/>
      <c r="AB926" s="253"/>
      <c r="AC926" s="253"/>
      <c r="AD926" s="253"/>
      <c r="AE926" s="253"/>
    </row>
    <row r="927" spans="1:31">
      <c r="A927" s="33">
        <v>926</v>
      </c>
      <c r="B927" s="69" t="s">
        <v>1903</v>
      </c>
      <c r="C927" s="69" t="s">
        <v>1214</v>
      </c>
      <c r="D927" s="56">
        <v>42398</v>
      </c>
      <c r="F927" s="56"/>
      <c r="G927" s="69" t="str">
        <f t="shared" si="14"/>
        <v>Both</v>
      </c>
      <c r="H927" s="69" t="s">
        <v>1904</v>
      </c>
      <c r="J927" s="69" t="s">
        <v>1903</v>
      </c>
      <c r="K927" s="151" t="s">
        <v>666</v>
      </c>
      <c r="L927" s="253">
        <v>58.063621101999992</v>
      </c>
      <c r="M927" s="253">
        <v>57.457674912695644</v>
      </c>
      <c r="N927" s="253">
        <v>60.526136214609757</v>
      </c>
      <c r="O927" s="253">
        <v>60.448493317526321</v>
      </c>
      <c r="P927" s="253">
        <v>58.845070419999999</v>
      </c>
      <c r="Q927" s="253">
        <v>59.363333333</v>
      </c>
      <c r="R927" s="253">
        <v>57.246930800000008</v>
      </c>
      <c r="S927" s="253">
        <v>53.681564250000001</v>
      </c>
      <c r="T927" s="253">
        <v>55.250000000000007</v>
      </c>
      <c r="U927" s="253">
        <v>61.497326200000003</v>
      </c>
      <c r="V927" s="253">
        <v>63</v>
      </c>
      <c r="W927" s="253">
        <v>56.000000000000007</v>
      </c>
      <c r="X927" s="253">
        <v>70</v>
      </c>
      <c r="Y927" s="253">
        <v>64.629349469999994</v>
      </c>
      <c r="Z927" s="253">
        <v>54.937823829999999</v>
      </c>
      <c r="AA927" s="253"/>
      <c r="AB927" s="253"/>
      <c r="AC927" s="253"/>
      <c r="AD927" s="253"/>
      <c r="AE927" s="253"/>
    </row>
    <row r="928" spans="1:31">
      <c r="A928" s="33">
        <v>927</v>
      </c>
      <c r="B928" s="69" t="s">
        <v>1903</v>
      </c>
      <c r="C928" s="69" t="s">
        <v>1214</v>
      </c>
      <c r="D928" s="56">
        <v>42398</v>
      </c>
      <c r="F928" s="56"/>
      <c r="G928" s="69" t="str">
        <f t="shared" si="14"/>
        <v>Both</v>
      </c>
      <c r="H928" s="69" t="s">
        <v>1904</v>
      </c>
      <c r="J928" s="69" t="s">
        <v>1903</v>
      </c>
      <c r="K928" s="151" t="s">
        <v>648</v>
      </c>
      <c r="L928" s="253">
        <v>60.088229272000007</v>
      </c>
      <c r="M928" s="253">
        <v>59.957904202173914</v>
      </c>
      <c r="N928" s="253">
        <v>58.560949434146345</v>
      </c>
      <c r="O928" s="253">
        <v>63.467638540526316</v>
      </c>
      <c r="P928" s="253">
        <v>62.337443950000001</v>
      </c>
      <c r="Q928" s="253">
        <v>64.240000000000009</v>
      </c>
      <c r="R928" s="253">
        <v>56.796487800000008</v>
      </c>
      <c r="S928" s="253">
        <v>62.595303869999995</v>
      </c>
      <c r="T928" s="253">
        <v>63.249999999999993</v>
      </c>
      <c r="U928" s="253">
        <v>59.155080210000001</v>
      </c>
      <c r="V928" s="253">
        <v>64</v>
      </c>
      <c r="W928" s="253">
        <v>54</v>
      </c>
      <c r="X928" s="253">
        <v>65.625</v>
      </c>
      <c r="Y928" s="253">
        <v>71</v>
      </c>
      <c r="Z928" s="253">
        <v>51.091370560000001</v>
      </c>
      <c r="AA928" s="253"/>
      <c r="AB928" s="253"/>
      <c r="AC928" s="253"/>
      <c r="AD928" s="253"/>
      <c r="AE928" s="253"/>
    </row>
    <row r="929" spans="1:31">
      <c r="A929" s="33">
        <v>928</v>
      </c>
      <c r="B929" s="69" t="s">
        <v>1903</v>
      </c>
      <c r="C929" s="69" t="s">
        <v>1214</v>
      </c>
      <c r="D929" s="56">
        <v>42398</v>
      </c>
      <c r="F929" s="56"/>
      <c r="G929" s="69" t="str">
        <f t="shared" si="14"/>
        <v>ERROR</v>
      </c>
      <c r="H929" s="69" t="s">
        <v>1904</v>
      </c>
      <c r="J929" s="69" t="s">
        <v>1903</v>
      </c>
      <c r="K929" s="69" t="s">
        <v>1906</v>
      </c>
      <c r="L929" s="253">
        <v>44.498930477999998</v>
      </c>
      <c r="M929" s="253">
        <v>47.171657922173914</v>
      </c>
      <c r="N929" s="253">
        <v>32.982366637142903</v>
      </c>
      <c r="O929" s="253">
        <v>45.874955923684219</v>
      </c>
      <c r="P929" s="253">
        <v>44.335784309999994</v>
      </c>
      <c r="Q929" s="253">
        <v>53.26</v>
      </c>
      <c r="R929" s="253">
        <v>48.808283230000001</v>
      </c>
      <c r="S929" s="253">
        <v>41.38310894</v>
      </c>
      <c r="T929" s="253">
        <v>55</v>
      </c>
      <c r="U929" s="253">
        <v>41.40625</v>
      </c>
      <c r="V929" s="253"/>
      <c r="W929" s="253"/>
      <c r="X929" s="253">
        <v>46.25</v>
      </c>
      <c r="Y929" s="253">
        <v>45.36069114</v>
      </c>
      <c r="Z929" s="253">
        <v>45.151515149999994</v>
      </c>
      <c r="AA929" s="253"/>
      <c r="AB929" s="253"/>
      <c r="AC929" s="253"/>
      <c r="AD929" s="253"/>
      <c r="AE929" s="253"/>
    </row>
    <row r="930" spans="1:31">
      <c r="A930" s="33">
        <v>929</v>
      </c>
      <c r="B930" s="69" t="s">
        <v>1903</v>
      </c>
      <c r="C930" s="69" t="s">
        <v>1214</v>
      </c>
      <c r="D930" s="56">
        <v>42398</v>
      </c>
      <c r="F930" s="56"/>
      <c r="G930" s="69" t="str">
        <f t="shared" si="14"/>
        <v>User Registration</v>
      </c>
      <c r="H930" s="69" t="s">
        <v>1904</v>
      </c>
      <c r="J930" s="69" t="s">
        <v>1903</v>
      </c>
      <c r="K930" s="69" t="s">
        <v>1907</v>
      </c>
      <c r="L930" s="253">
        <v>45.668159385999999</v>
      </c>
      <c r="M930" s="253">
        <v>47.829159787826079</v>
      </c>
      <c r="N930" s="253">
        <v>51.12040761804878</v>
      </c>
      <c r="O930" s="253">
        <v>51.05781390578948</v>
      </c>
      <c r="P930" s="253">
        <v>46.322378720000003</v>
      </c>
      <c r="Q930" s="253">
        <v>55.519999999999989</v>
      </c>
      <c r="R930" s="253">
        <v>52.812785390000002</v>
      </c>
      <c r="S930" s="253">
        <v>43.696483180000001</v>
      </c>
      <c r="T930" s="253">
        <v>44.000000000000007</v>
      </c>
      <c r="U930" s="253">
        <v>44.207650269999995</v>
      </c>
      <c r="V930" s="253"/>
      <c r="W930" s="253">
        <v>45</v>
      </c>
      <c r="X930" s="253">
        <v>59.375</v>
      </c>
      <c r="Y930" s="253">
        <v>55</v>
      </c>
      <c r="Z930" s="253">
        <v>43.051282049999998</v>
      </c>
      <c r="AA930" s="253"/>
      <c r="AB930" s="253"/>
      <c r="AC930" s="253"/>
      <c r="AD930" s="253"/>
      <c r="AE930" s="253"/>
    </row>
    <row r="931" spans="1:31">
      <c r="A931" s="33">
        <v>930</v>
      </c>
      <c r="B931" s="69" t="s">
        <v>1897</v>
      </c>
      <c r="C931" s="69" t="s">
        <v>1330</v>
      </c>
      <c r="D931" s="56">
        <v>42401</v>
      </c>
      <c r="F931" s="56"/>
      <c r="G931" s="69" t="str">
        <f t="shared" si="14"/>
        <v>E-Commerce</v>
      </c>
      <c r="H931" s="69" t="s">
        <v>1898</v>
      </c>
      <c r="J931" s="69" t="s">
        <v>1897</v>
      </c>
      <c r="K931" s="69" t="s">
        <v>1897</v>
      </c>
      <c r="L931" s="253">
        <v>48.018393333999995</v>
      </c>
      <c r="M931" s="253">
        <v>53.656320424266667</v>
      </c>
      <c r="N931" s="253">
        <v>54.802234125783322</v>
      </c>
      <c r="O931" s="253">
        <v>57.646516747368416</v>
      </c>
      <c r="P931" s="253">
        <v>44.851758789999998</v>
      </c>
      <c r="Q931" s="253">
        <v>53.899999999999991</v>
      </c>
      <c r="R931" s="253">
        <v>53.187801349999994</v>
      </c>
      <c r="S931" s="253">
        <v>51.583557949999999</v>
      </c>
      <c r="T931" s="253">
        <v>65.149999999999991</v>
      </c>
      <c r="U931" s="253">
        <v>49</v>
      </c>
      <c r="V931" s="253">
        <v>57.432981807333334</v>
      </c>
      <c r="W931" s="253"/>
      <c r="X931" s="253">
        <v>57.432981807333334</v>
      </c>
      <c r="Y931" s="253">
        <v>57.999999999999993</v>
      </c>
      <c r="Z931" s="253">
        <v>60.684931509999991</v>
      </c>
      <c r="AA931" s="253"/>
      <c r="AB931" s="253"/>
      <c r="AC931" s="253"/>
      <c r="AD931" s="253"/>
      <c r="AE931" s="253"/>
    </row>
    <row r="932" spans="1:31">
      <c r="A932" s="33">
        <v>931</v>
      </c>
      <c r="B932" s="69" t="s">
        <v>1897</v>
      </c>
      <c r="C932" s="69" t="s">
        <v>1330</v>
      </c>
      <c r="D932" s="56">
        <v>42401</v>
      </c>
      <c r="F932" s="56"/>
      <c r="G932" s="69" t="str">
        <f t="shared" si="14"/>
        <v>E-Commerce</v>
      </c>
      <c r="H932" s="69" t="s">
        <v>1898</v>
      </c>
      <c r="J932" s="69" t="s">
        <v>1897</v>
      </c>
      <c r="K932" s="69" t="s">
        <v>390</v>
      </c>
      <c r="L932" s="253">
        <v>69.688235293999995</v>
      </c>
      <c r="M932" s="253">
        <v>68.838832773600004</v>
      </c>
      <c r="N932" s="253">
        <v>73.64004047901102</v>
      </c>
      <c r="O932" s="253">
        <v>68.65063704052632</v>
      </c>
      <c r="P932" s="253">
        <v>72.668627450000002</v>
      </c>
      <c r="Q932" s="253">
        <v>68.92</v>
      </c>
      <c r="R932" s="253">
        <v>64.304385210000007</v>
      </c>
      <c r="S932" s="253">
        <v>78</v>
      </c>
      <c r="T932" s="253">
        <v>75.149999999999991</v>
      </c>
      <c r="U932" s="253">
        <v>67.355555559999999</v>
      </c>
      <c r="V932" s="253">
        <v>71.891556430000009</v>
      </c>
      <c r="W932" s="253"/>
      <c r="X932" s="253">
        <v>74.249999999999986</v>
      </c>
      <c r="Y932" s="253">
        <v>74</v>
      </c>
      <c r="Z932" s="253">
        <v>57.766666669999999</v>
      </c>
      <c r="AA932" s="253"/>
      <c r="AB932" s="253"/>
      <c r="AC932" s="253"/>
      <c r="AD932" s="253"/>
      <c r="AE932" s="253"/>
    </row>
    <row r="933" spans="1:31">
      <c r="A933" s="33">
        <v>932</v>
      </c>
      <c r="B933" s="69" t="s">
        <v>1897</v>
      </c>
      <c r="C933" s="69" t="s">
        <v>1330</v>
      </c>
      <c r="D933" s="56">
        <v>42401</v>
      </c>
      <c r="F933" s="56"/>
      <c r="G933" s="69" t="str">
        <f t="shared" si="14"/>
        <v>E-Commerce</v>
      </c>
      <c r="H933" s="69" t="s">
        <v>1898</v>
      </c>
      <c r="J933" s="69" t="s">
        <v>1897</v>
      </c>
      <c r="K933" s="69" t="s">
        <v>1899</v>
      </c>
      <c r="L933" s="253">
        <v>66.890441061999994</v>
      </c>
      <c r="M933" s="253">
        <v>65.314143066999989</v>
      </c>
      <c r="N933" s="253">
        <v>65.214047270652486</v>
      </c>
      <c r="O933" s="253">
        <v>66.855049723684218</v>
      </c>
      <c r="P933" s="253">
        <v>67.263736259999988</v>
      </c>
      <c r="Q933" s="253">
        <v>67.059999999999988</v>
      </c>
      <c r="R933" s="253">
        <v>62.433396230000007</v>
      </c>
      <c r="S933" s="253">
        <v>71.33285094</v>
      </c>
      <c r="T933" s="253">
        <v>64.850000000000009</v>
      </c>
      <c r="U933" s="253">
        <v>63.488888889999991</v>
      </c>
      <c r="V933" s="253">
        <v>63.775245354999996</v>
      </c>
      <c r="W933" s="253"/>
      <c r="X933" s="253">
        <v>67.25</v>
      </c>
      <c r="Y933" s="253">
        <v>68</v>
      </c>
      <c r="Z933" s="253">
        <v>65.397260270000004</v>
      </c>
      <c r="AA933" s="253"/>
      <c r="AB933" s="253"/>
      <c r="AC933" s="253"/>
      <c r="AD933" s="253"/>
      <c r="AE933" s="253"/>
    </row>
    <row r="934" spans="1:31">
      <c r="A934" s="33">
        <v>933</v>
      </c>
      <c r="B934" s="69" t="s">
        <v>1897</v>
      </c>
      <c r="C934" s="69" t="s">
        <v>1330</v>
      </c>
      <c r="D934" s="56">
        <v>42401</v>
      </c>
      <c r="F934" s="56"/>
      <c r="G934" s="69" t="str">
        <f t="shared" si="14"/>
        <v>E-Commerce</v>
      </c>
      <c r="H934" s="69" t="s">
        <v>1898</v>
      </c>
      <c r="J934" s="69" t="s">
        <v>1897</v>
      </c>
      <c r="K934" s="69" t="s">
        <v>1900</v>
      </c>
      <c r="L934" s="253">
        <v>43.029247677999997</v>
      </c>
      <c r="M934" s="253">
        <v>52.776106249666661</v>
      </c>
      <c r="N934" s="253">
        <v>55.34929377684545</v>
      </c>
      <c r="O934" s="253">
        <v>51.753055030526319</v>
      </c>
      <c r="P934" s="253">
        <v>42.357988169999999</v>
      </c>
      <c r="Q934" s="253">
        <v>55.059999999999995</v>
      </c>
      <c r="R934" s="253">
        <v>58.188648649999998</v>
      </c>
      <c r="S934" s="253">
        <v>43.299319730000001</v>
      </c>
      <c r="T934" s="253">
        <v>62.45</v>
      </c>
      <c r="U934" s="253">
        <v>56.999999999999993</v>
      </c>
      <c r="V934" s="253">
        <v>51.718712530333335</v>
      </c>
      <c r="W934" s="253"/>
      <c r="X934" s="253">
        <v>51.718712530333335</v>
      </c>
      <c r="Y934" s="253">
        <v>54</v>
      </c>
      <c r="Z934" s="253">
        <v>45.714285709999999</v>
      </c>
      <c r="AA934" s="253"/>
      <c r="AB934" s="253"/>
      <c r="AC934" s="253"/>
      <c r="AD934" s="253"/>
      <c r="AE934" s="253"/>
    </row>
    <row r="935" spans="1:31">
      <c r="A935" s="33">
        <v>934</v>
      </c>
      <c r="B935" s="69" t="s">
        <v>1897</v>
      </c>
      <c r="C935" s="69" t="s">
        <v>1330</v>
      </c>
      <c r="D935" s="56">
        <v>42401</v>
      </c>
      <c r="F935" s="56"/>
      <c r="G935" s="69" t="str">
        <f t="shared" si="14"/>
        <v>E-Commerce</v>
      </c>
      <c r="H935" s="69" t="s">
        <v>1898</v>
      </c>
      <c r="J935" s="69" t="s">
        <v>1897</v>
      </c>
      <c r="K935" s="69" t="s">
        <v>1901</v>
      </c>
      <c r="L935" s="253">
        <v>55.506739926000002</v>
      </c>
      <c r="M935" s="253">
        <v>60.177977343666669</v>
      </c>
      <c r="N935" s="253">
        <v>55.57930647604654</v>
      </c>
      <c r="O935" s="253">
        <v>62.915123311052632</v>
      </c>
      <c r="P935" s="253">
        <v>53.941758240000006</v>
      </c>
      <c r="Q935" s="253">
        <v>60</v>
      </c>
      <c r="R935" s="253">
        <v>59.655576209999992</v>
      </c>
      <c r="S935" s="253">
        <v>57.242857140000005</v>
      </c>
      <c r="T935" s="253">
        <v>63.7</v>
      </c>
      <c r="U935" s="253">
        <v>62.377777779999995</v>
      </c>
      <c r="V935" s="253">
        <v>60.355580348333326</v>
      </c>
      <c r="W935" s="253"/>
      <c r="X935" s="253">
        <v>55.25</v>
      </c>
      <c r="Y935" s="253">
        <v>65</v>
      </c>
      <c r="Z935" s="253">
        <v>61.766666669999999</v>
      </c>
      <c r="AA935" s="253"/>
      <c r="AB935" s="253"/>
      <c r="AC935" s="253"/>
      <c r="AD935" s="253"/>
      <c r="AE935" s="253"/>
    </row>
    <row r="936" spans="1:31">
      <c r="A936" s="33">
        <v>935</v>
      </c>
      <c r="B936" s="69" t="s">
        <v>1897</v>
      </c>
      <c r="C936" s="69" t="s">
        <v>1330</v>
      </c>
      <c r="D936" s="56">
        <v>42401</v>
      </c>
      <c r="F936" s="56"/>
      <c r="G936" s="69" t="str">
        <f t="shared" si="14"/>
        <v>E-Commerce</v>
      </c>
      <c r="H936" s="69" t="s">
        <v>1898</v>
      </c>
      <c r="J936" s="69" t="s">
        <v>1897</v>
      </c>
      <c r="K936" s="69" t="s">
        <v>1902</v>
      </c>
      <c r="L936" s="253">
        <v>43.301522840000004</v>
      </c>
      <c r="M936" s="253">
        <v>47.892733797999995</v>
      </c>
      <c r="N936" s="253">
        <v>45.304769166212594</v>
      </c>
      <c r="O936" s="253">
        <v>47.554565239999995</v>
      </c>
      <c r="P936" s="253">
        <v>43.876903550000002</v>
      </c>
      <c r="Q936" s="253">
        <v>43.159999999999989</v>
      </c>
      <c r="R936" s="253">
        <v>47.688369780000002</v>
      </c>
      <c r="S936" s="253">
        <v>50</v>
      </c>
      <c r="T936" s="253">
        <v>49.699999999999996</v>
      </c>
      <c r="U936" s="253">
        <v>52</v>
      </c>
      <c r="V936" s="253">
        <v>48.847299209999996</v>
      </c>
      <c r="W936" s="253"/>
      <c r="X936" s="253">
        <v>48.847299209999996</v>
      </c>
      <c r="Y936" s="253">
        <v>51</v>
      </c>
      <c r="Z936" s="253">
        <v>41</v>
      </c>
      <c r="AA936" s="253"/>
      <c r="AB936" s="253"/>
      <c r="AC936" s="253"/>
      <c r="AD936" s="253"/>
      <c r="AE936" s="253"/>
    </row>
    <row r="937" spans="1:31">
      <c r="A937" s="33">
        <v>936</v>
      </c>
      <c r="B937" s="69" t="s">
        <v>565</v>
      </c>
      <c r="C937" s="69" t="s">
        <v>740</v>
      </c>
      <c r="D937" s="56">
        <v>42402</v>
      </c>
      <c r="F937" s="56"/>
      <c r="G937" s="69" t="str">
        <f t="shared" si="14"/>
        <v>User Registration</v>
      </c>
      <c r="H937" s="69" t="s">
        <v>1892</v>
      </c>
      <c r="J937" s="69" t="s">
        <v>565</v>
      </c>
      <c r="K937" s="69" t="s">
        <v>1893</v>
      </c>
      <c r="L937" s="253">
        <v>53.4</v>
      </c>
      <c r="M937" s="253">
        <v>57.09739130434783</v>
      </c>
      <c r="N937" s="253">
        <v>53.488965517241382</v>
      </c>
      <c r="O937" s="253">
        <v>55.792631578947372</v>
      </c>
      <c r="P937" s="253">
        <v>51</v>
      </c>
      <c r="Q937" s="253">
        <v>57.059999999999995</v>
      </c>
      <c r="R937" s="253">
        <v>60</v>
      </c>
      <c r="S937" s="253">
        <v>57.999999999999993</v>
      </c>
      <c r="T937" s="253">
        <v>58.999999999999993</v>
      </c>
      <c r="U937" s="253">
        <v>50</v>
      </c>
      <c r="V937" s="253"/>
      <c r="W937" s="253">
        <v>51</v>
      </c>
      <c r="X937" s="253"/>
      <c r="Y937" s="253">
        <v>51</v>
      </c>
      <c r="Z937" s="253">
        <v>63</v>
      </c>
      <c r="AA937" s="253"/>
      <c r="AB937" s="253"/>
      <c r="AC937" s="253"/>
      <c r="AD937" s="253"/>
      <c r="AE937" s="253"/>
    </row>
    <row r="938" spans="1:31">
      <c r="A938" s="33">
        <v>937</v>
      </c>
      <c r="B938" s="69" t="s">
        <v>565</v>
      </c>
      <c r="C938" s="69" t="s">
        <v>740</v>
      </c>
      <c r="D938" s="56">
        <v>42402</v>
      </c>
      <c r="F938" s="56"/>
      <c r="G938" s="69" t="str">
        <f t="shared" si="14"/>
        <v>User Registration</v>
      </c>
      <c r="H938" s="69" t="s">
        <v>1892</v>
      </c>
      <c r="J938" s="69" t="s">
        <v>565</v>
      </c>
      <c r="K938" s="69" t="s">
        <v>1894</v>
      </c>
      <c r="L938" s="253">
        <v>56.000000000000007</v>
      </c>
      <c r="M938" s="253">
        <v>58.246956521739122</v>
      </c>
      <c r="N938" s="253">
        <v>59.750344827586211</v>
      </c>
      <c r="O938" s="253">
        <v>59.101052631578945</v>
      </c>
      <c r="P938" s="253">
        <v>53</v>
      </c>
      <c r="Q938" s="253">
        <v>56.92</v>
      </c>
      <c r="R938" s="253">
        <v>56.999999999999993</v>
      </c>
      <c r="S938" s="253">
        <v>62</v>
      </c>
      <c r="T938" s="253">
        <v>56.000000000000007</v>
      </c>
      <c r="U938" s="253">
        <v>55</v>
      </c>
      <c r="V938" s="253"/>
      <c r="W938" s="253">
        <v>61</v>
      </c>
      <c r="X938" s="253"/>
      <c r="Y938" s="253">
        <v>55</v>
      </c>
      <c r="Z938" s="253">
        <v>68</v>
      </c>
      <c r="AA938" s="253"/>
      <c r="AB938" s="253"/>
      <c r="AC938" s="253"/>
      <c r="AD938" s="253"/>
      <c r="AE938" s="253"/>
    </row>
    <row r="939" spans="1:31">
      <c r="A939" s="33">
        <v>938</v>
      </c>
      <c r="B939" s="69" t="s">
        <v>565</v>
      </c>
      <c r="C939" s="69" t="s">
        <v>740</v>
      </c>
      <c r="D939" s="56">
        <v>42402</v>
      </c>
      <c r="F939" s="56"/>
      <c r="G939" s="69" t="str">
        <f t="shared" si="14"/>
        <v>User Registration</v>
      </c>
      <c r="H939" s="69" t="s">
        <v>1892</v>
      </c>
      <c r="J939" s="69" t="s">
        <v>565</v>
      </c>
      <c r="K939" s="69" t="s">
        <v>565</v>
      </c>
      <c r="L939" s="253">
        <v>61</v>
      </c>
      <c r="M939" s="253">
        <v>55.946086956521732</v>
      </c>
      <c r="N939" s="253">
        <v>60.459310344827585</v>
      </c>
      <c r="O939" s="253">
        <v>58.917894736842101</v>
      </c>
      <c r="P939" s="253">
        <v>60</v>
      </c>
      <c r="Q939" s="253">
        <v>56.44</v>
      </c>
      <c r="R939" s="253">
        <v>54</v>
      </c>
      <c r="S939" s="253">
        <v>60</v>
      </c>
      <c r="T939" s="253">
        <v>52</v>
      </c>
      <c r="U939" s="253">
        <v>53</v>
      </c>
      <c r="V939" s="253"/>
      <c r="W939" s="253">
        <v>63</v>
      </c>
      <c r="X939" s="253"/>
      <c r="Y939" s="253">
        <v>56.999999999999993</v>
      </c>
      <c r="Z939" s="253">
        <v>65</v>
      </c>
      <c r="AA939" s="253"/>
      <c r="AB939" s="253"/>
      <c r="AC939" s="253"/>
      <c r="AD939" s="253"/>
      <c r="AE939" s="253"/>
    </row>
    <row r="940" spans="1:31">
      <c r="A940" s="33">
        <v>939</v>
      </c>
      <c r="B940" s="69" t="s">
        <v>565</v>
      </c>
      <c r="C940" s="69" t="s">
        <v>740</v>
      </c>
      <c r="D940" s="56">
        <v>42402</v>
      </c>
      <c r="F940" s="56"/>
      <c r="G940" s="69" t="str">
        <f t="shared" si="14"/>
        <v>User Registration</v>
      </c>
      <c r="H940" s="69" t="s">
        <v>1892</v>
      </c>
      <c r="J940" s="69" t="s">
        <v>565</v>
      </c>
      <c r="K940" s="69" t="s">
        <v>1895</v>
      </c>
      <c r="L940" s="253">
        <v>55.2</v>
      </c>
      <c r="M940" s="253">
        <v>54.302608695652168</v>
      </c>
      <c r="N940" s="253">
        <v>63.18</v>
      </c>
      <c r="O940" s="253">
        <v>56.933684210526316</v>
      </c>
      <c r="P940" s="253">
        <v>54</v>
      </c>
      <c r="Q940" s="253">
        <v>48.739999999999995</v>
      </c>
      <c r="R940" s="253">
        <v>51</v>
      </c>
      <c r="S940" s="253">
        <v>61</v>
      </c>
      <c r="T940" s="253">
        <v>50</v>
      </c>
      <c r="U940" s="253">
        <v>56.999999999999993</v>
      </c>
      <c r="V940" s="253"/>
      <c r="W940" s="253">
        <v>69</v>
      </c>
      <c r="X940" s="253"/>
      <c r="Y940" s="253">
        <v>56.999999999999993</v>
      </c>
      <c r="Z940" s="253">
        <v>60</v>
      </c>
      <c r="AA940" s="253"/>
      <c r="AB940" s="253"/>
      <c r="AC940" s="253"/>
      <c r="AD940" s="253"/>
      <c r="AE940" s="253"/>
    </row>
    <row r="941" spans="1:31">
      <c r="A941" s="33">
        <v>940</v>
      </c>
      <c r="B941" s="69" t="s">
        <v>565</v>
      </c>
      <c r="C941" s="69" t="s">
        <v>740</v>
      </c>
      <c r="D941" s="56">
        <v>42402</v>
      </c>
      <c r="F941" s="56"/>
      <c r="G941" s="69" t="str">
        <f t="shared" si="14"/>
        <v>User Registration</v>
      </c>
      <c r="H941" s="69" t="s">
        <v>1892</v>
      </c>
      <c r="J941" s="69" t="s">
        <v>565</v>
      </c>
      <c r="K941" s="69" t="s">
        <v>1896</v>
      </c>
      <c r="L941" s="253">
        <v>56.2</v>
      </c>
      <c r="M941" s="253">
        <v>57.547826086956533</v>
      </c>
      <c r="N941" s="253">
        <v>58.937931034482759</v>
      </c>
      <c r="O941" s="253">
        <v>59.231578947368426</v>
      </c>
      <c r="P941" s="253">
        <v>53</v>
      </c>
      <c r="Q941" s="253">
        <v>46.4</v>
      </c>
      <c r="R941" s="253">
        <v>55</v>
      </c>
      <c r="S941" s="253">
        <v>64</v>
      </c>
      <c r="T941" s="253">
        <v>53</v>
      </c>
      <c r="U941" s="253">
        <v>62</v>
      </c>
      <c r="V941" s="253"/>
      <c r="W941" s="253">
        <v>62</v>
      </c>
      <c r="X941" s="253"/>
      <c r="Y941" s="253">
        <v>56.000000000000007</v>
      </c>
      <c r="Z941" s="253">
        <v>69</v>
      </c>
      <c r="AA941" s="253"/>
      <c r="AB941" s="253"/>
      <c r="AC941" s="253"/>
      <c r="AD941" s="253"/>
      <c r="AE941" s="253"/>
    </row>
    <row r="942" spans="1:31">
      <c r="A942" s="33">
        <v>941</v>
      </c>
      <c r="B942" s="69" t="s">
        <v>1883</v>
      </c>
      <c r="C942" s="69" t="s">
        <v>740</v>
      </c>
      <c r="D942" s="56">
        <v>42411</v>
      </c>
      <c r="G942" s="69" t="str">
        <f t="shared" si="14"/>
        <v>User Registration</v>
      </c>
      <c r="H942" s="69" t="s">
        <v>1884</v>
      </c>
      <c r="J942" s="69" t="s">
        <v>1883</v>
      </c>
      <c r="K942" s="69" t="s">
        <v>1885</v>
      </c>
      <c r="L942" s="253">
        <v>63.2</v>
      </c>
      <c r="M942" s="253">
        <v>58.001739130434778</v>
      </c>
      <c r="N942" s="253">
        <v>60.233793103448271</v>
      </c>
      <c r="O942" s="253">
        <v>56.803157894736842</v>
      </c>
      <c r="P942" s="253">
        <v>63</v>
      </c>
      <c r="Q942" s="253">
        <v>64.259999999999977</v>
      </c>
      <c r="R942" s="253">
        <v>58.999999999999993</v>
      </c>
      <c r="S942" s="253">
        <v>56.999999999999993</v>
      </c>
      <c r="T942" s="253">
        <v>56.999999999999993</v>
      </c>
      <c r="U942" s="253">
        <v>51</v>
      </c>
      <c r="V942" s="253"/>
      <c r="W942" s="253">
        <v>60</v>
      </c>
      <c r="X942" s="253"/>
      <c r="Y942" s="253">
        <v>52</v>
      </c>
      <c r="Z942" s="253">
        <v>64</v>
      </c>
      <c r="AA942" s="253"/>
      <c r="AB942" s="253"/>
      <c r="AC942" s="253"/>
      <c r="AD942" s="253"/>
      <c r="AE942" s="253"/>
    </row>
    <row r="943" spans="1:31">
      <c r="A943" s="33">
        <v>942</v>
      </c>
      <c r="B943" s="69" t="s">
        <v>1883</v>
      </c>
      <c r="C943" s="69" t="s">
        <v>740</v>
      </c>
      <c r="D943" s="56">
        <v>42411</v>
      </c>
      <c r="F943" s="56"/>
      <c r="G943" s="69" t="str">
        <f t="shared" si="14"/>
        <v>User Registration</v>
      </c>
      <c r="H943" s="69" t="s">
        <v>1884</v>
      </c>
      <c r="J943" s="69" t="s">
        <v>1883</v>
      </c>
      <c r="K943" s="69" t="s">
        <v>1883</v>
      </c>
      <c r="L943" s="253">
        <v>58.8</v>
      </c>
      <c r="M943" s="253">
        <v>55.485217391304353</v>
      </c>
      <c r="N943" s="253">
        <v>53.831724137931033</v>
      </c>
      <c r="O943" s="253">
        <v>58.002105263157901</v>
      </c>
      <c r="P943" s="253">
        <v>56.999999999999993</v>
      </c>
      <c r="Q943" s="253">
        <v>57.039999999999992</v>
      </c>
      <c r="R943" s="253">
        <v>55</v>
      </c>
      <c r="S943" s="253">
        <v>55</v>
      </c>
      <c r="T943" s="253">
        <v>52</v>
      </c>
      <c r="U943" s="253">
        <v>53</v>
      </c>
      <c r="V943" s="253"/>
      <c r="W943" s="253">
        <v>53</v>
      </c>
      <c r="X943" s="253"/>
      <c r="Y943" s="253">
        <v>55</v>
      </c>
      <c r="Z943" s="253">
        <v>66</v>
      </c>
      <c r="AA943" s="253"/>
      <c r="AB943" s="253"/>
      <c r="AC943" s="253"/>
      <c r="AD943" s="253"/>
      <c r="AE943" s="253"/>
    </row>
    <row r="944" spans="1:31">
      <c r="A944" s="33">
        <v>943</v>
      </c>
      <c r="B944" s="69" t="s">
        <v>1883</v>
      </c>
      <c r="C944" s="69" t="s">
        <v>740</v>
      </c>
      <c r="D944" s="56">
        <v>42411</v>
      </c>
      <c r="F944" s="56"/>
      <c r="G944" s="69" t="str">
        <f t="shared" si="14"/>
        <v>User Registration</v>
      </c>
      <c r="H944" s="69" t="s">
        <v>1884</v>
      </c>
      <c r="J944" s="69" t="s">
        <v>1883</v>
      </c>
      <c r="K944" s="69" t="s">
        <v>1886</v>
      </c>
      <c r="L944" s="253">
        <v>59.399999999999984</v>
      </c>
      <c r="M944" s="253">
        <v>55.553043478260868</v>
      </c>
      <c r="N944" s="253">
        <v>51.415172413793108</v>
      </c>
      <c r="O944" s="253">
        <v>57.667368421052636</v>
      </c>
      <c r="P944" s="253">
        <v>56.999999999999993</v>
      </c>
      <c r="Q944" s="253">
        <v>55.679999999999993</v>
      </c>
      <c r="R944" s="253">
        <v>54</v>
      </c>
      <c r="S944" s="253">
        <v>56.999999999999993</v>
      </c>
      <c r="T944" s="253">
        <v>53</v>
      </c>
      <c r="U944" s="253">
        <v>52</v>
      </c>
      <c r="V944" s="253"/>
      <c r="W944" s="253">
        <v>50</v>
      </c>
      <c r="X944" s="253"/>
      <c r="Y944" s="253">
        <v>53</v>
      </c>
      <c r="Z944" s="253">
        <v>69</v>
      </c>
      <c r="AA944" s="253"/>
      <c r="AB944" s="253"/>
      <c r="AC944" s="253"/>
      <c r="AD944" s="253"/>
      <c r="AE944" s="253"/>
    </row>
    <row r="945" spans="1:31">
      <c r="A945" s="33">
        <v>944</v>
      </c>
      <c r="B945" s="69" t="s">
        <v>1883</v>
      </c>
      <c r="C945" s="69" t="s">
        <v>740</v>
      </c>
      <c r="D945" s="56">
        <v>42411</v>
      </c>
      <c r="F945" s="56"/>
      <c r="G945" s="69" t="str">
        <f t="shared" si="14"/>
        <v>User Registration</v>
      </c>
      <c r="H945" s="69" t="s">
        <v>1884</v>
      </c>
      <c r="J945" s="69" t="s">
        <v>1883</v>
      </c>
      <c r="K945" s="69" t="s">
        <v>1887</v>
      </c>
      <c r="L945" s="253">
        <v>61.199999999999996</v>
      </c>
      <c r="M945" s="253">
        <v>50.017391304347825</v>
      </c>
      <c r="N945" s="253">
        <v>44.234482758620693</v>
      </c>
      <c r="O945" s="253">
        <v>53.557894736842101</v>
      </c>
      <c r="P945" s="253">
        <v>61</v>
      </c>
      <c r="Q945" s="253">
        <v>53.6</v>
      </c>
      <c r="R945" s="253">
        <v>46.999999999999993</v>
      </c>
      <c r="S945" s="253">
        <v>50</v>
      </c>
      <c r="T945" s="253">
        <v>49</v>
      </c>
      <c r="U945" s="253">
        <v>46</v>
      </c>
      <c r="V945" s="253"/>
      <c r="W945" s="253">
        <v>42</v>
      </c>
      <c r="X945" s="253"/>
      <c r="Y945" s="253">
        <v>51</v>
      </c>
      <c r="Z945" s="253">
        <v>62</v>
      </c>
      <c r="AA945" s="253"/>
      <c r="AB945" s="253"/>
      <c r="AC945" s="253"/>
      <c r="AD945" s="253"/>
      <c r="AE945" s="253"/>
    </row>
    <row r="946" spans="1:31">
      <c r="A946" s="33">
        <v>945</v>
      </c>
      <c r="B946" s="69" t="s">
        <v>1883</v>
      </c>
      <c r="C946" s="69" t="s">
        <v>740</v>
      </c>
      <c r="D946" s="56">
        <v>42411</v>
      </c>
      <c r="F946" s="56"/>
      <c r="G946" s="69" t="str">
        <f t="shared" si="14"/>
        <v>User Registration</v>
      </c>
      <c r="H946" s="69" t="s">
        <v>1884</v>
      </c>
      <c r="J946" s="69" t="s">
        <v>1883</v>
      </c>
      <c r="K946" s="69" t="s">
        <v>1888</v>
      </c>
      <c r="L946" s="253">
        <v>66.400000000000006</v>
      </c>
      <c r="M946" s="253">
        <v>59.558260869565217</v>
      </c>
      <c r="N946" s="253">
        <v>53.254482758620682</v>
      </c>
      <c r="O946" s="253">
        <v>60.129473684210524</v>
      </c>
      <c r="P946" s="253">
        <v>66</v>
      </c>
      <c r="Q946" s="253">
        <v>53.459999999999994</v>
      </c>
      <c r="R946" s="253">
        <v>64</v>
      </c>
      <c r="S946" s="253">
        <v>51</v>
      </c>
      <c r="T946" s="253">
        <v>62</v>
      </c>
      <c r="U946" s="253">
        <v>62</v>
      </c>
      <c r="V946" s="253"/>
      <c r="W946" s="253">
        <v>50</v>
      </c>
      <c r="X946" s="253"/>
      <c r="Y946" s="253">
        <v>56.999999999999993</v>
      </c>
      <c r="Z946" s="253">
        <v>68</v>
      </c>
      <c r="AA946" s="253"/>
      <c r="AB946" s="253"/>
      <c r="AC946" s="253"/>
      <c r="AD946" s="253"/>
      <c r="AE946" s="253"/>
    </row>
    <row r="947" spans="1:31">
      <c r="A947" s="33">
        <v>946</v>
      </c>
      <c r="B947" s="69" t="s">
        <v>1883</v>
      </c>
      <c r="C947" s="69" t="s">
        <v>740</v>
      </c>
      <c r="D947" s="56">
        <v>42411</v>
      </c>
      <c r="F947" s="56"/>
      <c r="G947" s="69" t="str">
        <f t="shared" si="14"/>
        <v>User Registration</v>
      </c>
      <c r="H947" s="69" t="s">
        <v>1884</v>
      </c>
      <c r="J947" s="69" t="s">
        <v>1883</v>
      </c>
      <c r="K947" s="69" t="s">
        <v>1889</v>
      </c>
      <c r="L947" s="253">
        <v>58.4</v>
      </c>
      <c r="M947" s="253">
        <v>55.789565217391299</v>
      </c>
      <c r="N947" s="253">
        <v>49.383448275862065</v>
      </c>
      <c r="O947" s="253">
        <v>61.791578947368421</v>
      </c>
      <c r="P947" s="253">
        <v>56.999999999999993</v>
      </c>
      <c r="Q947" s="253">
        <v>50.039999999999992</v>
      </c>
      <c r="R947" s="253">
        <v>56.999999999999993</v>
      </c>
      <c r="S947" s="253">
        <v>60</v>
      </c>
      <c r="T947" s="253">
        <v>55</v>
      </c>
      <c r="U947" s="253">
        <v>53</v>
      </c>
      <c r="V947" s="253"/>
      <c r="W947" s="253">
        <v>46.999999999999993</v>
      </c>
      <c r="X947" s="253"/>
      <c r="Y947" s="253">
        <v>63</v>
      </c>
      <c r="Z947" s="253">
        <v>64</v>
      </c>
      <c r="AA947" s="253"/>
      <c r="AB947" s="253"/>
      <c r="AC947" s="253"/>
      <c r="AD947" s="253"/>
      <c r="AE947" s="253"/>
    </row>
    <row r="948" spans="1:31">
      <c r="A948" s="33">
        <v>947</v>
      </c>
      <c r="B948" s="69" t="s">
        <v>1883</v>
      </c>
      <c r="C948" s="69" t="s">
        <v>740</v>
      </c>
      <c r="D948" s="56">
        <v>42411</v>
      </c>
      <c r="F948" s="56"/>
      <c r="G948" s="69" t="str">
        <f t="shared" si="14"/>
        <v>User Registration</v>
      </c>
      <c r="H948" s="69" t="s">
        <v>1884</v>
      </c>
      <c r="J948" s="69" t="s">
        <v>1883</v>
      </c>
      <c r="K948" s="69" t="s">
        <v>1890</v>
      </c>
      <c r="L948" s="253">
        <v>54.2</v>
      </c>
      <c r="M948" s="253">
        <v>52.264347826086954</v>
      </c>
      <c r="N948" s="253">
        <v>51.105517241379317</v>
      </c>
      <c r="O948" s="253">
        <v>56.05368421052632</v>
      </c>
      <c r="P948" s="253">
        <v>53</v>
      </c>
      <c r="Q948" s="253">
        <v>50.019999999999996</v>
      </c>
      <c r="R948" s="253">
        <v>52</v>
      </c>
      <c r="S948" s="253">
        <v>56.000000000000007</v>
      </c>
      <c r="T948" s="253">
        <v>50</v>
      </c>
      <c r="U948" s="253">
        <v>50</v>
      </c>
      <c r="V948" s="253"/>
      <c r="W948" s="253">
        <v>51</v>
      </c>
      <c r="X948" s="253"/>
      <c r="Y948" s="253">
        <v>56.000000000000007</v>
      </c>
      <c r="Z948" s="253">
        <v>58.999999999999993</v>
      </c>
      <c r="AA948" s="253"/>
      <c r="AB948" s="253"/>
      <c r="AC948" s="253"/>
      <c r="AD948" s="253"/>
      <c r="AE948" s="253"/>
    </row>
    <row r="949" spans="1:31">
      <c r="A949" s="33">
        <v>948</v>
      </c>
      <c r="B949" s="69" t="s">
        <v>1883</v>
      </c>
      <c r="C949" s="69" t="s">
        <v>740</v>
      </c>
      <c r="D949" s="56">
        <v>42411</v>
      </c>
      <c r="F949" s="56"/>
      <c r="G949" s="69" t="str">
        <f t="shared" si="14"/>
        <v>User Registration</v>
      </c>
      <c r="H949" s="69" t="s">
        <v>1884</v>
      </c>
      <c r="J949" s="69" t="s">
        <v>1883</v>
      </c>
      <c r="K949" s="69" t="s">
        <v>1891</v>
      </c>
      <c r="L949" s="253">
        <v>56.199999999999996</v>
      </c>
      <c r="M949" s="253">
        <v>49.370434782608697</v>
      </c>
      <c r="N949" s="253">
        <v>51.384137931034488</v>
      </c>
      <c r="O949" s="253">
        <v>53.230526315789469</v>
      </c>
      <c r="P949" s="253">
        <v>56.999999999999993</v>
      </c>
      <c r="Q949" s="253">
        <v>43.379999999999995</v>
      </c>
      <c r="R949" s="253">
        <v>50</v>
      </c>
      <c r="S949" s="253">
        <v>53</v>
      </c>
      <c r="T949" s="253">
        <v>53</v>
      </c>
      <c r="U949" s="253">
        <v>46.999999999999993</v>
      </c>
      <c r="V949" s="253"/>
      <c r="W949" s="253">
        <v>53</v>
      </c>
      <c r="X949" s="253"/>
      <c r="Y949" s="253">
        <v>55</v>
      </c>
      <c r="Z949" s="253">
        <v>53</v>
      </c>
      <c r="AA949" s="253"/>
      <c r="AB949" s="253"/>
      <c r="AC949" s="253"/>
      <c r="AD949" s="253"/>
      <c r="AE949" s="253"/>
    </row>
    <row r="950" spans="1:31">
      <c r="A950" s="33">
        <v>949</v>
      </c>
      <c r="B950" s="69" t="s">
        <v>1869</v>
      </c>
      <c r="C950" s="69" t="s">
        <v>740</v>
      </c>
      <c r="D950" s="56">
        <v>42412</v>
      </c>
      <c r="G950" s="69" t="str">
        <f t="shared" si="14"/>
        <v>User Registration</v>
      </c>
      <c r="H950" s="69" t="s">
        <v>869</v>
      </c>
      <c r="J950" s="69" t="s">
        <v>1869</v>
      </c>
      <c r="K950" s="69" t="s">
        <v>1870</v>
      </c>
      <c r="L950" s="253">
        <v>56.6</v>
      </c>
      <c r="M950" s="253">
        <v>61.650434782608684</v>
      </c>
      <c r="N950" s="253">
        <v>68.904137931034484</v>
      </c>
      <c r="O950" s="253">
        <v>61.144210526315788</v>
      </c>
      <c r="P950" s="253">
        <v>55</v>
      </c>
      <c r="Q950" s="253">
        <v>66.739999999999995</v>
      </c>
      <c r="R950" s="253">
        <v>63</v>
      </c>
      <c r="S950" s="253">
        <v>54</v>
      </c>
      <c r="T950" s="253">
        <v>57.999999999999993</v>
      </c>
      <c r="U950" s="253">
        <v>64</v>
      </c>
      <c r="V950" s="253"/>
      <c r="W950" s="253">
        <v>71</v>
      </c>
      <c r="X950" s="253"/>
      <c r="Y950" s="253">
        <v>60</v>
      </c>
      <c r="Z950" s="253">
        <v>63</v>
      </c>
      <c r="AA950" s="253"/>
      <c r="AB950" s="253"/>
      <c r="AC950" s="253"/>
      <c r="AD950" s="253"/>
      <c r="AE950" s="253"/>
    </row>
    <row r="951" spans="1:31">
      <c r="A951" s="33">
        <v>950</v>
      </c>
      <c r="B951" s="69" t="s">
        <v>1869</v>
      </c>
      <c r="C951" s="69" t="s">
        <v>740</v>
      </c>
      <c r="D951" s="56">
        <v>42412</v>
      </c>
      <c r="G951" s="69" t="str">
        <f t="shared" si="14"/>
        <v>User Registration</v>
      </c>
      <c r="H951" s="69" t="s">
        <v>869</v>
      </c>
      <c r="J951" s="69" t="s">
        <v>1869</v>
      </c>
      <c r="K951" s="69" t="s">
        <v>1852</v>
      </c>
      <c r="L951" s="253">
        <v>60</v>
      </c>
      <c r="M951" s="253">
        <v>50.737142857142857</v>
      </c>
      <c r="N951" s="253">
        <v>46.84</v>
      </c>
      <c r="O951" s="253">
        <v>50.008571428571422</v>
      </c>
      <c r="P951" s="253">
        <v>60</v>
      </c>
      <c r="Q951" s="253">
        <v>66.11999999999999</v>
      </c>
      <c r="R951" s="253">
        <v>50</v>
      </c>
      <c r="S951" s="253">
        <v>44</v>
      </c>
      <c r="T951" s="253">
        <v>50</v>
      </c>
      <c r="U951" s="253">
        <v>45</v>
      </c>
      <c r="V951" s="253"/>
      <c r="W951" s="253">
        <v>43</v>
      </c>
      <c r="X951" s="253"/>
      <c r="Y951" s="253">
        <v>49</v>
      </c>
      <c r="Z951" s="253">
        <v>0</v>
      </c>
      <c r="AA951" s="253"/>
      <c r="AB951" s="253"/>
      <c r="AC951" s="253"/>
      <c r="AD951" s="253"/>
      <c r="AE951" s="253"/>
    </row>
    <row r="952" spans="1:31">
      <c r="A952" s="33">
        <v>951</v>
      </c>
      <c r="B952" s="69" t="s">
        <v>1869</v>
      </c>
      <c r="C952" s="69" t="s">
        <v>740</v>
      </c>
      <c r="D952" s="56">
        <v>42412</v>
      </c>
      <c r="G952" s="69" t="str">
        <f t="shared" si="14"/>
        <v>User Registration</v>
      </c>
      <c r="H952" s="69" t="s">
        <v>869</v>
      </c>
      <c r="J952" s="69" t="s">
        <v>1869</v>
      </c>
      <c r="K952" s="69" t="s">
        <v>1869</v>
      </c>
      <c r="L952" s="253">
        <v>60.599999999999994</v>
      </c>
      <c r="M952" s="253">
        <v>56.664347826086946</v>
      </c>
      <c r="N952" s="253">
        <v>66.239999999999995</v>
      </c>
      <c r="O952" s="253">
        <v>55.806315789473679</v>
      </c>
      <c r="P952" s="253">
        <v>61</v>
      </c>
      <c r="Q952" s="253">
        <v>62.319999999999993</v>
      </c>
      <c r="R952" s="253">
        <v>58.999999999999993</v>
      </c>
      <c r="S952" s="253">
        <v>55</v>
      </c>
      <c r="T952" s="253">
        <v>56.999999999999993</v>
      </c>
      <c r="U952" s="253">
        <v>50</v>
      </c>
      <c r="V952" s="253"/>
      <c r="W952" s="253">
        <v>69</v>
      </c>
      <c r="X952" s="253"/>
      <c r="Y952" s="253">
        <v>53</v>
      </c>
      <c r="Z952" s="253">
        <v>58.999999999999993</v>
      </c>
      <c r="AA952" s="253"/>
      <c r="AB952" s="253"/>
      <c r="AC952" s="253"/>
      <c r="AD952" s="253"/>
      <c r="AE952" s="253"/>
    </row>
    <row r="953" spans="1:31">
      <c r="A953" s="33">
        <v>952</v>
      </c>
      <c r="B953" s="69" t="s">
        <v>1869</v>
      </c>
      <c r="C953" s="69" t="s">
        <v>740</v>
      </c>
      <c r="D953" s="56">
        <v>42412</v>
      </c>
      <c r="G953" s="69" t="str">
        <f t="shared" si="14"/>
        <v>User Registration</v>
      </c>
      <c r="H953" s="69" t="s">
        <v>869</v>
      </c>
      <c r="J953" s="69" t="s">
        <v>1869</v>
      </c>
      <c r="K953" s="69" t="s">
        <v>1854</v>
      </c>
      <c r="L953" s="253">
        <v>63</v>
      </c>
      <c r="M953" s="253">
        <v>51.74086956521738</v>
      </c>
      <c r="N953" s="253">
        <v>64.716551724137929</v>
      </c>
      <c r="O953" s="253">
        <v>60.961052631578951</v>
      </c>
      <c r="P953" s="253">
        <v>65</v>
      </c>
      <c r="Q953" s="253">
        <v>62.259999999999991</v>
      </c>
      <c r="R953" s="253">
        <v>55</v>
      </c>
      <c r="S953" s="253">
        <v>41</v>
      </c>
      <c r="T953" s="253">
        <v>58.999999999999993</v>
      </c>
      <c r="U953" s="253">
        <v>43</v>
      </c>
      <c r="V953" s="253"/>
      <c r="W953" s="253">
        <v>68</v>
      </c>
      <c r="X953" s="253"/>
      <c r="Y953" s="253">
        <v>67</v>
      </c>
      <c r="Z953" s="253">
        <v>55</v>
      </c>
      <c r="AA953" s="253"/>
      <c r="AB953" s="253"/>
      <c r="AC953" s="253"/>
      <c r="AD953" s="253"/>
      <c r="AE953" s="253"/>
    </row>
    <row r="954" spans="1:31">
      <c r="A954" s="33">
        <v>953</v>
      </c>
      <c r="B954" s="69" t="s">
        <v>1869</v>
      </c>
      <c r="C954" s="69" t="s">
        <v>740</v>
      </c>
      <c r="D954" s="56">
        <v>42412</v>
      </c>
      <c r="G954" s="69" t="str">
        <f t="shared" si="14"/>
        <v>User Registration</v>
      </c>
      <c r="H954" s="69" t="s">
        <v>869</v>
      </c>
      <c r="J954" s="69" t="s">
        <v>1869</v>
      </c>
      <c r="K954" s="69" t="s">
        <v>1871</v>
      </c>
      <c r="L954" s="253">
        <v>59.20000000000001</v>
      </c>
      <c r="M954" s="253">
        <v>59.900869565217384</v>
      </c>
      <c r="N954" s="253">
        <v>49.570344827586204</v>
      </c>
      <c r="O954" s="253">
        <v>55.588421052631574</v>
      </c>
      <c r="P954" s="253">
        <v>57.999999999999993</v>
      </c>
      <c r="Q954" s="253">
        <v>59.179999999999986</v>
      </c>
      <c r="R954" s="253">
        <v>60</v>
      </c>
      <c r="S954" s="253">
        <v>67</v>
      </c>
      <c r="T954" s="253">
        <v>60</v>
      </c>
      <c r="U954" s="253">
        <v>53</v>
      </c>
      <c r="V954" s="253"/>
      <c r="W954" s="253">
        <v>45</v>
      </c>
      <c r="X954" s="253"/>
      <c r="Y954" s="253">
        <v>49</v>
      </c>
      <c r="Z954" s="253">
        <v>64</v>
      </c>
      <c r="AA954" s="253"/>
      <c r="AB954" s="253"/>
      <c r="AC954" s="253"/>
      <c r="AD954" s="253"/>
      <c r="AE954" s="253"/>
    </row>
    <row r="955" spans="1:31">
      <c r="A955" s="33">
        <v>954</v>
      </c>
      <c r="B955" s="69" t="s">
        <v>1872</v>
      </c>
      <c r="C955" s="69" t="s">
        <v>1232</v>
      </c>
      <c r="D955" s="56">
        <v>42412</v>
      </c>
      <c r="F955" s="56"/>
      <c r="G955" s="69" t="str">
        <f t="shared" si="14"/>
        <v>E-Commerce</v>
      </c>
      <c r="H955" s="69" t="s">
        <v>1873</v>
      </c>
      <c r="J955" s="69" t="s">
        <v>1872</v>
      </c>
      <c r="K955" s="69" t="s">
        <v>1872</v>
      </c>
      <c r="L955" s="253">
        <v>56.373626375999997</v>
      </c>
      <c r="M955" s="253">
        <v>56.763233701369039</v>
      </c>
      <c r="N955" s="253">
        <v>59.626235587069395</v>
      </c>
      <c r="O955" s="253">
        <v>60.870864801052626</v>
      </c>
      <c r="P955" s="253">
        <v>55.967032969999998</v>
      </c>
      <c r="Q955" s="253">
        <v>56.66</v>
      </c>
      <c r="R955" s="253">
        <v>49.943215610000003</v>
      </c>
      <c r="S955" s="253">
        <v>60</v>
      </c>
      <c r="T955" s="253">
        <v>61.699999999999996</v>
      </c>
      <c r="U955" s="253">
        <v>60</v>
      </c>
      <c r="V955" s="253">
        <v>54.382893117666661</v>
      </c>
      <c r="W955" s="253"/>
      <c r="X955" s="253">
        <v>63.374999999999993</v>
      </c>
      <c r="Y955" s="253">
        <v>65</v>
      </c>
      <c r="Z955" s="253">
        <v>57.999999999999993</v>
      </c>
      <c r="AA955" s="253"/>
      <c r="AB955" s="253"/>
      <c r="AC955" s="253"/>
      <c r="AD955" s="253"/>
      <c r="AE955" s="253"/>
    </row>
    <row r="956" spans="1:31">
      <c r="A956" s="33">
        <v>955</v>
      </c>
      <c r="B956" s="69" t="s">
        <v>1872</v>
      </c>
      <c r="C956" s="69" t="s">
        <v>1232</v>
      </c>
      <c r="D956" s="56">
        <v>42412</v>
      </c>
      <c r="F956" s="56"/>
      <c r="G956" s="69" t="str">
        <f t="shared" si="14"/>
        <v>E-Commerce</v>
      </c>
      <c r="H956" s="69" t="s">
        <v>1873</v>
      </c>
      <c r="J956" s="69" t="s">
        <v>1872</v>
      </c>
      <c r="K956" s="69" t="s">
        <v>1787</v>
      </c>
      <c r="L956" s="253">
        <v>50.952600729999993</v>
      </c>
      <c r="M956" s="253">
        <v>55.419196813988094</v>
      </c>
      <c r="N956" s="253">
        <v>61.815591162094485</v>
      </c>
      <c r="O956" s="253">
        <v>53.638483793157889</v>
      </c>
      <c r="P956" s="253">
        <v>49.882417579999995</v>
      </c>
      <c r="Q956" s="253">
        <v>62.839999999999996</v>
      </c>
      <c r="R956" s="253">
        <v>48.653691279999997</v>
      </c>
      <c r="S956" s="253">
        <v>52.817142859999997</v>
      </c>
      <c r="T956" s="253">
        <v>60.050000000000004</v>
      </c>
      <c r="U956" s="253">
        <v>54.91111111</v>
      </c>
      <c r="V956" s="253">
        <v>56.133652148333333</v>
      </c>
      <c r="W956" s="253"/>
      <c r="X956" s="253">
        <v>65.875</v>
      </c>
      <c r="Y956" s="253">
        <v>53</v>
      </c>
      <c r="Z956" s="253">
        <v>55.233333330000001</v>
      </c>
      <c r="AA956" s="253"/>
      <c r="AB956" s="253"/>
      <c r="AC956" s="253"/>
      <c r="AD956" s="253"/>
      <c r="AE956" s="253"/>
    </row>
    <row r="957" spans="1:31">
      <c r="A957" s="33">
        <v>956</v>
      </c>
      <c r="B957" s="69" t="s">
        <v>1872</v>
      </c>
      <c r="C957" s="69" t="s">
        <v>1232</v>
      </c>
      <c r="D957" s="56">
        <v>42412</v>
      </c>
      <c r="F957" s="56"/>
      <c r="G957" s="69" t="str">
        <f t="shared" si="14"/>
        <v>E-Commerce</v>
      </c>
      <c r="H957" s="69" t="s">
        <v>1873</v>
      </c>
      <c r="J957" s="69" t="s">
        <v>1872</v>
      </c>
      <c r="K957" s="69" t="s">
        <v>831</v>
      </c>
      <c r="L957" s="253">
        <v>63.293333334000003</v>
      </c>
      <c r="M957" s="253">
        <v>63.528529579166658</v>
      </c>
      <c r="N957" s="253">
        <v>64.925109511765314</v>
      </c>
      <c r="O957" s="253">
        <v>60.950049698421047</v>
      </c>
      <c r="P957" s="253">
        <v>61</v>
      </c>
      <c r="Q957" s="253">
        <v>58.519999999999996</v>
      </c>
      <c r="R957" s="253">
        <v>55.098805460000001</v>
      </c>
      <c r="S957" s="253">
        <v>67</v>
      </c>
      <c r="T957" s="253">
        <v>65.3</v>
      </c>
      <c r="U957" s="253">
        <v>65</v>
      </c>
      <c r="V957" s="253">
        <v>67.078293515333328</v>
      </c>
      <c r="W957" s="253"/>
      <c r="X957" s="253">
        <v>63.625</v>
      </c>
      <c r="Y957" s="253">
        <v>56.000000000000007</v>
      </c>
      <c r="Z957" s="253">
        <v>72.466666669999995</v>
      </c>
      <c r="AA957" s="253"/>
      <c r="AB957" s="253"/>
      <c r="AC957" s="253"/>
      <c r="AD957" s="253"/>
      <c r="AE957" s="253"/>
    </row>
    <row r="958" spans="1:31">
      <c r="A958" s="33">
        <v>957</v>
      </c>
      <c r="B958" s="69" t="s">
        <v>1872</v>
      </c>
      <c r="C958" s="69" t="s">
        <v>1232</v>
      </c>
      <c r="D958" s="56">
        <v>42412</v>
      </c>
      <c r="F958" s="56"/>
      <c r="G958" s="69" t="str">
        <f t="shared" si="14"/>
        <v>E-Commerce</v>
      </c>
      <c r="H958" s="69" t="s">
        <v>1873</v>
      </c>
      <c r="J958" s="69" t="s">
        <v>1872</v>
      </c>
      <c r="K958" s="69" t="s">
        <v>1874</v>
      </c>
      <c r="L958" s="253">
        <v>56.253123585999994</v>
      </c>
      <c r="M958" s="253">
        <v>54.65816375517857</v>
      </c>
      <c r="N958" s="253">
        <v>56.830906700697888</v>
      </c>
      <c r="O958" s="253">
        <v>54.081258146315783</v>
      </c>
      <c r="P958" s="253">
        <v>57.362637360000001</v>
      </c>
      <c r="Q958" s="253">
        <v>60.259999999999991</v>
      </c>
      <c r="R958" s="253">
        <v>55.795715680000001</v>
      </c>
      <c r="S958" s="253">
        <v>45.804630969999998</v>
      </c>
      <c r="T958" s="253">
        <v>56.400000000000006</v>
      </c>
      <c r="U958" s="253">
        <v>56.377777780000002</v>
      </c>
      <c r="V958" s="253">
        <v>54.49449139699999</v>
      </c>
      <c r="W958" s="253"/>
      <c r="X958" s="253">
        <v>47.875</v>
      </c>
      <c r="Y958" s="253">
        <v>55.08124999999999</v>
      </c>
      <c r="Z958" s="253">
        <v>51.815068490000002</v>
      </c>
      <c r="AA958" s="253"/>
      <c r="AB958" s="253"/>
      <c r="AC958" s="253"/>
      <c r="AD958" s="253"/>
      <c r="AE958" s="253"/>
    </row>
    <row r="959" spans="1:31">
      <c r="A959" s="33">
        <v>958</v>
      </c>
      <c r="B959" s="69" t="s">
        <v>1872</v>
      </c>
      <c r="C959" s="69" t="s">
        <v>1232</v>
      </c>
      <c r="D959" s="56">
        <v>42412</v>
      </c>
      <c r="F959" s="56"/>
      <c r="G959" s="69" t="str">
        <f t="shared" si="14"/>
        <v>E-Commerce</v>
      </c>
      <c r="H959" s="69" t="s">
        <v>1873</v>
      </c>
      <c r="J959" s="69" t="s">
        <v>1872</v>
      </c>
      <c r="K959" s="69" t="s">
        <v>1875</v>
      </c>
      <c r="L959" s="253">
        <v>53.25421245399999</v>
      </c>
      <c r="M959" s="253">
        <v>55.319016014761914</v>
      </c>
      <c r="N959" s="253">
        <v>61.565006755475146</v>
      </c>
      <c r="O959" s="253">
        <v>54.578557643684213</v>
      </c>
      <c r="P959" s="253">
        <v>50.601098899999997</v>
      </c>
      <c r="Q959" s="253">
        <v>59.419999999999995</v>
      </c>
      <c r="R959" s="253">
        <v>54.395590989999995</v>
      </c>
      <c r="S959" s="253">
        <v>45.7</v>
      </c>
      <c r="T959" s="253">
        <v>60.000000000000007</v>
      </c>
      <c r="U959" s="253">
        <v>52.622222220000005</v>
      </c>
      <c r="V959" s="253">
        <v>57.126009804666666</v>
      </c>
      <c r="W959" s="253"/>
      <c r="X959" s="253">
        <v>61.875</v>
      </c>
      <c r="Y959" s="253">
        <v>50.374807990000001</v>
      </c>
      <c r="Z959" s="253">
        <v>63.866666670000001</v>
      </c>
      <c r="AA959" s="253"/>
      <c r="AB959" s="253"/>
      <c r="AC959" s="253"/>
      <c r="AD959" s="253"/>
      <c r="AE959" s="253"/>
    </row>
    <row r="960" spans="1:31">
      <c r="A960" s="33">
        <v>959</v>
      </c>
      <c r="B960" s="69" t="s">
        <v>1872</v>
      </c>
      <c r="C960" s="69" t="s">
        <v>1232</v>
      </c>
      <c r="D960" s="56">
        <v>42412</v>
      </c>
      <c r="F960" s="56"/>
      <c r="G960" s="69" t="str">
        <f t="shared" si="14"/>
        <v>E-Commerce</v>
      </c>
      <c r="H960" s="69" t="s">
        <v>1873</v>
      </c>
      <c r="J960" s="69" t="s">
        <v>1872</v>
      </c>
      <c r="K960" s="69" t="s">
        <v>648</v>
      </c>
      <c r="L960" s="253">
        <v>60.669955160000001</v>
      </c>
      <c r="M960" s="253">
        <v>61.199528696309521</v>
      </c>
      <c r="N960" s="253">
        <v>60.676439772178149</v>
      </c>
      <c r="O960" s="253">
        <v>64.620861019473679</v>
      </c>
      <c r="P960" s="253">
        <v>62.337443950000001</v>
      </c>
      <c r="Q960" s="253">
        <v>67.86</v>
      </c>
      <c r="R960" s="253">
        <v>56.796487800000008</v>
      </c>
      <c r="S960" s="253">
        <v>62.595303869999995</v>
      </c>
      <c r="T960" s="253">
        <v>63</v>
      </c>
      <c r="U960" s="253">
        <v>59.155080210000001</v>
      </c>
      <c r="V960" s="253">
        <v>63.00154959333333</v>
      </c>
      <c r="W960" s="253"/>
      <c r="X960" s="253">
        <v>64.625</v>
      </c>
      <c r="Y960" s="253">
        <v>71.374807989999994</v>
      </c>
      <c r="Z960" s="253">
        <v>54</v>
      </c>
      <c r="AA960" s="253"/>
      <c r="AB960" s="253"/>
      <c r="AC960" s="253"/>
      <c r="AD960" s="253"/>
      <c r="AE960" s="253"/>
    </row>
    <row r="961" spans="1:31">
      <c r="A961" s="33">
        <v>960</v>
      </c>
      <c r="B961" s="69" t="s">
        <v>1872</v>
      </c>
      <c r="C961" s="69" t="s">
        <v>1232</v>
      </c>
      <c r="D961" s="56">
        <v>42412</v>
      </c>
      <c r="F961" s="56"/>
      <c r="G961" s="69" t="str">
        <f t="shared" si="14"/>
        <v>ERROR</v>
      </c>
      <c r="H961" s="69" t="s">
        <v>1873</v>
      </c>
      <c r="J961" s="69" t="s">
        <v>1872</v>
      </c>
      <c r="K961" s="69" t="s">
        <v>1876</v>
      </c>
      <c r="L961" s="253">
        <v>55.237671231999997</v>
      </c>
      <c r="M961" s="253">
        <v>43.703830586071426</v>
      </c>
      <c r="N961" s="253">
        <v>31</v>
      </c>
      <c r="O961" s="253">
        <v>54.036566136842097</v>
      </c>
      <c r="P961" s="253">
        <v>54.312499999999993</v>
      </c>
      <c r="Q961" s="253">
        <v>50.6</v>
      </c>
      <c r="R961" s="253">
        <v>52.53076141999999</v>
      </c>
      <c r="S961" s="253">
        <v>49.258119659999998</v>
      </c>
      <c r="T961" s="253">
        <v>55.65</v>
      </c>
      <c r="U961" s="253">
        <v>55.35885167</v>
      </c>
      <c r="V961" s="253"/>
      <c r="W961" s="253"/>
      <c r="X961" s="253">
        <v>63.875</v>
      </c>
      <c r="Y961" s="253">
        <v>52.708333330000002</v>
      </c>
      <c r="Z961" s="253">
        <v>58.938356159999991</v>
      </c>
      <c r="AA961" s="253"/>
      <c r="AB961" s="253"/>
      <c r="AC961" s="253"/>
      <c r="AD961" s="253"/>
      <c r="AE961" s="253"/>
    </row>
    <row r="962" spans="1:31">
      <c r="A962" s="33">
        <v>961</v>
      </c>
      <c r="B962" s="69" t="s">
        <v>1872</v>
      </c>
      <c r="C962" s="69" t="s">
        <v>1232</v>
      </c>
      <c r="D962" s="56">
        <v>42412</v>
      </c>
      <c r="F962" s="56"/>
      <c r="G962" s="69" t="str">
        <f t="shared" ref="G962:G1025" si="15">IF(V962&gt;0,IF(W962&gt;0,"Both","E-Commerce"),IF(W962=0, "ERROR","User Registration"))</f>
        <v>E-Commerce</v>
      </c>
      <c r="H962" s="69" t="s">
        <v>1873</v>
      </c>
      <c r="J962" s="69" t="s">
        <v>1872</v>
      </c>
      <c r="K962" s="69" t="s">
        <v>1877</v>
      </c>
      <c r="L962" s="253">
        <v>54.326691143999994</v>
      </c>
      <c r="M962" s="253">
        <v>57.187958154047621</v>
      </c>
      <c r="N962" s="253">
        <v>69.597954476290496</v>
      </c>
      <c r="O962" s="253">
        <v>58.104025362631582</v>
      </c>
      <c r="P962" s="253">
        <v>54.742268039999999</v>
      </c>
      <c r="Q962" s="253">
        <v>59.719999999999992</v>
      </c>
      <c r="R962" s="253">
        <v>53.26723672</v>
      </c>
      <c r="S962" s="253">
        <v>53.739568349999999</v>
      </c>
      <c r="T962" s="253">
        <v>69.75</v>
      </c>
      <c r="U962" s="253">
        <v>52.11111111000001</v>
      </c>
      <c r="V962" s="253">
        <v>61.190809728666657</v>
      </c>
      <c r="W962" s="253"/>
      <c r="X962" s="253">
        <v>69.124999999999986</v>
      </c>
      <c r="Y962" s="253">
        <v>62.066052230000004</v>
      </c>
      <c r="Z962" s="253">
        <v>52.664383560000005</v>
      </c>
      <c r="AA962" s="253"/>
      <c r="AB962" s="253"/>
      <c r="AC962" s="253"/>
      <c r="AD962" s="253"/>
      <c r="AE962" s="253"/>
    </row>
    <row r="963" spans="1:31">
      <c r="A963" s="33">
        <v>962</v>
      </c>
      <c r="B963" s="69" t="s">
        <v>1872</v>
      </c>
      <c r="C963" s="69" t="s">
        <v>1232</v>
      </c>
      <c r="D963" s="56">
        <v>42412</v>
      </c>
      <c r="F963" s="56"/>
      <c r="G963" s="69" t="str">
        <f t="shared" si="15"/>
        <v>E-Commerce</v>
      </c>
      <c r="H963" s="69" t="s">
        <v>1873</v>
      </c>
      <c r="J963" s="69" t="s">
        <v>1872</v>
      </c>
      <c r="K963" s="69" t="s">
        <v>1878</v>
      </c>
      <c r="L963" s="253">
        <v>58.461929225999995</v>
      </c>
      <c r="M963" s="253">
        <v>59.209462703</v>
      </c>
      <c r="N963" s="253">
        <v>59.753108673087908</v>
      </c>
      <c r="O963" s="253">
        <v>64.071684397157895</v>
      </c>
      <c r="P963" s="253">
        <v>57.526041669999991</v>
      </c>
      <c r="Q963" s="253">
        <v>62.783157895999999</v>
      </c>
      <c r="R963" s="253">
        <v>61.754129499999998</v>
      </c>
      <c r="S963" s="253">
        <v>57.999999999999993</v>
      </c>
      <c r="T963" s="253">
        <v>68.3</v>
      </c>
      <c r="U963" s="253">
        <v>50.330143540000002</v>
      </c>
      <c r="V963" s="253">
        <v>56.999999999999993</v>
      </c>
      <c r="W963" s="253"/>
      <c r="X963" s="253">
        <v>67</v>
      </c>
      <c r="Y963" s="253">
        <v>66.204318939999993</v>
      </c>
      <c r="Z963" s="253">
        <v>62.205479449999999</v>
      </c>
      <c r="AA963" s="253"/>
      <c r="AB963" s="253"/>
      <c r="AC963" s="253"/>
      <c r="AD963" s="253"/>
      <c r="AE963" s="253"/>
    </row>
    <row r="964" spans="1:31">
      <c r="A964" s="33">
        <v>963</v>
      </c>
      <c r="B964" s="69" t="s">
        <v>1352</v>
      </c>
      <c r="C964" s="69" t="s">
        <v>740</v>
      </c>
      <c r="D964" s="56">
        <v>42412</v>
      </c>
      <c r="F964" s="56"/>
      <c r="G964" s="69" t="str">
        <f t="shared" si="15"/>
        <v>E-Commerce</v>
      </c>
      <c r="H964" s="69" t="s">
        <v>1879</v>
      </c>
      <c r="J964" s="69" t="s">
        <v>1352</v>
      </c>
      <c r="K964" s="69" t="s">
        <v>1352</v>
      </c>
      <c r="L964" s="253">
        <v>54.606451612000008</v>
      </c>
      <c r="M964" s="253">
        <v>56.134797185714277</v>
      </c>
      <c r="N964" s="253">
        <v>52.012661044858035</v>
      </c>
      <c r="O964" s="253">
        <v>60.470310603684204</v>
      </c>
      <c r="P964" s="253">
        <v>53</v>
      </c>
      <c r="Q964" s="253">
        <v>58.58</v>
      </c>
      <c r="R964" s="253">
        <v>60</v>
      </c>
      <c r="S964" s="253">
        <v>50.097451270000001</v>
      </c>
      <c r="T964" s="253">
        <v>60.000000000000007</v>
      </c>
      <c r="U964" s="253">
        <v>55</v>
      </c>
      <c r="V964" s="253">
        <v>52</v>
      </c>
      <c r="W964" s="253"/>
      <c r="X964" s="253">
        <v>67.5</v>
      </c>
      <c r="Y964" s="253">
        <v>61.509715989999989</v>
      </c>
      <c r="Z964" s="253">
        <v>61.032258059999997</v>
      </c>
      <c r="AA964" s="253"/>
      <c r="AB964" s="253"/>
      <c r="AC964" s="253"/>
      <c r="AD964" s="253"/>
      <c r="AE964" s="253"/>
    </row>
    <row r="965" spans="1:31">
      <c r="A965" s="33">
        <v>964</v>
      </c>
      <c r="B965" s="69" t="s">
        <v>1352</v>
      </c>
      <c r="C965" s="69" t="s">
        <v>740</v>
      </c>
      <c r="D965" s="56">
        <v>42412</v>
      </c>
      <c r="F965" s="56"/>
      <c r="G965" s="69" t="str">
        <f t="shared" si="15"/>
        <v>E-Commerce</v>
      </c>
      <c r="H965" s="69" t="s">
        <v>1879</v>
      </c>
      <c r="J965" s="69" t="s">
        <v>1352</v>
      </c>
      <c r="K965" s="69" t="s">
        <v>1355</v>
      </c>
      <c r="L965" s="253">
        <v>57.800000000000004</v>
      </c>
      <c r="M965" s="253">
        <v>56.645511619841272</v>
      </c>
      <c r="N965" s="253">
        <v>49.995520770512975</v>
      </c>
      <c r="O965" s="253">
        <v>62.821050374736842</v>
      </c>
      <c r="P965" s="253">
        <v>56.000000000000007</v>
      </c>
      <c r="Q965" s="253">
        <v>54.72</v>
      </c>
      <c r="R965" s="253">
        <v>54.93997856</v>
      </c>
      <c r="S965" s="253">
        <v>64</v>
      </c>
      <c r="T965" s="253">
        <v>58.250000000000014</v>
      </c>
      <c r="U965" s="253">
        <v>56.355555559999999</v>
      </c>
      <c r="V965" s="253">
        <v>49.993330951111105</v>
      </c>
      <c r="W965" s="253"/>
      <c r="X965" s="253">
        <v>0</v>
      </c>
      <c r="Y965" s="253">
        <v>64</v>
      </c>
      <c r="Z965" s="253">
        <v>65</v>
      </c>
      <c r="AA965" s="253"/>
      <c r="AB965" s="253"/>
      <c r="AC965" s="253"/>
      <c r="AD965" s="253"/>
      <c r="AE965" s="253"/>
    </row>
    <row r="966" spans="1:31">
      <c r="A966" s="33">
        <v>965</v>
      </c>
      <c r="B966" s="69" t="s">
        <v>1352</v>
      </c>
      <c r="C966" s="69" t="s">
        <v>740</v>
      </c>
      <c r="D966" s="56">
        <v>42412</v>
      </c>
      <c r="F966" s="56"/>
      <c r="G966" s="69" t="str">
        <f t="shared" si="15"/>
        <v>E-Commerce</v>
      </c>
      <c r="H966" s="69" t="s">
        <v>1879</v>
      </c>
      <c r="J966" s="69" t="s">
        <v>1352</v>
      </c>
      <c r="K966" s="69" t="s">
        <v>1880</v>
      </c>
      <c r="L966" s="253">
        <v>53.551356783999999</v>
      </c>
      <c r="M966" s="253">
        <v>52.027785789523818</v>
      </c>
      <c r="N966" s="253">
        <v>45.599503820044021</v>
      </c>
      <c r="O966" s="253">
        <v>59.774751540526317</v>
      </c>
      <c r="P966" s="253">
        <v>50.439195979999994</v>
      </c>
      <c r="Q966" s="253">
        <v>53.340000000000011</v>
      </c>
      <c r="R966" s="253">
        <v>49.052093480000003</v>
      </c>
      <c r="S966" s="253">
        <v>48.834231809999999</v>
      </c>
      <c r="T966" s="253">
        <v>56.750000000000007</v>
      </c>
      <c r="U966" s="253">
        <v>53.844444439999997</v>
      </c>
      <c r="V966" s="253">
        <v>46.269677053333332</v>
      </c>
      <c r="W966" s="253"/>
      <c r="X966" s="253">
        <v>58.125</v>
      </c>
      <c r="Y966" s="253">
        <v>60.54418605</v>
      </c>
      <c r="Z966" s="253">
        <v>66</v>
      </c>
      <c r="AA966" s="253"/>
      <c r="AB966" s="253"/>
      <c r="AC966" s="253"/>
      <c r="AD966" s="253"/>
      <c r="AE966" s="253"/>
    </row>
    <row r="967" spans="1:31">
      <c r="A967" s="33">
        <v>966</v>
      </c>
      <c r="B967" s="69" t="s">
        <v>1352</v>
      </c>
      <c r="C967" s="69" t="s">
        <v>740</v>
      </c>
      <c r="D967" s="56">
        <v>42412</v>
      </c>
      <c r="F967" s="56"/>
      <c r="G967" s="69" t="str">
        <f t="shared" si="15"/>
        <v>E-Commerce</v>
      </c>
      <c r="H967" s="69" t="s">
        <v>1879</v>
      </c>
      <c r="J967" s="69" t="s">
        <v>1352</v>
      </c>
      <c r="K967" s="69" t="s">
        <v>1674</v>
      </c>
      <c r="L967" s="253">
        <v>61.084293783999996</v>
      </c>
      <c r="M967" s="253">
        <v>61.282645084777776</v>
      </c>
      <c r="N967" s="253">
        <v>62.231213264771434</v>
      </c>
      <c r="O967" s="253">
        <v>63.432548192315785</v>
      </c>
      <c r="P967" s="253">
        <v>60.155367230000003</v>
      </c>
      <c r="Q967" s="253">
        <v>59.953300974000001</v>
      </c>
      <c r="R967" s="253">
        <v>62.615221990000002</v>
      </c>
      <c r="S967" s="253">
        <v>58.937406299999992</v>
      </c>
      <c r="T967" s="253">
        <v>60.5</v>
      </c>
      <c r="U967" s="253">
        <v>61</v>
      </c>
      <c r="V967" s="253">
        <v>62.235024665555557</v>
      </c>
      <c r="W967" s="253"/>
      <c r="X967" s="253">
        <v>56.25</v>
      </c>
      <c r="Y967" s="253">
        <v>63.70972643999999</v>
      </c>
      <c r="Z967" s="253">
        <v>64.8</v>
      </c>
      <c r="AA967" s="253"/>
      <c r="AB967" s="253"/>
      <c r="AC967" s="253"/>
      <c r="AD967" s="253"/>
      <c r="AE967" s="253"/>
    </row>
    <row r="968" spans="1:31">
      <c r="A968" s="33">
        <v>967</v>
      </c>
      <c r="B968" s="69" t="s">
        <v>1352</v>
      </c>
      <c r="C968" s="69" t="s">
        <v>740</v>
      </c>
      <c r="D968" s="56">
        <v>42412</v>
      </c>
      <c r="F968" s="56"/>
      <c r="G968" s="69" t="str">
        <f t="shared" si="15"/>
        <v>E-Commerce</v>
      </c>
      <c r="H968" s="69" t="s">
        <v>1879</v>
      </c>
      <c r="J968" s="69" t="s">
        <v>1352</v>
      </c>
      <c r="K968" s="69" t="s">
        <v>1881</v>
      </c>
      <c r="L968" s="253">
        <v>66</v>
      </c>
      <c r="M968" s="253">
        <v>63.104437894142848</v>
      </c>
      <c r="N968" s="253">
        <v>59.053356548814406</v>
      </c>
      <c r="O968" s="253">
        <v>65.691982398894737</v>
      </c>
      <c r="P968" s="253">
        <v>67</v>
      </c>
      <c r="Q968" s="253">
        <v>66.20339805899998</v>
      </c>
      <c r="R968" s="253">
        <v>58.472133759999998</v>
      </c>
      <c r="S968" s="253">
        <v>65</v>
      </c>
      <c r="T968" s="253">
        <v>65.25</v>
      </c>
      <c r="U968" s="253">
        <v>64</v>
      </c>
      <c r="V968" s="253">
        <v>62</v>
      </c>
      <c r="W968" s="253"/>
      <c r="X968" s="253"/>
      <c r="Y968" s="253">
        <v>69</v>
      </c>
      <c r="Z968" s="253">
        <v>62</v>
      </c>
      <c r="AA968" s="253"/>
      <c r="AB968" s="253"/>
      <c r="AC968" s="253"/>
      <c r="AD968" s="253"/>
      <c r="AE968" s="253"/>
    </row>
    <row r="969" spans="1:31">
      <c r="A969" s="33">
        <v>968</v>
      </c>
      <c r="B969" s="69" t="s">
        <v>1352</v>
      </c>
      <c r="C969" s="69" t="s">
        <v>740</v>
      </c>
      <c r="D969" s="56">
        <v>42412</v>
      </c>
      <c r="F969" s="56"/>
      <c r="G969" s="69" t="str">
        <f t="shared" si="15"/>
        <v>E-Commerce</v>
      </c>
      <c r="H969" s="69" t="s">
        <v>1879</v>
      </c>
      <c r="J969" s="69" t="s">
        <v>1352</v>
      </c>
      <c r="K969" s="69" t="s">
        <v>1882</v>
      </c>
      <c r="L969" s="253">
        <v>64.8</v>
      </c>
      <c r="M969" s="253">
        <v>58.079004764146823</v>
      </c>
      <c r="N969" s="253">
        <v>69.44227956575331</v>
      </c>
      <c r="O969" s="253">
        <v>68.349473684210523</v>
      </c>
      <c r="P969" s="253">
        <v>65</v>
      </c>
      <c r="Q969" s="253">
        <v>68.639999999999986</v>
      </c>
      <c r="R969" s="253">
        <v>65</v>
      </c>
      <c r="S969" s="253">
        <v>60</v>
      </c>
      <c r="T969" s="253">
        <v>70.999999999999986</v>
      </c>
      <c r="U969" s="253">
        <v>63</v>
      </c>
      <c r="V969" s="253">
        <v>68.730426679222219</v>
      </c>
      <c r="W969" s="253"/>
      <c r="X969" s="253"/>
      <c r="Y969" s="253">
        <v>72</v>
      </c>
      <c r="Z969" s="253">
        <v>64</v>
      </c>
      <c r="AA969" s="253"/>
      <c r="AB969" s="253"/>
      <c r="AC969" s="253"/>
      <c r="AD969" s="253"/>
      <c r="AE969" s="253"/>
    </row>
    <row r="970" spans="1:31">
      <c r="A970" s="33">
        <v>969</v>
      </c>
      <c r="B970" s="69" t="s">
        <v>1865</v>
      </c>
      <c r="C970" s="69" t="s">
        <v>1330</v>
      </c>
      <c r="D970" s="56">
        <v>42417</v>
      </c>
      <c r="F970" s="56"/>
      <c r="G970" s="69" t="str">
        <f t="shared" si="15"/>
        <v>Both</v>
      </c>
      <c r="H970" s="69" t="s">
        <v>1866</v>
      </c>
      <c r="J970" s="69" t="s">
        <v>1865</v>
      </c>
      <c r="K970" s="69" t="s">
        <v>1865</v>
      </c>
      <c r="L970" s="253">
        <v>61.314893615999999</v>
      </c>
      <c r="M970" s="253">
        <v>63.306035880099998</v>
      </c>
      <c r="N970" s="253">
        <v>59.819202107724145</v>
      </c>
      <c r="O970" s="253">
        <v>63.793980021473686</v>
      </c>
      <c r="P970" s="253">
        <v>59.393617020000001</v>
      </c>
      <c r="Q970" s="253">
        <v>62.548888888</v>
      </c>
      <c r="R970" s="253">
        <v>61.185032409999991</v>
      </c>
      <c r="S970" s="253">
        <v>68</v>
      </c>
      <c r="T970" s="253">
        <v>63</v>
      </c>
      <c r="U970" s="253">
        <v>60</v>
      </c>
      <c r="V970" s="253">
        <v>37.613333331</v>
      </c>
      <c r="W970" s="253">
        <v>58.999999999999993</v>
      </c>
      <c r="X970" s="253"/>
      <c r="Y970" s="253">
        <v>61.416666669999998</v>
      </c>
      <c r="Z970" s="253">
        <v>69</v>
      </c>
      <c r="AA970" s="253"/>
      <c r="AB970" s="253"/>
      <c r="AC970" s="253"/>
      <c r="AD970" s="253"/>
      <c r="AE970" s="253"/>
    </row>
    <row r="971" spans="1:31">
      <c r="A971" s="33">
        <v>970</v>
      </c>
      <c r="B971" s="69" t="s">
        <v>1865</v>
      </c>
      <c r="C971" s="69" t="s">
        <v>1330</v>
      </c>
      <c r="D971" s="56">
        <v>42417</v>
      </c>
      <c r="F971" s="56"/>
      <c r="G971" s="69" t="str">
        <f t="shared" si="15"/>
        <v>Both</v>
      </c>
      <c r="H971" s="69" t="s">
        <v>1866</v>
      </c>
      <c r="J971" s="69" t="s">
        <v>1865</v>
      </c>
      <c r="K971" s="69" t="s">
        <v>1867</v>
      </c>
      <c r="L971" s="253">
        <v>57.981250000000003</v>
      </c>
      <c r="M971" s="253">
        <v>55.083531708400002</v>
      </c>
      <c r="N971" s="253">
        <v>49.879056702793108</v>
      </c>
      <c r="O971" s="253">
        <v>58.815660427736844</v>
      </c>
      <c r="P971" s="253">
        <v>58.476562499999993</v>
      </c>
      <c r="Q971" s="253">
        <v>42.106666666999999</v>
      </c>
      <c r="R971" s="253">
        <v>56.695440730000001</v>
      </c>
      <c r="S971" s="253">
        <v>62</v>
      </c>
      <c r="T971" s="253">
        <v>57.999999999999993</v>
      </c>
      <c r="U971" s="253">
        <v>57.953352769999995</v>
      </c>
      <c r="V971" s="253">
        <v>35.956666669000001</v>
      </c>
      <c r="W971" s="253">
        <v>49</v>
      </c>
      <c r="X971" s="253"/>
      <c r="Y971" s="253">
        <v>62</v>
      </c>
      <c r="Z971" s="253">
        <v>56.000000000000007</v>
      </c>
      <c r="AA971" s="253"/>
      <c r="AB971" s="253"/>
      <c r="AC971" s="253"/>
      <c r="AD971" s="253"/>
      <c r="AE971" s="253"/>
    </row>
    <row r="972" spans="1:31">
      <c r="A972" s="33">
        <v>971</v>
      </c>
      <c r="B972" s="69" t="s">
        <v>1865</v>
      </c>
      <c r="C972" s="69" t="s">
        <v>1330</v>
      </c>
      <c r="D972" s="56">
        <v>42417</v>
      </c>
      <c r="F972" s="56"/>
      <c r="G972" s="69" t="str">
        <f t="shared" si="15"/>
        <v>Both</v>
      </c>
      <c r="H972" s="69" t="s">
        <v>1866</v>
      </c>
      <c r="J972" s="69" t="s">
        <v>1865</v>
      </c>
      <c r="K972" s="69" t="s">
        <v>1868</v>
      </c>
      <c r="L972" s="253">
        <v>55.400000000000006</v>
      </c>
      <c r="M972" s="253">
        <v>56.844116403199997</v>
      </c>
      <c r="N972" s="253">
        <v>56.07378255786206</v>
      </c>
      <c r="O972" s="253">
        <v>58.739292880315787</v>
      </c>
      <c r="P972" s="253">
        <v>53</v>
      </c>
      <c r="Q972" s="253">
        <v>50.126666665999984</v>
      </c>
      <c r="R972" s="253">
        <v>55.959949029999997</v>
      </c>
      <c r="S972" s="253">
        <v>58.999999999999993</v>
      </c>
      <c r="T972" s="253">
        <v>55</v>
      </c>
      <c r="U972" s="253">
        <v>58.115183250000001</v>
      </c>
      <c r="V972" s="253">
        <v>30.776666669000001</v>
      </c>
      <c r="W972" s="253">
        <v>56.999999999999993</v>
      </c>
      <c r="X972" s="253"/>
      <c r="Y972" s="253">
        <v>56.999999999999993</v>
      </c>
      <c r="Z972" s="253">
        <v>65</v>
      </c>
      <c r="AA972" s="253"/>
      <c r="AB972" s="253"/>
      <c r="AC972" s="253"/>
      <c r="AD972" s="253"/>
      <c r="AE972" s="253"/>
    </row>
    <row r="973" spans="1:31">
      <c r="A973" s="33">
        <v>972</v>
      </c>
      <c r="B973" s="69" t="s">
        <v>561</v>
      </c>
      <c r="C973" s="69" t="s">
        <v>740</v>
      </c>
      <c r="D973" s="56">
        <v>42418</v>
      </c>
      <c r="F973" s="56"/>
      <c r="G973" s="69" t="str">
        <f t="shared" si="15"/>
        <v>E-Commerce</v>
      </c>
      <c r="H973" s="69" t="s">
        <v>1862</v>
      </c>
      <c r="J973" s="69" t="s">
        <v>561</v>
      </c>
      <c r="K973" s="69" t="s">
        <v>561</v>
      </c>
      <c r="L973" s="253">
        <v>62.273333334</v>
      </c>
      <c r="M973" s="253">
        <v>55.812563544285709</v>
      </c>
      <c r="N973" s="253">
        <v>54.927633933793103</v>
      </c>
      <c r="O973" s="253">
        <v>66.099162384736843</v>
      </c>
      <c r="P973" s="253">
        <v>62</v>
      </c>
      <c r="Q973" s="253">
        <v>55</v>
      </c>
      <c r="R973" s="253">
        <v>54.65023068</v>
      </c>
      <c r="S973" s="253">
        <v>61.4618003</v>
      </c>
      <c r="T973" s="253">
        <v>46.500000000000007</v>
      </c>
      <c r="U973" s="253">
        <v>56.484018259999999</v>
      </c>
      <c r="V973" s="253">
        <v>55</v>
      </c>
      <c r="W973" s="253"/>
      <c r="X973" s="253"/>
      <c r="Y973" s="253">
        <v>71.328849030000001</v>
      </c>
      <c r="Z973" s="253">
        <v>63.366666670000001</v>
      </c>
      <c r="AA973" s="253"/>
      <c r="AB973" s="253"/>
      <c r="AC973" s="253"/>
      <c r="AD973" s="253"/>
      <c r="AE973" s="253"/>
    </row>
    <row r="974" spans="1:31">
      <c r="A974" s="33">
        <v>973</v>
      </c>
      <c r="B974" s="69" t="s">
        <v>561</v>
      </c>
      <c r="C974" s="69" t="s">
        <v>740</v>
      </c>
      <c r="D974" s="56">
        <v>42418</v>
      </c>
      <c r="F974" s="56"/>
      <c r="G974" s="69" t="str">
        <f t="shared" si="15"/>
        <v>E-Commerce</v>
      </c>
      <c r="H974" s="69" t="s">
        <v>1862</v>
      </c>
      <c r="J974" s="69" t="s">
        <v>561</v>
      </c>
      <c r="K974" s="69" t="s">
        <v>1863</v>
      </c>
      <c r="L974" s="253">
        <v>58.796380954000007</v>
      </c>
      <c r="M974" s="253">
        <v>58.22260685749999</v>
      </c>
      <c r="N974" s="253">
        <v>54.578069173793111</v>
      </c>
      <c r="O974" s="253">
        <v>62.794495954210525</v>
      </c>
      <c r="P974" s="253">
        <v>57.787142860000003</v>
      </c>
      <c r="Q974" s="253">
        <v>55</v>
      </c>
      <c r="R974" s="253">
        <v>54.964378240000002</v>
      </c>
      <c r="S974" s="253">
        <v>64</v>
      </c>
      <c r="T974" s="253">
        <v>52.250000000000007</v>
      </c>
      <c r="U974" s="253">
        <v>65</v>
      </c>
      <c r="V974" s="253">
        <v>54.398886830000002</v>
      </c>
      <c r="W974" s="253"/>
      <c r="X974" s="253"/>
      <c r="Y974" s="253">
        <v>65</v>
      </c>
      <c r="Z974" s="253">
        <v>62.833333330000009</v>
      </c>
      <c r="AA974" s="253"/>
      <c r="AB974" s="253"/>
      <c r="AC974" s="253"/>
      <c r="AD974" s="253"/>
      <c r="AE974" s="253"/>
    </row>
    <row r="975" spans="1:31">
      <c r="A975" s="33">
        <v>974</v>
      </c>
      <c r="B975" s="69" t="s">
        <v>561</v>
      </c>
      <c r="C975" s="69" t="s">
        <v>740</v>
      </c>
      <c r="D975" s="56">
        <v>42418</v>
      </c>
      <c r="F975" s="56"/>
      <c r="G975" s="69" t="str">
        <f t="shared" si="15"/>
        <v>E-Commerce</v>
      </c>
      <c r="H975" s="69" t="s">
        <v>1862</v>
      </c>
      <c r="J975" s="69" t="s">
        <v>561</v>
      </c>
      <c r="K975" s="69" t="s">
        <v>1036</v>
      </c>
      <c r="L975" s="253">
        <v>62.867118647999995</v>
      </c>
      <c r="M975" s="253">
        <v>61.558310591357142</v>
      </c>
      <c r="N975" s="253">
        <v>61.52475968175861</v>
      </c>
      <c r="O975" s="253">
        <v>65.07934452931579</v>
      </c>
      <c r="P975" s="253">
        <v>63.533898310000005</v>
      </c>
      <c r="Q975" s="253">
        <v>58.400194176999996</v>
      </c>
      <c r="R975" s="253">
        <v>64.088630339999995</v>
      </c>
      <c r="S975" s="253">
        <v>62</v>
      </c>
      <c r="T975" s="253">
        <v>61.749999999999993</v>
      </c>
      <c r="U975" s="253">
        <v>61.963470319999999</v>
      </c>
      <c r="V975" s="253">
        <v>61.22428330999999</v>
      </c>
      <c r="W975" s="253"/>
      <c r="X975" s="253"/>
      <c r="Y975" s="253">
        <v>68.693009119999999</v>
      </c>
      <c r="Z975" s="253">
        <v>60.199999999999996</v>
      </c>
      <c r="AA975" s="253"/>
      <c r="AB975" s="253"/>
      <c r="AC975" s="253"/>
      <c r="AD975" s="253"/>
      <c r="AE975" s="253"/>
    </row>
    <row r="976" spans="1:31">
      <c r="A976" s="33">
        <v>975</v>
      </c>
      <c r="B976" s="69" t="s">
        <v>561</v>
      </c>
      <c r="C976" s="69" t="s">
        <v>740</v>
      </c>
      <c r="D976" s="56">
        <v>42418</v>
      </c>
      <c r="F976" s="56"/>
      <c r="G976" s="69" t="str">
        <f t="shared" si="15"/>
        <v>E-Commerce</v>
      </c>
      <c r="H976" s="69" t="s">
        <v>1862</v>
      </c>
      <c r="J976" s="69" t="s">
        <v>561</v>
      </c>
      <c r="K976" s="69" t="s">
        <v>1033</v>
      </c>
      <c r="L976" s="253">
        <v>59.157709067999996</v>
      </c>
      <c r="M976" s="253">
        <v>59.602606195357133</v>
      </c>
      <c r="N976" s="253">
        <v>59.53534236689655</v>
      </c>
      <c r="O976" s="253">
        <v>62.807237151052632</v>
      </c>
      <c r="P976" s="253">
        <v>59.358095239999997</v>
      </c>
      <c r="Q976" s="253">
        <v>59.26</v>
      </c>
      <c r="R976" s="253">
        <v>64.580295140000004</v>
      </c>
      <c r="S976" s="253">
        <v>59.913344889999998</v>
      </c>
      <c r="T976" s="253">
        <v>50.750000000000007</v>
      </c>
      <c r="U976" s="253">
        <v>62</v>
      </c>
      <c r="V976" s="253">
        <v>58.063157889999992</v>
      </c>
      <c r="W976" s="253"/>
      <c r="X976" s="253"/>
      <c r="Y976" s="253">
        <v>65.322274879999995</v>
      </c>
      <c r="Z976" s="253">
        <v>58.356164379999996</v>
      </c>
      <c r="AA976" s="253"/>
      <c r="AB976" s="253"/>
      <c r="AC976" s="253"/>
      <c r="AD976" s="253"/>
      <c r="AE976" s="253"/>
    </row>
    <row r="977" spans="1:31">
      <c r="A977" s="33">
        <v>976</v>
      </c>
      <c r="B977" s="69" t="s">
        <v>561</v>
      </c>
      <c r="C977" s="69" t="s">
        <v>740</v>
      </c>
      <c r="D977" s="56">
        <v>42418</v>
      </c>
      <c r="F977" s="56"/>
      <c r="G977" s="69" t="str">
        <f t="shared" si="15"/>
        <v>E-Commerce</v>
      </c>
      <c r="H977" s="69" t="s">
        <v>1862</v>
      </c>
      <c r="J977" s="69" t="s">
        <v>561</v>
      </c>
      <c r="K977" s="69" t="s">
        <v>1425</v>
      </c>
      <c r="L977" s="253">
        <v>59.398281865999998</v>
      </c>
      <c r="M977" s="253">
        <v>62.850631866785712</v>
      </c>
      <c r="N977" s="253">
        <v>63.071070686896547</v>
      </c>
      <c r="O977" s="253">
        <v>67.301433233157894</v>
      </c>
      <c r="P977" s="253">
        <v>59.042372880000002</v>
      </c>
      <c r="Q977" s="253">
        <v>65.844174760000001</v>
      </c>
      <c r="R977" s="253">
        <v>61.385706640000002</v>
      </c>
      <c r="S977" s="253">
        <v>64.266263240000001</v>
      </c>
      <c r="T977" s="253">
        <v>64.999999999999986</v>
      </c>
      <c r="U977" s="253">
        <v>60</v>
      </c>
      <c r="V977" s="253">
        <v>63.160714289999987</v>
      </c>
      <c r="W977" s="253"/>
      <c r="X977" s="253"/>
      <c r="Y977" s="253">
        <v>72.173579110000006</v>
      </c>
      <c r="Z977" s="253">
        <v>60.821917810000002</v>
      </c>
      <c r="AA977" s="253"/>
      <c r="AB977" s="253"/>
      <c r="AC977" s="253"/>
      <c r="AD977" s="253"/>
      <c r="AE977" s="253"/>
    </row>
    <row r="978" spans="1:31">
      <c r="A978" s="33">
        <v>977</v>
      </c>
      <c r="B978" s="69" t="s">
        <v>561</v>
      </c>
      <c r="C978" s="69" t="s">
        <v>740</v>
      </c>
      <c r="D978" s="56">
        <v>42418</v>
      </c>
      <c r="F978" s="56"/>
      <c r="G978" s="69" t="str">
        <f t="shared" si="15"/>
        <v>E-Commerce</v>
      </c>
      <c r="H978" s="69" t="s">
        <v>1862</v>
      </c>
      <c r="J978" s="69" t="s">
        <v>561</v>
      </c>
      <c r="K978" s="69" t="s">
        <v>1035</v>
      </c>
      <c r="L978" s="253">
        <v>58.555819208000003</v>
      </c>
      <c r="M978" s="253">
        <v>51.003793027142848</v>
      </c>
      <c r="N978" s="253">
        <v>56.148773764827588</v>
      </c>
      <c r="O978" s="253">
        <v>62.065453734210514</v>
      </c>
      <c r="P978" s="253">
        <v>59.019774009999999</v>
      </c>
      <c r="Q978" s="253">
        <v>57.239999999999988</v>
      </c>
      <c r="R978" s="253">
        <v>53.926149430000002</v>
      </c>
      <c r="S978" s="253">
        <v>55.714017989999995</v>
      </c>
      <c r="T978" s="253">
        <v>52.5</v>
      </c>
      <c r="U978" s="253">
        <v>62</v>
      </c>
      <c r="V978" s="253">
        <v>56.651877130000003</v>
      </c>
      <c r="W978" s="253"/>
      <c r="X978" s="253"/>
      <c r="Y978" s="253">
        <v>67.493730409999998</v>
      </c>
      <c r="Z978" s="253">
        <v>56.7</v>
      </c>
      <c r="AA978" s="253"/>
      <c r="AB978" s="253"/>
      <c r="AC978" s="253"/>
      <c r="AD978" s="253"/>
      <c r="AE978" s="253"/>
    </row>
    <row r="979" spans="1:31">
      <c r="A979" s="33">
        <v>978</v>
      </c>
      <c r="B979" s="69" t="s">
        <v>561</v>
      </c>
      <c r="C979" s="69" t="s">
        <v>740</v>
      </c>
      <c r="D979" s="56">
        <v>42418</v>
      </c>
      <c r="F979" s="56"/>
      <c r="G979" s="69" t="str">
        <f t="shared" si="15"/>
        <v>E-Commerce</v>
      </c>
      <c r="H979" s="69" t="s">
        <v>1862</v>
      </c>
      <c r="J979" s="69" t="s">
        <v>561</v>
      </c>
      <c r="K979" s="69" t="s">
        <v>1864</v>
      </c>
      <c r="L979" s="253">
        <v>53.480263649999991</v>
      </c>
      <c r="M979" s="253">
        <v>50.294401870357142</v>
      </c>
      <c r="N979" s="253">
        <v>59.900865708275859</v>
      </c>
      <c r="O979" s="253">
        <v>60.355153558947372</v>
      </c>
      <c r="P979" s="253">
        <v>51.991996229999991</v>
      </c>
      <c r="Q979" s="253">
        <v>50.4</v>
      </c>
      <c r="R979" s="253">
        <v>57.442012290000001</v>
      </c>
      <c r="S979" s="253">
        <v>54.297226389999999</v>
      </c>
      <c r="T979" s="253">
        <v>53.5</v>
      </c>
      <c r="U979" s="253">
        <v>54.611872150000004</v>
      </c>
      <c r="V979" s="253">
        <v>62.063651589999999</v>
      </c>
      <c r="W979" s="253"/>
      <c r="X979" s="253"/>
      <c r="Y979" s="253">
        <v>63</v>
      </c>
      <c r="Z979" s="253">
        <v>59.433333330000004</v>
      </c>
      <c r="AA979" s="253"/>
      <c r="AB979" s="253"/>
      <c r="AC979" s="253"/>
      <c r="AD979" s="253"/>
      <c r="AE979" s="253"/>
    </row>
    <row r="980" spans="1:31">
      <c r="A980" s="33">
        <v>979</v>
      </c>
      <c r="B980" s="69" t="s">
        <v>561</v>
      </c>
      <c r="C980" s="69" t="s">
        <v>740</v>
      </c>
      <c r="D980" s="56">
        <v>42418</v>
      </c>
      <c r="F980" s="56"/>
      <c r="G980" s="69" t="str">
        <f t="shared" si="15"/>
        <v>E-Commerce</v>
      </c>
      <c r="H980" s="69" t="s">
        <v>1862</v>
      </c>
      <c r="J980" s="69" t="s">
        <v>561</v>
      </c>
      <c r="K980" s="69" t="s">
        <v>1837</v>
      </c>
      <c r="L980" s="253">
        <v>64.766666665999992</v>
      </c>
      <c r="M980" s="253">
        <v>57.948095237857146</v>
      </c>
      <c r="N980" s="253">
        <v>67.453793103448263</v>
      </c>
      <c r="O980" s="253">
        <v>68.309824560526309</v>
      </c>
      <c r="P980" s="253">
        <v>65</v>
      </c>
      <c r="Q980" s="253">
        <v>68.72</v>
      </c>
      <c r="R980" s="253">
        <v>65</v>
      </c>
      <c r="S980" s="253">
        <v>60</v>
      </c>
      <c r="T980" s="253">
        <v>71.999999999999986</v>
      </c>
      <c r="U980" s="253">
        <v>63</v>
      </c>
      <c r="V980" s="253">
        <v>67.999999999999986</v>
      </c>
      <c r="W980" s="253"/>
      <c r="X980" s="253"/>
      <c r="Y980" s="253">
        <v>72</v>
      </c>
      <c r="Z980" s="253">
        <v>63.833333329999995</v>
      </c>
      <c r="AA980" s="253"/>
      <c r="AB980" s="253"/>
      <c r="AC980" s="253"/>
      <c r="AD980" s="253"/>
      <c r="AE980" s="253"/>
    </row>
    <row r="981" spans="1:31">
      <c r="A981" s="33">
        <v>980</v>
      </c>
      <c r="B981" s="69" t="s">
        <v>1860</v>
      </c>
      <c r="C981" s="69" t="s">
        <v>1330</v>
      </c>
      <c r="D981" s="56">
        <v>42420</v>
      </c>
      <c r="F981" s="56"/>
      <c r="G981" s="69" t="str">
        <f t="shared" si="15"/>
        <v>User Registration</v>
      </c>
      <c r="H981" s="69" t="s">
        <v>1861</v>
      </c>
      <c r="J981" s="69" t="s">
        <v>1860</v>
      </c>
      <c r="K981" s="69" t="s">
        <v>1860</v>
      </c>
      <c r="L981" s="253">
        <v>43</v>
      </c>
      <c r="M981" s="253">
        <v>45.1</v>
      </c>
      <c r="N981" s="253">
        <v>44.482758620689651</v>
      </c>
      <c r="O981" s="253">
        <v>48.894736842105267</v>
      </c>
      <c r="P981" s="253">
        <v>43</v>
      </c>
      <c r="Q981" s="253">
        <v>50</v>
      </c>
      <c r="R981" s="253">
        <v>50</v>
      </c>
      <c r="S981" s="253">
        <v>44</v>
      </c>
      <c r="T981" s="253"/>
      <c r="U981" s="253">
        <v>38</v>
      </c>
      <c r="V981" s="253"/>
      <c r="W981" s="253">
        <v>42</v>
      </c>
      <c r="X981" s="253">
        <v>49.749999999999993</v>
      </c>
      <c r="Y981" s="253">
        <v>52</v>
      </c>
      <c r="Z981" s="253">
        <v>43</v>
      </c>
      <c r="AA981" s="253"/>
      <c r="AB981" s="253"/>
      <c r="AC981" s="253"/>
      <c r="AD981" s="253"/>
      <c r="AE981" s="253"/>
    </row>
    <row r="982" spans="1:31">
      <c r="A982" s="33">
        <v>981</v>
      </c>
      <c r="B982" s="69" t="s">
        <v>1860</v>
      </c>
      <c r="C982" s="69" t="s">
        <v>1330</v>
      </c>
      <c r="D982" s="56">
        <v>42420</v>
      </c>
      <c r="F982" s="56"/>
      <c r="G982" s="69" t="str">
        <f t="shared" si="15"/>
        <v>User Registration</v>
      </c>
      <c r="H982" s="69" t="s">
        <v>1861</v>
      </c>
      <c r="J982" s="69" t="s">
        <v>1860</v>
      </c>
      <c r="K982" s="69" t="s">
        <v>1569</v>
      </c>
      <c r="L982" s="253">
        <v>55.2</v>
      </c>
      <c r="M982" s="253">
        <v>52.496000000000009</v>
      </c>
      <c r="N982" s="253">
        <v>54.911724137931039</v>
      </c>
      <c r="O982" s="253">
        <v>52.709473684210529</v>
      </c>
      <c r="P982" s="253">
        <v>55</v>
      </c>
      <c r="Q982" s="253">
        <v>45.48</v>
      </c>
      <c r="R982" s="253">
        <v>56.000000000000007</v>
      </c>
      <c r="S982" s="253">
        <v>54</v>
      </c>
      <c r="T982" s="253"/>
      <c r="U982" s="253">
        <v>52</v>
      </c>
      <c r="V982" s="253"/>
      <c r="W982" s="253">
        <v>56.000000000000007</v>
      </c>
      <c r="X982" s="253">
        <v>64.75</v>
      </c>
      <c r="Y982" s="253">
        <v>51</v>
      </c>
      <c r="Z982" s="253">
        <v>56.000000000000007</v>
      </c>
      <c r="AA982" s="253"/>
      <c r="AB982" s="253"/>
      <c r="AC982" s="253"/>
      <c r="AD982" s="253"/>
      <c r="AE982" s="253"/>
    </row>
    <row r="983" spans="1:31">
      <c r="A983" s="33">
        <v>982</v>
      </c>
      <c r="B983" s="69" t="s">
        <v>1860</v>
      </c>
      <c r="C983" s="69" t="s">
        <v>1330</v>
      </c>
      <c r="D983" s="56">
        <v>42420</v>
      </c>
      <c r="F983" s="56"/>
      <c r="G983" s="69" t="str">
        <f t="shared" si="15"/>
        <v>User Registration</v>
      </c>
      <c r="H983" s="69" t="s">
        <v>1861</v>
      </c>
      <c r="J983" s="69" t="s">
        <v>1860</v>
      </c>
      <c r="K983" s="69" t="s">
        <v>1568</v>
      </c>
      <c r="L983" s="253">
        <v>50</v>
      </c>
      <c r="M983" s="253">
        <v>48.514991635000001</v>
      </c>
      <c r="N983" s="253">
        <v>51.322314451724139</v>
      </c>
      <c r="O983" s="253">
        <v>52.549949457894726</v>
      </c>
      <c r="P983" s="253">
        <v>51</v>
      </c>
      <c r="Q983" s="253">
        <v>42</v>
      </c>
      <c r="R983" s="253">
        <v>53.724519849999993</v>
      </c>
      <c r="S983" s="253">
        <v>49</v>
      </c>
      <c r="T983" s="253"/>
      <c r="U983" s="253">
        <v>49.135446690000002</v>
      </c>
      <c r="V983" s="253"/>
      <c r="W983" s="253">
        <v>52</v>
      </c>
      <c r="X983" s="253">
        <v>55</v>
      </c>
      <c r="Y983" s="253">
        <v>56.999999999999993</v>
      </c>
      <c r="Z983" s="253">
        <v>46</v>
      </c>
      <c r="AA983" s="253"/>
      <c r="AB983" s="253"/>
      <c r="AC983" s="253"/>
      <c r="AD983" s="253"/>
      <c r="AE983" s="253"/>
    </row>
    <row r="984" spans="1:31">
      <c r="A984" s="33">
        <v>983</v>
      </c>
      <c r="B984" s="69" t="s">
        <v>559</v>
      </c>
      <c r="C984" s="69" t="s">
        <v>740</v>
      </c>
      <c r="D984" s="56">
        <v>42423</v>
      </c>
      <c r="G984" s="69" t="str">
        <f t="shared" si="15"/>
        <v>User Registration</v>
      </c>
      <c r="H984" s="69" t="s">
        <v>1850</v>
      </c>
      <c r="J984" s="69" t="s">
        <v>559</v>
      </c>
      <c r="K984" s="69" t="s">
        <v>1851</v>
      </c>
      <c r="L984" s="253">
        <v>49.433910011999998</v>
      </c>
      <c r="M984" s="253">
        <v>47.286622003478257</v>
      </c>
      <c r="N984" s="253">
        <v>63.417734697931024</v>
      </c>
      <c r="O984" s="253">
        <v>54.146625400526318</v>
      </c>
      <c r="P984" s="253">
        <v>47.290575920000002</v>
      </c>
      <c r="Q984" s="253">
        <v>65</v>
      </c>
      <c r="R984" s="253">
        <v>54.019051040000001</v>
      </c>
      <c r="S984" s="253">
        <v>44.120639529999998</v>
      </c>
      <c r="T984" s="253">
        <v>46.999999999999993</v>
      </c>
      <c r="U984" s="253">
        <v>53</v>
      </c>
      <c r="V984" s="253"/>
      <c r="W984" s="253">
        <v>66</v>
      </c>
      <c r="X984" s="253"/>
      <c r="Y984" s="253">
        <v>52.159090910000003</v>
      </c>
      <c r="Z984" s="253">
        <v>58.007246379999998</v>
      </c>
      <c r="AA984" s="253"/>
      <c r="AB984" s="253"/>
      <c r="AC984" s="253"/>
      <c r="AD984" s="253"/>
      <c r="AE984" s="253"/>
    </row>
    <row r="985" spans="1:31">
      <c r="A985" s="33">
        <v>984</v>
      </c>
      <c r="B985" s="69" t="s">
        <v>559</v>
      </c>
      <c r="C985" s="69" t="s">
        <v>740</v>
      </c>
      <c r="D985" s="56">
        <v>42423</v>
      </c>
      <c r="G985" s="69" t="str">
        <f t="shared" si="15"/>
        <v>User Registration</v>
      </c>
      <c r="H985" s="69" t="s">
        <v>1850</v>
      </c>
      <c r="J985" s="69" t="s">
        <v>559</v>
      </c>
      <c r="K985" s="69" t="s">
        <v>1852</v>
      </c>
      <c r="L985" s="253">
        <v>52.800000000000004</v>
      </c>
      <c r="M985" s="253">
        <v>41.347826086956516</v>
      </c>
      <c r="N985" s="253">
        <v>46.517241379310349</v>
      </c>
      <c r="O985" s="253">
        <v>43</v>
      </c>
      <c r="P985" s="253">
        <v>60</v>
      </c>
      <c r="Q985" s="253">
        <v>63</v>
      </c>
      <c r="R985" s="253">
        <v>50</v>
      </c>
      <c r="S985" s="253">
        <v>44</v>
      </c>
      <c r="T985" s="253">
        <v>50</v>
      </c>
      <c r="U985" s="253">
        <v>45</v>
      </c>
      <c r="V985" s="253"/>
      <c r="W985" s="253">
        <v>43</v>
      </c>
      <c r="X985" s="253"/>
      <c r="Y985" s="253">
        <v>49</v>
      </c>
      <c r="Z985" s="253">
        <v>24</v>
      </c>
      <c r="AA985" s="253"/>
      <c r="AB985" s="253"/>
      <c r="AC985" s="253"/>
      <c r="AD985" s="253"/>
      <c r="AE985" s="253"/>
    </row>
    <row r="986" spans="1:31">
      <c r="A986" s="33">
        <v>985</v>
      </c>
      <c r="B986" s="69" t="s">
        <v>559</v>
      </c>
      <c r="C986" s="69" t="s">
        <v>740</v>
      </c>
      <c r="D986" s="56">
        <v>42423</v>
      </c>
      <c r="G986" s="69" t="str">
        <f t="shared" si="15"/>
        <v>User Registration</v>
      </c>
      <c r="H986" s="69" t="s">
        <v>1850</v>
      </c>
      <c r="J986" s="69" t="s">
        <v>559</v>
      </c>
      <c r="K986" s="69" t="s">
        <v>1853</v>
      </c>
      <c r="L986" s="253">
        <v>60.599999999999994</v>
      </c>
      <c r="M986" s="253">
        <v>56.664347826086946</v>
      </c>
      <c r="N986" s="253">
        <v>62.791724137931034</v>
      </c>
      <c r="O986" s="253">
        <v>55.806315789473679</v>
      </c>
      <c r="P986" s="253">
        <v>61</v>
      </c>
      <c r="Q986" s="253">
        <v>62.319999999999993</v>
      </c>
      <c r="R986" s="253">
        <v>58.999999999999993</v>
      </c>
      <c r="S986" s="253">
        <v>55</v>
      </c>
      <c r="T986" s="253">
        <v>56.999999999999993</v>
      </c>
      <c r="U986" s="253">
        <v>50</v>
      </c>
      <c r="V986" s="253"/>
      <c r="W986" s="253">
        <v>64</v>
      </c>
      <c r="X986" s="253"/>
      <c r="Y986" s="253">
        <v>53</v>
      </c>
      <c r="Z986" s="253">
        <v>58.999999999999993</v>
      </c>
      <c r="AA986" s="253"/>
      <c r="AB986" s="253"/>
      <c r="AC986" s="253"/>
      <c r="AD986" s="253"/>
      <c r="AE986" s="253"/>
    </row>
    <row r="987" spans="1:31">
      <c r="A987" s="33">
        <v>986</v>
      </c>
      <c r="B987" s="69" t="s">
        <v>559</v>
      </c>
      <c r="C987" s="69" t="s">
        <v>740</v>
      </c>
      <c r="D987" s="56">
        <v>42423</v>
      </c>
      <c r="G987" s="69" t="str">
        <f t="shared" si="15"/>
        <v>User Registration</v>
      </c>
      <c r="H987" s="69" t="s">
        <v>1850</v>
      </c>
      <c r="J987" s="69" t="s">
        <v>559</v>
      </c>
      <c r="K987" s="69" t="s">
        <v>1854</v>
      </c>
      <c r="L987" s="253">
        <v>63</v>
      </c>
      <c r="M987" s="253">
        <v>51.74086956521738</v>
      </c>
      <c r="N987" s="253">
        <v>61.268275862068968</v>
      </c>
      <c r="O987" s="253">
        <v>60.961052631578951</v>
      </c>
      <c r="P987" s="253">
        <v>65</v>
      </c>
      <c r="Q987" s="253">
        <v>62.259999999999991</v>
      </c>
      <c r="R987" s="253">
        <v>55</v>
      </c>
      <c r="S987" s="253">
        <v>41</v>
      </c>
      <c r="T987" s="253">
        <v>58.999999999999993</v>
      </c>
      <c r="U987" s="253">
        <v>43</v>
      </c>
      <c r="V987" s="253"/>
      <c r="W987" s="253">
        <v>63</v>
      </c>
      <c r="X987" s="253"/>
      <c r="Y987" s="253">
        <v>67</v>
      </c>
      <c r="Z987" s="253">
        <v>55</v>
      </c>
      <c r="AA987" s="253"/>
      <c r="AB987" s="253"/>
      <c r="AC987" s="253"/>
      <c r="AD987" s="253"/>
      <c r="AE987" s="253"/>
    </row>
    <row r="988" spans="1:31">
      <c r="A988" s="33">
        <v>987</v>
      </c>
      <c r="B988" s="69" t="s">
        <v>559</v>
      </c>
      <c r="C988" s="69" t="s">
        <v>740</v>
      </c>
      <c r="D988" s="56">
        <v>42423</v>
      </c>
      <c r="G988" s="69" t="str">
        <f t="shared" si="15"/>
        <v>User Registration</v>
      </c>
      <c r="H988" s="69" t="s">
        <v>1850</v>
      </c>
      <c r="J988" s="69" t="s">
        <v>559</v>
      </c>
      <c r="K988" s="69" t="s">
        <v>559</v>
      </c>
      <c r="L988" s="253">
        <v>60.8</v>
      </c>
      <c r="M988" s="253">
        <v>58.683478260869556</v>
      </c>
      <c r="N988" s="253">
        <v>58.535862068965514</v>
      </c>
      <c r="O988" s="253">
        <v>58.588421052631588</v>
      </c>
      <c r="P988" s="253">
        <v>60</v>
      </c>
      <c r="Q988" s="253">
        <v>59.179999999999986</v>
      </c>
      <c r="R988" s="253">
        <v>60</v>
      </c>
      <c r="S988" s="253">
        <v>64</v>
      </c>
      <c r="T988" s="253">
        <v>57.999999999999993</v>
      </c>
      <c r="U988" s="253">
        <v>51</v>
      </c>
      <c r="V988" s="253"/>
      <c r="W988" s="253">
        <v>57.999999999999993</v>
      </c>
      <c r="X988" s="253"/>
      <c r="Y988" s="253">
        <v>55</v>
      </c>
      <c r="Z988" s="253">
        <v>64</v>
      </c>
      <c r="AA988" s="253"/>
      <c r="AB988" s="253"/>
      <c r="AC988" s="253"/>
      <c r="AD988" s="253"/>
      <c r="AE988" s="253"/>
    </row>
    <row r="989" spans="1:31">
      <c r="A989" s="33">
        <v>988</v>
      </c>
      <c r="B989" s="69" t="s">
        <v>559</v>
      </c>
      <c r="C989" s="69" t="s">
        <v>740</v>
      </c>
      <c r="D989" s="56">
        <v>42423</v>
      </c>
      <c r="F989" s="56"/>
      <c r="G989" s="69" t="str">
        <f t="shared" si="15"/>
        <v>User Registration</v>
      </c>
      <c r="H989" s="69" t="s">
        <v>1850</v>
      </c>
      <c r="J989" s="69" t="s">
        <v>559</v>
      </c>
      <c r="K989" s="69" t="s">
        <v>1855</v>
      </c>
      <c r="L989" s="253">
        <v>52.004671601999995</v>
      </c>
      <c r="M989" s="253">
        <v>47.364942655130434</v>
      </c>
      <c r="N989" s="253">
        <v>57.300030825206889</v>
      </c>
      <c r="O989" s="253">
        <v>49.360994602473681</v>
      </c>
      <c r="P989" s="253">
        <v>56.106382979999999</v>
      </c>
      <c r="Q989" s="253">
        <v>57.997777777000003</v>
      </c>
      <c r="R989" s="253">
        <v>57.951260099999999</v>
      </c>
      <c r="S989" s="253">
        <v>46.612654319999997</v>
      </c>
      <c r="T989" s="253">
        <v>46.999999999999993</v>
      </c>
      <c r="U989" s="253">
        <v>62</v>
      </c>
      <c r="V989" s="253"/>
      <c r="W989" s="253">
        <v>56.999999999999993</v>
      </c>
      <c r="X989" s="253"/>
      <c r="Y989" s="253">
        <v>53.935681469999999</v>
      </c>
      <c r="Z989" s="253">
        <v>35.597826089999998</v>
      </c>
      <c r="AA989" s="253"/>
      <c r="AB989" s="253"/>
      <c r="AC989" s="253"/>
      <c r="AD989" s="253"/>
      <c r="AE989" s="253"/>
    </row>
    <row r="990" spans="1:31">
      <c r="A990" s="33">
        <v>989</v>
      </c>
      <c r="B990" s="69" t="s">
        <v>559</v>
      </c>
      <c r="C990" s="69" t="s">
        <v>740</v>
      </c>
      <c r="D990" s="56">
        <v>42423</v>
      </c>
      <c r="F990" s="56"/>
      <c r="G990" s="69" t="str">
        <f t="shared" si="15"/>
        <v>User Registration</v>
      </c>
      <c r="H990" s="69" t="s">
        <v>1850</v>
      </c>
      <c r="J990" s="69" t="s">
        <v>559</v>
      </c>
      <c r="K990" s="69" t="s">
        <v>1856</v>
      </c>
      <c r="L990" s="253">
        <v>54.408240378000002</v>
      </c>
      <c r="M990" s="253">
        <v>45.934205427999999</v>
      </c>
      <c r="N990" s="253">
        <v>53.383967681137932</v>
      </c>
      <c r="O990" s="253">
        <v>54.431748422157895</v>
      </c>
      <c r="P990" s="253">
        <v>54.586387430000002</v>
      </c>
      <c r="Q990" s="253">
        <v>54.173333330999995</v>
      </c>
      <c r="R990" s="253">
        <v>57.602510459999998</v>
      </c>
      <c r="S990" s="253">
        <v>51.097383719999996</v>
      </c>
      <c r="T990" s="253">
        <v>41.6</v>
      </c>
      <c r="U990" s="253">
        <v>48</v>
      </c>
      <c r="V990" s="253"/>
      <c r="W990" s="253">
        <v>52</v>
      </c>
      <c r="X990" s="253"/>
      <c r="Y990" s="253">
        <v>54.524922119999992</v>
      </c>
      <c r="Z990" s="253">
        <v>53.69565217000001</v>
      </c>
      <c r="AA990" s="253"/>
      <c r="AB990" s="253"/>
      <c r="AC990" s="253"/>
      <c r="AD990" s="253"/>
      <c r="AE990" s="253"/>
    </row>
    <row r="991" spans="1:31">
      <c r="A991" s="33">
        <v>990</v>
      </c>
      <c r="B991" s="69" t="s">
        <v>559</v>
      </c>
      <c r="C991" s="69" t="s">
        <v>740</v>
      </c>
      <c r="D991" s="56">
        <v>42423</v>
      </c>
      <c r="F991" s="56"/>
      <c r="G991" s="69" t="str">
        <f t="shared" si="15"/>
        <v>User Registration</v>
      </c>
      <c r="H991" s="69" t="s">
        <v>1850</v>
      </c>
      <c r="J991" s="69" t="s">
        <v>559</v>
      </c>
      <c r="K991" s="69" t="s">
        <v>1857</v>
      </c>
      <c r="L991" s="253">
        <v>55.986296379999999</v>
      </c>
      <c r="M991" s="253">
        <v>45.779611185304354</v>
      </c>
      <c r="N991" s="253">
        <v>47.317627009448273</v>
      </c>
      <c r="O991" s="253">
        <v>54.28407527621053</v>
      </c>
      <c r="P991" s="253">
        <v>56.450261779999998</v>
      </c>
      <c r="Q991" s="253">
        <v>54.139999998</v>
      </c>
      <c r="R991" s="253">
        <v>49.631863879999997</v>
      </c>
      <c r="S991" s="253">
        <v>51.205164989999993</v>
      </c>
      <c r="T991" s="253">
        <v>40.20000000000001</v>
      </c>
      <c r="U991" s="253">
        <v>55.026041670000005</v>
      </c>
      <c r="V991" s="253"/>
      <c r="W991" s="253">
        <v>45.6</v>
      </c>
      <c r="X991" s="253"/>
      <c r="Y991" s="253">
        <v>55.613636359999994</v>
      </c>
      <c r="Z991" s="253">
        <v>54.130434780000002</v>
      </c>
      <c r="AA991" s="253"/>
      <c r="AB991" s="253"/>
      <c r="AC991" s="253"/>
      <c r="AD991" s="253"/>
      <c r="AE991" s="253"/>
    </row>
    <row r="992" spans="1:31">
      <c r="A992" s="33">
        <v>991</v>
      </c>
      <c r="B992" s="69" t="s">
        <v>559</v>
      </c>
      <c r="C992" s="69" t="s">
        <v>740</v>
      </c>
      <c r="D992" s="56">
        <v>42423</v>
      </c>
      <c r="F992" s="56"/>
      <c r="G992" s="69" t="str">
        <f t="shared" si="15"/>
        <v>User Registration</v>
      </c>
      <c r="H992" s="69" t="s">
        <v>1850</v>
      </c>
      <c r="J992" s="69" t="s">
        <v>559</v>
      </c>
      <c r="K992" s="69" t="s">
        <v>1858</v>
      </c>
      <c r="L992" s="253">
        <v>53.364102564000007</v>
      </c>
      <c r="M992" s="253">
        <v>53.292406325043473</v>
      </c>
      <c r="N992" s="253">
        <v>48.847213234551731</v>
      </c>
      <c r="O992" s="253">
        <v>50.930794386000002</v>
      </c>
      <c r="P992" s="253">
        <v>56.000000000000007</v>
      </c>
      <c r="Q992" s="253">
        <v>53.073333334000004</v>
      </c>
      <c r="R992" s="253">
        <v>49.558197300000003</v>
      </c>
      <c r="S992" s="253">
        <v>60</v>
      </c>
      <c r="T992" s="253">
        <v>50</v>
      </c>
      <c r="U992" s="253">
        <v>57.999999999999993</v>
      </c>
      <c r="V992" s="253"/>
      <c r="W992" s="253">
        <v>48</v>
      </c>
      <c r="X992" s="253"/>
      <c r="Y992" s="253">
        <v>54.139280129999996</v>
      </c>
      <c r="Z992" s="253">
        <v>42.820512819999998</v>
      </c>
      <c r="AA992" s="253"/>
      <c r="AB992" s="253"/>
      <c r="AC992" s="253"/>
      <c r="AD992" s="253"/>
      <c r="AE992" s="253"/>
    </row>
    <row r="993" spans="1:31">
      <c r="A993" s="33">
        <v>992</v>
      </c>
      <c r="B993" s="69" t="s">
        <v>559</v>
      </c>
      <c r="C993" s="69" t="s">
        <v>740</v>
      </c>
      <c r="D993" s="56">
        <v>42423</v>
      </c>
      <c r="F993" s="56"/>
      <c r="G993" s="69" t="str">
        <f t="shared" si="15"/>
        <v>User Registration</v>
      </c>
      <c r="H993" s="69" t="s">
        <v>1850</v>
      </c>
      <c r="J993" s="69" t="s">
        <v>559</v>
      </c>
      <c r="K993" s="69" t="s">
        <v>1859</v>
      </c>
      <c r="L993" s="253">
        <v>35.246153845999999</v>
      </c>
      <c r="M993" s="253">
        <v>37.39328487652174</v>
      </c>
      <c r="N993" s="253">
        <v>36.424984866551718</v>
      </c>
      <c r="O993" s="253">
        <v>33.403297848947368</v>
      </c>
      <c r="P993" s="253">
        <v>38</v>
      </c>
      <c r="Q993" s="253">
        <v>44.373333329999994</v>
      </c>
      <c r="R993" s="253">
        <v>37.200760189999997</v>
      </c>
      <c r="S993" s="253">
        <v>31.666666669999998</v>
      </c>
      <c r="T993" s="253">
        <v>36.750000000000007</v>
      </c>
      <c r="U993" s="253">
        <v>42.234042549999998</v>
      </c>
      <c r="V993" s="253"/>
      <c r="W993" s="253">
        <v>35</v>
      </c>
      <c r="X993" s="253"/>
      <c r="Y993" s="253">
        <v>36.306729259999997</v>
      </c>
      <c r="Z993" s="253">
        <v>24.23076923</v>
      </c>
      <c r="AA993" s="253"/>
      <c r="AB993" s="253"/>
      <c r="AC993" s="253"/>
      <c r="AD993" s="253"/>
      <c r="AE993" s="253"/>
    </row>
    <row r="994" spans="1:31">
      <c r="A994" s="33">
        <v>993</v>
      </c>
      <c r="B994" s="69" t="s">
        <v>1844</v>
      </c>
      <c r="C994" s="69" t="s">
        <v>1203</v>
      </c>
      <c r="D994" s="56">
        <v>42431</v>
      </c>
      <c r="F994" s="56"/>
      <c r="G994" s="69" t="str">
        <f t="shared" si="15"/>
        <v>E-Commerce</v>
      </c>
      <c r="H994" s="69" t="s">
        <v>1845</v>
      </c>
      <c r="J994" s="69" t="s">
        <v>1844</v>
      </c>
      <c r="K994" s="69" t="s">
        <v>1844</v>
      </c>
      <c r="L994" s="253">
        <v>61.015023472000003</v>
      </c>
      <c r="M994" s="253">
        <v>58.775752034520004</v>
      </c>
      <c r="N994" s="253">
        <v>63.628054471883686</v>
      </c>
      <c r="O994" s="253">
        <v>59.068402819842099</v>
      </c>
      <c r="P994" s="253">
        <v>59.768779340000002</v>
      </c>
      <c r="Q994" s="253">
        <v>61.066666667</v>
      </c>
      <c r="R994" s="253">
        <v>56.000000000000007</v>
      </c>
      <c r="S994" s="253">
        <v>53.868122009999993</v>
      </c>
      <c r="T994" s="253">
        <v>0</v>
      </c>
      <c r="U994" s="253">
        <v>58.255395679999999</v>
      </c>
      <c r="V994" s="253">
        <v>61.275533550999995</v>
      </c>
      <c r="W994" s="253"/>
      <c r="X994" s="253">
        <v>61.875</v>
      </c>
      <c r="Y994" s="253">
        <v>56.536486490000001</v>
      </c>
      <c r="Z994" s="253">
        <v>66</v>
      </c>
      <c r="AA994" s="253"/>
      <c r="AB994" s="253"/>
      <c r="AC994" s="253"/>
      <c r="AD994" s="253"/>
      <c r="AE994" s="253"/>
    </row>
    <row r="995" spans="1:31">
      <c r="A995" s="33">
        <v>994</v>
      </c>
      <c r="B995" s="69" t="s">
        <v>1844</v>
      </c>
      <c r="C995" s="69" t="s">
        <v>1203</v>
      </c>
      <c r="D995" s="56">
        <v>42431</v>
      </c>
      <c r="F995" s="56"/>
      <c r="G995" s="69" t="str">
        <f t="shared" si="15"/>
        <v>E-Commerce</v>
      </c>
      <c r="H995" s="69" t="s">
        <v>1845</v>
      </c>
      <c r="J995" s="69" t="s">
        <v>1844</v>
      </c>
      <c r="K995" s="69" t="s">
        <v>78</v>
      </c>
      <c r="L995" s="253">
        <v>52.572439004000003</v>
      </c>
      <c r="M995" s="253">
        <v>59.624560206200002</v>
      </c>
      <c r="N995" s="253">
        <v>60.819001954179427</v>
      </c>
      <c r="O995" s="253">
        <v>57.29569157684211</v>
      </c>
      <c r="P995" s="253">
        <v>51.116492149999999</v>
      </c>
      <c r="Q995" s="253">
        <v>61.65666667</v>
      </c>
      <c r="R995" s="253">
        <v>63</v>
      </c>
      <c r="S995" s="253">
        <v>53.687086090000001</v>
      </c>
      <c r="T995" s="253">
        <v>0</v>
      </c>
      <c r="U995" s="253">
        <v>58.237410070000003</v>
      </c>
      <c r="V995" s="253">
        <v>61.251898184999995</v>
      </c>
      <c r="W995" s="253"/>
      <c r="X995" s="253"/>
      <c r="Y995" s="253">
        <v>55.529325510000007</v>
      </c>
      <c r="Z995" s="253">
        <v>58.396226419999998</v>
      </c>
      <c r="AA995" s="253"/>
      <c r="AB995" s="253"/>
      <c r="AC995" s="253"/>
      <c r="AD995" s="253"/>
      <c r="AE995" s="253"/>
    </row>
    <row r="996" spans="1:31">
      <c r="A996" s="33">
        <v>995</v>
      </c>
      <c r="B996" s="69" t="s">
        <v>1844</v>
      </c>
      <c r="C996" s="69" t="s">
        <v>1203</v>
      </c>
      <c r="D996" s="56">
        <v>42431</v>
      </c>
      <c r="F996" s="56"/>
      <c r="G996" s="69" t="str">
        <f t="shared" si="15"/>
        <v>E-Commerce</v>
      </c>
      <c r="H996" s="69" t="s">
        <v>1845</v>
      </c>
      <c r="J996" s="69" t="s">
        <v>1844</v>
      </c>
      <c r="K996" s="69" t="s">
        <v>1846</v>
      </c>
      <c r="L996" s="253">
        <v>52.045131899999994</v>
      </c>
      <c r="M996" s="253">
        <v>56.353559430199994</v>
      </c>
      <c r="N996" s="253">
        <v>56.006344669752508</v>
      </c>
      <c r="O996" s="253">
        <v>55.00479592947368</v>
      </c>
      <c r="P996" s="253">
        <v>51.793193719999998</v>
      </c>
      <c r="Q996" s="253">
        <v>63.856666669999996</v>
      </c>
      <c r="R996" s="253">
        <v>55</v>
      </c>
      <c r="S996" s="253">
        <v>47.465231789999997</v>
      </c>
      <c r="T996" s="253">
        <v>0</v>
      </c>
      <c r="U996" s="253">
        <v>60.400778209999991</v>
      </c>
      <c r="V996" s="253">
        <v>56.088346324999989</v>
      </c>
      <c r="W996" s="253"/>
      <c r="X996" s="253"/>
      <c r="Y996" s="253">
        <v>55.850480109999999</v>
      </c>
      <c r="Z996" s="253">
        <v>53.052884619999993</v>
      </c>
      <c r="AA996" s="253"/>
      <c r="AB996" s="253"/>
      <c r="AC996" s="253"/>
      <c r="AD996" s="253"/>
      <c r="AE996" s="253"/>
    </row>
    <row r="997" spans="1:31">
      <c r="A997" s="33">
        <v>996</v>
      </c>
      <c r="B997" s="69" t="s">
        <v>1844</v>
      </c>
      <c r="C997" s="69" t="s">
        <v>1203</v>
      </c>
      <c r="D997" s="56">
        <v>42431</v>
      </c>
      <c r="F997" s="56"/>
      <c r="G997" s="69" t="str">
        <f t="shared" si="15"/>
        <v>E-Commerce</v>
      </c>
      <c r="H997" s="69" t="s">
        <v>1845</v>
      </c>
      <c r="J997" s="69" t="s">
        <v>1844</v>
      </c>
      <c r="K997" s="69" t="s">
        <v>1847</v>
      </c>
      <c r="L997" s="253">
        <v>62.000073744000005</v>
      </c>
      <c r="M997" s="253">
        <v>59.29934176197883</v>
      </c>
      <c r="N997" s="253">
        <v>58.936077083624212</v>
      </c>
      <c r="O997" s="253">
        <v>59.979392262736852</v>
      </c>
      <c r="P997" s="253">
        <v>61.989528800000002</v>
      </c>
      <c r="Q997" s="253">
        <v>59.100000001999994</v>
      </c>
      <c r="R997" s="253">
        <v>61</v>
      </c>
      <c r="S997" s="253">
        <v>54.45630749</v>
      </c>
      <c r="T997" s="253">
        <v>0</v>
      </c>
      <c r="U997" s="253">
        <v>60.953237410000007</v>
      </c>
      <c r="V997" s="253">
        <v>58.881523998294114</v>
      </c>
      <c r="W997" s="253"/>
      <c r="X997" s="253">
        <v>68.125</v>
      </c>
      <c r="Y997" s="253">
        <v>59.384087790000002</v>
      </c>
      <c r="Z997" s="253">
        <v>62.042253520000003</v>
      </c>
      <c r="AA997" s="253"/>
      <c r="AB997" s="253"/>
      <c r="AC997" s="253"/>
      <c r="AD997" s="253"/>
      <c r="AE997" s="253"/>
    </row>
    <row r="998" spans="1:31">
      <c r="A998" s="33">
        <v>997</v>
      </c>
      <c r="B998" s="69" t="s">
        <v>1844</v>
      </c>
      <c r="C998" s="69" t="s">
        <v>1203</v>
      </c>
      <c r="D998" s="56">
        <v>42431</v>
      </c>
      <c r="F998" s="56"/>
      <c r="G998" s="69" t="str">
        <f t="shared" si="15"/>
        <v>E-Commerce</v>
      </c>
      <c r="H998" s="69" t="s">
        <v>1845</v>
      </c>
      <c r="J998" s="69" t="s">
        <v>1844</v>
      </c>
      <c r="K998" s="69" t="s">
        <v>1848</v>
      </c>
      <c r="L998" s="253">
        <v>51.298649768000004</v>
      </c>
      <c r="M998" s="253">
        <v>50.585331357080001</v>
      </c>
      <c r="N998" s="253">
        <v>52.969397602158772</v>
      </c>
      <c r="O998" s="253">
        <v>51.034669156210519</v>
      </c>
      <c r="P998" s="253">
        <v>53.070680629999998</v>
      </c>
      <c r="Q998" s="253">
        <v>55.336666668000014</v>
      </c>
      <c r="R998" s="253">
        <v>51</v>
      </c>
      <c r="S998" s="253">
        <v>43.971747700000002</v>
      </c>
      <c r="T998" s="253">
        <v>0</v>
      </c>
      <c r="U998" s="253">
        <v>50.411347520000007</v>
      </c>
      <c r="V998" s="253">
        <v>54.384367243</v>
      </c>
      <c r="W998" s="253"/>
      <c r="X998" s="253"/>
      <c r="Y998" s="253">
        <v>54.7297668</v>
      </c>
      <c r="Z998" s="253">
        <v>44.21052632</v>
      </c>
      <c r="AA998" s="253"/>
      <c r="AB998" s="253"/>
      <c r="AC998" s="253"/>
      <c r="AD998" s="253"/>
      <c r="AE998" s="253"/>
    </row>
    <row r="999" spans="1:31">
      <c r="A999" s="33">
        <v>998</v>
      </c>
      <c r="B999" s="69" t="s">
        <v>1844</v>
      </c>
      <c r="C999" s="69" t="s">
        <v>1203</v>
      </c>
      <c r="D999" s="56">
        <v>42431</v>
      </c>
      <c r="F999" s="56"/>
      <c r="G999" s="69" t="str">
        <f t="shared" si="15"/>
        <v>E-Commerce</v>
      </c>
      <c r="H999" s="69" t="s">
        <v>1845</v>
      </c>
      <c r="J999" s="69" t="s">
        <v>1844</v>
      </c>
      <c r="K999" s="69" t="s">
        <v>1849</v>
      </c>
      <c r="L999" s="253">
        <v>60.011179120000001</v>
      </c>
      <c r="M999" s="253">
        <v>58.893921716720001</v>
      </c>
      <c r="N999" s="253">
        <v>64.342150669338153</v>
      </c>
      <c r="O999" s="253">
        <v>64.090585102210525</v>
      </c>
      <c r="P999" s="253">
        <v>60.612565449999998</v>
      </c>
      <c r="Q999" s="253">
        <v>60.250000001999993</v>
      </c>
      <c r="R999" s="253">
        <v>62</v>
      </c>
      <c r="S999" s="253">
        <v>54.564569539999994</v>
      </c>
      <c r="T999" s="253">
        <v>0</v>
      </c>
      <c r="U999" s="253">
        <v>55.03597122</v>
      </c>
      <c r="V999" s="253">
        <v>62.53972821</v>
      </c>
      <c r="W999" s="253"/>
      <c r="X999" s="253"/>
      <c r="Y999" s="253">
        <v>69.087837840000006</v>
      </c>
      <c r="Z999" s="253">
        <v>57.6056338</v>
      </c>
      <c r="AA999" s="253"/>
      <c r="AB999" s="253"/>
      <c r="AC999" s="253"/>
      <c r="AD999" s="253"/>
      <c r="AE999" s="253"/>
    </row>
    <row r="1000" spans="1:31">
      <c r="A1000" s="33">
        <v>999</v>
      </c>
      <c r="B1000" s="69" t="s">
        <v>1840</v>
      </c>
      <c r="C1000" s="69" t="s">
        <v>1639</v>
      </c>
      <c r="D1000" s="56">
        <v>42443</v>
      </c>
      <c r="F1000" s="56"/>
      <c r="G1000" s="69" t="str">
        <f t="shared" si="15"/>
        <v>E-Commerce</v>
      </c>
      <c r="H1000" s="69" t="s">
        <v>1841</v>
      </c>
      <c r="J1000" s="69" t="s">
        <v>1840</v>
      </c>
      <c r="K1000" s="69" t="s">
        <v>1840</v>
      </c>
      <c r="L1000" s="253">
        <v>51</v>
      </c>
      <c r="M1000" s="253">
        <v>54.642857142857139</v>
      </c>
      <c r="N1000" s="253">
        <v>51.118069069518597</v>
      </c>
      <c r="O1000" s="253">
        <v>53.263157894736842</v>
      </c>
      <c r="P1000" s="253">
        <v>51</v>
      </c>
      <c r="Q1000" s="253">
        <v>55</v>
      </c>
      <c r="R1000" s="253">
        <v>55</v>
      </c>
      <c r="S1000" s="253">
        <v>52</v>
      </c>
      <c r="T1000" s="253">
        <v>50</v>
      </c>
      <c r="U1000" s="253">
        <v>57.999999999999993</v>
      </c>
      <c r="V1000" s="253">
        <v>56.999999999999993</v>
      </c>
      <c r="W1000" s="253"/>
      <c r="X1000" s="253">
        <v>50</v>
      </c>
      <c r="Y1000" s="253">
        <v>54</v>
      </c>
      <c r="Z1000" s="253">
        <v>51</v>
      </c>
      <c r="AA1000" s="253"/>
      <c r="AB1000" s="253"/>
      <c r="AC1000" s="253"/>
      <c r="AD1000" s="253"/>
      <c r="AE1000" s="253"/>
    </row>
    <row r="1001" spans="1:31">
      <c r="A1001" s="33">
        <v>1000</v>
      </c>
      <c r="B1001" s="69" t="s">
        <v>1840</v>
      </c>
      <c r="C1001" s="69" t="s">
        <v>1639</v>
      </c>
      <c r="D1001" s="56">
        <v>42443</v>
      </c>
      <c r="F1001" s="56"/>
      <c r="G1001" s="69" t="str">
        <f t="shared" si="15"/>
        <v>E-Commerce</v>
      </c>
      <c r="H1001" s="69" t="s">
        <v>1841</v>
      </c>
      <c r="J1001" s="69" t="s">
        <v>1840</v>
      </c>
      <c r="K1001" s="69" t="s">
        <v>831</v>
      </c>
      <c r="L1001" s="253">
        <v>62.199999999999996</v>
      </c>
      <c r="M1001" s="253">
        <v>65.035714285714292</v>
      </c>
      <c r="N1001" s="253">
        <v>64.88946548464537</v>
      </c>
      <c r="O1001" s="253">
        <v>65.26315789473685</v>
      </c>
      <c r="P1001" s="253">
        <v>61</v>
      </c>
      <c r="Q1001" s="253">
        <v>62</v>
      </c>
      <c r="R1001" s="253">
        <v>63</v>
      </c>
      <c r="S1001" s="253">
        <v>67</v>
      </c>
      <c r="T1001" s="253">
        <v>67</v>
      </c>
      <c r="U1001" s="253">
        <v>64</v>
      </c>
      <c r="V1001" s="253">
        <v>67</v>
      </c>
      <c r="W1001" s="253"/>
      <c r="X1001" s="253">
        <v>64</v>
      </c>
      <c r="Y1001" s="253">
        <v>65</v>
      </c>
      <c r="Z1001" s="253">
        <v>67</v>
      </c>
      <c r="AA1001" s="253"/>
      <c r="AB1001" s="253"/>
      <c r="AC1001" s="253"/>
      <c r="AD1001" s="253"/>
      <c r="AE1001" s="253"/>
    </row>
    <row r="1002" spans="1:31">
      <c r="A1002" s="33">
        <v>1001</v>
      </c>
      <c r="B1002" s="69" t="s">
        <v>1840</v>
      </c>
      <c r="C1002" s="69" t="s">
        <v>1639</v>
      </c>
      <c r="D1002" s="56">
        <v>42443</v>
      </c>
      <c r="F1002" s="56"/>
      <c r="G1002" s="69" t="str">
        <f t="shared" si="15"/>
        <v>E-Commerce</v>
      </c>
      <c r="H1002" s="69" t="s">
        <v>1841</v>
      </c>
      <c r="J1002" s="69" t="s">
        <v>1840</v>
      </c>
      <c r="K1002" s="69" t="s">
        <v>1842</v>
      </c>
      <c r="L1002" s="253">
        <v>60.400000000000006</v>
      </c>
      <c r="M1002" s="253">
        <v>62.071428571428577</v>
      </c>
      <c r="N1002" s="253">
        <v>63.335295976581342</v>
      </c>
      <c r="O1002" s="253">
        <v>64.78947368421052</v>
      </c>
      <c r="P1002" s="253">
        <v>62</v>
      </c>
      <c r="Q1002" s="253">
        <v>66</v>
      </c>
      <c r="R1002" s="253">
        <v>61</v>
      </c>
      <c r="S1002" s="253">
        <v>63</v>
      </c>
      <c r="T1002" s="253">
        <v>63</v>
      </c>
      <c r="U1002" s="253">
        <v>60</v>
      </c>
      <c r="V1002" s="253">
        <v>64</v>
      </c>
      <c r="W1002" s="253"/>
      <c r="X1002" s="253">
        <v>66</v>
      </c>
      <c r="Y1002" s="253">
        <v>71</v>
      </c>
      <c r="Z1002" s="253">
        <v>54</v>
      </c>
      <c r="AA1002" s="253"/>
      <c r="AB1002" s="253"/>
      <c r="AC1002" s="253"/>
      <c r="AD1002" s="253"/>
      <c r="AE1002" s="253"/>
    </row>
    <row r="1003" spans="1:31">
      <c r="A1003" s="33">
        <v>1002</v>
      </c>
      <c r="B1003" s="69" t="s">
        <v>1840</v>
      </c>
      <c r="C1003" s="69" t="s">
        <v>1639</v>
      </c>
      <c r="D1003" s="56">
        <v>42443</v>
      </c>
      <c r="F1003" s="56"/>
      <c r="G1003" s="69" t="str">
        <f t="shared" si="15"/>
        <v>E-Commerce</v>
      </c>
      <c r="H1003" s="69" t="s">
        <v>1841</v>
      </c>
      <c r="J1003" s="69" t="s">
        <v>1840</v>
      </c>
      <c r="K1003" s="69" t="s">
        <v>794</v>
      </c>
      <c r="L1003" s="253">
        <v>49.400000000000006</v>
      </c>
      <c r="M1003" s="253">
        <v>53.571428571428569</v>
      </c>
      <c r="N1003" s="253">
        <v>54.996257671772874</v>
      </c>
      <c r="O1003" s="253">
        <v>52.578947368421055</v>
      </c>
      <c r="P1003" s="253">
        <v>46</v>
      </c>
      <c r="Q1003" s="253">
        <v>57.999999999999993</v>
      </c>
      <c r="R1003" s="253">
        <v>53</v>
      </c>
      <c r="S1003" s="253">
        <v>50</v>
      </c>
      <c r="T1003" s="253">
        <v>54</v>
      </c>
      <c r="U1003" s="253">
        <v>54</v>
      </c>
      <c r="V1003" s="253">
        <v>49</v>
      </c>
      <c r="W1003" s="253"/>
      <c r="X1003" s="253">
        <v>58.999999999999993</v>
      </c>
      <c r="Y1003" s="253">
        <v>46.999999999999993</v>
      </c>
      <c r="Z1003" s="253">
        <v>63</v>
      </c>
      <c r="AA1003" s="253"/>
      <c r="AB1003" s="253"/>
      <c r="AC1003" s="253"/>
      <c r="AD1003" s="253"/>
      <c r="AE1003" s="253"/>
    </row>
    <row r="1004" spans="1:31">
      <c r="A1004" s="33">
        <v>1003</v>
      </c>
      <c r="B1004" s="69" t="s">
        <v>1840</v>
      </c>
      <c r="C1004" s="69" t="s">
        <v>1639</v>
      </c>
      <c r="D1004" s="56">
        <v>42443</v>
      </c>
      <c r="F1004" s="56"/>
      <c r="G1004" s="69" t="str">
        <f t="shared" si="15"/>
        <v>E-Commerce</v>
      </c>
      <c r="H1004" s="69" t="s">
        <v>1841</v>
      </c>
      <c r="J1004" s="69" t="s">
        <v>1840</v>
      </c>
      <c r="K1004" s="69" t="s">
        <v>1843</v>
      </c>
      <c r="L1004" s="253">
        <v>56.000000000000007</v>
      </c>
      <c r="M1004" s="253">
        <v>55.500000000000007</v>
      </c>
      <c r="N1004" s="253">
        <v>54.111981548935795</v>
      </c>
      <c r="O1004" s="253">
        <v>56.842105263157904</v>
      </c>
      <c r="P1004" s="253">
        <v>55</v>
      </c>
      <c r="Q1004" s="253">
        <v>56.000000000000007</v>
      </c>
      <c r="R1004" s="253">
        <v>54</v>
      </c>
      <c r="S1004" s="253">
        <v>56.000000000000007</v>
      </c>
      <c r="T1004" s="253">
        <v>56.999999999999993</v>
      </c>
      <c r="U1004" s="253">
        <v>56.000000000000007</v>
      </c>
      <c r="V1004" s="253">
        <v>53</v>
      </c>
      <c r="W1004" s="253"/>
      <c r="X1004" s="253">
        <v>56.999999999999993</v>
      </c>
      <c r="Y1004" s="253">
        <v>56.000000000000007</v>
      </c>
      <c r="Z1004" s="253">
        <v>60</v>
      </c>
      <c r="AA1004" s="253"/>
      <c r="AB1004" s="253"/>
      <c r="AC1004" s="253"/>
      <c r="AD1004" s="253"/>
      <c r="AE1004" s="253"/>
    </row>
    <row r="1005" spans="1:31">
      <c r="A1005" s="33">
        <v>1004</v>
      </c>
      <c r="B1005" s="69" t="s">
        <v>1838</v>
      </c>
      <c r="C1005" s="69" t="s">
        <v>1639</v>
      </c>
      <c r="D1005" s="56">
        <v>42450</v>
      </c>
      <c r="G1005" s="69" t="str">
        <f t="shared" si="15"/>
        <v>User Registration</v>
      </c>
      <c r="H1005" s="69" t="s">
        <v>922</v>
      </c>
      <c r="J1005" s="69" t="s">
        <v>1838</v>
      </c>
      <c r="K1005" s="69" t="s">
        <v>931</v>
      </c>
      <c r="L1005" s="253">
        <v>65.599999999999994</v>
      </c>
      <c r="M1005" s="253">
        <v>65.782608695652172</v>
      </c>
      <c r="N1005" s="253">
        <v>61.482758620689658</v>
      </c>
      <c r="O1005" s="253">
        <v>65.94736842105263</v>
      </c>
      <c r="P1005" s="253">
        <v>64</v>
      </c>
      <c r="Q1005" s="253">
        <v>67</v>
      </c>
      <c r="R1005" s="253">
        <v>67</v>
      </c>
      <c r="S1005" s="253">
        <v>62</v>
      </c>
      <c r="T1005" s="253">
        <v>66</v>
      </c>
      <c r="U1005" s="253">
        <v>64</v>
      </c>
      <c r="V1005" s="253"/>
      <c r="W1005" s="253">
        <v>58.999999999999993</v>
      </c>
      <c r="X1005" s="253"/>
      <c r="Y1005" s="253">
        <v>63</v>
      </c>
      <c r="Z1005" s="253">
        <v>72</v>
      </c>
      <c r="AA1005" s="253"/>
      <c r="AB1005" s="253"/>
      <c r="AC1005" s="253"/>
      <c r="AD1005" s="253"/>
      <c r="AE1005" s="253"/>
    </row>
    <row r="1006" spans="1:31">
      <c r="A1006" s="33">
        <v>1005</v>
      </c>
      <c r="B1006" s="69" t="s">
        <v>1838</v>
      </c>
      <c r="C1006" s="69" t="s">
        <v>1639</v>
      </c>
      <c r="D1006" s="56">
        <v>42450</v>
      </c>
      <c r="G1006" s="69" t="str">
        <f t="shared" si="15"/>
        <v>User Registration</v>
      </c>
      <c r="H1006" s="69" t="s">
        <v>922</v>
      </c>
      <c r="J1006" s="69" t="s">
        <v>1838</v>
      </c>
      <c r="K1006" s="69" t="s">
        <v>1447</v>
      </c>
      <c r="L1006" s="253">
        <v>54.400000000000006</v>
      </c>
      <c r="M1006" s="253">
        <v>58.521739130434788</v>
      </c>
      <c r="N1006" s="253">
        <v>69.827586206896555</v>
      </c>
      <c r="O1006" s="253">
        <v>55.84210526315789</v>
      </c>
      <c r="P1006" s="253">
        <v>52</v>
      </c>
      <c r="Q1006" s="253">
        <v>65</v>
      </c>
      <c r="R1006" s="253">
        <v>55</v>
      </c>
      <c r="S1006" s="253">
        <v>56.000000000000007</v>
      </c>
      <c r="T1006" s="253">
        <v>53</v>
      </c>
      <c r="U1006" s="253">
        <v>60</v>
      </c>
      <c r="V1006" s="253"/>
      <c r="W1006" s="253">
        <v>75</v>
      </c>
      <c r="X1006" s="253"/>
      <c r="Y1006" s="253">
        <v>51</v>
      </c>
      <c r="Z1006" s="253">
        <v>64</v>
      </c>
      <c r="AA1006" s="253"/>
      <c r="AB1006" s="253"/>
      <c r="AC1006" s="253"/>
      <c r="AD1006" s="253"/>
      <c r="AE1006" s="253"/>
    </row>
    <row r="1007" spans="1:31">
      <c r="A1007" s="33">
        <v>1006</v>
      </c>
      <c r="B1007" s="69" t="s">
        <v>1838</v>
      </c>
      <c r="C1007" s="69" t="s">
        <v>1639</v>
      </c>
      <c r="D1007" s="56">
        <v>42450</v>
      </c>
      <c r="G1007" s="69" t="str">
        <f t="shared" si="15"/>
        <v>User Registration</v>
      </c>
      <c r="H1007" s="69" t="s">
        <v>922</v>
      </c>
      <c r="J1007" s="69" t="s">
        <v>1838</v>
      </c>
      <c r="K1007" s="69" t="s">
        <v>930</v>
      </c>
      <c r="L1007" s="253">
        <v>60.4</v>
      </c>
      <c r="M1007" s="253">
        <v>61.217391304347835</v>
      </c>
      <c r="N1007" s="253">
        <v>67.655172413793096</v>
      </c>
      <c r="O1007" s="253">
        <v>60.736842105263158</v>
      </c>
      <c r="P1007" s="253">
        <v>57.999999999999993</v>
      </c>
      <c r="Q1007" s="253">
        <v>64</v>
      </c>
      <c r="R1007" s="253">
        <v>65</v>
      </c>
      <c r="S1007" s="253">
        <v>50</v>
      </c>
      <c r="T1007" s="253">
        <v>64</v>
      </c>
      <c r="U1007" s="253">
        <v>58.999999999999993</v>
      </c>
      <c r="V1007" s="253"/>
      <c r="W1007" s="253">
        <v>69</v>
      </c>
      <c r="X1007" s="253"/>
      <c r="Y1007" s="253">
        <v>56.000000000000007</v>
      </c>
      <c r="Z1007" s="253">
        <v>70</v>
      </c>
      <c r="AA1007" s="253"/>
      <c r="AB1007" s="253"/>
      <c r="AC1007" s="253"/>
      <c r="AD1007" s="253"/>
      <c r="AE1007" s="253"/>
    </row>
    <row r="1008" spans="1:31">
      <c r="A1008" s="33">
        <v>1007</v>
      </c>
      <c r="B1008" s="69" t="s">
        <v>1838</v>
      </c>
      <c r="C1008" s="69" t="s">
        <v>1639</v>
      </c>
      <c r="D1008" s="56">
        <v>42450</v>
      </c>
      <c r="F1008" s="56"/>
      <c r="G1008" s="69" t="str">
        <f t="shared" si="15"/>
        <v>User Registration</v>
      </c>
      <c r="H1008" s="69" t="s">
        <v>922</v>
      </c>
      <c r="J1008" s="69" t="s">
        <v>1838</v>
      </c>
      <c r="K1008" s="69" t="s">
        <v>1838</v>
      </c>
      <c r="L1008" s="253">
        <v>51.4</v>
      </c>
      <c r="M1008" s="253">
        <v>52.913043478260867</v>
      </c>
      <c r="N1008" s="253">
        <v>53.620689655172413</v>
      </c>
      <c r="O1008" s="253">
        <v>53.368421052631589</v>
      </c>
      <c r="P1008" s="253">
        <v>50</v>
      </c>
      <c r="Q1008" s="253">
        <v>56.999999999999993</v>
      </c>
      <c r="R1008" s="253">
        <v>54</v>
      </c>
      <c r="S1008" s="253">
        <v>44</v>
      </c>
      <c r="T1008" s="253">
        <v>53</v>
      </c>
      <c r="U1008" s="253">
        <v>54</v>
      </c>
      <c r="V1008" s="253"/>
      <c r="W1008" s="253">
        <v>53</v>
      </c>
      <c r="X1008" s="253"/>
      <c r="Y1008" s="253">
        <v>52</v>
      </c>
      <c r="Z1008" s="253">
        <v>56.999999999999993</v>
      </c>
      <c r="AA1008" s="253"/>
      <c r="AB1008" s="253"/>
      <c r="AC1008" s="253"/>
      <c r="AD1008" s="253"/>
      <c r="AE1008" s="253"/>
    </row>
    <row r="1009" spans="1:31">
      <c r="A1009" s="33">
        <v>1008</v>
      </c>
      <c r="B1009" s="69" t="s">
        <v>1838</v>
      </c>
      <c r="C1009" s="69" t="s">
        <v>1639</v>
      </c>
      <c r="D1009" s="56">
        <v>42450</v>
      </c>
      <c r="F1009" s="56"/>
      <c r="G1009" s="69" t="str">
        <f t="shared" si="15"/>
        <v>User Registration</v>
      </c>
      <c r="H1009" s="69" t="s">
        <v>922</v>
      </c>
      <c r="J1009" s="69" t="s">
        <v>1838</v>
      </c>
      <c r="K1009" s="69" t="s">
        <v>1839</v>
      </c>
      <c r="L1009" s="253">
        <v>57.199999999999996</v>
      </c>
      <c r="M1009" s="253">
        <v>51.130434782608702</v>
      </c>
      <c r="N1009" s="253">
        <v>53.068965517241381</v>
      </c>
      <c r="O1009" s="253">
        <v>54.526315789473678</v>
      </c>
      <c r="P1009" s="253">
        <v>58.999999999999993</v>
      </c>
      <c r="Q1009" s="253">
        <v>53</v>
      </c>
      <c r="R1009" s="253">
        <v>50</v>
      </c>
      <c r="S1009" s="253">
        <v>53</v>
      </c>
      <c r="T1009" s="253">
        <v>49</v>
      </c>
      <c r="U1009" s="253">
        <v>51</v>
      </c>
      <c r="V1009" s="253"/>
      <c r="W1009" s="253">
        <v>54</v>
      </c>
      <c r="X1009" s="253">
        <v>61.160714285714278</v>
      </c>
      <c r="Y1009" s="253">
        <v>57.999999999999993</v>
      </c>
      <c r="Z1009" s="253">
        <v>50</v>
      </c>
      <c r="AA1009" s="253"/>
      <c r="AB1009" s="253"/>
      <c r="AC1009" s="253"/>
      <c r="AD1009" s="253"/>
      <c r="AE1009" s="253"/>
    </row>
    <row r="1010" spans="1:31">
      <c r="A1010" s="33">
        <v>1009</v>
      </c>
      <c r="B1010" s="69" t="s">
        <v>669</v>
      </c>
      <c r="C1010" s="69" t="s">
        <v>740</v>
      </c>
      <c r="D1010" s="56">
        <v>42452</v>
      </c>
      <c r="F1010" s="56"/>
      <c r="G1010" s="69" t="str">
        <f t="shared" si="15"/>
        <v>E-Commerce</v>
      </c>
      <c r="H1010" s="69" t="s">
        <v>1835</v>
      </c>
      <c r="J1010" s="69" t="s">
        <v>669</v>
      </c>
      <c r="K1010" s="69" t="s">
        <v>669</v>
      </c>
      <c r="L1010" s="253">
        <v>56.333450295999995</v>
      </c>
      <c r="M1010" s="253">
        <v>60.973385673392841</v>
      </c>
      <c r="N1010" s="253">
        <v>63.990631165880949</v>
      </c>
      <c r="O1010" s="253">
        <v>60.734736842105264</v>
      </c>
      <c r="P1010" s="253">
        <v>55.891812870000003</v>
      </c>
      <c r="Q1010" s="253">
        <v>62.459999999999994</v>
      </c>
      <c r="R1010" s="253">
        <v>62</v>
      </c>
      <c r="S1010" s="253">
        <v>56.999999999999993</v>
      </c>
      <c r="T1010" s="253">
        <v>57.999999999999993</v>
      </c>
      <c r="U1010" s="253">
        <v>65</v>
      </c>
      <c r="V1010" s="253">
        <v>60.84295977099999</v>
      </c>
      <c r="W1010" s="253"/>
      <c r="X1010" s="253">
        <v>55</v>
      </c>
      <c r="Y1010" s="253">
        <v>62</v>
      </c>
      <c r="Z1010" s="253">
        <v>58.099999999999994</v>
      </c>
      <c r="AA1010" s="253"/>
      <c r="AB1010" s="253"/>
      <c r="AC1010" s="253"/>
      <c r="AD1010" s="253"/>
      <c r="AE1010" s="253"/>
    </row>
    <row r="1011" spans="1:31">
      <c r="A1011" s="33">
        <v>1010</v>
      </c>
      <c r="B1011" s="69" t="s">
        <v>669</v>
      </c>
      <c r="C1011" s="69" t="s">
        <v>740</v>
      </c>
      <c r="D1011" s="56">
        <v>42452</v>
      </c>
      <c r="F1011" s="56"/>
      <c r="G1011" s="69" t="str">
        <f t="shared" si="15"/>
        <v>E-Commerce</v>
      </c>
      <c r="H1011" s="69" t="s">
        <v>1835</v>
      </c>
      <c r="J1011" s="69" t="s">
        <v>669</v>
      </c>
      <c r="K1011" s="69" t="s">
        <v>389</v>
      </c>
      <c r="L1011" s="253">
        <v>62.8</v>
      </c>
      <c r="M1011" s="253">
        <v>69.107142857142861</v>
      </c>
      <c r="N1011" s="253">
        <v>69.996407364901941</v>
      </c>
      <c r="O1011" s="253">
        <v>70.368421052631561</v>
      </c>
      <c r="P1011" s="253">
        <v>66</v>
      </c>
      <c r="Q1011" s="253">
        <v>66</v>
      </c>
      <c r="R1011" s="253">
        <v>72</v>
      </c>
      <c r="S1011" s="253">
        <v>67</v>
      </c>
      <c r="T1011" s="253">
        <v>66</v>
      </c>
      <c r="U1011" s="253">
        <v>79</v>
      </c>
      <c r="V1011" s="253">
        <v>70</v>
      </c>
      <c r="W1011" s="253"/>
      <c r="X1011" s="253">
        <v>64</v>
      </c>
      <c r="Y1011" s="253">
        <v>81</v>
      </c>
      <c r="Z1011" s="253">
        <v>50</v>
      </c>
      <c r="AA1011" s="253"/>
      <c r="AB1011" s="253"/>
      <c r="AC1011" s="253"/>
      <c r="AD1011" s="253"/>
      <c r="AE1011" s="253"/>
    </row>
    <row r="1012" spans="1:31">
      <c r="A1012" s="33">
        <v>1011</v>
      </c>
      <c r="B1012" s="69" t="s">
        <v>669</v>
      </c>
      <c r="C1012" s="69" t="s">
        <v>740</v>
      </c>
      <c r="D1012" s="56">
        <v>42452</v>
      </c>
      <c r="F1012" s="56"/>
      <c r="G1012" s="69" t="str">
        <f t="shared" si="15"/>
        <v>E-Commerce</v>
      </c>
      <c r="H1012" s="69" t="s">
        <v>1835</v>
      </c>
      <c r="J1012" s="69" t="s">
        <v>669</v>
      </c>
      <c r="K1012" s="69" t="s">
        <v>1836</v>
      </c>
      <c r="L1012" s="253">
        <v>58.4</v>
      </c>
      <c r="M1012" s="253">
        <v>54.651190476785715</v>
      </c>
      <c r="N1012" s="253">
        <v>59.991941519884236</v>
      </c>
      <c r="O1012" s="253">
        <v>52.60526315789474</v>
      </c>
      <c r="P1012" s="253">
        <v>60</v>
      </c>
      <c r="Q1012" s="253">
        <v>59.499999999999993</v>
      </c>
      <c r="R1012" s="253">
        <v>54</v>
      </c>
      <c r="S1012" s="253">
        <v>52</v>
      </c>
      <c r="T1012" s="253">
        <v>54.800000000000004</v>
      </c>
      <c r="U1012" s="253">
        <v>52.666666669999991</v>
      </c>
      <c r="V1012" s="253">
        <v>56.499999999999993</v>
      </c>
      <c r="W1012" s="253"/>
      <c r="X1012" s="253">
        <v>55.499999999999993</v>
      </c>
      <c r="Y1012" s="253">
        <v>52</v>
      </c>
      <c r="Z1012" s="253">
        <v>52</v>
      </c>
      <c r="AA1012" s="253"/>
      <c r="AB1012" s="253"/>
      <c r="AC1012" s="253"/>
      <c r="AD1012" s="253"/>
      <c r="AE1012" s="253"/>
    </row>
    <row r="1013" spans="1:31">
      <c r="A1013" s="33">
        <v>1012</v>
      </c>
      <c r="B1013" s="69" t="s">
        <v>669</v>
      </c>
      <c r="C1013" s="69" t="s">
        <v>740</v>
      </c>
      <c r="D1013" s="56">
        <v>42452</v>
      </c>
      <c r="F1013" s="56"/>
      <c r="G1013" s="69" t="str">
        <f t="shared" si="15"/>
        <v>E-Commerce</v>
      </c>
      <c r="H1013" s="69" t="s">
        <v>1835</v>
      </c>
      <c r="J1013" s="69" t="s">
        <v>669</v>
      </c>
      <c r="K1013" s="69" t="s">
        <v>727</v>
      </c>
      <c r="L1013" s="253">
        <v>54.86969697</v>
      </c>
      <c r="M1013" s="253">
        <v>61.833625323035712</v>
      </c>
      <c r="N1013" s="253">
        <v>63.992499746647376</v>
      </c>
      <c r="O1013" s="253">
        <v>58.831343360526311</v>
      </c>
      <c r="P1013" s="253">
        <v>53</v>
      </c>
      <c r="Q1013" s="253">
        <v>55.199999999999996</v>
      </c>
      <c r="R1013" s="253">
        <v>54.131047710000004</v>
      </c>
      <c r="S1013" s="253">
        <v>62.591004179999999</v>
      </c>
      <c r="T1013" s="253">
        <v>64</v>
      </c>
      <c r="U1013" s="253">
        <v>69</v>
      </c>
      <c r="V1013" s="253">
        <v>65.565056815000005</v>
      </c>
      <c r="W1013" s="253"/>
      <c r="X1013" s="253">
        <v>56.000000000000007</v>
      </c>
      <c r="Y1013" s="253">
        <v>57.999999999999993</v>
      </c>
      <c r="Z1013" s="253">
        <v>62.348484849999998</v>
      </c>
      <c r="AA1013" s="253"/>
      <c r="AB1013" s="253"/>
      <c r="AC1013" s="253"/>
      <c r="AD1013" s="253"/>
      <c r="AE1013" s="253"/>
    </row>
    <row r="1014" spans="1:31">
      <c r="A1014" s="33">
        <v>1013</v>
      </c>
      <c r="B1014" s="69" t="s">
        <v>669</v>
      </c>
      <c r="C1014" s="69" t="s">
        <v>740</v>
      </c>
      <c r="D1014" s="56">
        <v>42452</v>
      </c>
      <c r="F1014" s="56"/>
      <c r="G1014" s="69" t="str">
        <f t="shared" si="15"/>
        <v>E-Commerce</v>
      </c>
      <c r="H1014" s="69" t="s">
        <v>1835</v>
      </c>
      <c r="J1014" s="69" t="s">
        <v>669</v>
      </c>
      <c r="K1014" s="69" t="s">
        <v>1542</v>
      </c>
      <c r="L1014" s="253">
        <v>54.103517583999995</v>
      </c>
      <c r="M1014" s="253">
        <v>56.393179667678559</v>
      </c>
      <c r="N1014" s="253">
        <v>58.988865826793067</v>
      </c>
      <c r="O1014" s="253">
        <v>53.482660645263159</v>
      </c>
      <c r="P1014" s="253">
        <v>52.129396979999996</v>
      </c>
      <c r="Q1014" s="253">
        <v>53.459999999999994</v>
      </c>
      <c r="R1014" s="253">
        <v>47.35527613</v>
      </c>
      <c r="S1014" s="253">
        <v>57.999999999999993</v>
      </c>
      <c r="T1014" s="253">
        <v>56.999999999999993</v>
      </c>
      <c r="U1014" s="253">
        <v>62.711111109999997</v>
      </c>
      <c r="V1014" s="253">
        <v>57.567418898999989</v>
      </c>
      <c r="W1014" s="253"/>
      <c r="X1014" s="253">
        <v>50</v>
      </c>
      <c r="Y1014" s="253">
        <v>50</v>
      </c>
      <c r="Z1014" s="253">
        <v>62</v>
      </c>
      <c r="AA1014" s="253"/>
      <c r="AB1014" s="253"/>
      <c r="AC1014" s="253"/>
      <c r="AD1014" s="253"/>
      <c r="AE1014" s="253"/>
    </row>
    <row r="1015" spans="1:31">
      <c r="A1015" s="33">
        <v>1014</v>
      </c>
      <c r="B1015" s="69" t="s">
        <v>669</v>
      </c>
      <c r="C1015" s="69" t="s">
        <v>740</v>
      </c>
      <c r="D1015" s="56">
        <v>42452</v>
      </c>
      <c r="F1015" s="56"/>
      <c r="G1015" s="69" t="str">
        <f t="shared" si="15"/>
        <v>E-Commerce</v>
      </c>
      <c r="H1015" s="69" t="s">
        <v>1835</v>
      </c>
      <c r="J1015" s="69" t="s">
        <v>669</v>
      </c>
      <c r="K1015" s="69" t="s">
        <v>1837</v>
      </c>
      <c r="L1015" s="253">
        <v>64.400000000000006</v>
      </c>
      <c r="M1015" s="253">
        <v>66.464285714285708</v>
      </c>
      <c r="N1015" s="253">
        <v>67.960031934534214</v>
      </c>
      <c r="O1015" s="253">
        <v>70</v>
      </c>
      <c r="P1015" s="253">
        <v>65</v>
      </c>
      <c r="Q1015" s="253">
        <v>69</v>
      </c>
      <c r="R1015" s="253">
        <v>70</v>
      </c>
      <c r="S1015" s="253">
        <v>61</v>
      </c>
      <c r="T1015" s="253">
        <v>69</v>
      </c>
      <c r="U1015" s="253">
        <v>64</v>
      </c>
      <c r="V1015" s="253">
        <v>68</v>
      </c>
      <c r="W1015" s="253"/>
      <c r="X1015" s="253"/>
      <c r="Y1015" s="253">
        <v>75</v>
      </c>
      <c r="Z1015" s="253">
        <v>62</v>
      </c>
      <c r="AA1015" s="253"/>
      <c r="AB1015" s="253"/>
      <c r="AC1015" s="253"/>
      <c r="AD1015" s="253"/>
      <c r="AE1015" s="253"/>
    </row>
    <row r="1016" spans="1:31">
      <c r="A1016" s="33">
        <v>1015</v>
      </c>
      <c r="B1016" s="69" t="s">
        <v>1826</v>
      </c>
      <c r="C1016" s="69" t="s">
        <v>1232</v>
      </c>
      <c r="D1016" s="56">
        <v>42454</v>
      </c>
      <c r="F1016" s="56"/>
      <c r="G1016" s="69" t="str">
        <f t="shared" si="15"/>
        <v>Both</v>
      </c>
      <c r="H1016" s="69" t="s">
        <v>1827</v>
      </c>
      <c r="J1016" s="69" t="s">
        <v>1828</v>
      </c>
      <c r="K1016" s="69" t="s">
        <v>1828</v>
      </c>
      <c r="L1016" s="253">
        <v>59.4</v>
      </c>
      <c r="M1016" s="253">
        <v>57.999999999999986</v>
      </c>
      <c r="N1016" s="253">
        <v>53.512195121951208</v>
      </c>
      <c r="O1016" s="253">
        <v>51.631578947368418</v>
      </c>
      <c r="P1016" s="253">
        <v>61</v>
      </c>
      <c r="Q1016" s="253">
        <v>57.999999999999993</v>
      </c>
      <c r="R1016" s="253">
        <v>57.999999999999993</v>
      </c>
      <c r="S1016" s="253">
        <v>62</v>
      </c>
      <c r="T1016" s="253">
        <v>56.000000000000014</v>
      </c>
      <c r="U1016" s="253">
        <v>57.999999999999993</v>
      </c>
      <c r="V1016" s="253">
        <v>33.859793814</v>
      </c>
      <c r="W1016" s="253">
        <v>50</v>
      </c>
      <c r="X1016" s="253">
        <v>56.000000000000007</v>
      </c>
      <c r="Y1016" s="253">
        <v>48</v>
      </c>
      <c r="Z1016" s="253">
        <v>53</v>
      </c>
      <c r="AA1016" s="253"/>
      <c r="AB1016" s="253"/>
      <c r="AC1016" s="253"/>
      <c r="AD1016" s="253"/>
      <c r="AE1016" s="253"/>
    </row>
    <row r="1017" spans="1:31">
      <c r="A1017" s="33">
        <v>1016</v>
      </c>
      <c r="B1017" s="69" t="s">
        <v>1826</v>
      </c>
      <c r="C1017" s="69" t="s">
        <v>1232</v>
      </c>
      <c r="D1017" s="56">
        <v>42454</v>
      </c>
      <c r="F1017" s="56"/>
      <c r="G1017" s="69" t="str">
        <f t="shared" si="15"/>
        <v>Both</v>
      </c>
      <c r="H1017" s="69" t="s">
        <v>1827</v>
      </c>
      <c r="J1017" s="69" t="s">
        <v>1828</v>
      </c>
      <c r="K1017" s="69" t="s">
        <v>1829</v>
      </c>
      <c r="L1017" s="253">
        <v>59.8</v>
      </c>
      <c r="M1017" s="253">
        <v>61.305717733999998</v>
      </c>
      <c r="N1017" s="253">
        <v>51.58550754778048</v>
      </c>
      <c r="O1017" s="253">
        <v>64.219400165947363</v>
      </c>
      <c r="P1017" s="253">
        <v>60</v>
      </c>
      <c r="Q1017" s="253">
        <v>58.073333333000001</v>
      </c>
      <c r="R1017" s="253">
        <v>59.547634909999999</v>
      </c>
      <c r="S1017" s="253">
        <v>68</v>
      </c>
      <c r="T1017" s="253">
        <v>65</v>
      </c>
      <c r="U1017" s="253">
        <v>58.999999999999993</v>
      </c>
      <c r="V1017" s="253">
        <v>41.969803924999994</v>
      </c>
      <c r="W1017" s="253">
        <v>46.999999999999993</v>
      </c>
      <c r="X1017" s="253">
        <v>53.625</v>
      </c>
      <c r="Y1017" s="253">
        <v>68</v>
      </c>
      <c r="Z1017" s="253">
        <v>58.999999999999993</v>
      </c>
      <c r="AA1017" s="253"/>
      <c r="AB1017" s="253"/>
      <c r="AC1017" s="253"/>
      <c r="AD1017" s="253"/>
      <c r="AE1017" s="253"/>
    </row>
    <row r="1018" spans="1:31">
      <c r="A1018" s="33">
        <v>1017</v>
      </c>
      <c r="B1018" s="69" t="s">
        <v>1826</v>
      </c>
      <c r="C1018" s="69" t="s">
        <v>1232</v>
      </c>
      <c r="D1018" s="56">
        <v>42454</v>
      </c>
      <c r="F1018" s="56"/>
      <c r="G1018" s="69" t="str">
        <f t="shared" si="15"/>
        <v>Both</v>
      </c>
      <c r="H1018" s="69" t="s">
        <v>1827</v>
      </c>
      <c r="J1018" s="69" t="s">
        <v>1828</v>
      </c>
      <c r="K1018" s="69" t="s">
        <v>1830</v>
      </c>
      <c r="L1018" s="253">
        <v>60.199999999999996</v>
      </c>
      <c r="M1018" s="253">
        <v>56.739130434782616</v>
      </c>
      <c r="N1018" s="253">
        <v>53.365853658536579</v>
      </c>
      <c r="O1018" s="253">
        <v>51.105263157894733</v>
      </c>
      <c r="P1018" s="253">
        <v>62</v>
      </c>
      <c r="Q1018" s="253">
        <v>54</v>
      </c>
      <c r="R1018" s="253">
        <v>55</v>
      </c>
      <c r="S1018" s="253">
        <v>62</v>
      </c>
      <c r="T1018" s="253">
        <v>60.000000000000007</v>
      </c>
      <c r="U1018" s="253">
        <v>56.000000000000007</v>
      </c>
      <c r="V1018" s="253">
        <v>36.873716011999996</v>
      </c>
      <c r="W1018" s="253">
        <v>50</v>
      </c>
      <c r="X1018" s="253">
        <v>57.999999999999993</v>
      </c>
      <c r="Y1018" s="253">
        <v>48</v>
      </c>
      <c r="Z1018" s="253">
        <v>53</v>
      </c>
      <c r="AA1018" s="253"/>
      <c r="AB1018" s="253"/>
      <c r="AC1018" s="253"/>
      <c r="AD1018" s="253"/>
      <c r="AE1018" s="253"/>
    </row>
    <row r="1019" spans="1:31">
      <c r="A1019" s="33">
        <v>1018</v>
      </c>
      <c r="B1019" s="69" t="s">
        <v>1826</v>
      </c>
      <c r="C1019" s="69" t="s">
        <v>1232</v>
      </c>
      <c r="D1019" s="56">
        <v>42454</v>
      </c>
      <c r="F1019" s="56"/>
      <c r="G1019" s="69" t="str">
        <f t="shared" si="15"/>
        <v>Both</v>
      </c>
      <c r="H1019" s="69" t="s">
        <v>1827</v>
      </c>
      <c r="J1019" s="69" t="s">
        <v>1828</v>
      </c>
      <c r="K1019" s="69" t="s">
        <v>1831</v>
      </c>
      <c r="L1019" s="253">
        <v>53.6</v>
      </c>
      <c r="M1019" s="253">
        <v>57.437976913043485</v>
      </c>
      <c r="N1019" s="253">
        <v>52.177662507317066</v>
      </c>
      <c r="O1019" s="253">
        <v>54.904201436842101</v>
      </c>
      <c r="P1019" s="253">
        <v>55</v>
      </c>
      <c r="Q1019" s="253">
        <v>57.18</v>
      </c>
      <c r="R1019" s="253">
        <v>61.290693799999993</v>
      </c>
      <c r="S1019" s="253">
        <v>56.999999999999993</v>
      </c>
      <c r="T1019" s="253">
        <v>62.3</v>
      </c>
      <c r="U1019" s="253">
        <v>55</v>
      </c>
      <c r="V1019" s="253">
        <v>41.542105261999986</v>
      </c>
      <c r="W1019" s="253">
        <v>44</v>
      </c>
      <c r="X1019" s="253">
        <v>60</v>
      </c>
      <c r="Y1019" s="253">
        <v>56.641843969999996</v>
      </c>
      <c r="Z1019" s="253">
        <v>48</v>
      </c>
      <c r="AA1019" s="253"/>
      <c r="AB1019" s="253"/>
      <c r="AC1019" s="253"/>
      <c r="AD1019" s="253"/>
      <c r="AE1019" s="253"/>
    </row>
    <row r="1020" spans="1:31">
      <c r="A1020" s="33">
        <v>1019</v>
      </c>
      <c r="B1020" s="69" t="s">
        <v>1826</v>
      </c>
      <c r="C1020" s="69" t="s">
        <v>1232</v>
      </c>
      <c r="D1020" s="56">
        <v>42454</v>
      </c>
      <c r="F1020" s="56"/>
      <c r="G1020" s="69" t="str">
        <f t="shared" si="15"/>
        <v>Both</v>
      </c>
      <c r="H1020" s="69" t="s">
        <v>1827</v>
      </c>
      <c r="J1020" s="69" t="s">
        <v>1828</v>
      </c>
      <c r="K1020" s="69" t="s">
        <v>1832</v>
      </c>
      <c r="L1020" s="253">
        <v>58.871428567999992</v>
      </c>
      <c r="M1020" s="253">
        <v>54.888695652173915</v>
      </c>
      <c r="N1020" s="253">
        <v>53.977560975609748</v>
      </c>
      <c r="O1020" s="253">
        <v>51.70315789473684</v>
      </c>
      <c r="P1020" s="253">
        <v>58.089285709999992</v>
      </c>
      <c r="Q1020" s="253">
        <v>58.36</v>
      </c>
      <c r="R1020" s="253">
        <v>55</v>
      </c>
      <c r="S1020" s="253">
        <v>54</v>
      </c>
      <c r="T1020" s="253">
        <v>53</v>
      </c>
      <c r="U1020" s="253">
        <v>51</v>
      </c>
      <c r="V1020" s="253">
        <v>38.418604650999995</v>
      </c>
      <c r="W1020" s="253">
        <v>53</v>
      </c>
      <c r="X1020" s="253">
        <v>54</v>
      </c>
      <c r="Y1020" s="253">
        <v>45</v>
      </c>
      <c r="Z1020" s="253">
        <v>62</v>
      </c>
      <c r="AA1020" s="253"/>
      <c r="AB1020" s="253"/>
      <c r="AC1020" s="253"/>
      <c r="AD1020" s="253"/>
      <c r="AE1020" s="253"/>
    </row>
    <row r="1021" spans="1:31">
      <c r="A1021" s="33">
        <v>1020</v>
      </c>
      <c r="B1021" s="69" t="s">
        <v>1826</v>
      </c>
      <c r="C1021" s="69" t="s">
        <v>1232</v>
      </c>
      <c r="D1021" s="56">
        <v>42454</v>
      </c>
      <c r="F1021" s="56"/>
      <c r="G1021" s="69" t="str">
        <f t="shared" si="15"/>
        <v>Both</v>
      </c>
      <c r="H1021" s="69" t="s">
        <v>1827</v>
      </c>
      <c r="J1021" s="69" t="s">
        <v>1828</v>
      </c>
      <c r="K1021" s="69" t="s">
        <v>1509</v>
      </c>
      <c r="L1021" s="253">
        <v>57.999999999999993</v>
      </c>
      <c r="M1021" s="253">
        <v>58.806521739130432</v>
      </c>
      <c r="N1021" s="253">
        <v>59.41463414634147</v>
      </c>
      <c r="O1021" s="253">
        <v>62.103668263157893</v>
      </c>
      <c r="P1021" s="253">
        <v>57.999999999999993</v>
      </c>
      <c r="Q1021" s="253">
        <v>62</v>
      </c>
      <c r="R1021" s="253">
        <v>56.999999999999993</v>
      </c>
      <c r="S1021" s="253">
        <v>60</v>
      </c>
      <c r="T1021" s="253">
        <v>62.85</v>
      </c>
      <c r="U1021" s="253">
        <v>55</v>
      </c>
      <c r="V1021" s="253">
        <v>38.689922480999996</v>
      </c>
      <c r="W1021" s="253">
        <v>60</v>
      </c>
      <c r="X1021" s="253">
        <v>58.999999999999993</v>
      </c>
      <c r="Y1021" s="253">
        <v>65.3969697</v>
      </c>
      <c r="Z1021" s="253">
        <v>57.999999999999993</v>
      </c>
      <c r="AA1021" s="253"/>
      <c r="AB1021" s="253"/>
      <c r="AC1021" s="253"/>
      <c r="AD1021" s="253"/>
      <c r="AE1021" s="253"/>
    </row>
    <row r="1022" spans="1:31">
      <c r="A1022" s="33">
        <v>1021</v>
      </c>
      <c r="B1022" s="69" t="s">
        <v>1826</v>
      </c>
      <c r="C1022" s="69" t="s">
        <v>1232</v>
      </c>
      <c r="D1022" s="56">
        <v>42454</v>
      </c>
      <c r="F1022" s="56"/>
      <c r="G1022" s="69" t="str">
        <f t="shared" si="15"/>
        <v>Both</v>
      </c>
      <c r="H1022" s="69" t="s">
        <v>1827</v>
      </c>
      <c r="J1022" s="69" t="s">
        <v>1828</v>
      </c>
      <c r="K1022" s="69" t="s">
        <v>1833</v>
      </c>
      <c r="L1022" s="253">
        <v>50.8</v>
      </c>
      <c r="M1022" s="253">
        <v>54.37646635356522</v>
      </c>
      <c r="N1022" s="253">
        <v>49.815121951439025</v>
      </c>
      <c r="O1022" s="253">
        <v>52.407120896473693</v>
      </c>
      <c r="P1022" s="253">
        <v>52</v>
      </c>
      <c r="Q1022" s="253">
        <v>60.14000000299999</v>
      </c>
      <c r="R1022" s="253">
        <v>56.999999999999993</v>
      </c>
      <c r="S1022" s="253">
        <v>53.399681529999995</v>
      </c>
      <c r="T1022" s="253">
        <v>51.5</v>
      </c>
      <c r="U1022" s="253">
        <v>53</v>
      </c>
      <c r="V1022" s="253">
        <v>39.202127656999998</v>
      </c>
      <c r="W1022" s="253">
        <v>46</v>
      </c>
      <c r="X1022" s="253">
        <v>50</v>
      </c>
      <c r="Y1022" s="253">
        <v>53.819561550000003</v>
      </c>
      <c r="Z1022" s="253">
        <v>46</v>
      </c>
      <c r="AA1022" s="253"/>
      <c r="AB1022" s="253"/>
      <c r="AC1022" s="253"/>
      <c r="AD1022" s="253"/>
      <c r="AE1022" s="253"/>
    </row>
    <row r="1023" spans="1:31">
      <c r="A1023" s="33">
        <v>1022</v>
      </c>
      <c r="B1023" s="69" t="s">
        <v>1826</v>
      </c>
      <c r="C1023" s="69" t="s">
        <v>1232</v>
      </c>
      <c r="D1023" s="56">
        <v>42454</v>
      </c>
      <c r="F1023" s="56"/>
      <c r="G1023" s="69" t="str">
        <f t="shared" si="15"/>
        <v>Both</v>
      </c>
      <c r="H1023" s="69" t="s">
        <v>1827</v>
      </c>
      <c r="J1023" s="69" t="s">
        <v>1828</v>
      </c>
      <c r="K1023" s="69" t="s">
        <v>1834</v>
      </c>
      <c r="L1023" s="253">
        <v>51.45202312</v>
      </c>
      <c r="M1023" s="253">
        <v>53.82893818434782</v>
      </c>
      <c r="N1023" s="253">
        <v>46.118048780487804</v>
      </c>
      <c r="O1023" s="253">
        <v>55.133211697894744</v>
      </c>
      <c r="P1023" s="253">
        <v>51.315028900000001</v>
      </c>
      <c r="Q1023" s="253">
        <v>58.279999999999994</v>
      </c>
      <c r="R1023" s="253">
        <v>54</v>
      </c>
      <c r="S1023" s="253">
        <v>52.048894560000001</v>
      </c>
      <c r="T1023" s="253">
        <v>49.25</v>
      </c>
      <c r="U1023" s="253">
        <v>55</v>
      </c>
      <c r="V1023" s="253">
        <v>39.500000000999997</v>
      </c>
      <c r="W1023" s="253">
        <v>42</v>
      </c>
      <c r="X1023" s="253">
        <v>46</v>
      </c>
      <c r="Y1023" s="253">
        <v>56.920212769999999</v>
      </c>
      <c r="Z1023" s="253">
        <v>52</v>
      </c>
      <c r="AA1023" s="253"/>
      <c r="AB1023" s="253"/>
      <c r="AC1023" s="253"/>
      <c r="AD1023" s="253"/>
      <c r="AE1023" s="253"/>
    </row>
    <row r="1024" spans="1:31">
      <c r="A1024" s="33">
        <v>1023</v>
      </c>
      <c r="B1024" s="69" t="s">
        <v>1825</v>
      </c>
      <c r="C1024" s="69" t="s">
        <v>740</v>
      </c>
      <c r="D1024" s="56">
        <v>42459</v>
      </c>
      <c r="F1024" s="56"/>
      <c r="G1024" s="69" t="str">
        <f t="shared" si="15"/>
        <v>E-Commerce</v>
      </c>
      <c r="H1024" s="69" t="s">
        <v>749</v>
      </c>
      <c r="J1024" s="69" t="s">
        <v>1825</v>
      </c>
      <c r="K1024" s="69" t="s">
        <v>1825</v>
      </c>
      <c r="L1024" s="253">
        <v>48.599999999999994</v>
      </c>
      <c r="M1024" s="253">
        <v>48.219523809523814</v>
      </c>
      <c r="N1024" s="253">
        <v>48.445657180557625</v>
      </c>
      <c r="O1024" s="253">
        <v>52.822105263157894</v>
      </c>
      <c r="P1024" s="253">
        <v>48</v>
      </c>
      <c r="Q1024" s="253">
        <v>46.62</v>
      </c>
      <c r="R1024" s="253">
        <v>52</v>
      </c>
      <c r="S1024" s="253">
        <v>48</v>
      </c>
      <c r="T1024" s="253">
        <v>47</v>
      </c>
      <c r="U1024" s="253">
        <v>46.999999999999993</v>
      </c>
      <c r="V1024" s="253">
        <v>46.733333333333334</v>
      </c>
      <c r="W1024" s="253"/>
      <c r="X1024" s="253">
        <v>52</v>
      </c>
      <c r="Y1024" s="253">
        <v>55</v>
      </c>
      <c r="Z1024" s="253">
        <v>51</v>
      </c>
      <c r="AA1024" s="253"/>
      <c r="AB1024" s="253"/>
      <c r="AC1024" s="253"/>
      <c r="AD1024" s="253"/>
      <c r="AE1024" s="253"/>
    </row>
    <row r="1025" spans="1:31">
      <c r="A1025" s="33">
        <v>1024</v>
      </c>
      <c r="B1025" s="69" t="s">
        <v>1823</v>
      </c>
      <c r="C1025" s="69" t="s">
        <v>740</v>
      </c>
      <c r="D1025" s="56">
        <v>42460</v>
      </c>
      <c r="F1025" s="56"/>
      <c r="G1025" s="69" t="str">
        <f t="shared" si="15"/>
        <v>User Registration</v>
      </c>
      <c r="H1025" s="69" t="s">
        <v>922</v>
      </c>
      <c r="J1025" s="69" t="s">
        <v>1823</v>
      </c>
      <c r="K1025" s="69" t="s">
        <v>923</v>
      </c>
      <c r="L1025" s="253">
        <v>58.999999999999993</v>
      </c>
      <c r="M1025" s="253">
        <v>59.130434782608695</v>
      </c>
      <c r="N1025" s="253">
        <v>59.536585365853654</v>
      </c>
      <c r="O1025" s="253">
        <v>57.526315789473671</v>
      </c>
      <c r="P1025" s="253">
        <v>60</v>
      </c>
      <c r="Q1025" s="253">
        <v>55</v>
      </c>
      <c r="R1025" s="253">
        <v>60</v>
      </c>
      <c r="S1025" s="253">
        <v>63</v>
      </c>
      <c r="T1025" s="253">
        <v>61</v>
      </c>
      <c r="U1025" s="253">
        <v>59</v>
      </c>
      <c r="V1025" s="253"/>
      <c r="W1025" s="253">
        <v>58</v>
      </c>
      <c r="X1025" s="253">
        <v>63</v>
      </c>
      <c r="Y1025" s="253">
        <v>58</v>
      </c>
      <c r="Z1025" s="253">
        <v>55</v>
      </c>
      <c r="AA1025" s="253"/>
      <c r="AB1025" s="253"/>
      <c r="AC1025" s="253"/>
      <c r="AD1025" s="253"/>
      <c r="AE1025" s="253"/>
    </row>
    <row r="1026" spans="1:31">
      <c r="A1026" s="33">
        <v>1025</v>
      </c>
      <c r="B1026" s="69" t="s">
        <v>1823</v>
      </c>
      <c r="C1026" s="69" t="s">
        <v>740</v>
      </c>
      <c r="D1026" s="56">
        <v>42460</v>
      </c>
      <c r="F1026" s="56"/>
      <c r="G1026" s="69" t="str">
        <f t="shared" ref="G1026:G1089" si="16">IF(V1026&gt;0,IF(W1026&gt;0,"Both","E-Commerce"),IF(W1026=0, "ERROR","User Registration"))</f>
        <v>User Registration</v>
      </c>
      <c r="H1026" s="69" t="s">
        <v>922</v>
      </c>
      <c r="J1026" s="69" t="s">
        <v>1823</v>
      </c>
      <c r="K1026" s="69" t="s">
        <v>1723</v>
      </c>
      <c r="L1026" s="253">
        <v>50</v>
      </c>
      <c r="M1026" s="253">
        <v>56.260869565217398</v>
      </c>
      <c r="N1026" s="253">
        <v>57.560975609756092</v>
      </c>
      <c r="O1026" s="253">
        <v>54.210526315789473</v>
      </c>
      <c r="P1026" s="253">
        <v>50</v>
      </c>
      <c r="Q1026" s="253">
        <v>54</v>
      </c>
      <c r="R1026" s="253">
        <v>59</v>
      </c>
      <c r="S1026" s="253">
        <v>58</v>
      </c>
      <c r="T1026" s="253">
        <v>57</v>
      </c>
      <c r="U1026" s="253">
        <v>56</v>
      </c>
      <c r="V1026" s="253"/>
      <c r="W1026" s="253">
        <v>61</v>
      </c>
      <c r="X1026" s="253">
        <v>52</v>
      </c>
      <c r="Y1026" s="253">
        <v>55</v>
      </c>
      <c r="Z1026" s="253">
        <v>50</v>
      </c>
      <c r="AA1026" s="253"/>
      <c r="AB1026" s="253"/>
      <c r="AC1026" s="253"/>
      <c r="AD1026" s="253"/>
      <c r="AE1026" s="253"/>
    </row>
    <row r="1027" spans="1:31">
      <c r="A1027" s="33">
        <v>1026</v>
      </c>
      <c r="B1027" s="69" t="s">
        <v>1823</v>
      </c>
      <c r="C1027" s="69" t="s">
        <v>740</v>
      </c>
      <c r="D1027" s="56">
        <v>42460</v>
      </c>
      <c r="F1027" s="56"/>
      <c r="G1027" s="69" t="str">
        <f t="shared" si="16"/>
        <v>User Registration</v>
      </c>
      <c r="H1027" s="69" t="s">
        <v>922</v>
      </c>
      <c r="J1027" s="69" t="s">
        <v>1823</v>
      </c>
      <c r="K1027" s="69" t="s">
        <v>1824</v>
      </c>
      <c r="L1027" s="253">
        <v>57.600000000000009</v>
      </c>
      <c r="M1027" s="253">
        <v>54.521739130434788</v>
      </c>
      <c r="N1027" s="253">
        <v>52.756097560975611</v>
      </c>
      <c r="O1027" s="253">
        <v>51.21052631578948</v>
      </c>
      <c r="P1027" s="253">
        <v>58</v>
      </c>
      <c r="Q1027" s="253">
        <v>53</v>
      </c>
      <c r="R1027" s="253">
        <v>54</v>
      </c>
      <c r="S1027" s="253">
        <v>62</v>
      </c>
      <c r="T1027" s="253">
        <v>54</v>
      </c>
      <c r="U1027" s="253">
        <v>50</v>
      </c>
      <c r="V1027" s="253"/>
      <c r="W1027" s="253">
        <v>54</v>
      </c>
      <c r="X1027" s="253">
        <v>50</v>
      </c>
      <c r="Y1027" s="253">
        <v>47</v>
      </c>
      <c r="Z1027" s="253">
        <v>56</v>
      </c>
      <c r="AA1027" s="253"/>
      <c r="AB1027" s="253"/>
      <c r="AC1027" s="253"/>
      <c r="AD1027" s="253"/>
      <c r="AE1027" s="253"/>
    </row>
    <row r="1028" spans="1:31">
      <c r="A1028" s="33">
        <v>1027</v>
      </c>
      <c r="B1028" s="69" t="s">
        <v>1823</v>
      </c>
      <c r="C1028" s="69" t="s">
        <v>740</v>
      </c>
      <c r="D1028" s="56">
        <v>42460</v>
      </c>
      <c r="F1028" s="56"/>
      <c r="G1028" s="69" t="str">
        <f t="shared" si="16"/>
        <v>User Registration</v>
      </c>
      <c r="H1028" s="69" t="s">
        <v>922</v>
      </c>
      <c r="J1028" s="69" t="s">
        <v>1823</v>
      </c>
      <c r="K1028" s="69" t="s">
        <v>540</v>
      </c>
      <c r="L1028" s="253">
        <v>44.8</v>
      </c>
      <c r="M1028" s="253">
        <v>46.521739130434781</v>
      </c>
      <c r="N1028" s="253">
        <v>49.780487804878049</v>
      </c>
      <c r="O1028" s="253">
        <v>45.368421052631582</v>
      </c>
      <c r="P1028" s="253">
        <v>45</v>
      </c>
      <c r="Q1028" s="253">
        <v>47</v>
      </c>
      <c r="R1028" s="253">
        <v>50</v>
      </c>
      <c r="S1028" s="253">
        <v>45</v>
      </c>
      <c r="T1028" s="253">
        <v>48</v>
      </c>
      <c r="U1028" s="253">
        <v>44</v>
      </c>
      <c r="V1028" s="253"/>
      <c r="W1028" s="253">
        <v>50</v>
      </c>
      <c r="X1028" s="253">
        <v>50</v>
      </c>
      <c r="Y1028" s="253">
        <v>45</v>
      </c>
      <c r="Z1028" s="253">
        <v>44</v>
      </c>
      <c r="AA1028" s="253"/>
      <c r="AB1028" s="253"/>
      <c r="AC1028" s="253"/>
      <c r="AD1028" s="253"/>
      <c r="AE1028" s="253"/>
    </row>
    <row r="1029" spans="1:31">
      <c r="A1029" s="33">
        <v>1028</v>
      </c>
      <c r="B1029" s="69" t="s">
        <v>1823</v>
      </c>
      <c r="C1029" s="69" t="s">
        <v>740</v>
      </c>
      <c r="D1029" s="56">
        <v>42460</v>
      </c>
      <c r="F1029" s="56"/>
      <c r="G1029" s="69" t="str">
        <f t="shared" si="16"/>
        <v>User Registration</v>
      </c>
      <c r="H1029" s="69" t="s">
        <v>922</v>
      </c>
      <c r="J1029" s="69" t="s">
        <v>1823</v>
      </c>
      <c r="K1029" s="69" t="s">
        <v>1823</v>
      </c>
      <c r="L1029" s="253">
        <v>45.6</v>
      </c>
      <c r="M1029" s="253">
        <v>45.956521739130437</v>
      </c>
      <c r="N1029" s="253">
        <v>46.829268292682926</v>
      </c>
      <c r="O1029" s="253">
        <v>47.631578947368418</v>
      </c>
      <c r="P1029" s="253">
        <v>45</v>
      </c>
      <c r="Q1029" s="253">
        <v>44</v>
      </c>
      <c r="R1029" s="253">
        <v>48</v>
      </c>
      <c r="S1029" s="253">
        <v>45</v>
      </c>
      <c r="T1029" s="253">
        <v>50</v>
      </c>
      <c r="U1029" s="253">
        <v>43</v>
      </c>
      <c r="V1029" s="253"/>
      <c r="W1029" s="253">
        <v>48</v>
      </c>
      <c r="X1029" s="253">
        <v>45</v>
      </c>
      <c r="Y1029" s="253">
        <v>48</v>
      </c>
      <c r="Z1029" s="253">
        <v>48</v>
      </c>
      <c r="AA1029" s="253"/>
      <c r="AB1029" s="253"/>
      <c r="AC1029" s="253"/>
      <c r="AD1029" s="253"/>
      <c r="AE1029" s="253"/>
    </row>
    <row r="1030" spans="1:31">
      <c r="A1030" s="33">
        <v>1029</v>
      </c>
      <c r="B1030" s="69" t="s">
        <v>1434</v>
      </c>
      <c r="C1030" s="69" t="s">
        <v>1203</v>
      </c>
      <c r="D1030" s="56">
        <v>42467</v>
      </c>
      <c r="F1030" s="56"/>
      <c r="G1030" s="69" t="str">
        <f t="shared" si="16"/>
        <v>Both</v>
      </c>
      <c r="H1030" s="69" t="s">
        <v>922</v>
      </c>
      <c r="J1030" s="69" t="s">
        <v>1434</v>
      </c>
      <c r="K1030" s="69" t="s">
        <v>1434</v>
      </c>
      <c r="L1030" s="253">
        <v>55</v>
      </c>
      <c r="M1030" s="253">
        <v>52.511195282499997</v>
      </c>
      <c r="N1030" s="253">
        <v>50.007919189756088</v>
      </c>
      <c r="O1030" s="253">
        <v>50.496924329473678</v>
      </c>
      <c r="P1030" s="253">
        <v>56.000000000000007</v>
      </c>
      <c r="Q1030" s="253">
        <v>52.080000000000005</v>
      </c>
      <c r="R1030" s="253">
        <v>53.18078113</v>
      </c>
      <c r="S1030" s="253">
        <v>56.000000000000007</v>
      </c>
      <c r="T1030" s="253">
        <v>0</v>
      </c>
      <c r="U1030" s="253">
        <v>50</v>
      </c>
      <c r="V1030" s="253">
        <v>30.899548532999997</v>
      </c>
      <c r="W1030" s="253">
        <v>48</v>
      </c>
      <c r="X1030" s="253">
        <v>51.249999999999993</v>
      </c>
      <c r="Y1030" s="253">
        <v>49</v>
      </c>
      <c r="Z1030" s="253">
        <v>51</v>
      </c>
      <c r="AA1030" s="253"/>
      <c r="AB1030" s="253"/>
      <c r="AC1030" s="253"/>
      <c r="AD1030" s="253"/>
      <c r="AE1030" s="253"/>
    </row>
    <row r="1031" spans="1:31">
      <c r="A1031" s="33">
        <v>1030</v>
      </c>
      <c r="B1031" s="69" t="s">
        <v>1434</v>
      </c>
      <c r="C1031" s="69" t="s">
        <v>1203</v>
      </c>
      <c r="D1031" s="56">
        <v>42467</v>
      </c>
      <c r="F1031" s="56"/>
      <c r="G1031" s="69" t="str">
        <f t="shared" si="16"/>
        <v>Both</v>
      </c>
      <c r="H1031" s="69" t="s">
        <v>922</v>
      </c>
      <c r="J1031" s="69" t="s">
        <v>1434</v>
      </c>
      <c r="K1031" s="69" t="s">
        <v>930</v>
      </c>
      <c r="L1031" s="253">
        <v>66.400000000000006</v>
      </c>
      <c r="M1031" s="253">
        <v>66.209185487499994</v>
      </c>
      <c r="N1031" s="253">
        <v>53.707261017073172</v>
      </c>
      <c r="O1031" s="253">
        <v>66.315749152631568</v>
      </c>
      <c r="P1031" s="253">
        <v>68</v>
      </c>
      <c r="Q1031" s="253">
        <v>59.779999999999987</v>
      </c>
      <c r="R1031" s="253">
        <v>63.109616950000003</v>
      </c>
      <c r="S1031" s="253">
        <v>74</v>
      </c>
      <c r="T1031" s="253">
        <v>0</v>
      </c>
      <c r="U1031" s="253">
        <v>70.703125</v>
      </c>
      <c r="V1031" s="253">
        <v>41.6523702</v>
      </c>
      <c r="W1031" s="253">
        <v>82.2</v>
      </c>
      <c r="X1031" s="253"/>
      <c r="Y1031" s="253">
        <v>70</v>
      </c>
      <c r="Z1031" s="253">
        <v>60</v>
      </c>
      <c r="AA1031" s="253"/>
      <c r="AB1031" s="253"/>
      <c r="AC1031" s="253"/>
      <c r="AD1031" s="253"/>
      <c r="AE1031" s="253"/>
    </row>
    <row r="1032" spans="1:31">
      <c r="A1032" s="33">
        <v>1031</v>
      </c>
      <c r="B1032" s="69" t="s">
        <v>1434</v>
      </c>
      <c r="C1032" s="69" t="s">
        <v>1203</v>
      </c>
      <c r="D1032" s="56">
        <v>42467</v>
      </c>
      <c r="F1032" s="56"/>
      <c r="G1032" s="69" t="str">
        <f t="shared" si="16"/>
        <v>Both</v>
      </c>
      <c r="H1032" s="69" t="s">
        <v>922</v>
      </c>
      <c r="J1032" s="69" t="s">
        <v>1434</v>
      </c>
      <c r="K1032" s="69" t="s">
        <v>1435</v>
      </c>
      <c r="L1032" s="253">
        <v>69</v>
      </c>
      <c r="M1032" s="253">
        <v>66.018000000000001</v>
      </c>
      <c r="N1032" s="253">
        <v>70.488292682926826</v>
      </c>
      <c r="O1032" s="253">
        <v>70.49157894736841</v>
      </c>
      <c r="P1032" s="253">
        <v>72</v>
      </c>
      <c r="Q1032" s="253">
        <v>61.339999999999996</v>
      </c>
      <c r="R1032" s="253">
        <v>67</v>
      </c>
      <c r="S1032" s="253">
        <v>79</v>
      </c>
      <c r="T1032" s="253">
        <v>0</v>
      </c>
      <c r="U1032" s="253">
        <v>62</v>
      </c>
      <c r="V1032" s="253">
        <v>39.995726497999996</v>
      </c>
      <c r="W1032" s="253">
        <v>76.8</v>
      </c>
      <c r="X1032" s="253">
        <v>64</v>
      </c>
      <c r="Y1032" s="253">
        <v>78</v>
      </c>
      <c r="Z1032" s="253">
        <v>56.999999999999993</v>
      </c>
      <c r="AA1032" s="253"/>
      <c r="AB1032" s="253"/>
      <c r="AC1032" s="253"/>
      <c r="AD1032" s="253"/>
      <c r="AE1032" s="253"/>
    </row>
    <row r="1033" spans="1:31">
      <c r="A1033" s="33">
        <v>1032</v>
      </c>
      <c r="B1033" s="69" t="s">
        <v>1434</v>
      </c>
      <c r="C1033" s="69" t="s">
        <v>1203</v>
      </c>
      <c r="D1033" s="56">
        <v>42467</v>
      </c>
      <c r="F1033" s="56"/>
      <c r="G1033" s="69" t="str">
        <f t="shared" si="16"/>
        <v>Both</v>
      </c>
      <c r="H1033" s="69" t="s">
        <v>922</v>
      </c>
      <c r="J1033" s="69" t="s">
        <v>1434</v>
      </c>
      <c r="K1033" s="69" t="s">
        <v>1436</v>
      </c>
      <c r="L1033" s="253">
        <v>50.324038462000011</v>
      </c>
      <c r="M1033" s="253">
        <v>55.649480003500003</v>
      </c>
      <c r="N1033" s="253">
        <v>53.444367281463421</v>
      </c>
      <c r="O1033" s="253">
        <v>56.432216564736848</v>
      </c>
      <c r="P1033" s="253">
        <v>50</v>
      </c>
      <c r="Q1033" s="253">
        <v>61.6</v>
      </c>
      <c r="R1033" s="253">
        <v>56.069843090000006</v>
      </c>
      <c r="S1033" s="253">
        <v>52</v>
      </c>
      <c r="T1033" s="253">
        <v>0</v>
      </c>
      <c r="U1033" s="253">
        <v>55</v>
      </c>
      <c r="V1033" s="253">
        <v>35.039503386999996</v>
      </c>
      <c r="W1033" s="253">
        <v>55</v>
      </c>
      <c r="X1033" s="253">
        <v>47.5</v>
      </c>
      <c r="Y1033" s="253">
        <v>58.837146699999998</v>
      </c>
      <c r="Z1033" s="253">
        <v>51.62019231</v>
      </c>
      <c r="AA1033" s="253"/>
      <c r="AB1033" s="253"/>
      <c r="AC1033" s="253"/>
      <c r="AD1033" s="253"/>
      <c r="AE1033" s="253"/>
    </row>
    <row r="1034" spans="1:31">
      <c r="A1034" s="33">
        <v>1033</v>
      </c>
      <c r="B1034" s="69" t="s">
        <v>1434</v>
      </c>
      <c r="C1034" s="69" t="s">
        <v>1203</v>
      </c>
      <c r="D1034" s="56">
        <v>42467</v>
      </c>
      <c r="F1034" s="56"/>
      <c r="G1034" s="69" t="str">
        <f t="shared" si="16"/>
        <v>Both</v>
      </c>
      <c r="H1034" s="69" t="s">
        <v>922</v>
      </c>
      <c r="J1034" s="69" t="s">
        <v>1434</v>
      </c>
      <c r="K1034" s="69" t="s">
        <v>1226</v>
      </c>
      <c r="L1034" s="253">
        <v>55.921951215999997</v>
      </c>
      <c r="M1034" s="253">
        <v>57.600439857499993</v>
      </c>
      <c r="N1034" s="253">
        <v>51.980355038536587</v>
      </c>
      <c r="O1034" s="253">
        <v>59.485869413684213</v>
      </c>
      <c r="P1034" s="253">
        <v>55.402439020000003</v>
      </c>
      <c r="Q1034" s="253">
        <v>54.61999999999999</v>
      </c>
      <c r="R1034" s="253">
        <v>58.305759430000002</v>
      </c>
      <c r="S1034" s="253">
        <v>58.999999999999993</v>
      </c>
      <c r="T1034" s="253">
        <v>0</v>
      </c>
      <c r="U1034" s="253">
        <v>57.999999999999993</v>
      </c>
      <c r="V1034" s="253">
        <v>36.548076921999993</v>
      </c>
      <c r="W1034" s="253">
        <v>52</v>
      </c>
      <c r="X1034" s="253">
        <v>48.125000000000007</v>
      </c>
      <c r="Y1034" s="253">
        <v>61</v>
      </c>
      <c r="Z1034" s="253">
        <v>57.999999999999993</v>
      </c>
      <c r="AA1034" s="253"/>
      <c r="AB1034" s="253"/>
      <c r="AC1034" s="253"/>
      <c r="AD1034" s="253"/>
      <c r="AE1034" s="253"/>
    </row>
    <row r="1035" spans="1:31">
      <c r="A1035" s="33">
        <v>1034</v>
      </c>
      <c r="B1035" s="69" t="s">
        <v>1434</v>
      </c>
      <c r="C1035" s="69" t="s">
        <v>1203</v>
      </c>
      <c r="D1035" s="56">
        <v>42467</v>
      </c>
      <c r="F1035" s="56"/>
      <c r="G1035" s="69" t="str">
        <f t="shared" si="16"/>
        <v>Both</v>
      </c>
      <c r="H1035" s="69" t="s">
        <v>922</v>
      </c>
      <c r="J1035" s="69" t="s">
        <v>1434</v>
      </c>
      <c r="K1035" s="69" t="s">
        <v>1437</v>
      </c>
      <c r="L1035" s="253">
        <v>54.075471698000001</v>
      </c>
      <c r="M1035" s="253">
        <v>60.637460189000002</v>
      </c>
      <c r="N1035" s="253">
        <v>57.352424003902435</v>
      </c>
      <c r="O1035" s="253">
        <v>61.159820377368419</v>
      </c>
      <c r="P1035" s="253">
        <v>56.000000000000007</v>
      </c>
      <c r="Q1035" s="253">
        <v>61.08</v>
      </c>
      <c r="R1035" s="253">
        <v>63.534897359999995</v>
      </c>
      <c r="S1035" s="253">
        <v>62</v>
      </c>
      <c r="T1035" s="253">
        <v>0</v>
      </c>
      <c r="U1035" s="253">
        <v>62</v>
      </c>
      <c r="V1035" s="253">
        <v>35.963882619000003</v>
      </c>
      <c r="W1035" s="253">
        <v>57.999999999999993</v>
      </c>
      <c r="X1035" s="253">
        <v>52.249999999999993</v>
      </c>
      <c r="Y1035" s="253">
        <v>68</v>
      </c>
      <c r="Z1035" s="253">
        <v>46.377358489999999</v>
      </c>
      <c r="AA1035" s="253"/>
      <c r="AB1035" s="253"/>
      <c r="AC1035" s="253"/>
      <c r="AD1035" s="253"/>
      <c r="AE1035" s="253"/>
    </row>
    <row r="1036" spans="1:31">
      <c r="A1036" s="33">
        <v>1035</v>
      </c>
      <c r="B1036" s="69" t="s">
        <v>1434</v>
      </c>
      <c r="C1036" s="69" t="s">
        <v>1203</v>
      </c>
      <c r="D1036" s="56">
        <v>42467</v>
      </c>
      <c r="F1036" s="56"/>
      <c r="G1036" s="69" t="str">
        <f t="shared" si="16"/>
        <v>Both</v>
      </c>
      <c r="H1036" s="69" t="s">
        <v>922</v>
      </c>
      <c r="J1036" s="69" t="s">
        <v>1434</v>
      </c>
      <c r="K1036" s="69" t="s">
        <v>1224</v>
      </c>
      <c r="L1036" s="253">
        <v>59.957603688000006</v>
      </c>
      <c r="M1036" s="253">
        <v>57.292513560000003</v>
      </c>
      <c r="N1036" s="253">
        <v>54.894446961951218</v>
      </c>
      <c r="O1036" s="253">
        <v>57.011795183157901</v>
      </c>
      <c r="P1036" s="253">
        <v>60.94700461</v>
      </c>
      <c r="Q1036" s="253">
        <v>55.86</v>
      </c>
      <c r="R1036" s="253">
        <v>54.682054239999999</v>
      </c>
      <c r="S1036" s="253">
        <v>57.999999999999993</v>
      </c>
      <c r="T1036" s="253">
        <v>0</v>
      </c>
      <c r="U1036" s="253">
        <v>61</v>
      </c>
      <c r="V1036" s="253">
        <v>38.665914223999998</v>
      </c>
      <c r="W1036" s="253">
        <v>54</v>
      </c>
      <c r="X1036" s="253">
        <v>56.25</v>
      </c>
      <c r="Y1036" s="253">
        <v>57.999999999999993</v>
      </c>
      <c r="Z1036" s="253">
        <v>56.000000000000007</v>
      </c>
      <c r="AA1036" s="253"/>
      <c r="AB1036" s="253"/>
      <c r="AC1036" s="253"/>
      <c r="AD1036" s="253"/>
      <c r="AE1036" s="253"/>
    </row>
    <row r="1037" spans="1:31">
      <c r="A1037" s="33">
        <v>1036</v>
      </c>
      <c r="B1037" s="69" t="s">
        <v>1434</v>
      </c>
      <c r="C1037" s="69" t="s">
        <v>1203</v>
      </c>
      <c r="D1037" s="56">
        <v>42467</v>
      </c>
      <c r="F1037" s="56"/>
      <c r="G1037" s="69" t="str">
        <f t="shared" si="16"/>
        <v>Both</v>
      </c>
      <c r="H1037" s="69" t="s">
        <v>922</v>
      </c>
      <c r="J1037" s="69" t="s">
        <v>1434</v>
      </c>
      <c r="K1037" s="69" t="s">
        <v>1438</v>
      </c>
      <c r="L1037" s="253">
        <v>51.56</v>
      </c>
      <c r="M1037" s="253">
        <v>54.409040580000003</v>
      </c>
      <c r="N1037" s="253">
        <v>49.428023754146338</v>
      </c>
      <c r="O1037" s="253">
        <v>53.974543402105269</v>
      </c>
      <c r="P1037" s="253">
        <v>51.7</v>
      </c>
      <c r="Q1037" s="253">
        <v>61.260000000000005</v>
      </c>
      <c r="R1037" s="253">
        <v>58.628162320000001</v>
      </c>
      <c r="S1037" s="253">
        <v>52</v>
      </c>
      <c r="T1037" s="253">
        <v>0</v>
      </c>
      <c r="U1037" s="253">
        <v>48</v>
      </c>
      <c r="V1037" s="253">
        <v>31.858974356999997</v>
      </c>
      <c r="W1037" s="253">
        <v>45</v>
      </c>
      <c r="X1037" s="253">
        <v>49.25</v>
      </c>
      <c r="Y1037" s="253">
        <v>54</v>
      </c>
      <c r="Z1037" s="253">
        <v>51</v>
      </c>
      <c r="AA1037" s="253"/>
      <c r="AB1037" s="253"/>
      <c r="AC1037" s="253"/>
      <c r="AD1037" s="253"/>
      <c r="AE1037" s="253"/>
    </row>
    <row r="1038" spans="1:31">
      <c r="A1038" s="33">
        <v>1037</v>
      </c>
      <c r="B1038" s="69" t="s">
        <v>1434</v>
      </c>
      <c r="C1038" s="69" t="s">
        <v>1203</v>
      </c>
      <c r="D1038" s="56">
        <v>42467</v>
      </c>
      <c r="F1038" s="56"/>
      <c r="G1038" s="69" t="str">
        <f t="shared" si="16"/>
        <v>Both</v>
      </c>
      <c r="H1038" s="69" t="s">
        <v>922</v>
      </c>
      <c r="J1038" s="69" t="s">
        <v>1434</v>
      </c>
      <c r="K1038" s="69" t="s">
        <v>1439</v>
      </c>
      <c r="L1038" s="253">
        <v>56.055609759999989</v>
      </c>
      <c r="M1038" s="253">
        <v>54.646960884500004</v>
      </c>
      <c r="N1038" s="253">
        <v>48.450345566829263</v>
      </c>
      <c r="O1038" s="253">
        <v>57.242649567894745</v>
      </c>
      <c r="P1038" s="253">
        <v>56.319512199999998</v>
      </c>
      <c r="Q1038" s="253">
        <v>60.040000000000006</v>
      </c>
      <c r="R1038" s="253">
        <v>55.224028039999993</v>
      </c>
      <c r="S1038" s="253">
        <v>52.122285710000007</v>
      </c>
      <c r="T1038" s="253">
        <v>0</v>
      </c>
      <c r="U1038" s="253">
        <v>51.633986929999999</v>
      </c>
      <c r="V1038" s="253">
        <v>33.436965813999997</v>
      </c>
      <c r="W1038" s="253">
        <v>46</v>
      </c>
      <c r="X1038" s="253">
        <v>46.25</v>
      </c>
      <c r="Y1038" s="253">
        <v>58.999999999999993</v>
      </c>
      <c r="Z1038" s="253">
        <v>55</v>
      </c>
      <c r="AA1038" s="253"/>
      <c r="AB1038" s="253"/>
      <c r="AC1038" s="253"/>
      <c r="AD1038" s="253"/>
      <c r="AE1038" s="253"/>
    </row>
    <row r="1039" spans="1:31">
      <c r="A1039" s="33">
        <v>1038</v>
      </c>
      <c r="B1039" s="69" t="s">
        <v>1818</v>
      </c>
      <c r="C1039" s="69" t="s">
        <v>740</v>
      </c>
      <c r="D1039" s="56">
        <v>42473</v>
      </c>
      <c r="F1039" s="56"/>
      <c r="G1039" s="69" t="str">
        <f t="shared" si="16"/>
        <v>Both</v>
      </c>
      <c r="H1039" s="69" t="s">
        <v>1775</v>
      </c>
      <c r="J1039" s="69" t="s">
        <v>1818</v>
      </c>
      <c r="K1039" s="69" t="s">
        <v>1818</v>
      </c>
      <c r="L1039" s="253">
        <v>52.4</v>
      </c>
      <c r="M1039" s="253">
        <v>47.652173913043484</v>
      </c>
      <c r="N1039" s="253">
        <v>45.724137931034477</v>
      </c>
      <c r="O1039" s="253">
        <v>46</v>
      </c>
      <c r="P1039" s="253">
        <v>54</v>
      </c>
      <c r="Q1039" s="253">
        <v>44</v>
      </c>
      <c r="R1039" s="253">
        <v>49</v>
      </c>
      <c r="S1039" s="253">
        <v>52</v>
      </c>
      <c r="T1039" s="253">
        <v>45</v>
      </c>
      <c r="U1039" s="253">
        <v>48</v>
      </c>
      <c r="V1039" s="253">
        <v>36.457534245999994</v>
      </c>
      <c r="W1039" s="253">
        <v>45</v>
      </c>
      <c r="X1039" s="253">
        <v>51.071428571428577</v>
      </c>
      <c r="Y1039" s="253">
        <v>45</v>
      </c>
      <c r="Z1039" s="253">
        <v>46</v>
      </c>
      <c r="AA1039" s="253"/>
      <c r="AB1039" s="253"/>
      <c r="AC1039" s="253"/>
      <c r="AD1039" s="253"/>
      <c r="AE1039" s="253"/>
    </row>
    <row r="1040" spans="1:31">
      <c r="A1040" s="33">
        <v>1039</v>
      </c>
      <c r="B1040" s="69" t="s">
        <v>1818</v>
      </c>
      <c r="C1040" s="69" t="s">
        <v>740</v>
      </c>
      <c r="D1040" s="56">
        <v>42473</v>
      </c>
      <c r="F1040" s="56"/>
      <c r="G1040" s="69" t="str">
        <f t="shared" si="16"/>
        <v>Both</v>
      </c>
      <c r="H1040" s="69" t="s">
        <v>1775</v>
      </c>
      <c r="J1040" s="69" t="s">
        <v>1818</v>
      </c>
      <c r="K1040" s="69" t="s">
        <v>1501</v>
      </c>
      <c r="L1040" s="253">
        <v>52.4</v>
      </c>
      <c r="M1040" s="253">
        <v>56.565217391304344</v>
      </c>
      <c r="N1040" s="253">
        <v>52.724137931034484</v>
      </c>
      <c r="O1040" s="253">
        <v>56.89473684210526</v>
      </c>
      <c r="P1040" s="253">
        <v>50</v>
      </c>
      <c r="Q1040" s="253">
        <v>55</v>
      </c>
      <c r="R1040" s="253">
        <v>54</v>
      </c>
      <c r="S1040" s="253">
        <v>57.999999999999993</v>
      </c>
      <c r="T1040" s="253">
        <v>55</v>
      </c>
      <c r="U1040" s="253">
        <v>57.999999999999993</v>
      </c>
      <c r="V1040" s="253">
        <v>46.256232686999994</v>
      </c>
      <c r="W1040" s="253">
        <v>52</v>
      </c>
      <c r="X1040" s="253">
        <v>54.910714285714278</v>
      </c>
      <c r="Y1040" s="253">
        <v>55</v>
      </c>
      <c r="Z1040" s="253">
        <v>62</v>
      </c>
      <c r="AA1040" s="253"/>
      <c r="AB1040" s="253"/>
      <c r="AC1040" s="253"/>
      <c r="AD1040" s="253"/>
      <c r="AE1040" s="253"/>
    </row>
    <row r="1041" spans="1:31">
      <c r="A1041" s="33">
        <v>1040</v>
      </c>
      <c r="B1041" s="69" t="s">
        <v>1818</v>
      </c>
      <c r="C1041" s="69" t="s">
        <v>740</v>
      </c>
      <c r="D1041" s="56">
        <v>42473</v>
      </c>
      <c r="F1041" s="56"/>
      <c r="G1041" s="69" t="str">
        <f t="shared" si="16"/>
        <v>Both</v>
      </c>
      <c r="H1041" s="69" t="s">
        <v>1775</v>
      </c>
      <c r="J1041" s="69" t="s">
        <v>1818</v>
      </c>
      <c r="K1041" s="69" t="s">
        <v>1083</v>
      </c>
      <c r="L1041" s="253">
        <v>59.4</v>
      </c>
      <c r="M1041" s="253">
        <v>57.347826086956523</v>
      </c>
      <c r="N1041" s="253">
        <v>57.517241379310335</v>
      </c>
      <c r="O1041" s="253">
        <v>53.473684210526315</v>
      </c>
      <c r="P1041" s="253">
        <v>60</v>
      </c>
      <c r="Q1041" s="253">
        <v>52</v>
      </c>
      <c r="R1041" s="253">
        <v>62</v>
      </c>
      <c r="S1041" s="253">
        <v>65</v>
      </c>
      <c r="T1041" s="253">
        <v>54</v>
      </c>
      <c r="U1041" s="253">
        <v>53</v>
      </c>
      <c r="V1041" s="253">
        <v>42.319034855999995</v>
      </c>
      <c r="W1041" s="253">
        <v>56.999999999999993</v>
      </c>
      <c r="X1041" s="253">
        <v>50.535714285714292</v>
      </c>
      <c r="Y1041" s="253">
        <v>49</v>
      </c>
      <c r="Z1041" s="253">
        <v>56.999999999999993</v>
      </c>
      <c r="AA1041" s="253"/>
      <c r="AB1041" s="253"/>
      <c r="AC1041" s="253"/>
      <c r="AD1041" s="253"/>
      <c r="AE1041" s="253"/>
    </row>
    <row r="1042" spans="1:31">
      <c r="A1042" s="33">
        <v>1041</v>
      </c>
      <c r="B1042" s="69" t="s">
        <v>1818</v>
      </c>
      <c r="C1042" s="69" t="s">
        <v>740</v>
      </c>
      <c r="D1042" s="56">
        <v>42473</v>
      </c>
      <c r="F1042" s="56"/>
      <c r="G1042" s="69" t="str">
        <f t="shared" si="16"/>
        <v>Both</v>
      </c>
      <c r="H1042" s="69" t="s">
        <v>1775</v>
      </c>
      <c r="J1042" s="69" t="s">
        <v>1818</v>
      </c>
      <c r="K1042" s="69" t="s">
        <v>1819</v>
      </c>
      <c r="L1042" s="253">
        <v>56.999999999999993</v>
      </c>
      <c r="M1042" s="253">
        <v>51.521739130434781</v>
      </c>
      <c r="N1042" s="253">
        <v>44.813793103448276</v>
      </c>
      <c r="O1042" s="253">
        <v>51.747368421052627</v>
      </c>
      <c r="P1042" s="253">
        <v>58.999999999999993</v>
      </c>
      <c r="Q1042" s="253">
        <v>44</v>
      </c>
      <c r="R1042" s="253">
        <v>54.6</v>
      </c>
      <c r="S1042" s="253">
        <v>55</v>
      </c>
      <c r="T1042" s="253">
        <v>51</v>
      </c>
      <c r="U1042" s="253">
        <v>53</v>
      </c>
      <c r="V1042" s="253">
        <v>43.138211382000001</v>
      </c>
      <c r="W1042" s="253">
        <v>42</v>
      </c>
      <c r="X1042" s="253">
        <v>56.785714285714285</v>
      </c>
      <c r="Y1042" s="253">
        <v>53</v>
      </c>
      <c r="Z1042" s="253">
        <v>49</v>
      </c>
      <c r="AA1042" s="253"/>
      <c r="AB1042" s="253"/>
      <c r="AC1042" s="253"/>
      <c r="AD1042" s="253"/>
      <c r="AE1042" s="253"/>
    </row>
    <row r="1043" spans="1:31">
      <c r="A1043" s="33">
        <v>1042</v>
      </c>
      <c r="B1043" s="69" t="s">
        <v>1818</v>
      </c>
      <c r="C1043" s="69" t="s">
        <v>740</v>
      </c>
      <c r="D1043" s="56">
        <v>42473</v>
      </c>
      <c r="F1043" s="56"/>
      <c r="G1043" s="69" t="str">
        <f t="shared" si="16"/>
        <v>Both</v>
      </c>
      <c r="H1043" s="69" t="s">
        <v>1775</v>
      </c>
      <c r="J1043" s="69" t="s">
        <v>1818</v>
      </c>
      <c r="K1043" s="69" t="s">
        <v>1820</v>
      </c>
      <c r="L1043" s="253">
        <v>55</v>
      </c>
      <c r="M1043" s="253">
        <v>50.434782608695649</v>
      </c>
      <c r="N1043" s="253">
        <v>51.068965517241381</v>
      </c>
      <c r="O1043" s="253">
        <v>41.94736842105263</v>
      </c>
      <c r="P1043" s="253">
        <v>58.999999999999993</v>
      </c>
      <c r="Q1043" s="253">
        <v>41</v>
      </c>
      <c r="R1043" s="253">
        <v>53</v>
      </c>
      <c r="S1043" s="253">
        <v>55</v>
      </c>
      <c r="T1043" s="253">
        <v>56.000000000000007</v>
      </c>
      <c r="U1043" s="253">
        <v>53</v>
      </c>
      <c r="V1043" s="253">
        <v>27.874999999</v>
      </c>
      <c r="W1043" s="253">
        <v>52</v>
      </c>
      <c r="X1043" s="253">
        <v>61.160714285714278</v>
      </c>
      <c r="Y1043" s="253">
        <v>40</v>
      </c>
      <c r="Z1043" s="253">
        <v>39</v>
      </c>
      <c r="AA1043" s="253"/>
      <c r="AB1043" s="253"/>
      <c r="AC1043" s="253"/>
      <c r="AD1043" s="253"/>
      <c r="AE1043" s="253"/>
    </row>
    <row r="1044" spans="1:31">
      <c r="A1044" s="33">
        <v>1043</v>
      </c>
      <c r="B1044" s="69" t="s">
        <v>1755</v>
      </c>
      <c r="C1044" s="69" t="s">
        <v>1232</v>
      </c>
      <c r="D1044" s="56">
        <v>42473</v>
      </c>
      <c r="F1044" s="56"/>
      <c r="G1044" s="69" t="str">
        <f t="shared" si="16"/>
        <v>User Registration</v>
      </c>
      <c r="H1044" s="69" t="s">
        <v>922</v>
      </c>
      <c r="J1044" s="69" t="s">
        <v>1755</v>
      </c>
      <c r="K1044" s="69" t="s">
        <v>1250</v>
      </c>
      <c r="L1044" s="253">
        <v>58.8</v>
      </c>
      <c r="M1044" s="253">
        <v>59.661879732608703</v>
      </c>
      <c r="N1044" s="253">
        <v>58.48448489317073</v>
      </c>
      <c r="O1044" s="253">
        <v>56.085331238947369</v>
      </c>
      <c r="P1044" s="253">
        <v>61</v>
      </c>
      <c r="Q1044" s="253">
        <v>55.98</v>
      </c>
      <c r="R1044" s="253">
        <v>61.820646769999996</v>
      </c>
      <c r="S1044" s="253">
        <v>66</v>
      </c>
      <c r="T1044" s="253">
        <v>63.400000000000013</v>
      </c>
      <c r="U1044" s="253">
        <v>56.999999999999993</v>
      </c>
      <c r="V1044" s="253"/>
      <c r="W1044" s="253">
        <v>57.999999999999993</v>
      </c>
      <c r="X1044" s="253">
        <v>58.25</v>
      </c>
      <c r="Y1044" s="253">
        <v>56.999999999999993</v>
      </c>
      <c r="Z1044" s="253">
        <v>50</v>
      </c>
      <c r="AA1044" s="253"/>
      <c r="AB1044" s="253"/>
      <c r="AC1044" s="253"/>
      <c r="AD1044" s="253"/>
      <c r="AE1044" s="253"/>
    </row>
    <row r="1045" spans="1:31">
      <c r="A1045" s="33">
        <v>1044</v>
      </c>
      <c r="B1045" s="69" t="s">
        <v>1755</v>
      </c>
      <c r="C1045" s="69" t="s">
        <v>1232</v>
      </c>
      <c r="D1045" s="56">
        <v>42473</v>
      </c>
      <c r="F1045" s="56"/>
      <c r="G1045" s="69" t="str">
        <f t="shared" si="16"/>
        <v>User Registration</v>
      </c>
      <c r="H1045" s="69" t="s">
        <v>922</v>
      </c>
      <c r="J1045" s="69" t="s">
        <v>1755</v>
      </c>
      <c r="K1045" s="69" t="s">
        <v>1821</v>
      </c>
      <c r="L1045" s="253">
        <v>64.8</v>
      </c>
      <c r="M1045" s="253">
        <v>59.232608695652175</v>
      </c>
      <c r="N1045" s="253">
        <v>52.7</v>
      </c>
      <c r="O1045" s="253">
        <v>54.310526315789474</v>
      </c>
      <c r="P1045" s="253">
        <v>69</v>
      </c>
      <c r="Q1045" s="253">
        <v>55.899999999999991</v>
      </c>
      <c r="R1045" s="253">
        <v>58.999999999999993</v>
      </c>
      <c r="S1045" s="253">
        <v>68</v>
      </c>
      <c r="T1045" s="253">
        <v>55.25</v>
      </c>
      <c r="U1045" s="253">
        <v>62</v>
      </c>
      <c r="V1045" s="253"/>
      <c r="W1045" s="253">
        <v>50</v>
      </c>
      <c r="X1045" s="253">
        <v>53.249999999999993</v>
      </c>
      <c r="Y1045" s="253">
        <v>55</v>
      </c>
      <c r="Z1045" s="253">
        <v>48</v>
      </c>
      <c r="AA1045" s="253"/>
      <c r="AB1045" s="253"/>
      <c r="AC1045" s="253"/>
      <c r="AD1045" s="253"/>
      <c r="AE1045" s="253"/>
    </row>
    <row r="1046" spans="1:31">
      <c r="A1046" s="33">
        <v>1045</v>
      </c>
      <c r="B1046" s="69" t="s">
        <v>1755</v>
      </c>
      <c r="C1046" s="69" t="s">
        <v>1232</v>
      </c>
      <c r="D1046" s="56">
        <v>42473</v>
      </c>
      <c r="F1046" s="56"/>
      <c r="G1046" s="69" t="str">
        <f t="shared" si="16"/>
        <v>User Registration</v>
      </c>
      <c r="H1046" s="69" t="s">
        <v>922</v>
      </c>
      <c r="J1046" s="69" t="s">
        <v>1755</v>
      </c>
      <c r="K1046" s="69" t="s">
        <v>1822</v>
      </c>
      <c r="L1046" s="253">
        <v>60.8</v>
      </c>
      <c r="M1046" s="253">
        <v>58.298260869565219</v>
      </c>
      <c r="N1046" s="253">
        <v>58.002926829268283</v>
      </c>
      <c r="O1046" s="253">
        <v>54.212631578947367</v>
      </c>
      <c r="P1046" s="253">
        <v>63</v>
      </c>
      <c r="Q1046" s="253">
        <v>54.04</v>
      </c>
      <c r="R1046" s="253">
        <v>60</v>
      </c>
      <c r="S1046" s="253">
        <v>66</v>
      </c>
      <c r="T1046" s="253">
        <v>53.900000000000006</v>
      </c>
      <c r="U1046" s="253">
        <v>58.999999999999993</v>
      </c>
      <c r="V1046" s="253"/>
      <c r="W1046" s="253">
        <v>61</v>
      </c>
      <c r="X1046" s="253">
        <v>53</v>
      </c>
      <c r="Y1046" s="253">
        <v>53</v>
      </c>
      <c r="Z1046" s="253">
        <v>52</v>
      </c>
      <c r="AA1046" s="253"/>
      <c r="AB1046" s="253"/>
      <c r="AC1046" s="253"/>
      <c r="AD1046" s="253"/>
      <c r="AE1046" s="253"/>
    </row>
    <row r="1047" spans="1:31">
      <c r="A1047" s="33">
        <v>1046</v>
      </c>
      <c r="B1047" s="69" t="s">
        <v>1755</v>
      </c>
      <c r="C1047" s="69" t="s">
        <v>1232</v>
      </c>
      <c r="D1047" s="56">
        <v>42473</v>
      </c>
      <c r="F1047" s="56"/>
      <c r="G1047" s="69" t="str">
        <f t="shared" si="16"/>
        <v>User Registration</v>
      </c>
      <c r="H1047" s="69" t="s">
        <v>922</v>
      </c>
      <c r="J1047" s="69" t="s">
        <v>1755</v>
      </c>
      <c r="K1047" s="69" t="s">
        <v>1755</v>
      </c>
      <c r="L1047" s="253">
        <v>56.399999999999991</v>
      </c>
      <c r="M1047" s="253">
        <v>49.255652173913042</v>
      </c>
      <c r="N1047" s="253">
        <v>45.113658536585362</v>
      </c>
      <c r="O1047" s="253">
        <v>48.38</v>
      </c>
      <c r="P1047" s="253">
        <v>58.999999999999993</v>
      </c>
      <c r="Q1047" s="253">
        <v>49.22</v>
      </c>
      <c r="R1047" s="253">
        <v>49</v>
      </c>
      <c r="S1047" s="253">
        <v>62</v>
      </c>
      <c r="T1047" s="253">
        <v>42</v>
      </c>
      <c r="U1047" s="253">
        <v>45</v>
      </c>
      <c r="V1047" s="253"/>
      <c r="W1047" s="253">
        <v>44</v>
      </c>
      <c r="X1047" s="253">
        <v>44</v>
      </c>
      <c r="Y1047" s="253">
        <v>48</v>
      </c>
      <c r="Z1047" s="253">
        <v>46</v>
      </c>
      <c r="AA1047" s="253"/>
      <c r="AB1047" s="253"/>
      <c r="AC1047" s="253"/>
      <c r="AD1047" s="253"/>
      <c r="AE1047" s="253"/>
    </row>
    <row r="1048" spans="1:31">
      <c r="A1048" s="33">
        <v>1047</v>
      </c>
      <c r="B1048" s="69" t="s">
        <v>1755</v>
      </c>
      <c r="C1048" s="69" t="s">
        <v>1232</v>
      </c>
      <c r="D1048" s="56">
        <v>42473</v>
      </c>
      <c r="F1048" s="56"/>
      <c r="G1048" s="69" t="str">
        <f t="shared" si="16"/>
        <v>User Registration</v>
      </c>
      <c r="H1048" s="69" t="s">
        <v>922</v>
      </c>
      <c r="J1048" s="69" t="s">
        <v>1755</v>
      </c>
      <c r="K1048" s="69" t="s">
        <v>1765</v>
      </c>
      <c r="L1048" s="253">
        <v>55.400000000000006</v>
      </c>
      <c r="M1048" s="253">
        <v>45.850869565217394</v>
      </c>
      <c r="N1048" s="253">
        <v>46.486341463414632</v>
      </c>
      <c r="O1048" s="253">
        <v>47.42</v>
      </c>
      <c r="P1048" s="253">
        <v>56.000000000000007</v>
      </c>
      <c r="Q1048" s="253">
        <v>37.980000000000004</v>
      </c>
      <c r="R1048" s="253">
        <v>45</v>
      </c>
      <c r="S1048" s="253">
        <v>57.999999999999993</v>
      </c>
      <c r="T1048" s="253">
        <v>46.55</v>
      </c>
      <c r="U1048" s="253">
        <v>40</v>
      </c>
      <c r="V1048" s="253"/>
      <c r="W1048" s="253">
        <v>46.999999999999993</v>
      </c>
      <c r="X1048" s="253">
        <v>48.5</v>
      </c>
      <c r="Y1048" s="253">
        <v>45</v>
      </c>
      <c r="Z1048" s="253">
        <v>53</v>
      </c>
      <c r="AA1048" s="253"/>
      <c r="AB1048" s="253"/>
      <c r="AC1048" s="253"/>
      <c r="AD1048" s="253"/>
      <c r="AE1048" s="253"/>
    </row>
    <row r="1049" spans="1:31">
      <c r="A1049" s="33">
        <v>1048</v>
      </c>
      <c r="B1049" s="69" t="s">
        <v>566</v>
      </c>
      <c r="C1049" s="69" t="s">
        <v>1203</v>
      </c>
      <c r="D1049" s="56">
        <v>42478</v>
      </c>
      <c r="F1049" s="56"/>
      <c r="G1049" s="69" t="str">
        <f t="shared" si="16"/>
        <v>E-Commerce</v>
      </c>
      <c r="H1049" s="69" t="s">
        <v>517</v>
      </c>
      <c r="J1049" s="69" t="s">
        <v>566</v>
      </c>
      <c r="K1049" s="69" t="s">
        <v>566</v>
      </c>
      <c r="L1049" s="253">
        <v>51.6</v>
      </c>
      <c r="M1049" s="253">
        <v>47.785714285714292</v>
      </c>
      <c r="N1049" s="253">
        <v>49.206896551724135</v>
      </c>
      <c r="O1049" s="253">
        <v>53.72442500526315</v>
      </c>
      <c r="P1049" s="253">
        <v>49</v>
      </c>
      <c r="Q1049" s="253">
        <v>53</v>
      </c>
      <c r="R1049" s="253">
        <v>48</v>
      </c>
      <c r="S1049" s="253">
        <v>46</v>
      </c>
      <c r="T1049" s="253">
        <v>41</v>
      </c>
      <c r="U1049" s="253">
        <v>42</v>
      </c>
      <c r="V1049" s="253">
        <v>49</v>
      </c>
      <c r="W1049" s="253"/>
      <c r="X1049" s="253"/>
      <c r="Y1049" s="253">
        <v>51.576407509999996</v>
      </c>
      <c r="Z1049" s="253">
        <v>62</v>
      </c>
      <c r="AA1049" s="253"/>
      <c r="AB1049" s="253"/>
      <c r="AC1049" s="253"/>
      <c r="AD1049" s="253"/>
      <c r="AE1049" s="253"/>
    </row>
    <row r="1050" spans="1:31">
      <c r="A1050" s="33">
        <v>1049</v>
      </c>
      <c r="B1050" s="69" t="s">
        <v>566</v>
      </c>
      <c r="C1050" s="69" t="s">
        <v>1203</v>
      </c>
      <c r="D1050" s="56">
        <v>42478</v>
      </c>
      <c r="F1050" s="56"/>
      <c r="G1050" s="69" t="str">
        <f t="shared" si="16"/>
        <v>E-Commerce</v>
      </c>
      <c r="H1050" s="69" t="s">
        <v>517</v>
      </c>
      <c r="J1050" s="69" t="s">
        <v>566</v>
      </c>
      <c r="K1050" s="69" t="s">
        <v>1575</v>
      </c>
      <c r="L1050" s="253">
        <v>52.6</v>
      </c>
      <c r="M1050" s="253">
        <v>55.821428571428577</v>
      </c>
      <c r="N1050" s="253">
        <v>51.344827586206897</v>
      </c>
      <c r="O1050" s="253">
        <v>55.78947368421052</v>
      </c>
      <c r="P1050" s="253">
        <v>50</v>
      </c>
      <c r="Q1050" s="253">
        <v>53</v>
      </c>
      <c r="R1050" s="253">
        <v>55</v>
      </c>
      <c r="S1050" s="253">
        <v>52</v>
      </c>
      <c r="T1050" s="253">
        <v>64</v>
      </c>
      <c r="U1050" s="253">
        <v>60</v>
      </c>
      <c r="V1050" s="253">
        <v>50</v>
      </c>
      <c r="W1050" s="253"/>
      <c r="X1050" s="253"/>
      <c r="Y1050" s="253">
        <v>53</v>
      </c>
      <c r="Z1050" s="253">
        <v>63</v>
      </c>
      <c r="AA1050" s="253"/>
      <c r="AB1050" s="253"/>
      <c r="AC1050" s="253"/>
      <c r="AD1050" s="253"/>
      <c r="AE1050" s="253"/>
    </row>
    <row r="1051" spans="1:31">
      <c r="A1051" s="33">
        <v>1050</v>
      </c>
      <c r="B1051" s="69" t="s">
        <v>566</v>
      </c>
      <c r="C1051" s="69" t="s">
        <v>1203</v>
      </c>
      <c r="D1051" s="56">
        <v>42478</v>
      </c>
      <c r="F1051" s="56"/>
      <c r="G1051" s="69" t="str">
        <f t="shared" si="16"/>
        <v>E-Commerce</v>
      </c>
      <c r="H1051" s="69" t="s">
        <v>517</v>
      </c>
      <c r="J1051" s="69" t="s">
        <v>566</v>
      </c>
      <c r="K1051" s="69" t="s">
        <v>1524</v>
      </c>
      <c r="L1051" s="253">
        <v>49.812560385999994</v>
      </c>
      <c r="M1051" s="253">
        <v>59.540200137857148</v>
      </c>
      <c r="N1051" s="253">
        <v>59.482758620689658</v>
      </c>
      <c r="O1051" s="253">
        <v>56.384947876315792</v>
      </c>
      <c r="P1051" s="253">
        <v>46.999999999999993</v>
      </c>
      <c r="Q1051" s="253">
        <v>63</v>
      </c>
      <c r="R1051" s="253">
        <v>56.000000000000007</v>
      </c>
      <c r="S1051" s="253">
        <v>51</v>
      </c>
      <c r="T1051" s="253">
        <v>63</v>
      </c>
      <c r="U1051" s="253">
        <v>64</v>
      </c>
      <c r="V1051" s="253">
        <v>60</v>
      </c>
      <c r="W1051" s="253"/>
      <c r="X1051" s="253"/>
      <c r="Y1051" s="253">
        <v>54</v>
      </c>
      <c r="Z1051" s="253">
        <v>61.062801929999999</v>
      </c>
      <c r="AA1051" s="253"/>
      <c r="AB1051" s="253"/>
      <c r="AC1051" s="253"/>
      <c r="AD1051" s="253"/>
      <c r="AE1051" s="253"/>
    </row>
    <row r="1052" spans="1:31">
      <c r="A1052" s="33">
        <v>1051</v>
      </c>
      <c r="B1052" s="69" t="s">
        <v>566</v>
      </c>
      <c r="C1052" s="69" t="s">
        <v>1203</v>
      </c>
      <c r="D1052" s="56">
        <v>42478</v>
      </c>
      <c r="F1052" s="56"/>
      <c r="G1052" s="69" t="str">
        <f t="shared" si="16"/>
        <v>E-Commerce</v>
      </c>
      <c r="H1052" s="69" t="s">
        <v>517</v>
      </c>
      <c r="J1052" s="69" t="s">
        <v>566</v>
      </c>
      <c r="K1052" s="69" t="s">
        <v>1573</v>
      </c>
      <c r="L1052" s="253">
        <v>58.494202898000005</v>
      </c>
      <c r="M1052" s="253">
        <v>58.212215320714286</v>
      </c>
      <c r="N1052" s="253">
        <v>57.137931034482769</v>
      </c>
      <c r="O1052" s="253">
        <v>60.545003813157891</v>
      </c>
      <c r="P1052" s="253">
        <v>56.999999999999993</v>
      </c>
      <c r="Q1052" s="253">
        <v>65</v>
      </c>
      <c r="R1052" s="253">
        <v>56.999999999999993</v>
      </c>
      <c r="S1052" s="253">
        <v>58.999999999999993</v>
      </c>
      <c r="T1052" s="253">
        <v>55</v>
      </c>
      <c r="U1052" s="253">
        <v>55</v>
      </c>
      <c r="V1052" s="253">
        <v>56.000000000000007</v>
      </c>
      <c r="W1052" s="253"/>
      <c r="X1052" s="253"/>
      <c r="Y1052" s="253">
        <v>58.999999999999993</v>
      </c>
      <c r="Z1052" s="253">
        <v>64.471014490000002</v>
      </c>
      <c r="AA1052" s="253"/>
      <c r="AB1052" s="253"/>
      <c r="AC1052" s="253"/>
      <c r="AD1052" s="253"/>
      <c r="AE1052" s="253"/>
    </row>
    <row r="1053" spans="1:31">
      <c r="A1053" s="33">
        <v>1052</v>
      </c>
      <c r="B1053" s="69" t="s">
        <v>1343</v>
      </c>
      <c r="C1053" s="69" t="s">
        <v>1203</v>
      </c>
      <c r="D1053" s="56">
        <v>42481</v>
      </c>
      <c r="G1053" s="69" t="str">
        <f t="shared" si="16"/>
        <v>User Registration</v>
      </c>
      <c r="H1053" s="69" t="s">
        <v>922</v>
      </c>
      <c r="J1053" s="69" t="s">
        <v>1343</v>
      </c>
      <c r="K1053" s="69" t="s">
        <v>1766</v>
      </c>
      <c r="L1053" s="253">
        <v>54.2</v>
      </c>
      <c r="M1053" s="253">
        <v>60.04999999999999</v>
      </c>
      <c r="N1053" s="253">
        <v>59.90243902439024</v>
      </c>
      <c r="O1053" s="253">
        <v>51.473684210526315</v>
      </c>
      <c r="P1053" s="253">
        <v>56.000000000000007</v>
      </c>
      <c r="Q1053" s="253">
        <v>64</v>
      </c>
      <c r="R1053" s="253">
        <v>60</v>
      </c>
      <c r="S1053" s="253">
        <v>58.999999999999993</v>
      </c>
      <c r="T1053" s="253">
        <v>0</v>
      </c>
      <c r="U1053" s="253">
        <v>63</v>
      </c>
      <c r="V1053" s="253"/>
      <c r="W1053" s="253">
        <v>64</v>
      </c>
      <c r="X1053" s="253">
        <v>52</v>
      </c>
      <c r="Y1053" s="253">
        <v>50</v>
      </c>
      <c r="Z1053" s="253">
        <v>46.999999999999993</v>
      </c>
      <c r="AA1053" s="253"/>
      <c r="AB1053" s="253"/>
      <c r="AC1053" s="253"/>
      <c r="AD1053" s="253"/>
      <c r="AE1053" s="253"/>
    </row>
    <row r="1054" spans="1:31">
      <c r="A1054" s="33">
        <v>1053</v>
      </c>
      <c r="B1054" s="69" t="s">
        <v>1343</v>
      </c>
      <c r="C1054" s="69" t="s">
        <v>1203</v>
      </c>
      <c r="D1054" s="56">
        <v>42481</v>
      </c>
      <c r="G1054" s="69" t="str">
        <f t="shared" si="16"/>
        <v>User Registration</v>
      </c>
      <c r="H1054" s="69" t="s">
        <v>922</v>
      </c>
      <c r="J1054" s="69" t="s">
        <v>1343</v>
      </c>
      <c r="K1054" s="69" t="s">
        <v>1343</v>
      </c>
      <c r="L1054" s="253">
        <v>55.904065040000006</v>
      </c>
      <c r="M1054" s="253">
        <v>57.949999999999989</v>
      </c>
      <c r="N1054" s="253">
        <v>59.390243902439018</v>
      </c>
      <c r="O1054" s="253">
        <v>55.68421052631578</v>
      </c>
      <c r="P1054" s="253">
        <v>57.630081300000001</v>
      </c>
      <c r="Q1054" s="253">
        <v>58.999999999999993</v>
      </c>
      <c r="R1054" s="253">
        <v>56.999999999999993</v>
      </c>
      <c r="S1054" s="253">
        <v>60</v>
      </c>
      <c r="T1054" s="253">
        <v>56.500000000000007</v>
      </c>
      <c r="U1054" s="253">
        <v>60</v>
      </c>
      <c r="V1054" s="253"/>
      <c r="W1054" s="253">
        <v>61</v>
      </c>
      <c r="X1054" s="253">
        <v>57.999999999999993</v>
      </c>
      <c r="Y1054" s="253">
        <v>57.999999999999993</v>
      </c>
      <c r="Z1054" s="253">
        <v>49</v>
      </c>
      <c r="AA1054" s="253"/>
      <c r="AB1054" s="253"/>
      <c r="AC1054" s="253"/>
      <c r="AD1054" s="253"/>
      <c r="AE1054" s="253"/>
    </row>
    <row r="1055" spans="1:31">
      <c r="A1055" s="33">
        <v>1054</v>
      </c>
      <c r="B1055" s="69" t="s">
        <v>1343</v>
      </c>
      <c r="C1055" s="69" t="s">
        <v>1203</v>
      </c>
      <c r="D1055" s="56">
        <v>42481</v>
      </c>
      <c r="F1055" s="56"/>
      <c r="G1055" s="69" t="str">
        <f t="shared" si="16"/>
        <v>User Registration</v>
      </c>
      <c r="H1055" s="69" t="s">
        <v>922</v>
      </c>
      <c r="J1055" s="69" t="s">
        <v>1343</v>
      </c>
      <c r="K1055" s="69" t="s">
        <v>1815</v>
      </c>
      <c r="L1055" s="253">
        <v>52.800000000000004</v>
      </c>
      <c r="M1055" s="253">
        <v>53.199999999999989</v>
      </c>
      <c r="N1055" s="253">
        <v>57.731707317073166</v>
      </c>
      <c r="O1055" s="253">
        <v>52.78947368421052</v>
      </c>
      <c r="P1055" s="253">
        <v>53</v>
      </c>
      <c r="Q1055" s="253">
        <v>56.999999999999993</v>
      </c>
      <c r="R1055" s="253">
        <v>54</v>
      </c>
      <c r="S1055" s="253">
        <v>48</v>
      </c>
      <c r="T1055" s="253">
        <v>53</v>
      </c>
      <c r="U1055" s="253">
        <v>54</v>
      </c>
      <c r="V1055" s="253"/>
      <c r="W1055" s="253">
        <v>56.999999999999993</v>
      </c>
      <c r="X1055" s="253">
        <v>61</v>
      </c>
      <c r="Y1055" s="253">
        <v>53</v>
      </c>
      <c r="Z1055" s="253">
        <v>52</v>
      </c>
      <c r="AA1055" s="253"/>
      <c r="AB1055" s="253"/>
      <c r="AC1055" s="253"/>
      <c r="AD1055" s="253"/>
      <c r="AE1055" s="253"/>
    </row>
    <row r="1056" spans="1:31">
      <c r="A1056" s="33">
        <v>1055</v>
      </c>
      <c r="B1056" s="69" t="s">
        <v>1343</v>
      </c>
      <c r="C1056" s="69" t="s">
        <v>1203</v>
      </c>
      <c r="D1056" s="56">
        <v>42481</v>
      </c>
      <c r="F1056" s="56"/>
      <c r="G1056" s="69" t="str">
        <f t="shared" si="16"/>
        <v>User Registration</v>
      </c>
      <c r="H1056" s="69" t="s">
        <v>922</v>
      </c>
      <c r="J1056" s="69" t="s">
        <v>1343</v>
      </c>
      <c r="K1056" s="69" t="s">
        <v>1344</v>
      </c>
      <c r="L1056" s="253">
        <v>58.599999999999994</v>
      </c>
      <c r="M1056" s="253">
        <v>51.95</v>
      </c>
      <c r="N1056" s="253">
        <v>51.609756097560975</v>
      </c>
      <c r="O1056" s="253">
        <v>57.368421052631575</v>
      </c>
      <c r="P1056" s="253">
        <v>58.999999999999993</v>
      </c>
      <c r="Q1056" s="253">
        <v>52</v>
      </c>
      <c r="R1056" s="253">
        <v>50</v>
      </c>
      <c r="S1056" s="253">
        <v>53</v>
      </c>
      <c r="T1056" s="253">
        <v>49</v>
      </c>
      <c r="U1056" s="253">
        <v>51</v>
      </c>
      <c r="V1056" s="253"/>
      <c r="W1056" s="253">
        <v>53</v>
      </c>
      <c r="X1056" s="253">
        <v>50</v>
      </c>
      <c r="Y1056" s="253">
        <v>60</v>
      </c>
      <c r="Z1056" s="253">
        <v>56.999999999999993</v>
      </c>
      <c r="AA1056" s="253"/>
      <c r="AB1056" s="253"/>
      <c r="AC1056" s="253"/>
      <c r="AD1056" s="253"/>
      <c r="AE1056" s="253"/>
    </row>
    <row r="1057" spans="1:31">
      <c r="A1057" s="33">
        <v>1056</v>
      </c>
      <c r="B1057" s="69" t="s">
        <v>1343</v>
      </c>
      <c r="C1057" s="69" t="s">
        <v>1203</v>
      </c>
      <c r="D1057" s="56">
        <v>42481</v>
      </c>
      <c r="F1057" s="56"/>
      <c r="G1057" s="69" t="str">
        <f t="shared" si="16"/>
        <v>User Registration</v>
      </c>
      <c r="H1057" s="69" t="s">
        <v>922</v>
      </c>
      <c r="J1057" s="69" t="s">
        <v>1343</v>
      </c>
      <c r="K1057" s="69" t="s">
        <v>1816</v>
      </c>
      <c r="L1057" s="253">
        <v>62</v>
      </c>
      <c r="M1057" s="253">
        <v>57.95</v>
      </c>
      <c r="N1057" s="253">
        <v>57.90243902439024</v>
      </c>
      <c r="O1057" s="253">
        <v>60</v>
      </c>
      <c r="P1057" s="253">
        <v>65</v>
      </c>
      <c r="Q1057" s="253">
        <v>50</v>
      </c>
      <c r="R1057" s="253">
        <v>62</v>
      </c>
      <c r="S1057" s="253">
        <v>66</v>
      </c>
      <c r="T1057" s="253">
        <v>0</v>
      </c>
      <c r="U1057" s="253">
        <v>56.999999999999993</v>
      </c>
      <c r="V1057" s="253"/>
      <c r="W1057" s="253">
        <v>58.999999999999993</v>
      </c>
      <c r="X1057" s="253">
        <v>56.000000000000007</v>
      </c>
      <c r="Y1057" s="253">
        <v>65</v>
      </c>
      <c r="Z1057" s="253">
        <v>50</v>
      </c>
      <c r="AA1057" s="253"/>
      <c r="AB1057" s="253"/>
      <c r="AC1057" s="253"/>
      <c r="AD1057" s="253"/>
      <c r="AE1057" s="253">
        <v>58.999999999999993</v>
      </c>
    </row>
    <row r="1058" spans="1:31">
      <c r="A1058" s="33">
        <v>1057</v>
      </c>
      <c r="B1058" s="69" t="s">
        <v>1343</v>
      </c>
      <c r="C1058" s="69" t="s">
        <v>1203</v>
      </c>
      <c r="D1058" s="56">
        <v>42481</v>
      </c>
      <c r="F1058" s="56"/>
      <c r="G1058" s="69" t="str">
        <f t="shared" si="16"/>
        <v>User Registration</v>
      </c>
      <c r="H1058" s="69" t="s">
        <v>922</v>
      </c>
      <c r="J1058" s="69" t="s">
        <v>1343</v>
      </c>
      <c r="K1058" s="69" t="s">
        <v>1817</v>
      </c>
      <c r="L1058" s="253">
        <v>50.6</v>
      </c>
      <c r="M1058" s="253">
        <v>48.850000000000009</v>
      </c>
      <c r="N1058" s="253">
        <v>49.585365853658544</v>
      </c>
      <c r="O1058" s="253">
        <v>49.684210526315788</v>
      </c>
      <c r="P1058" s="253">
        <v>50</v>
      </c>
      <c r="Q1058" s="253">
        <v>45</v>
      </c>
      <c r="R1058" s="253">
        <v>55</v>
      </c>
      <c r="S1058" s="253">
        <v>44</v>
      </c>
      <c r="T1058" s="253">
        <v>0</v>
      </c>
      <c r="U1058" s="253">
        <v>48</v>
      </c>
      <c r="V1058" s="253"/>
      <c r="W1058" s="253">
        <v>46</v>
      </c>
      <c r="X1058" s="253">
        <v>54</v>
      </c>
      <c r="Y1058" s="253">
        <v>48</v>
      </c>
      <c r="Z1058" s="253">
        <v>53</v>
      </c>
      <c r="AA1058" s="253"/>
      <c r="AB1058" s="253"/>
      <c r="AC1058" s="253"/>
      <c r="AD1058" s="253"/>
      <c r="AE1058" s="253">
        <v>49</v>
      </c>
    </row>
    <row r="1059" spans="1:31">
      <c r="A1059" s="33">
        <v>1058</v>
      </c>
      <c r="B1059" s="69" t="s">
        <v>1811</v>
      </c>
      <c r="C1059" s="69" t="s">
        <v>740</v>
      </c>
      <c r="D1059" s="56">
        <v>42482</v>
      </c>
      <c r="F1059" s="56"/>
      <c r="G1059" s="69" t="str">
        <f t="shared" si="16"/>
        <v>E-Commerce</v>
      </c>
      <c r="H1059" s="69" t="s">
        <v>741</v>
      </c>
      <c r="J1059" s="69" t="s">
        <v>1811</v>
      </c>
      <c r="K1059" s="69" t="s">
        <v>1811</v>
      </c>
      <c r="L1059" s="253">
        <v>49.2</v>
      </c>
      <c r="M1059" s="253">
        <v>52.357142857142854</v>
      </c>
      <c r="N1059" s="253">
        <v>55.994760740482015</v>
      </c>
      <c r="O1059" s="253">
        <v>56.526315789473692</v>
      </c>
      <c r="P1059" s="253">
        <v>48</v>
      </c>
      <c r="Q1059" s="253">
        <v>46.999999999999993</v>
      </c>
      <c r="R1059" s="253">
        <v>53</v>
      </c>
      <c r="S1059" s="253">
        <v>51</v>
      </c>
      <c r="T1059" s="253">
        <v>56.999999999999993</v>
      </c>
      <c r="U1059" s="253">
        <v>50</v>
      </c>
      <c r="V1059" s="253">
        <v>56.000000000000007</v>
      </c>
      <c r="W1059" s="253"/>
      <c r="X1059" s="253">
        <v>51</v>
      </c>
      <c r="Y1059" s="253">
        <v>60</v>
      </c>
      <c r="Z1059" s="253">
        <v>54</v>
      </c>
      <c r="AA1059" s="253"/>
      <c r="AB1059" s="253"/>
      <c r="AC1059" s="253"/>
      <c r="AD1059" s="253"/>
      <c r="AE1059" s="253">
        <v>56.999999999999993</v>
      </c>
    </row>
    <row r="1060" spans="1:31">
      <c r="A1060" s="33">
        <v>1059</v>
      </c>
      <c r="B1060" s="69" t="s">
        <v>1811</v>
      </c>
      <c r="C1060" s="69" t="s">
        <v>740</v>
      </c>
      <c r="D1060" s="56">
        <v>42482</v>
      </c>
      <c r="F1060" s="56"/>
      <c r="G1060" s="69" t="str">
        <f t="shared" si="16"/>
        <v>E-Commerce</v>
      </c>
      <c r="H1060" s="69" t="s">
        <v>741</v>
      </c>
      <c r="J1060" s="69" t="s">
        <v>1811</v>
      </c>
      <c r="K1060" s="69" t="s">
        <v>1812</v>
      </c>
      <c r="L1060" s="253">
        <v>56.999999999999993</v>
      </c>
      <c r="M1060" s="253">
        <v>56.321428571428562</v>
      </c>
      <c r="N1060" s="253">
        <v>58.963025797115911</v>
      </c>
      <c r="O1060" s="253">
        <v>57.68421052631578</v>
      </c>
      <c r="P1060" s="253">
        <v>57.999999999999993</v>
      </c>
      <c r="Q1060" s="253">
        <v>48</v>
      </c>
      <c r="R1060" s="253">
        <v>58.999999999999993</v>
      </c>
      <c r="S1060" s="253">
        <v>55</v>
      </c>
      <c r="T1060" s="253">
        <v>63</v>
      </c>
      <c r="U1060" s="253">
        <v>56.000000000000007</v>
      </c>
      <c r="V1060" s="253">
        <v>58.999999999999993</v>
      </c>
      <c r="W1060" s="253"/>
      <c r="X1060" s="253"/>
      <c r="Y1060" s="253">
        <v>61</v>
      </c>
      <c r="Z1060" s="253">
        <v>53</v>
      </c>
      <c r="AA1060" s="253"/>
      <c r="AB1060" s="253"/>
      <c r="AC1060" s="253"/>
      <c r="AD1060" s="253"/>
      <c r="AE1060" s="253">
        <v>65</v>
      </c>
    </row>
    <row r="1061" spans="1:31">
      <c r="A1061" s="33">
        <v>1060</v>
      </c>
      <c r="B1061" s="69" t="s">
        <v>1811</v>
      </c>
      <c r="C1061" s="69" t="s">
        <v>740</v>
      </c>
      <c r="D1061" s="56">
        <v>42482</v>
      </c>
      <c r="F1061" s="56"/>
      <c r="G1061" s="69" t="str">
        <f t="shared" si="16"/>
        <v>E-Commerce</v>
      </c>
      <c r="H1061" s="69" t="s">
        <v>741</v>
      </c>
      <c r="J1061" s="69" t="s">
        <v>1811</v>
      </c>
      <c r="K1061" s="69" t="s">
        <v>1813</v>
      </c>
      <c r="L1061" s="253">
        <v>47.2</v>
      </c>
      <c r="M1061" s="253">
        <v>51.571428571428569</v>
      </c>
      <c r="N1061" s="253">
        <v>51.970360760441089</v>
      </c>
      <c r="O1061" s="253">
        <v>49.736842105263158</v>
      </c>
      <c r="P1061" s="253">
        <v>48</v>
      </c>
      <c r="Q1061" s="253">
        <v>50</v>
      </c>
      <c r="R1061" s="253">
        <v>57.999999999999993</v>
      </c>
      <c r="S1061" s="253">
        <v>49</v>
      </c>
      <c r="T1061" s="253">
        <v>50</v>
      </c>
      <c r="U1061" s="253">
        <v>52</v>
      </c>
      <c r="V1061" s="253">
        <v>52</v>
      </c>
      <c r="W1061" s="253"/>
      <c r="X1061" s="253"/>
      <c r="Y1061" s="253">
        <v>51</v>
      </c>
      <c r="Z1061" s="253">
        <v>44</v>
      </c>
      <c r="AA1061" s="253"/>
      <c r="AB1061" s="253"/>
      <c r="AC1061" s="253"/>
      <c r="AD1061" s="253"/>
      <c r="AE1061" s="253">
        <v>62</v>
      </c>
    </row>
    <row r="1062" spans="1:31">
      <c r="A1062" s="33">
        <v>1061</v>
      </c>
      <c r="B1062" s="69" t="s">
        <v>1811</v>
      </c>
      <c r="C1062" s="69" t="s">
        <v>740</v>
      </c>
      <c r="D1062" s="56">
        <v>42482</v>
      </c>
      <c r="F1062" s="56"/>
      <c r="G1062" s="69" t="str">
        <f t="shared" si="16"/>
        <v>E-Commerce</v>
      </c>
      <c r="H1062" s="69" t="s">
        <v>741</v>
      </c>
      <c r="J1062" s="69" t="s">
        <v>1811</v>
      </c>
      <c r="K1062" s="69" t="s">
        <v>1314</v>
      </c>
      <c r="L1062" s="253">
        <v>59.20000000000001</v>
      </c>
      <c r="M1062" s="253">
        <v>58.821428571428577</v>
      </c>
      <c r="N1062" s="253">
        <v>53.971558305473778</v>
      </c>
      <c r="O1062" s="253">
        <v>58.842105263157897</v>
      </c>
      <c r="P1062" s="253">
        <v>60</v>
      </c>
      <c r="Q1062" s="253">
        <v>64</v>
      </c>
      <c r="R1062" s="253">
        <v>62</v>
      </c>
      <c r="S1062" s="253">
        <v>60</v>
      </c>
      <c r="T1062" s="253">
        <v>57.999999999999993</v>
      </c>
      <c r="U1062" s="253">
        <v>56.999999999999993</v>
      </c>
      <c r="V1062" s="253">
        <v>54</v>
      </c>
      <c r="W1062" s="253"/>
      <c r="X1062" s="253"/>
      <c r="Y1062" s="253">
        <v>58.999999999999993</v>
      </c>
      <c r="Z1062" s="253">
        <v>56.000000000000007</v>
      </c>
      <c r="AA1062" s="253"/>
      <c r="AB1062" s="253"/>
      <c r="AC1062" s="253"/>
      <c r="AD1062" s="253"/>
      <c r="AE1062" s="253">
        <v>66</v>
      </c>
    </row>
    <row r="1063" spans="1:31">
      <c r="A1063" s="33">
        <v>1062</v>
      </c>
      <c r="B1063" s="69" t="s">
        <v>1811</v>
      </c>
      <c r="C1063" s="69" t="s">
        <v>740</v>
      </c>
      <c r="D1063" s="56">
        <v>42482</v>
      </c>
      <c r="F1063" s="56"/>
      <c r="G1063" s="69" t="str">
        <f t="shared" si="16"/>
        <v>E-Commerce</v>
      </c>
      <c r="H1063" s="69" t="s">
        <v>741</v>
      </c>
      <c r="J1063" s="69" t="s">
        <v>1811</v>
      </c>
      <c r="K1063" s="69" t="s">
        <v>1814</v>
      </c>
      <c r="L1063" s="253">
        <v>59.400000000000006</v>
      </c>
      <c r="M1063" s="253">
        <v>56.714285714285715</v>
      </c>
      <c r="N1063" s="253">
        <v>51.970809839828348</v>
      </c>
      <c r="O1063" s="253">
        <v>57.210526315789465</v>
      </c>
      <c r="P1063" s="253">
        <v>62</v>
      </c>
      <c r="Q1063" s="253">
        <v>45</v>
      </c>
      <c r="R1063" s="253">
        <v>62</v>
      </c>
      <c r="S1063" s="253">
        <v>63</v>
      </c>
      <c r="T1063" s="253">
        <v>56.000000000000007</v>
      </c>
      <c r="U1063" s="253">
        <v>64</v>
      </c>
      <c r="V1063" s="253">
        <v>52</v>
      </c>
      <c r="W1063" s="253"/>
      <c r="X1063" s="253"/>
      <c r="Y1063" s="253">
        <v>61</v>
      </c>
      <c r="Z1063" s="253">
        <v>49</v>
      </c>
      <c r="AA1063" s="253"/>
      <c r="AB1063" s="253"/>
      <c r="AC1063" s="253"/>
      <c r="AD1063" s="253"/>
      <c r="AE1063" s="253">
        <v>57.999999999999993</v>
      </c>
    </row>
    <row r="1064" spans="1:31">
      <c r="A1064" s="33">
        <v>1063</v>
      </c>
      <c r="B1064" s="69" t="s">
        <v>1629</v>
      </c>
      <c r="C1064" s="69" t="s">
        <v>740</v>
      </c>
      <c r="D1064" s="56">
        <v>42487</v>
      </c>
      <c r="G1064" s="69" t="str">
        <f t="shared" si="16"/>
        <v>User Registration</v>
      </c>
      <c r="H1064" s="69" t="s">
        <v>922</v>
      </c>
      <c r="J1064" s="69" t="s">
        <v>1629</v>
      </c>
      <c r="K1064" s="69" t="s">
        <v>1626</v>
      </c>
      <c r="L1064" s="253">
        <v>55.399999999999991</v>
      </c>
      <c r="M1064" s="253">
        <v>57.043478260869563</v>
      </c>
      <c r="N1064" s="253">
        <v>60.268292682926813</v>
      </c>
      <c r="O1064" s="253">
        <v>53.526315789473678</v>
      </c>
      <c r="P1064" s="253">
        <v>55</v>
      </c>
      <c r="Q1064" s="253">
        <v>63</v>
      </c>
      <c r="R1064" s="253">
        <v>56.999999999999993</v>
      </c>
      <c r="S1064" s="253">
        <v>55</v>
      </c>
      <c r="T1064" s="253">
        <v>52</v>
      </c>
      <c r="U1064" s="253">
        <v>56.999999999999993</v>
      </c>
      <c r="V1064" s="253"/>
      <c r="W1064" s="253">
        <v>57.999999999999993</v>
      </c>
      <c r="X1064" s="253">
        <v>65</v>
      </c>
      <c r="Y1064" s="253">
        <v>50</v>
      </c>
      <c r="Z1064" s="253">
        <v>56.999999999999993</v>
      </c>
      <c r="AA1064" s="253"/>
      <c r="AB1064" s="253"/>
      <c r="AC1064" s="253"/>
      <c r="AD1064" s="253"/>
      <c r="AE1064" s="253">
        <v>53.79999999999999</v>
      </c>
    </row>
    <row r="1065" spans="1:31">
      <c r="A1065" s="33">
        <v>1064</v>
      </c>
      <c r="B1065" s="69" t="s">
        <v>1799</v>
      </c>
      <c r="C1065" s="69" t="s">
        <v>740</v>
      </c>
      <c r="D1065" s="56">
        <v>42487</v>
      </c>
      <c r="G1065" s="69" t="str">
        <f t="shared" si="16"/>
        <v>User Registration</v>
      </c>
      <c r="H1065" s="69" t="s">
        <v>974</v>
      </c>
      <c r="J1065" s="69" t="s">
        <v>1799</v>
      </c>
      <c r="K1065" s="69" t="s">
        <v>1800</v>
      </c>
      <c r="L1065" s="253">
        <v>60.800000000000011</v>
      </c>
      <c r="M1065" s="253">
        <v>59.913043478260875</v>
      </c>
      <c r="N1065" s="253">
        <v>54.414634146341463</v>
      </c>
      <c r="O1065" s="253">
        <v>56.315789473684205</v>
      </c>
      <c r="P1065" s="253">
        <v>62</v>
      </c>
      <c r="Q1065" s="253">
        <v>61</v>
      </c>
      <c r="R1065" s="253">
        <v>57.999999999999993</v>
      </c>
      <c r="S1065" s="253">
        <v>63</v>
      </c>
      <c r="T1065" s="253">
        <v>55</v>
      </c>
      <c r="U1065" s="253">
        <v>63</v>
      </c>
      <c r="V1065" s="253"/>
      <c r="W1065" s="253">
        <v>52</v>
      </c>
      <c r="X1065" s="253">
        <v>55</v>
      </c>
      <c r="Y1065" s="253">
        <v>55</v>
      </c>
      <c r="Z1065" s="253">
        <v>56.000000000000007</v>
      </c>
      <c r="AA1065" s="253"/>
      <c r="AB1065" s="253"/>
      <c r="AC1065" s="253"/>
      <c r="AD1065" s="253"/>
      <c r="AE1065" s="253"/>
    </row>
    <row r="1066" spans="1:31">
      <c r="A1066" s="33">
        <v>1065</v>
      </c>
      <c r="B1066" s="69" t="s">
        <v>1799</v>
      </c>
      <c r="C1066" s="69" t="s">
        <v>740</v>
      </c>
      <c r="D1066" s="56">
        <v>42487</v>
      </c>
      <c r="F1066" s="56"/>
      <c r="G1066" s="69" t="str">
        <f t="shared" si="16"/>
        <v>User Registration</v>
      </c>
      <c r="H1066" s="69" t="s">
        <v>974</v>
      </c>
      <c r="J1066" s="69" t="s">
        <v>1799</v>
      </c>
      <c r="K1066" s="69" t="s">
        <v>1801</v>
      </c>
      <c r="L1066" s="253">
        <v>52.4</v>
      </c>
      <c r="M1066" s="253">
        <v>54.304347826086961</v>
      </c>
      <c r="N1066" s="253">
        <v>50.048780487804876</v>
      </c>
      <c r="O1066" s="253">
        <v>52.789473684210527</v>
      </c>
      <c r="P1066" s="253">
        <v>52</v>
      </c>
      <c r="Q1066" s="253">
        <v>56.000000000000007</v>
      </c>
      <c r="R1066" s="253">
        <v>56.000000000000007</v>
      </c>
      <c r="S1066" s="253">
        <v>55</v>
      </c>
      <c r="T1066" s="253">
        <v>58.999999999999993</v>
      </c>
      <c r="U1066" s="253">
        <v>48</v>
      </c>
      <c r="V1066" s="253"/>
      <c r="W1066" s="253">
        <v>48</v>
      </c>
      <c r="X1066" s="253">
        <v>49</v>
      </c>
      <c r="Y1066" s="253">
        <v>51</v>
      </c>
      <c r="Z1066" s="253">
        <v>54</v>
      </c>
      <c r="AA1066" s="253"/>
      <c r="AB1066" s="253"/>
      <c r="AC1066" s="253"/>
      <c r="AD1066" s="253"/>
      <c r="AE1066" s="253"/>
    </row>
    <row r="1067" spans="1:31">
      <c r="A1067" s="33">
        <v>1066</v>
      </c>
      <c r="B1067" s="69" t="s">
        <v>1799</v>
      </c>
      <c r="C1067" s="69" t="s">
        <v>740</v>
      </c>
      <c r="D1067" s="56">
        <v>42487</v>
      </c>
      <c r="F1067" s="56"/>
      <c r="G1067" s="69" t="str">
        <f t="shared" si="16"/>
        <v>User Registration</v>
      </c>
      <c r="H1067" s="69" t="s">
        <v>974</v>
      </c>
      <c r="J1067" s="69" t="s">
        <v>1799</v>
      </c>
      <c r="K1067" s="69" t="s">
        <v>1802</v>
      </c>
      <c r="L1067" s="253">
        <v>54.79999999999999</v>
      </c>
      <c r="M1067" s="253">
        <v>58.391304347826086</v>
      </c>
      <c r="N1067" s="253">
        <v>57.926829268292686</v>
      </c>
      <c r="O1067" s="253">
        <v>58.052631578947377</v>
      </c>
      <c r="P1067" s="253">
        <v>55</v>
      </c>
      <c r="Q1067" s="253">
        <v>55</v>
      </c>
      <c r="R1067" s="253">
        <v>61</v>
      </c>
      <c r="S1067" s="253">
        <v>66</v>
      </c>
      <c r="T1067" s="253">
        <v>56.999999999999993</v>
      </c>
      <c r="U1067" s="253">
        <v>55</v>
      </c>
      <c r="V1067" s="253"/>
      <c r="W1067" s="253">
        <v>55</v>
      </c>
      <c r="X1067" s="253">
        <v>62</v>
      </c>
      <c r="Y1067" s="253">
        <v>58.999999999999993</v>
      </c>
      <c r="Z1067" s="253">
        <v>54</v>
      </c>
      <c r="AA1067" s="253"/>
      <c r="AB1067" s="253"/>
      <c r="AC1067" s="253"/>
      <c r="AD1067" s="253"/>
      <c r="AE1067" s="253"/>
    </row>
    <row r="1068" spans="1:31">
      <c r="A1068" s="33">
        <v>1067</v>
      </c>
      <c r="B1068" s="69" t="s">
        <v>1803</v>
      </c>
      <c r="C1068" s="69" t="s">
        <v>740</v>
      </c>
      <c r="D1068" s="56">
        <v>42487</v>
      </c>
      <c r="F1068" s="56"/>
      <c r="G1068" s="69" t="str">
        <f t="shared" si="16"/>
        <v>User Registration</v>
      </c>
      <c r="H1068" s="69" t="s">
        <v>922</v>
      </c>
      <c r="J1068" s="69" t="s">
        <v>1803</v>
      </c>
      <c r="K1068" s="69" t="s">
        <v>1804</v>
      </c>
      <c r="L1068" s="253">
        <v>53</v>
      </c>
      <c r="M1068" s="253">
        <v>47.565217391304344</v>
      </c>
      <c r="N1068" s="253">
        <v>53.365853658536579</v>
      </c>
      <c r="O1068" s="253">
        <v>56.68421052631578</v>
      </c>
      <c r="P1068" s="253">
        <v>53</v>
      </c>
      <c r="Q1068" s="253">
        <v>54</v>
      </c>
      <c r="R1068" s="253">
        <v>55</v>
      </c>
      <c r="S1068" s="253">
        <v>57.999999999999993</v>
      </c>
      <c r="T1068" s="253">
        <v>51</v>
      </c>
      <c r="U1068" s="253">
        <v>53</v>
      </c>
      <c r="V1068" s="253"/>
      <c r="W1068" s="253">
        <v>53</v>
      </c>
      <c r="X1068" s="253">
        <v>53</v>
      </c>
      <c r="Y1068" s="253">
        <v>58.999999999999993</v>
      </c>
      <c r="Z1068" s="253">
        <v>53</v>
      </c>
      <c r="AA1068" s="253"/>
      <c r="AB1068" s="253"/>
      <c r="AC1068" s="253"/>
      <c r="AD1068" s="253"/>
      <c r="AE1068" s="253"/>
    </row>
    <row r="1069" spans="1:31">
      <c r="A1069" s="33">
        <v>1068</v>
      </c>
      <c r="B1069" s="69" t="s">
        <v>1799</v>
      </c>
      <c r="C1069" s="69" t="s">
        <v>740</v>
      </c>
      <c r="D1069" s="56">
        <v>42487</v>
      </c>
      <c r="F1069" s="56"/>
      <c r="G1069" s="69" t="str">
        <f t="shared" si="16"/>
        <v>User Registration</v>
      </c>
      <c r="H1069" s="69" t="s">
        <v>974</v>
      </c>
      <c r="J1069" s="69" t="s">
        <v>1799</v>
      </c>
      <c r="K1069" s="69" t="s">
        <v>1805</v>
      </c>
      <c r="L1069" s="253">
        <v>54.2</v>
      </c>
      <c r="M1069" s="253">
        <v>52.739130434782609</v>
      </c>
      <c r="N1069" s="253">
        <v>51.219512195121951</v>
      </c>
      <c r="O1069" s="253">
        <v>51.105263157894733</v>
      </c>
      <c r="P1069" s="253">
        <v>55</v>
      </c>
      <c r="Q1069" s="253">
        <v>54</v>
      </c>
      <c r="R1069" s="253">
        <v>51</v>
      </c>
      <c r="S1069" s="253">
        <v>60</v>
      </c>
      <c r="T1069" s="253">
        <v>50</v>
      </c>
      <c r="U1069" s="253">
        <v>50</v>
      </c>
      <c r="V1069" s="253"/>
      <c r="W1069" s="253">
        <v>51</v>
      </c>
      <c r="X1069" s="253">
        <v>51</v>
      </c>
      <c r="Y1069" s="253">
        <v>50</v>
      </c>
      <c r="Z1069" s="253">
        <v>51</v>
      </c>
      <c r="AA1069" s="253"/>
      <c r="AB1069" s="253"/>
      <c r="AC1069" s="253"/>
      <c r="AD1069" s="253"/>
      <c r="AE1069" s="253"/>
    </row>
    <row r="1070" spans="1:31">
      <c r="A1070" s="33">
        <v>1069</v>
      </c>
      <c r="B1070" s="69" t="s">
        <v>1629</v>
      </c>
      <c r="C1070" s="69" t="s">
        <v>740</v>
      </c>
      <c r="D1070" s="56">
        <v>42487</v>
      </c>
      <c r="F1070" s="56"/>
      <c r="G1070" s="69" t="str">
        <f t="shared" si="16"/>
        <v>User Registration</v>
      </c>
      <c r="H1070" s="69" t="s">
        <v>922</v>
      </c>
      <c r="J1070" s="69" t="s">
        <v>1629</v>
      </c>
      <c r="K1070" s="69" t="s">
        <v>1628</v>
      </c>
      <c r="L1070" s="253">
        <v>46.400000000000006</v>
      </c>
      <c r="M1070" s="253">
        <v>49.652173913043477</v>
      </c>
      <c r="N1070" s="253">
        <v>51.073170731707314</v>
      </c>
      <c r="O1070" s="253">
        <v>52.94736842105263</v>
      </c>
      <c r="P1070" s="253">
        <v>42</v>
      </c>
      <c r="Q1070" s="253">
        <v>52</v>
      </c>
      <c r="R1070" s="253">
        <v>53</v>
      </c>
      <c r="S1070" s="253">
        <v>48</v>
      </c>
      <c r="T1070" s="253">
        <v>38</v>
      </c>
      <c r="U1070" s="253">
        <v>46.999999999999993</v>
      </c>
      <c r="V1070" s="253"/>
      <c r="W1070" s="253">
        <v>54</v>
      </c>
      <c r="X1070" s="253">
        <v>45</v>
      </c>
      <c r="Y1070" s="253">
        <v>48</v>
      </c>
      <c r="Z1070" s="253">
        <v>64</v>
      </c>
      <c r="AA1070" s="253"/>
      <c r="AB1070" s="253"/>
      <c r="AC1070" s="253"/>
      <c r="AD1070" s="253"/>
      <c r="AE1070" s="253"/>
    </row>
    <row r="1071" spans="1:31">
      <c r="A1071" s="33">
        <v>1070</v>
      </c>
      <c r="B1071" s="69" t="s">
        <v>1803</v>
      </c>
      <c r="C1071" s="69" t="s">
        <v>740</v>
      </c>
      <c r="D1071" s="56">
        <v>42487</v>
      </c>
      <c r="F1071" s="56"/>
      <c r="G1071" s="69" t="str">
        <f t="shared" si="16"/>
        <v>User Registration</v>
      </c>
      <c r="H1071" s="69" t="s">
        <v>922</v>
      </c>
      <c r="J1071" s="69" t="s">
        <v>1803</v>
      </c>
      <c r="K1071" s="69" t="s">
        <v>1806</v>
      </c>
      <c r="L1071" s="253">
        <v>54</v>
      </c>
      <c r="M1071" s="253">
        <v>43.173913043478258</v>
      </c>
      <c r="N1071" s="253">
        <v>52.975609756097562</v>
      </c>
      <c r="O1071" s="253">
        <v>52.736842105263172</v>
      </c>
      <c r="P1071" s="253">
        <v>55</v>
      </c>
      <c r="Q1071" s="253">
        <v>52</v>
      </c>
      <c r="R1071" s="253">
        <v>50</v>
      </c>
      <c r="S1071" s="253">
        <v>50</v>
      </c>
      <c r="T1071" s="253">
        <v>52</v>
      </c>
      <c r="U1071" s="253">
        <v>46.999999999999993</v>
      </c>
      <c r="V1071" s="253"/>
      <c r="W1071" s="253">
        <v>54</v>
      </c>
      <c r="X1071" s="253">
        <v>53</v>
      </c>
      <c r="Y1071" s="253">
        <v>55</v>
      </c>
      <c r="Z1071" s="253">
        <v>50</v>
      </c>
      <c r="AA1071" s="253"/>
      <c r="AB1071" s="253"/>
      <c r="AC1071" s="253"/>
      <c r="AD1071" s="253"/>
      <c r="AE1071" s="253"/>
    </row>
    <row r="1072" spans="1:31">
      <c r="A1072" s="33">
        <v>1071</v>
      </c>
      <c r="B1072" s="69" t="s">
        <v>1629</v>
      </c>
      <c r="C1072" s="69" t="s">
        <v>740</v>
      </c>
      <c r="D1072" s="56">
        <v>42487</v>
      </c>
      <c r="F1072" s="56"/>
      <c r="G1072" s="69" t="str">
        <f t="shared" si="16"/>
        <v>User Registration</v>
      </c>
      <c r="H1072" s="69" t="s">
        <v>922</v>
      </c>
      <c r="J1072" s="69" t="s">
        <v>1629</v>
      </c>
      <c r="K1072" s="69" t="s">
        <v>1807</v>
      </c>
      <c r="L1072" s="253">
        <v>53</v>
      </c>
      <c r="M1072" s="253">
        <v>51</v>
      </c>
      <c r="N1072" s="253">
        <v>46.536585365853661</v>
      </c>
      <c r="O1072" s="253">
        <v>54.631578947368432</v>
      </c>
      <c r="P1072" s="253">
        <v>52</v>
      </c>
      <c r="Q1072" s="253">
        <v>48</v>
      </c>
      <c r="R1072" s="253">
        <v>50</v>
      </c>
      <c r="S1072" s="253">
        <v>55</v>
      </c>
      <c r="T1072" s="253">
        <v>44</v>
      </c>
      <c r="U1072" s="253">
        <v>53</v>
      </c>
      <c r="V1072" s="253"/>
      <c r="W1072" s="253">
        <v>48</v>
      </c>
      <c r="X1072" s="253">
        <v>42</v>
      </c>
      <c r="Y1072" s="253">
        <v>55</v>
      </c>
      <c r="Z1072" s="253">
        <v>56.999999999999993</v>
      </c>
      <c r="AA1072" s="253"/>
      <c r="AB1072" s="253"/>
      <c r="AC1072" s="253"/>
      <c r="AD1072" s="253"/>
      <c r="AE1072" s="253"/>
    </row>
    <row r="1073" spans="1:31">
      <c r="A1073" s="33">
        <v>1072</v>
      </c>
      <c r="B1073" s="69" t="s">
        <v>1803</v>
      </c>
      <c r="C1073" s="69" t="s">
        <v>740</v>
      </c>
      <c r="D1073" s="56">
        <v>42487</v>
      </c>
      <c r="F1073" s="56"/>
      <c r="G1073" s="69" t="str">
        <f t="shared" si="16"/>
        <v>User Registration</v>
      </c>
      <c r="H1073" s="69" t="s">
        <v>922</v>
      </c>
      <c r="J1073" s="69" t="s">
        <v>1803</v>
      </c>
      <c r="K1073" s="69" t="s">
        <v>1803</v>
      </c>
      <c r="L1073" s="253">
        <v>50</v>
      </c>
      <c r="M1073" s="253">
        <v>44.695652173913047</v>
      </c>
      <c r="N1073" s="253">
        <v>51.463414634146339</v>
      </c>
      <c r="O1073" s="253">
        <v>54.105263157894733</v>
      </c>
      <c r="P1073" s="253">
        <v>50</v>
      </c>
      <c r="Q1073" s="253">
        <v>48</v>
      </c>
      <c r="R1073" s="253">
        <v>53</v>
      </c>
      <c r="S1073" s="253">
        <v>54</v>
      </c>
      <c r="T1073" s="253">
        <v>56.000000000000007</v>
      </c>
      <c r="U1073" s="253">
        <v>51</v>
      </c>
      <c r="V1073" s="253"/>
      <c r="W1073" s="253">
        <v>50</v>
      </c>
      <c r="X1073" s="253">
        <v>54</v>
      </c>
      <c r="Y1073" s="253">
        <v>56.999999999999993</v>
      </c>
      <c r="Z1073" s="253">
        <v>50</v>
      </c>
      <c r="AA1073" s="253"/>
      <c r="AB1073" s="253"/>
      <c r="AC1073" s="253"/>
      <c r="AD1073" s="253"/>
      <c r="AE1073" s="253"/>
    </row>
    <row r="1074" spans="1:31">
      <c r="A1074" s="33">
        <v>1073</v>
      </c>
      <c r="B1074" s="69" t="s">
        <v>1799</v>
      </c>
      <c r="C1074" s="69" t="s">
        <v>740</v>
      </c>
      <c r="D1074" s="56">
        <v>42487</v>
      </c>
      <c r="F1074" s="56"/>
      <c r="G1074" s="69" t="str">
        <f t="shared" si="16"/>
        <v>User Registration</v>
      </c>
      <c r="H1074" s="69" t="s">
        <v>974</v>
      </c>
      <c r="J1074" s="69" t="s">
        <v>1799</v>
      </c>
      <c r="K1074" s="69" t="s">
        <v>1799</v>
      </c>
      <c r="L1074" s="253">
        <v>49.8</v>
      </c>
      <c r="M1074" s="253">
        <v>51.695652173913039</v>
      </c>
      <c r="N1074" s="253">
        <v>51.268292682926827</v>
      </c>
      <c r="O1074" s="253">
        <v>52.210526315789473</v>
      </c>
      <c r="P1074" s="253">
        <v>48</v>
      </c>
      <c r="Q1074" s="253">
        <v>48</v>
      </c>
      <c r="R1074" s="253">
        <v>53</v>
      </c>
      <c r="S1074" s="253">
        <v>53</v>
      </c>
      <c r="T1074" s="253">
        <v>52</v>
      </c>
      <c r="U1074" s="253">
        <v>50</v>
      </c>
      <c r="V1074" s="253"/>
      <c r="W1074" s="253">
        <v>52</v>
      </c>
      <c r="X1074" s="253">
        <v>50</v>
      </c>
      <c r="Y1074" s="253">
        <v>50</v>
      </c>
      <c r="Z1074" s="253">
        <v>56.999999999999993</v>
      </c>
      <c r="AA1074" s="253"/>
      <c r="AB1074" s="253"/>
      <c r="AC1074" s="253"/>
      <c r="AD1074" s="253"/>
      <c r="AE1074" s="253"/>
    </row>
    <row r="1075" spans="1:31">
      <c r="A1075" s="33">
        <v>1074</v>
      </c>
      <c r="B1075" s="69" t="s">
        <v>1803</v>
      </c>
      <c r="C1075" s="69" t="s">
        <v>740</v>
      </c>
      <c r="D1075" s="56">
        <v>42487</v>
      </c>
      <c r="F1075" s="56"/>
      <c r="G1075" s="69" t="str">
        <f t="shared" si="16"/>
        <v>User Registration</v>
      </c>
      <c r="H1075" s="69" t="s">
        <v>922</v>
      </c>
      <c r="J1075" s="69" t="s">
        <v>1803</v>
      </c>
      <c r="K1075" s="69" t="s">
        <v>1808</v>
      </c>
      <c r="L1075" s="253">
        <v>48.400000000000006</v>
      </c>
      <c r="M1075" s="253">
        <v>43.086956521739125</v>
      </c>
      <c r="N1075" s="253">
        <v>47.780487804878049</v>
      </c>
      <c r="O1075" s="253">
        <v>51</v>
      </c>
      <c r="P1075" s="253">
        <v>49</v>
      </c>
      <c r="Q1075" s="253">
        <v>46.999999999999993</v>
      </c>
      <c r="R1075" s="253">
        <v>49</v>
      </c>
      <c r="S1075" s="253">
        <v>54</v>
      </c>
      <c r="T1075" s="253">
        <v>46.999999999999993</v>
      </c>
      <c r="U1075" s="253">
        <v>50</v>
      </c>
      <c r="V1075" s="253"/>
      <c r="W1075" s="253">
        <v>48</v>
      </c>
      <c r="X1075" s="253">
        <v>46.999999999999993</v>
      </c>
      <c r="Y1075" s="253">
        <v>54</v>
      </c>
      <c r="Z1075" s="253">
        <v>46</v>
      </c>
      <c r="AA1075" s="253"/>
      <c r="AB1075" s="253"/>
      <c r="AC1075" s="253"/>
      <c r="AD1075" s="253"/>
      <c r="AE1075" s="253"/>
    </row>
    <row r="1076" spans="1:31">
      <c r="A1076" s="33">
        <v>1075</v>
      </c>
      <c r="B1076" s="69" t="s">
        <v>1803</v>
      </c>
      <c r="C1076" s="69" t="s">
        <v>740</v>
      </c>
      <c r="D1076" s="56">
        <v>42487</v>
      </c>
      <c r="F1076" s="56"/>
      <c r="G1076" s="69" t="str">
        <f t="shared" si="16"/>
        <v>User Registration</v>
      </c>
      <c r="H1076" s="69" t="s">
        <v>922</v>
      </c>
      <c r="J1076" s="69" t="s">
        <v>1803</v>
      </c>
      <c r="K1076" s="69" t="s">
        <v>1809</v>
      </c>
      <c r="L1076" s="253">
        <v>49</v>
      </c>
      <c r="M1076" s="253">
        <v>41.739130434782602</v>
      </c>
      <c r="N1076" s="253">
        <v>47.829268292682926</v>
      </c>
      <c r="O1076" s="253">
        <v>50.10526315789474</v>
      </c>
      <c r="P1076" s="253">
        <v>50</v>
      </c>
      <c r="Q1076" s="253">
        <v>45</v>
      </c>
      <c r="R1076" s="253">
        <v>51</v>
      </c>
      <c r="S1076" s="253">
        <v>50</v>
      </c>
      <c r="T1076" s="253">
        <v>52</v>
      </c>
      <c r="U1076" s="253">
        <v>46.999999999999993</v>
      </c>
      <c r="V1076" s="253"/>
      <c r="W1076" s="253">
        <v>49</v>
      </c>
      <c r="X1076" s="253">
        <v>45</v>
      </c>
      <c r="Y1076" s="253">
        <v>53</v>
      </c>
      <c r="Z1076" s="253">
        <v>45</v>
      </c>
      <c r="AA1076" s="253"/>
      <c r="AB1076" s="253"/>
      <c r="AC1076" s="253"/>
      <c r="AD1076" s="253"/>
      <c r="AE1076" s="253"/>
    </row>
    <row r="1077" spans="1:31">
      <c r="A1077" s="33">
        <v>1076</v>
      </c>
      <c r="B1077" s="69" t="s">
        <v>1629</v>
      </c>
      <c r="C1077" s="69" t="s">
        <v>740</v>
      </c>
      <c r="D1077" s="56">
        <v>42487</v>
      </c>
      <c r="F1077" s="56"/>
      <c r="G1077" s="69" t="str">
        <f t="shared" si="16"/>
        <v>User Registration</v>
      </c>
      <c r="H1077" s="69" t="s">
        <v>922</v>
      </c>
      <c r="J1077" s="69" t="s">
        <v>1629</v>
      </c>
      <c r="K1077" s="69" t="s">
        <v>1629</v>
      </c>
      <c r="L1077" s="253">
        <v>39</v>
      </c>
      <c r="M1077" s="253">
        <v>42.217391304347821</v>
      </c>
      <c r="N1077" s="253">
        <v>43.560975609756099</v>
      </c>
      <c r="O1077" s="253">
        <v>43.157894736842103</v>
      </c>
      <c r="P1077" s="253">
        <v>40</v>
      </c>
      <c r="Q1077" s="253">
        <v>44</v>
      </c>
      <c r="R1077" s="253">
        <v>43</v>
      </c>
      <c r="S1077" s="253">
        <v>45</v>
      </c>
      <c r="T1077" s="253">
        <v>40</v>
      </c>
      <c r="U1077" s="253">
        <v>42</v>
      </c>
      <c r="V1077" s="253"/>
      <c r="W1077" s="253">
        <v>44</v>
      </c>
      <c r="X1077" s="253">
        <v>43</v>
      </c>
      <c r="Y1077" s="253">
        <v>46.999999999999993</v>
      </c>
      <c r="Z1077" s="253">
        <v>35</v>
      </c>
      <c r="AA1077" s="253"/>
      <c r="AB1077" s="253"/>
      <c r="AC1077" s="253"/>
      <c r="AD1077" s="253"/>
      <c r="AE1077" s="253"/>
    </row>
    <row r="1078" spans="1:31">
      <c r="A1078" s="33">
        <v>1077</v>
      </c>
      <c r="B1078" s="69" t="s">
        <v>1629</v>
      </c>
      <c r="C1078" s="69" t="s">
        <v>740</v>
      </c>
      <c r="D1078" s="56">
        <v>42487</v>
      </c>
      <c r="F1078" s="56"/>
      <c r="G1078" s="69" t="str">
        <f t="shared" si="16"/>
        <v>User Registration</v>
      </c>
      <c r="H1078" s="69" t="s">
        <v>922</v>
      </c>
      <c r="J1078" s="69" t="s">
        <v>1629</v>
      </c>
      <c r="K1078" s="69" t="s">
        <v>1810</v>
      </c>
      <c r="L1078" s="253">
        <v>39.4</v>
      </c>
      <c r="M1078" s="253">
        <v>42.565217391304351</v>
      </c>
      <c r="N1078" s="253">
        <v>43.317073170731703</v>
      </c>
      <c r="O1078" s="253">
        <v>45.315789473684205</v>
      </c>
      <c r="P1078" s="253">
        <v>38</v>
      </c>
      <c r="Q1078" s="253">
        <v>44</v>
      </c>
      <c r="R1078" s="253">
        <v>44</v>
      </c>
      <c r="S1078" s="253">
        <v>44</v>
      </c>
      <c r="T1078" s="253">
        <v>34</v>
      </c>
      <c r="U1078" s="253">
        <v>43</v>
      </c>
      <c r="V1078" s="253"/>
      <c r="W1078" s="253">
        <v>45</v>
      </c>
      <c r="X1078" s="253">
        <v>40</v>
      </c>
      <c r="Y1078" s="253">
        <v>46</v>
      </c>
      <c r="Z1078" s="253">
        <v>45</v>
      </c>
      <c r="AA1078" s="253"/>
      <c r="AB1078" s="253"/>
      <c r="AC1078" s="253"/>
      <c r="AD1078" s="253"/>
      <c r="AE1078" s="253"/>
    </row>
    <row r="1079" spans="1:31">
      <c r="A1079" s="33">
        <v>1078</v>
      </c>
      <c r="B1079" s="69" t="s">
        <v>1794</v>
      </c>
      <c r="C1079" s="69" t="s">
        <v>740</v>
      </c>
      <c r="D1079" s="56">
        <v>42500</v>
      </c>
      <c r="F1079" s="56"/>
      <c r="G1079" s="69" t="str">
        <f t="shared" si="16"/>
        <v>E-Commerce</v>
      </c>
      <c r="H1079" s="69" t="s">
        <v>1795</v>
      </c>
      <c r="J1079" s="69" t="s">
        <v>1794</v>
      </c>
      <c r="K1079" s="69" t="s">
        <v>1794</v>
      </c>
      <c r="L1079" s="253">
        <v>55</v>
      </c>
      <c r="M1079" s="253">
        <v>49.142857142857146</v>
      </c>
      <c r="N1079" s="253">
        <v>45.002245396936281</v>
      </c>
      <c r="O1079" s="253">
        <v>46.15789473684211</v>
      </c>
      <c r="P1079" s="253">
        <v>57.999999999999993</v>
      </c>
      <c r="Q1079" s="253">
        <v>50</v>
      </c>
      <c r="R1079" s="253">
        <v>56.000000000000007</v>
      </c>
      <c r="S1079" s="253">
        <v>50</v>
      </c>
      <c r="T1079" s="253">
        <v>50</v>
      </c>
      <c r="U1079" s="253">
        <v>46.999999999999993</v>
      </c>
      <c r="V1079" s="253">
        <v>45</v>
      </c>
      <c r="W1079" s="253"/>
      <c r="X1079" s="253">
        <v>42</v>
      </c>
      <c r="Y1079" s="253">
        <v>45</v>
      </c>
      <c r="Z1079" s="253">
        <v>43</v>
      </c>
      <c r="AA1079" s="253"/>
      <c r="AB1079" s="253"/>
      <c r="AC1079" s="253"/>
      <c r="AD1079" s="253"/>
      <c r="AE1079" s="253"/>
    </row>
    <row r="1080" spans="1:31">
      <c r="A1080" s="33">
        <v>1079</v>
      </c>
      <c r="B1080" s="69" t="s">
        <v>1794</v>
      </c>
      <c r="C1080" s="69" t="s">
        <v>740</v>
      </c>
      <c r="D1080" s="56">
        <v>42500</v>
      </c>
      <c r="F1080" s="56"/>
      <c r="G1080" s="69" t="str">
        <f t="shared" si="16"/>
        <v>E-Commerce</v>
      </c>
      <c r="H1080" s="69" t="s">
        <v>1795</v>
      </c>
      <c r="J1080" s="69" t="s">
        <v>1794</v>
      </c>
      <c r="K1080" s="69" t="s">
        <v>1098</v>
      </c>
      <c r="L1080" s="253">
        <v>57.004131571999991</v>
      </c>
      <c r="M1080" s="253">
        <v>58.810092457857145</v>
      </c>
      <c r="N1080" s="253">
        <v>55.004101064276242</v>
      </c>
      <c r="O1080" s="253">
        <v>55.941610316842102</v>
      </c>
      <c r="P1080" s="253">
        <v>55.972906399999999</v>
      </c>
      <c r="Q1080" s="253">
        <v>65.399999999999991</v>
      </c>
      <c r="R1080" s="253">
        <v>60.16490486</v>
      </c>
      <c r="S1080" s="253">
        <v>53</v>
      </c>
      <c r="T1080" s="253">
        <v>60</v>
      </c>
      <c r="U1080" s="253">
        <v>55</v>
      </c>
      <c r="V1080" s="253">
        <v>58.999999999999993</v>
      </c>
      <c r="W1080" s="253"/>
      <c r="X1080" s="253">
        <v>50</v>
      </c>
      <c r="Y1080" s="253">
        <v>51.8515625</v>
      </c>
      <c r="Z1080" s="253">
        <v>61.129032260000002</v>
      </c>
      <c r="AA1080" s="253"/>
      <c r="AB1080" s="253"/>
      <c r="AC1080" s="253"/>
      <c r="AD1080" s="253"/>
      <c r="AE1080" s="253"/>
    </row>
    <row r="1081" spans="1:31">
      <c r="A1081" s="33">
        <v>1080</v>
      </c>
      <c r="B1081" s="69" t="s">
        <v>1794</v>
      </c>
      <c r="C1081" s="69" t="s">
        <v>740</v>
      </c>
      <c r="D1081" s="56">
        <v>42500</v>
      </c>
      <c r="F1081" s="56"/>
      <c r="G1081" s="69" t="str">
        <f t="shared" si="16"/>
        <v>E-Commerce</v>
      </c>
      <c r="H1081" s="69" t="s">
        <v>1795</v>
      </c>
      <c r="J1081" s="69" t="s">
        <v>1794</v>
      </c>
      <c r="K1081" s="69" t="s">
        <v>1095</v>
      </c>
      <c r="L1081" s="253">
        <v>57.885784311999998</v>
      </c>
      <c r="M1081" s="253">
        <v>58.167288733928579</v>
      </c>
      <c r="N1081" s="253">
        <v>62.988695818644779</v>
      </c>
      <c r="O1081" s="253">
        <v>61.67461230631578</v>
      </c>
      <c r="P1081" s="253">
        <v>57.107230389999998</v>
      </c>
      <c r="Q1081" s="253">
        <v>67.759999999999991</v>
      </c>
      <c r="R1081" s="253">
        <v>55.528816909999996</v>
      </c>
      <c r="S1081" s="253">
        <v>57.999999999999993</v>
      </c>
      <c r="T1081" s="253">
        <v>62</v>
      </c>
      <c r="U1081" s="253">
        <v>50</v>
      </c>
      <c r="V1081" s="253">
        <v>57.999999999999993</v>
      </c>
      <c r="W1081" s="253"/>
      <c r="X1081" s="253">
        <v>55</v>
      </c>
      <c r="Y1081" s="253">
        <v>63</v>
      </c>
      <c r="Z1081" s="253">
        <v>61</v>
      </c>
      <c r="AA1081" s="253"/>
      <c r="AB1081" s="253"/>
      <c r="AC1081" s="253"/>
      <c r="AD1081" s="253"/>
      <c r="AE1081" s="253"/>
    </row>
    <row r="1082" spans="1:31">
      <c r="A1082" s="33">
        <v>1081</v>
      </c>
      <c r="B1082" s="69" t="s">
        <v>1794</v>
      </c>
      <c r="C1082" s="69" t="s">
        <v>740</v>
      </c>
      <c r="D1082" s="56">
        <v>42500</v>
      </c>
      <c r="F1082" s="56"/>
      <c r="G1082" s="69" t="str">
        <f t="shared" si="16"/>
        <v>E-Commerce</v>
      </c>
      <c r="H1082" s="69" t="s">
        <v>1795</v>
      </c>
      <c r="J1082" s="69" t="s">
        <v>1794</v>
      </c>
      <c r="K1082" s="69" t="s">
        <v>1796</v>
      </c>
      <c r="L1082" s="253">
        <v>49.650283430000002</v>
      </c>
      <c r="M1082" s="253">
        <v>42.303924823000003</v>
      </c>
      <c r="N1082" s="253">
        <v>44.970306497477821</v>
      </c>
      <c r="O1082" s="253">
        <v>41.240376313736839</v>
      </c>
      <c r="P1082" s="253">
        <v>53.251234570000001</v>
      </c>
      <c r="Q1082" s="253">
        <v>38.970754190999997</v>
      </c>
      <c r="R1082" s="253">
        <v>61.176659129999997</v>
      </c>
      <c r="S1082" s="253">
        <v>30.191387559999999</v>
      </c>
      <c r="T1082" s="253">
        <v>45</v>
      </c>
      <c r="U1082" s="253">
        <v>41</v>
      </c>
      <c r="V1082" s="253">
        <v>38.297014930000003</v>
      </c>
      <c r="W1082" s="253"/>
      <c r="X1082" s="253"/>
      <c r="Y1082" s="253">
        <v>41.581929559999999</v>
      </c>
      <c r="Z1082" s="253">
        <v>35.246478869999997</v>
      </c>
      <c r="AA1082" s="253"/>
      <c r="AB1082" s="253"/>
      <c r="AC1082" s="253"/>
      <c r="AD1082" s="253"/>
      <c r="AE1082" s="253"/>
    </row>
    <row r="1083" spans="1:31">
      <c r="A1083" s="33">
        <v>1082</v>
      </c>
      <c r="B1083" s="69" t="s">
        <v>1794</v>
      </c>
      <c r="C1083" s="69" t="s">
        <v>740</v>
      </c>
      <c r="D1083" s="56">
        <v>42500</v>
      </c>
      <c r="F1083" s="56"/>
      <c r="G1083" s="69" t="str">
        <f t="shared" si="16"/>
        <v>E-Commerce</v>
      </c>
      <c r="H1083" s="69" t="s">
        <v>1795</v>
      </c>
      <c r="J1083" s="69" t="s">
        <v>1794</v>
      </c>
      <c r="K1083" s="69" t="s">
        <v>1797</v>
      </c>
      <c r="L1083" s="253">
        <v>60.199999999999996</v>
      </c>
      <c r="M1083" s="253">
        <v>50.678571428571431</v>
      </c>
      <c r="N1083" s="253">
        <v>55.984032732897568</v>
      </c>
      <c r="O1083" s="253">
        <v>56.368421052631575</v>
      </c>
      <c r="P1083" s="253">
        <v>62</v>
      </c>
      <c r="Q1083" s="253">
        <v>44</v>
      </c>
      <c r="R1083" s="253">
        <v>54</v>
      </c>
      <c r="S1083" s="253">
        <v>44</v>
      </c>
      <c r="T1083" s="253">
        <v>52</v>
      </c>
      <c r="U1083" s="253">
        <v>52</v>
      </c>
      <c r="V1083" s="253">
        <v>55</v>
      </c>
      <c r="W1083" s="253"/>
      <c r="X1083" s="253">
        <v>35</v>
      </c>
      <c r="Y1083" s="253">
        <v>61</v>
      </c>
      <c r="Z1083" s="253">
        <v>53</v>
      </c>
      <c r="AA1083" s="253"/>
      <c r="AB1083" s="253"/>
      <c r="AC1083" s="253"/>
      <c r="AD1083" s="253"/>
      <c r="AE1083" s="253"/>
    </row>
    <row r="1084" spans="1:31">
      <c r="A1084" s="33">
        <v>1083</v>
      </c>
      <c r="B1084" s="69" t="s">
        <v>1794</v>
      </c>
      <c r="C1084" s="69" t="s">
        <v>740</v>
      </c>
      <c r="D1084" s="56">
        <v>42500</v>
      </c>
      <c r="F1084" s="56"/>
      <c r="G1084" s="69" t="str">
        <f t="shared" si="16"/>
        <v>E-Commerce</v>
      </c>
      <c r="H1084" s="69" t="s">
        <v>1795</v>
      </c>
      <c r="J1084" s="69" t="s">
        <v>1794</v>
      </c>
      <c r="K1084" s="69" t="s">
        <v>1798</v>
      </c>
      <c r="L1084" s="253">
        <v>66</v>
      </c>
      <c r="M1084" s="253">
        <v>66.392857142857139</v>
      </c>
      <c r="N1084" s="253">
        <v>59.975400429120306</v>
      </c>
      <c r="O1084" s="253">
        <v>70</v>
      </c>
      <c r="P1084" s="253">
        <v>67</v>
      </c>
      <c r="Q1084" s="253">
        <v>69</v>
      </c>
      <c r="R1084" s="253">
        <v>70</v>
      </c>
      <c r="S1084" s="253">
        <v>61</v>
      </c>
      <c r="T1084" s="253">
        <v>70</v>
      </c>
      <c r="U1084" s="253">
        <v>64</v>
      </c>
      <c r="V1084" s="253">
        <v>67</v>
      </c>
      <c r="W1084" s="253"/>
      <c r="X1084" s="253"/>
      <c r="Y1084" s="253">
        <v>75</v>
      </c>
      <c r="Z1084" s="253">
        <v>62</v>
      </c>
      <c r="AA1084" s="253"/>
      <c r="AB1084" s="253"/>
      <c r="AC1084" s="253"/>
      <c r="AD1084" s="253"/>
      <c r="AE1084" s="253"/>
    </row>
    <row r="1085" spans="1:31">
      <c r="A1085" s="33">
        <v>1084</v>
      </c>
      <c r="B1085" s="69" t="s">
        <v>1788</v>
      </c>
      <c r="C1085" s="69" t="s">
        <v>740</v>
      </c>
      <c r="D1085" s="56">
        <v>42501</v>
      </c>
      <c r="G1085" s="69" t="str">
        <f t="shared" si="16"/>
        <v>User Registration</v>
      </c>
      <c r="H1085" s="69" t="s">
        <v>828</v>
      </c>
      <c r="J1085" s="69" t="s">
        <v>1788</v>
      </c>
      <c r="K1085" s="69" t="s">
        <v>1789</v>
      </c>
      <c r="L1085" s="253">
        <v>63.2</v>
      </c>
      <c r="M1085" s="253">
        <v>46.075199999999995</v>
      </c>
      <c r="N1085" s="253">
        <v>12.381951219512196</v>
      </c>
      <c r="O1085" s="253">
        <v>36.90631578947368</v>
      </c>
      <c r="P1085" s="253">
        <v>63</v>
      </c>
      <c r="Q1085" s="253">
        <v>65.219999999999985</v>
      </c>
      <c r="R1085" s="253">
        <v>52</v>
      </c>
      <c r="S1085" s="253">
        <v>42</v>
      </c>
      <c r="T1085" s="253">
        <v>0</v>
      </c>
      <c r="U1085" s="253">
        <v>67</v>
      </c>
      <c r="V1085" s="253"/>
      <c r="W1085" s="253">
        <v>37</v>
      </c>
      <c r="X1085" s="253"/>
      <c r="Y1085" s="253">
        <v>17</v>
      </c>
      <c r="Z1085" s="253">
        <v>64</v>
      </c>
      <c r="AA1085" s="253"/>
      <c r="AB1085" s="253"/>
      <c r="AC1085" s="253"/>
      <c r="AD1085" s="253"/>
      <c r="AE1085" s="253"/>
    </row>
    <row r="1086" spans="1:31">
      <c r="A1086" s="33">
        <v>1085</v>
      </c>
      <c r="B1086" s="69" t="s">
        <v>1788</v>
      </c>
      <c r="C1086" s="69" t="s">
        <v>740</v>
      </c>
      <c r="D1086" s="56">
        <v>42501</v>
      </c>
      <c r="F1086" s="56"/>
      <c r="G1086" s="69" t="str">
        <f t="shared" si="16"/>
        <v>E-Commerce</v>
      </c>
      <c r="H1086" s="69" t="s">
        <v>828</v>
      </c>
      <c r="J1086" s="69" t="s">
        <v>1788</v>
      </c>
      <c r="K1086" s="69" t="s">
        <v>1788</v>
      </c>
      <c r="L1086" s="253">
        <v>62.8</v>
      </c>
      <c r="M1086" s="253">
        <v>58.308799999999991</v>
      </c>
      <c r="N1086" s="253">
        <v>52.86682926829269</v>
      </c>
      <c r="O1086" s="253">
        <v>40.851578947368417</v>
      </c>
      <c r="P1086" s="253">
        <v>63</v>
      </c>
      <c r="Q1086" s="253">
        <v>65.179999999999993</v>
      </c>
      <c r="R1086" s="253">
        <v>52</v>
      </c>
      <c r="S1086" s="253">
        <v>46.999999999999993</v>
      </c>
      <c r="T1086" s="253">
        <v>0</v>
      </c>
      <c r="U1086" s="253">
        <v>63</v>
      </c>
      <c r="V1086" s="253">
        <v>62</v>
      </c>
      <c r="W1086" s="253"/>
      <c r="X1086" s="253">
        <v>35</v>
      </c>
      <c r="Y1086" s="253">
        <v>25</v>
      </c>
      <c r="Z1086" s="253">
        <v>62</v>
      </c>
      <c r="AA1086" s="253"/>
      <c r="AB1086" s="253"/>
      <c r="AC1086" s="253"/>
      <c r="AD1086" s="253"/>
      <c r="AE1086" s="253"/>
    </row>
    <row r="1087" spans="1:31">
      <c r="A1087" s="33">
        <v>1086</v>
      </c>
      <c r="B1087" s="69" t="s">
        <v>1788</v>
      </c>
      <c r="C1087" s="69" t="s">
        <v>740</v>
      </c>
      <c r="D1087" s="56">
        <v>42501</v>
      </c>
      <c r="F1087" s="56"/>
      <c r="G1087" s="69" t="str">
        <f t="shared" si="16"/>
        <v>E-Commerce</v>
      </c>
      <c r="H1087" s="69" t="s">
        <v>828</v>
      </c>
      <c r="J1087" s="69" t="s">
        <v>1788</v>
      </c>
      <c r="K1087" s="69" t="s">
        <v>1790</v>
      </c>
      <c r="L1087" s="253">
        <v>60.8</v>
      </c>
      <c r="M1087" s="253">
        <v>58.364800000000002</v>
      </c>
      <c r="N1087" s="253">
        <v>54.361951219512193</v>
      </c>
      <c r="O1087" s="253">
        <v>44.856842105263162</v>
      </c>
      <c r="P1087" s="253">
        <v>60</v>
      </c>
      <c r="Q1087" s="253">
        <v>66.279999999999987</v>
      </c>
      <c r="R1087" s="253">
        <v>51</v>
      </c>
      <c r="S1087" s="253">
        <v>44</v>
      </c>
      <c r="T1087" s="253">
        <v>0</v>
      </c>
      <c r="U1087" s="253">
        <v>63</v>
      </c>
      <c r="V1087" s="253">
        <v>64</v>
      </c>
      <c r="W1087" s="253"/>
      <c r="X1087" s="253">
        <v>37</v>
      </c>
      <c r="Y1087" s="253">
        <v>32</v>
      </c>
      <c r="Z1087" s="253">
        <v>64</v>
      </c>
      <c r="AA1087" s="253"/>
      <c r="AB1087" s="253"/>
      <c r="AC1087" s="253"/>
      <c r="AD1087" s="253"/>
      <c r="AE1087" s="253"/>
    </row>
    <row r="1088" spans="1:31">
      <c r="A1088" s="33">
        <v>1087</v>
      </c>
      <c r="B1088" s="69" t="s">
        <v>1788</v>
      </c>
      <c r="C1088" s="69" t="s">
        <v>740</v>
      </c>
      <c r="D1088" s="56">
        <v>42501</v>
      </c>
      <c r="F1088" s="56"/>
      <c r="G1088" s="69" t="str">
        <f t="shared" si="16"/>
        <v>E-Commerce</v>
      </c>
      <c r="H1088" s="69" t="s">
        <v>828</v>
      </c>
      <c r="J1088" s="69" t="s">
        <v>1788</v>
      </c>
      <c r="K1088" s="69" t="s">
        <v>1791</v>
      </c>
      <c r="L1088" s="253">
        <v>65</v>
      </c>
      <c r="M1088" s="253">
        <v>59.443200000000004</v>
      </c>
      <c r="N1088" s="253">
        <v>53.647804878048774</v>
      </c>
      <c r="O1088" s="253">
        <v>46.553684210526313</v>
      </c>
      <c r="P1088" s="253">
        <v>65</v>
      </c>
      <c r="Q1088" s="253">
        <v>66.519999999999982</v>
      </c>
      <c r="R1088" s="253">
        <v>54</v>
      </c>
      <c r="S1088" s="253">
        <v>45</v>
      </c>
      <c r="T1088" s="253">
        <v>0</v>
      </c>
      <c r="U1088" s="253">
        <v>64</v>
      </c>
      <c r="V1088" s="253">
        <v>64</v>
      </c>
      <c r="W1088" s="253"/>
      <c r="X1088" s="253">
        <v>33</v>
      </c>
      <c r="Y1088" s="253">
        <v>34</v>
      </c>
      <c r="Z1088" s="253">
        <v>65</v>
      </c>
      <c r="AA1088" s="253"/>
      <c r="AB1088" s="253"/>
      <c r="AC1088" s="253"/>
      <c r="AD1088" s="253"/>
      <c r="AE1088" s="253"/>
    </row>
    <row r="1089" spans="1:31">
      <c r="A1089" s="33">
        <v>1088</v>
      </c>
      <c r="B1089" s="69" t="s">
        <v>1788</v>
      </c>
      <c r="C1089" s="69" t="s">
        <v>740</v>
      </c>
      <c r="D1089" s="56">
        <v>42501</v>
      </c>
      <c r="F1089" s="56"/>
      <c r="G1089" s="69" t="str">
        <f t="shared" si="16"/>
        <v>E-Commerce</v>
      </c>
      <c r="H1089" s="69" t="s">
        <v>828</v>
      </c>
      <c r="J1089" s="69" t="s">
        <v>1788</v>
      </c>
      <c r="K1089" s="69" t="s">
        <v>1792</v>
      </c>
      <c r="L1089" s="253">
        <v>56.399999999999991</v>
      </c>
      <c r="M1089" s="253">
        <v>49.563200000000002</v>
      </c>
      <c r="N1089" s="253">
        <v>49.147804878048774</v>
      </c>
      <c r="O1089" s="253">
        <v>33.948421052631581</v>
      </c>
      <c r="P1089" s="253">
        <v>55</v>
      </c>
      <c r="Q1089" s="253">
        <v>65.02</v>
      </c>
      <c r="R1089" s="253">
        <v>50</v>
      </c>
      <c r="S1089" s="253">
        <v>20</v>
      </c>
      <c r="T1089" s="253">
        <v>0</v>
      </c>
      <c r="U1089" s="253">
        <v>46.999999999999993</v>
      </c>
      <c r="V1089" s="253">
        <v>57.999999999999993</v>
      </c>
      <c r="W1089" s="253"/>
      <c r="X1089" s="253">
        <v>30</v>
      </c>
      <c r="Y1089" s="253">
        <v>15</v>
      </c>
      <c r="Z1089" s="253">
        <v>62</v>
      </c>
      <c r="AA1089" s="253"/>
      <c r="AB1089" s="253"/>
      <c r="AC1089" s="253"/>
      <c r="AD1089" s="253"/>
      <c r="AE1089" s="253"/>
    </row>
    <row r="1090" spans="1:31">
      <c r="A1090" s="33">
        <v>1089</v>
      </c>
      <c r="B1090" s="69" t="s">
        <v>1788</v>
      </c>
      <c r="C1090" s="69" t="s">
        <v>740</v>
      </c>
      <c r="D1090" s="56">
        <v>42501</v>
      </c>
      <c r="F1090" s="56"/>
      <c r="G1090" s="69" t="str">
        <f t="shared" ref="G1090:G1153" si="17">IF(V1090&gt;0,IF(W1090&gt;0,"Both","E-Commerce"),IF(W1090=0, "ERROR","User Registration"))</f>
        <v>E-Commerce</v>
      </c>
      <c r="H1090" s="69" t="s">
        <v>828</v>
      </c>
      <c r="J1090" s="69" t="s">
        <v>1788</v>
      </c>
      <c r="K1090" s="69" t="s">
        <v>1793</v>
      </c>
      <c r="L1090" s="253">
        <v>50.8</v>
      </c>
      <c r="M1090" s="253">
        <v>50.854399999999998</v>
      </c>
      <c r="N1090" s="253">
        <v>47.6590243902439</v>
      </c>
      <c r="O1090" s="253">
        <v>36.912631578947369</v>
      </c>
      <c r="P1090" s="253">
        <v>46.999999999999993</v>
      </c>
      <c r="Q1090" s="253">
        <v>57.34</v>
      </c>
      <c r="R1090" s="253">
        <v>46.999999999999993</v>
      </c>
      <c r="S1090" s="253">
        <v>20</v>
      </c>
      <c r="T1090" s="253">
        <v>0</v>
      </c>
      <c r="U1090" s="253">
        <v>62</v>
      </c>
      <c r="V1090" s="253">
        <v>56.999999999999993</v>
      </c>
      <c r="W1090" s="253"/>
      <c r="X1090" s="253">
        <v>30</v>
      </c>
      <c r="Y1090" s="253">
        <v>20</v>
      </c>
      <c r="Z1090" s="253">
        <v>66</v>
      </c>
      <c r="AA1090" s="253"/>
      <c r="AB1090" s="253"/>
      <c r="AC1090" s="253"/>
      <c r="AD1090" s="253"/>
      <c r="AE1090" s="253"/>
    </row>
    <row r="1091" spans="1:31">
      <c r="A1091" s="33">
        <v>1090</v>
      </c>
      <c r="B1091" s="69" t="s">
        <v>1783</v>
      </c>
      <c r="C1091" s="69" t="s">
        <v>740</v>
      </c>
      <c r="D1091" s="56">
        <v>42502</v>
      </c>
      <c r="F1091" s="56"/>
      <c r="G1091" s="69" t="str">
        <f t="shared" si="17"/>
        <v>E-Commerce</v>
      </c>
      <c r="H1091" s="69" t="s">
        <v>1784</v>
      </c>
      <c r="J1091" s="69" t="s">
        <v>1783</v>
      </c>
      <c r="K1091" s="69" t="s">
        <v>1722</v>
      </c>
      <c r="L1091" s="253">
        <v>55.2</v>
      </c>
      <c r="M1091" s="253">
        <v>56.416615943103743</v>
      </c>
      <c r="N1091" s="253">
        <v>50.661186630457877</v>
      </c>
      <c r="O1091" s="253">
        <v>56.079738402105271</v>
      </c>
      <c r="P1091" s="253">
        <v>55</v>
      </c>
      <c r="Q1091" s="253">
        <v>56.02</v>
      </c>
      <c r="R1091" s="253">
        <v>61.820646769999996</v>
      </c>
      <c r="S1091" s="253">
        <v>57.999999999999993</v>
      </c>
      <c r="T1091" s="253">
        <v>51.5</v>
      </c>
      <c r="U1091" s="253">
        <v>57.999999999999993</v>
      </c>
      <c r="V1091" s="253">
        <v>51.596402511380958</v>
      </c>
      <c r="W1091" s="253"/>
      <c r="X1091" s="253">
        <v>53.035714285714299</v>
      </c>
      <c r="Y1091" s="253">
        <v>54.785373610000001</v>
      </c>
      <c r="Z1091" s="253">
        <v>56.000000000000007</v>
      </c>
      <c r="AA1091" s="253"/>
      <c r="AB1091" s="253"/>
      <c r="AC1091" s="253"/>
      <c r="AD1091" s="253"/>
      <c r="AE1091" s="253"/>
    </row>
    <row r="1092" spans="1:31">
      <c r="A1092" s="33">
        <v>1091</v>
      </c>
      <c r="B1092" s="69" t="s">
        <v>1783</v>
      </c>
      <c r="C1092" s="69" t="s">
        <v>740</v>
      </c>
      <c r="D1092" s="56">
        <v>42502</v>
      </c>
      <c r="F1092" s="56"/>
      <c r="G1092" s="69" t="str">
        <f t="shared" si="17"/>
        <v>E-Commerce</v>
      </c>
      <c r="H1092" s="69" t="s">
        <v>1784</v>
      </c>
      <c r="J1092" s="69" t="s">
        <v>1783</v>
      </c>
      <c r="K1092" s="69" t="s">
        <v>1785</v>
      </c>
      <c r="L1092" s="253">
        <v>61.957661927999993</v>
      </c>
      <c r="M1092" s="253">
        <v>60.754275926139464</v>
      </c>
      <c r="N1092" s="253">
        <v>49.938020199090346</v>
      </c>
      <c r="O1092" s="253">
        <v>62.002797840526313</v>
      </c>
      <c r="P1092" s="253">
        <v>62.947077409999999</v>
      </c>
      <c r="Q1092" s="253">
        <v>62.067407409999987</v>
      </c>
      <c r="R1092" s="253">
        <v>66.992875780000006</v>
      </c>
      <c r="S1092" s="253">
        <v>62</v>
      </c>
      <c r="T1092" s="253">
        <v>55.499999999999993</v>
      </c>
      <c r="U1092" s="253">
        <v>64</v>
      </c>
      <c r="V1092" s="253">
        <v>53.477143478380953</v>
      </c>
      <c r="W1092" s="253"/>
      <c r="X1092" s="253">
        <v>56.160714285714299</v>
      </c>
      <c r="Y1092" s="253">
        <v>63</v>
      </c>
      <c r="Z1092" s="253">
        <v>57.999999999999993</v>
      </c>
      <c r="AA1092" s="253"/>
      <c r="AB1092" s="253"/>
      <c r="AC1092" s="253"/>
      <c r="AD1092" s="253"/>
      <c r="AE1092" s="253"/>
    </row>
    <row r="1093" spans="1:31">
      <c r="A1093" s="33">
        <v>1092</v>
      </c>
      <c r="B1093" s="69" t="s">
        <v>1783</v>
      </c>
      <c r="C1093" s="69" t="s">
        <v>740</v>
      </c>
      <c r="D1093" s="56">
        <v>42502</v>
      </c>
      <c r="F1093" s="56"/>
      <c r="G1093" s="69" t="str">
        <f t="shared" si="17"/>
        <v>E-Commerce</v>
      </c>
      <c r="H1093" s="69" t="s">
        <v>1784</v>
      </c>
      <c r="J1093" s="69" t="s">
        <v>1783</v>
      </c>
      <c r="K1093" s="69" t="s">
        <v>1786</v>
      </c>
      <c r="L1093" s="253">
        <v>62.617142855999994</v>
      </c>
      <c r="M1093" s="253">
        <v>61.319936985857147</v>
      </c>
      <c r="N1093" s="253">
        <v>55.005106458529852</v>
      </c>
      <c r="O1093" s="253">
        <v>59.870977830315788</v>
      </c>
      <c r="P1093" s="253">
        <v>62.771428569999998</v>
      </c>
      <c r="Q1093" s="253">
        <v>62.277037035999996</v>
      </c>
      <c r="R1093" s="253">
        <v>65.635770870000002</v>
      </c>
      <c r="S1093" s="253">
        <v>64</v>
      </c>
      <c r="T1093" s="253">
        <v>51</v>
      </c>
      <c r="U1093" s="253">
        <v>61.69603524</v>
      </c>
      <c r="V1093" s="253">
        <v>59.638211382000001</v>
      </c>
      <c r="W1093" s="253"/>
      <c r="X1093" s="253">
        <v>48.660714285714292</v>
      </c>
      <c r="Y1093" s="253">
        <v>56.999999999999993</v>
      </c>
      <c r="Z1093" s="253">
        <v>62</v>
      </c>
      <c r="AA1093" s="253"/>
      <c r="AB1093" s="253"/>
      <c r="AC1093" s="253"/>
      <c r="AD1093" s="253"/>
      <c r="AE1093" s="253"/>
    </row>
    <row r="1094" spans="1:31">
      <c r="A1094" s="33">
        <v>1093</v>
      </c>
      <c r="B1094" s="69" t="s">
        <v>1783</v>
      </c>
      <c r="C1094" s="69" t="s">
        <v>740</v>
      </c>
      <c r="D1094" s="56">
        <v>42502</v>
      </c>
      <c r="F1094" s="56"/>
      <c r="G1094" s="69" t="str">
        <f t="shared" si="17"/>
        <v>E-Commerce</v>
      </c>
      <c r="H1094" s="69" t="s">
        <v>1784</v>
      </c>
      <c r="J1094" s="69" t="s">
        <v>1783</v>
      </c>
      <c r="K1094" s="69" t="s">
        <v>1552</v>
      </c>
      <c r="L1094" s="253">
        <v>53</v>
      </c>
      <c r="M1094" s="253">
        <v>56.404128672857148</v>
      </c>
      <c r="N1094" s="253">
        <v>51.007734145002743</v>
      </c>
      <c r="O1094" s="253">
        <v>59.023889511052637</v>
      </c>
      <c r="P1094" s="253">
        <v>55</v>
      </c>
      <c r="Q1094" s="253">
        <v>66</v>
      </c>
      <c r="R1094" s="253">
        <v>65</v>
      </c>
      <c r="S1094" s="253">
        <v>50.453900709999999</v>
      </c>
      <c r="T1094" s="253">
        <v>43.000000000000007</v>
      </c>
      <c r="U1094" s="253">
        <v>57.999999999999993</v>
      </c>
      <c r="V1094" s="253">
        <v>55.899999999999991</v>
      </c>
      <c r="W1094" s="253"/>
      <c r="X1094" s="253">
        <v>45</v>
      </c>
      <c r="Y1094" s="253">
        <v>65</v>
      </c>
      <c r="Z1094" s="253">
        <v>45</v>
      </c>
      <c r="AA1094" s="253"/>
      <c r="AB1094" s="253"/>
      <c r="AC1094" s="253"/>
      <c r="AD1094" s="253"/>
      <c r="AE1094" s="253"/>
    </row>
    <row r="1095" spans="1:31">
      <c r="A1095" s="33">
        <v>1094</v>
      </c>
      <c r="B1095" s="69" t="s">
        <v>1783</v>
      </c>
      <c r="C1095" s="69" t="s">
        <v>740</v>
      </c>
      <c r="D1095" s="56">
        <v>42502</v>
      </c>
      <c r="F1095" s="56"/>
      <c r="G1095" s="69" t="str">
        <f t="shared" si="17"/>
        <v>E-Commerce</v>
      </c>
      <c r="H1095" s="69" t="s">
        <v>1784</v>
      </c>
      <c r="J1095" s="69" t="s">
        <v>1783</v>
      </c>
      <c r="K1095" s="69" t="s">
        <v>1787</v>
      </c>
      <c r="L1095" s="253">
        <v>45.380331355999999</v>
      </c>
      <c r="M1095" s="253">
        <v>51.106979931999994</v>
      </c>
      <c r="N1095" s="253">
        <v>48.339314812042751</v>
      </c>
      <c r="O1095" s="253">
        <v>52.347941762842112</v>
      </c>
      <c r="P1095" s="253">
        <v>45.087064679999997</v>
      </c>
      <c r="Q1095" s="253">
        <v>63.847160494000001</v>
      </c>
      <c r="R1095" s="253">
        <v>55</v>
      </c>
      <c r="S1095" s="253">
        <v>45</v>
      </c>
      <c r="T1095" s="253">
        <v>52.499999999999993</v>
      </c>
      <c r="U1095" s="253">
        <v>48</v>
      </c>
      <c r="V1095" s="253">
        <v>45.999999999999993</v>
      </c>
      <c r="W1095" s="253"/>
      <c r="X1095" s="253">
        <v>55</v>
      </c>
      <c r="Y1095" s="253">
        <v>54.299674269999997</v>
      </c>
      <c r="Z1095" s="253">
        <v>46.553398059999999</v>
      </c>
      <c r="AA1095" s="253"/>
      <c r="AB1095" s="253"/>
      <c r="AC1095" s="253"/>
      <c r="AD1095" s="253"/>
      <c r="AE1095" s="253"/>
    </row>
    <row r="1096" spans="1:31">
      <c r="A1096" s="33">
        <v>1095</v>
      </c>
      <c r="B1096" s="69" t="s">
        <v>947</v>
      </c>
      <c r="C1096" s="69" t="s">
        <v>740</v>
      </c>
      <c r="D1096" s="56">
        <v>42504</v>
      </c>
      <c r="G1096" s="69" t="str">
        <f t="shared" si="17"/>
        <v>User Registration</v>
      </c>
      <c r="H1096" s="69" t="s">
        <v>1775</v>
      </c>
      <c r="J1096" s="69" t="s">
        <v>947</v>
      </c>
      <c r="K1096" s="69" t="s">
        <v>1776</v>
      </c>
      <c r="L1096" s="253">
        <v>59.4</v>
      </c>
      <c r="M1096" s="253">
        <v>57.146086956521742</v>
      </c>
      <c r="N1096" s="253">
        <v>51.951707317073172</v>
      </c>
      <c r="O1096" s="253">
        <v>54.965263157894739</v>
      </c>
      <c r="P1096" s="253">
        <v>61</v>
      </c>
      <c r="Q1096" s="253">
        <v>66.34</v>
      </c>
      <c r="R1096" s="253">
        <v>56.000000000000007</v>
      </c>
      <c r="S1096" s="253">
        <v>61</v>
      </c>
      <c r="T1096" s="253">
        <v>53</v>
      </c>
      <c r="U1096" s="253">
        <v>52</v>
      </c>
      <c r="V1096" s="253"/>
      <c r="W1096" s="253">
        <v>55</v>
      </c>
      <c r="X1096" s="253">
        <v>41.25</v>
      </c>
      <c r="Y1096" s="253">
        <v>54</v>
      </c>
      <c r="Z1096" s="253">
        <v>53</v>
      </c>
      <c r="AA1096" s="253"/>
      <c r="AB1096" s="253"/>
      <c r="AC1096" s="253"/>
      <c r="AD1096" s="253"/>
      <c r="AE1096" s="253"/>
    </row>
    <row r="1097" spans="1:31">
      <c r="A1097" s="33">
        <v>1096</v>
      </c>
      <c r="B1097" s="69" t="s">
        <v>947</v>
      </c>
      <c r="C1097" s="69" t="s">
        <v>740</v>
      </c>
      <c r="D1097" s="56">
        <v>42504</v>
      </c>
      <c r="G1097" s="69" t="str">
        <f t="shared" si="17"/>
        <v>User Registration</v>
      </c>
      <c r="H1097" s="69" t="s">
        <v>1775</v>
      </c>
      <c r="J1097" s="69" t="s">
        <v>947</v>
      </c>
      <c r="K1097" s="69" t="s">
        <v>1777</v>
      </c>
      <c r="L1097" s="253">
        <v>61.4</v>
      </c>
      <c r="M1097" s="253">
        <v>57.000000000000007</v>
      </c>
      <c r="N1097" s="253">
        <v>49.731707317073166</v>
      </c>
      <c r="O1097" s="253">
        <v>57.15789473684211</v>
      </c>
      <c r="P1097" s="253">
        <v>63</v>
      </c>
      <c r="Q1097" s="253">
        <v>65</v>
      </c>
      <c r="R1097" s="253">
        <v>54</v>
      </c>
      <c r="S1097" s="253">
        <v>57.999999999999993</v>
      </c>
      <c r="T1097" s="253">
        <v>63</v>
      </c>
      <c r="U1097" s="253">
        <v>50</v>
      </c>
      <c r="V1097" s="253"/>
      <c r="W1097" s="253">
        <v>52</v>
      </c>
      <c r="X1097" s="253">
        <v>40</v>
      </c>
      <c r="Y1097" s="253">
        <v>57.999999999999993</v>
      </c>
      <c r="Z1097" s="253">
        <v>55</v>
      </c>
      <c r="AA1097" s="253"/>
      <c r="AB1097" s="253"/>
      <c r="AC1097" s="253"/>
      <c r="AD1097" s="253"/>
      <c r="AE1097" s="253"/>
    </row>
    <row r="1098" spans="1:31">
      <c r="A1098" s="33">
        <v>1097</v>
      </c>
      <c r="B1098" s="69" t="s">
        <v>947</v>
      </c>
      <c r="C1098" s="69" t="s">
        <v>740</v>
      </c>
      <c r="D1098" s="56">
        <v>42504</v>
      </c>
      <c r="G1098" s="69" t="str">
        <f t="shared" si="17"/>
        <v>User Registration</v>
      </c>
      <c r="H1098" s="69" t="s">
        <v>1775</v>
      </c>
      <c r="J1098" s="69" t="s">
        <v>947</v>
      </c>
      <c r="K1098" s="69" t="s">
        <v>929</v>
      </c>
      <c r="L1098" s="253">
        <v>67.400000000000006</v>
      </c>
      <c r="M1098" s="253">
        <v>62.125936728695649</v>
      </c>
      <c r="N1098" s="253">
        <v>60.467619721219499</v>
      </c>
      <c r="O1098" s="253">
        <v>66.56442822052631</v>
      </c>
      <c r="P1098" s="253">
        <v>68</v>
      </c>
      <c r="Q1098" s="253">
        <v>63.724136190000003</v>
      </c>
      <c r="R1098" s="253">
        <v>64</v>
      </c>
      <c r="S1098" s="253">
        <v>68</v>
      </c>
      <c r="T1098" s="253">
        <v>54</v>
      </c>
      <c r="U1098" s="253">
        <v>57.999999999999993</v>
      </c>
      <c r="V1098" s="253"/>
      <c r="W1098" s="253">
        <v>61</v>
      </c>
      <c r="X1098" s="253">
        <v>56.999999999999993</v>
      </c>
      <c r="Y1098" s="253">
        <v>68</v>
      </c>
      <c r="Z1098" s="253">
        <v>65</v>
      </c>
      <c r="AA1098" s="253"/>
      <c r="AB1098" s="253"/>
      <c r="AC1098" s="253"/>
      <c r="AD1098" s="253"/>
      <c r="AE1098" s="253"/>
    </row>
    <row r="1099" spans="1:31">
      <c r="A1099" s="33">
        <v>1098</v>
      </c>
      <c r="B1099" s="69" t="s">
        <v>1778</v>
      </c>
      <c r="C1099" s="69" t="s">
        <v>740</v>
      </c>
      <c r="D1099" s="56">
        <v>42504</v>
      </c>
      <c r="G1099" s="69" t="str">
        <f t="shared" si="17"/>
        <v>User Registration</v>
      </c>
      <c r="H1099" s="69" t="s">
        <v>974</v>
      </c>
      <c r="J1099" s="69" t="s">
        <v>1778</v>
      </c>
      <c r="K1099" s="69" t="s">
        <v>1743</v>
      </c>
      <c r="L1099" s="253">
        <v>60.800000000000011</v>
      </c>
      <c r="M1099" s="253">
        <v>60.434782608695649</v>
      </c>
      <c r="N1099" s="253">
        <v>55.292682926829258</v>
      </c>
      <c r="O1099" s="253">
        <v>56.315789473684205</v>
      </c>
      <c r="P1099" s="253">
        <v>62</v>
      </c>
      <c r="Q1099" s="253">
        <v>61</v>
      </c>
      <c r="R1099" s="253">
        <v>57.999999999999993</v>
      </c>
      <c r="S1099" s="253">
        <v>63</v>
      </c>
      <c r="T1099" s="253">
        <v>58.999999999999993</v>
      </c>
      <c r="U1099" s="253">
        <v>63</v>
      </c>
      <c r="V1099" s="253"/>
      <c r="W1099" s="253">
        <v>52</v>
      </c>
      <c r="X1099" s="253">
        <v>57.999999999999993</v>
      </c>
      <c r="Y1099" s="253">
        <v>55</v>
      </c>
      <c r="Z1099" s="253">
        <v>56.000000000000007</v>
      </c>
      <c r="AA1099" s="253"/>
      <c r="AB1099" s="253"/>
      <c r="AC1099" s="253"/>
      <c r="AD1099" s="253"/>
      <c r="AE1099" s="253"/>
    </row>
    <row r="1100" spans="1:31">
      <c r="A1100" s="33">
        <v>1099</v>
      </c>
      <c r="B1100" s="69" t="s">
        <v>947</v>
      </c>
      <c r="C1100" s="69" t="s">
        <v>740</v>
      </c>
      <c r="D1100" s="56">
        <v>42504</v>
      </c>
      <c r="G1100" s="69" t="str">
        <f t="shared" si="17"/>
        <v>User Registration</v>
      </c>
      <c r="H1100" s="69" t="s">
        <v>1775</v>
      </c>
      <c r="J1100" s="69" t="s">
        <v>947</v>
      </c>
      <c r="K1100" s="69" t="s">
        <v>1779</v>
      </c>
      <c r="L1100" s="253">
        <v>60</v>
      </c>
      <c r="M1100" s="253">
        <v>56.260869565217398</v>
      </c>
      <c r="N1100" s="253">
        <v>51.268292682926827</v>
      </c>
      <c r="O1100" s="253">
        <v>52</v>
      </c>
      <c r="P1100" s="253">
        <v>58.999999999999993</v>
      </c>
      <c r="Q1100" s="253">
        <v>58.999999999999993</v>
      </c>
      <c r="R1100" s="253">
        <v>55</v>
      </c>
      <c r="S1100" s="253">
        <v>49</v>
      </c>
      <c r="T1100" s="253">
        <v>53</v>
      </c>
      <c r="U1100" s="253">
        <v>60</v>
      </c>
      <c r="V1100" s="253"/>
      <c r="W1100" s="253">
        <v>49</v>
      </c>
      <c r="X1100" s="253">
        <v>51.249999999999993</v>
      </c>
      <c r="Y1100" s="253">
        <v>45</v>
      </c>
      <c r="Z1100" s="253">
        <v>64</v>
      </c>
      <c r="AA1100" s="253"/>
      <c r="AB1100" s="253"/>
      <c r="AC1100" s="253"/>
      <c r="AD1100" s="253"/>
      <c r="AE1100" s="253"/>
    </row>
    <row r="1101" spans="1:31">
      <c r="A1101" s="33">
        <v>1100</v>
      </c>
      <c r="B1101" s="151" t="s">
        <v>947</v>
      </c>
      <c r="C1101" s="69" t="s">
        <v>740</v>
      </c>
      <c r="D1101" s="56">
        <v>42504</v>
      </c>
      <c r="F1101" s="56"/>
      <c r="G1101" s="69" t="str">
        <f t="shared" si="17"/>
        <v>User Registration</v>
      </c>
      <c r="H1101" s="69" t="s">
        <v>1775</v>
      </c>
      <c r="J1101" s="151" t="s">
        <v>947</v>
      </c>
      <c r="K1101" s="151" t="s">
        <v>947</v>
      </c>
      <c r="L1101" s="253">
        <v>55.2</v>
      </c>
      <c r="M1101" s="253">
        <v>56.489626840000007</v>
      </c>
      <c r="N1101" s="253">
        <v>58.428222996515679</v>
      </c>
      <c r="O1101" s="253">
        <v>57.292913385789475</v>
      </c>
      <c r="P1101" s="253">
        <v>56.000000000000007</v>
      </c>
      <c r="Q1101" s="253">
        <v>58.4</v>
      </c>
      <c r="R1101" s="253">
        <v>55</v>
      </c>
      <c r="S1101" s="253">
        <v>60.16535433</v>
      </c>
      <c r="T1101" s="253">
        <v>57.000000000000007</v>
      </c>
      <c r="U1101" s="253">
        <v>55</v>
      </c>
      <c r="V1101" s="253"/>
      <c r="W1101" s="253">
        <v>58.999999999999993</v>
      </c>
      <c r="X1101" s="253">
        <v>59.196428571428569</v>
      </c>
      <c r="Y1101" s="253">
        <v>60</v>
      </c>
      <c r="Z1101" s="253">
        <v>52</v>
      </c>
      <c r="AA1101" s="253"/>
      <c r="AB1101" s="253"/>
      <c r="AC1101" s="253"/>
      <c r="AD1101" s="253"/>
      <c r="AE1101" s="253"/>
    </row>
    <row r="1102" spans="1:31">
      <c r="A1102" s="33">
        <v>1101</v>
      </c>
      <c r="B1102" s="151" t="s">
        <v>1778</v>
      </c>
      <c r="C1102" s="69" t="s">
        <v>740</v>
      </c>
      <c r="D1102" s="56">
        <v>42504</v>
      </c>
      <c r="F1102" s="56"/>
      <c r="G1102" s="69" t="str">
        <f t="shared" si="17"/>
        <v>User Registration</v>
      </c>
      <c r="H1102" s="69" t="s">
        <v>974</v>
      </c>
      <c r="J1102" s="151" t="s">
        <v>1778</v>
      </c>
      <c r="K1102" s="151" t="s">
        <v>1745</v>
      </c>
      <c r="L1102" s="253">
        <v>54.400000000000006</v>
      </c>
      <c r="M1102" s="253">
        <v>58.565217391304358</v>
      </c>
      <c r="N1102" s="253">
        <v>58.073170731707322</v>
      </c>
      <c r="O1102" s="253">
        <v>57.631578947368425</v>
      </c>
      <c r="P1102" s="253">
        <v>55</v>
      </c>
      <c r="Q1102" s="253">
        <v>56.999999999999993</v>
      </c>
      <c r="R1102" s="253">
        <v>61</v>
      </c>
      <c r="S1102" s="253">
        <v>66</v>
      </c>
      <c r="T1102" s="253">
        <v>56.999999999999993</v>
      </c>
      <c r="U1102" s="253">
        <v>55</v>
      </c>
      <c r="V1102" s="253"/>
      <c r="W1102" s="253">
        <v>55</v>
      </c>
      <c r="X1102" s="253">
        <v>62</v>
      </c>
      <c r="Y1102" s="253">
        <v>58.999999999999993</v>
      </c>
      <c r="Z1102" s="253">
        <v>52</v>
      </c>
      <c r="AA1102" s="253"/>
      <c r="AB1102" s="253"/>
      <c r="AC1102" s="253"/>
      <c r="AD1102" s="253"/>
      <c r="AE1102" s="253"/>
    </row>
    <row r="1103" spans="1:31">
      <c r="A1103" s="33">
        <v>1102</v>
      </c>
      <c r="B1103" s="151" t="s">
        <v>1778</v>
      </c>
      <c r="C1103" s="69" t="s">
        <v>740</v>
      </c>
      <c r="D1103" s="56">
        <v>42504</v>
      </c>
      <c r="F1103" s="56"/>
      <c r="G1103" s="69" t="str">
        <f t="shared" si="17"/>
        <v>User Registration</v>
      </c>
      <c r="H1103" s="69" t="s">
        <v>974</v>
      </c>
      <c r="J1103" s="151" t="s">
        <v>1778</v>
      </c>
      <c r="K1103" s="151" t="s">
        <v>1780</v>
      </c>
      <c r="L1103" s="253">
        <v>64.400000000000006</v>
      </c>
      <c r="M1103" s="253">
        <v>54.785423834782605</v>
      </c>
      <c r="N1103" s="253">
        <v>57.045797508292679</v>
      </c>
      <c r="O1103" s="253">
        <v>56.611889435789472</v>
      </c>
      <c r="P1103" s="253">
        <v>66</v>
      </c>
      <c r="Q1103" s="253">
        <v>56.000000000000007</v>
      </c>
      <c r="R1103" s="253">
        <v>49.812949639999999</v>
      </c>
      <c r="S1103" s="253">
        <v>60</v>
      </c>
      <c r="T1103" s="253">
        <v>56.999999999999993</v>
      </c>
      <c r="U1103" s="253">
        <v>52</v>
      </c>
      <c r="V1103" s="253"/>
      <c r="W1103" s="253">
        <v>56.999999999999993</v>
      </c>
      <c r="X1103" s="253">
        <v>61</v>
      </c>
      <c r="Y1103" s="253">
        <v>56.999999999999993</v>
      </c>
      <c r="Z1103" s="253">
        <v>57.999999999999993</v>
      </c>
      <c r="AA1103" s="253"/>
      <c r="AB1103" s="253"/>
      <c r="AC1103" s="253"/>
      <c r="AD1103" s="253"/>
      <c r="AE1103" s="253"/>
    </row>
    <row r="1104" spans="1:31">
      <c r="A1104" s="33">
        <v>1103</v>
      </c>
      <c r="B1104" s="69" t="s">
        <v>1778</v>
      </c>
      <c r="C1104" s="69" t="s">
        <v>740</v>
      </c>
      <c r="D1104" s="56">
        <v>42504</v>
      </c>
      <c r="F1104" s="56"/>
      <c r="G1104" s="69" t="str">
        <f t="shared" si="17"/>
        <v>User Registration</v>
      </c>
      <c r="H1104" s="69" t="s">
        <v>974</v>
      </c>
      <c r="J1104" s="69" t="s">
        <v>1778</v>
      </c>
      <c r="K1104" s="69" t="s">
        <v>1781</v>
      </c>
      <c r="L1104" s="253">
        <v>54.400000000000006</v>
      </c>
      <c r="M1104" s="253">
        <v>52.171673584782596</v>
      </c>
      <c r="N1104" s="253">
        <v>49.491175388780484</v>
      </c>
      <c r="O1104" s="253">
        <v>55.125231419999999</v>
      </c>
      <c r="P1104" s="253">
        <v>53</v>
      </c>
      <c r="Q1104" s="253">
        <v>52</v>
      </c>
      <c r="R1104" s="253">
        <v>48.189698489999998</v>
      </c>
      <c r="S1104" s="253">
        <v>58.999999999999993</v>
      </c>
      <c r="T1104" s="253">
        <v>50</v>
      </c>
      <c r="U1104" s="253">
        <v>49</v>
      </c>
      <c r="V1104" s="253"/>
      <c r="W1104" s="253">
        <v>48</v>
      </c>
      <c r="X1104" s="253">
        <v>52</v>
      </c>
      <c r="Y1104" s="253">
        <v>54</v>
      </c>
      <c r="Z1104" s="253">
        <v>60</v>
      </c>
      <c r="AA1104" s="253"/>
      <c r="AB1104" s="253"/>
      <c r="AC1104" s="253"/>
      <c r="AD1104" s="253"/>
      <c r="AE1104" s="253"/>
    </row>
    <row r="1105" spans="1:31">
      <c r="A1105" s="33">
        <v>1104</v>
      </c>
      <c r="B1105" s="69" t="s">
        <v>947</v>
      </c>
      <c r="C1105" s="69" t="s">
        <v>740</v>
      </c>
      <c r="D1105" s="56">
        <v>42504</v>
      </c>
      <c r="F1105" s="56"/>
      <c r="G1105" s="69" t="str">
        <f t="shared" si="17"/>
        <v>User Registration</v>
      </c>
      <c r="H1105" s="69" t="s">
        <v>1775</v>
      </c>
      <c r="J1105" s="69" t="s">
        <v>947</v>
      </c>
      <c r="K1105" s="69" t="s">
        <v>1782</v>
      </c>
      <c r="L1105" s="253">
        <v>54.79999999999999</v>
      </c>
      <c r="M1105" s="253">
        <v>57.845834555478248</v>
      </c>
      <c r="N1105" s="253">
        <v>52.467336142243902</v>
      </c>
      <c r="O1105" s="253">
        <v>57.371241786526319</v>
      </c>
      <c r="P1105" s="253">
        <v>57.999999999999993</v>
      </c>
      <c r="Q1105" s="253">
        <v>51.053593943999999</v>
      </c>
      <c r="R1105" s="253">
        <v>56.999999999999993</v>
      </c>
      <c r="S1105" s="253">
        <v>65</v>
      </c>
      <c r="T1105" s="253">
        <v>60</v>
      </c>
      <c r="U1105" s="253">
        <v>63.447963799999997</v>
      </c>
      <c r="V1105" s="253"/>
      <c r="W1105" s="253">
        <v>51</v>
      </c>
      <c r="X1105" s="253">
        <v>53</v>
      </c>
      <c r="Y1105" s="253">
        <v>65</v>
      </c>
      <c r="Z1105" s="253">
        <v>42</v>
      </c>
      <c r="AA1105" s="253"/>
      <c r="AB1105" s="253"/>
      <c r="AC1105" s="253"/>
      <c r="AD1105" s="253"/>
      <c r="AE1105" s="253"/>
    </row>
    <row r="1106" spans="1:31">
      <c r="A1106" s="33">
        <v>1105</v>
      </c>
      <c r="B1106" s="69" t="s">
        <v>1778</v>
      </c>
      <c r="C1106" s="69" t="s">
        <v>740</v>
      </c>
      <c r="D1106" s="56">
        <v>42504</v>
      </c>
      <c r="F1106" s="56"/>
      <c r="G1106" s="69" t="str">
        <f t="shared" si="17"/>
        <v>User Registration</v>
      </c>
      <c r="H1106" s="69" t="s">
        <v>974</v>
      </c>
      <c r="J1106" s="69" t="s">
        <v>1778</v>
      </c>
      <c r="K1106" s="69" t="s">
        <v>1778</v>
      </c>
      <c r="L1106" s="253">
        <v>52.6</v>
      </c>
      <c r="M1106" s="253">
        <v>50.869565217391298</v>
      </c>
      <c r="N1106" s="253">
        <v>49.317073170731703</v>
      </c>
      <c r="O1106" s="253">
        <v>51.05263157894737</v>
      </c>
      <c r="P1106" s="253">
        <v>52</v>
      </c>
      <c r="Q1106" s="253">
        <v>50</v>
      </c>
      <c r="R1106" s="253">
        <v>52</v>
      </c>
      <c r="S1106" s="253">
        <v>51</v>
      </c>
      <c r="T1106" s="253">
        <v>52</v>
      </c>
      <c r="U1106" s="253">
        <v>48</v>
      </c>
      <c r="V1106" s="253"/>
      <c r="W1106" s="253">
        <v>51</v>
      </c>
      <c r="X1106" s="253">
        <v>45</v>
      </c>
      <c r="Y1106" s="253">
        <v>49</v>
      </c>
      <c r="Z1106" s="253">
        <v>55</v>
      </c>
      <c r="AA1106" s="253"/>
      <c r="AB1106" s="253"/>
      <c r="AC1106" s="253"/>
      <c r="AD1106" s="253"/>
      <c r="AE1106" s="253"/>
    </row>
    <row r="1107" spans="1:31">
      <c r="A1107" s="33">
        <v>1106</v>
      </c>
      <c r="B1107" s="69" t="s">
        <v>1766</v>
      </c>
      <c r="C1107" s="69" t="s">
        <v>740</v>
      </c>
      <c r="D1107" s="56">
        <v>42507</v>
      </c>
      <c r="G1107" s="69" t="str">
        <f t="shared" si="17"/>
        <v>User Registration</v>
      </c>
      <c r="H1107" s="69" t="s">
        <v>922</v>
      </c>
      <c r="J1107" s="69" t="s">
        <v>1766</v>
      </c>
      <c r="K1107" s="69" t="s">
        <v>1767</v>
      </c>
      <c r="L1107" s="253">
        <v>51.6</v>
      </c>
      <c r="M1107" s="253">
        <v>57.304347826086968</v>
      </c>
      <c r="N1107" s="253">
        <v>66.073170731707307</v>
      </c>
      <c r="O1107" s="253">
        <v>52.157894736842103</v>
      </c>
      <c r="P1107" s="253">
        <v>52</v>
      </c>
      <c r="Q1107" s="253">
        <v>65</v>
      </c>
      <c r="R1107" s="253">
        <v>55</v>
      </c>
      <c r="S1107" s="253">
        <v>56.000000000000007</v>
      </c>
      <c r="T1107" s="253">
        <v>53</v>
      </c>
      <c r="U1107" s="253">
        <v>60</v>
      </c>
      <c r="V1107" s="253"/>
      <c r="W1107" s="253">
        <v>75</v>
      </c>
      <c r="X1107" s="253">
        <v>56.999999999999993</v>
      </c>
      <c r="Y1107" s="253">
        <v>51</v>
      </c>
      <c r="Z1107" s="253">
        <v>50</v>
      </c>
      <c r="AA1107" s="253"/>
      <c r="AB1107" s="253"/>
      <c r="AC1107" s="253"/>
      <c r="AD1107" s="253"/>
      <c r="AE1107" s="253"/>
    </row>
    <row r="1108" spans="1:31">
      <c r="A1108" s="33">
        <v>1107</v>
      </c>
      <c r="B1108" s="69" t="s">
        <v>1766</v>
      </c>
      <c r="C1108" s="69" t="s">
        <v>740</v>
      </c>
      <c r="D1108" s="56">
        <v>42507</v>
      </c>
      <c r="G1108" s="69" t="str">
        <f t="shared" si="17"/>
        <v>User Registration</v>
      </c>
      <c r="H1108" s="69" t="s">
        <v>922</v>
      </c>
      <c r="J1108" s="69" t="s">
        <v>1766</v>
      </c>
      <c r="K1108" s="69" t="s">
        <v>1766</v>
      </c>
      <c r="L1108" s="253">
        <v>54.2</v>
      </c>
      <c r="M1108" s="253">
        <v>60.173913043478251</v>
      </c>
      <c r="N1108" s="253">
        <v>59.90243902439024</v>
      </c>
      <c r="O1108" s="253">
        <v>51.473684210526315</v>
      </c>
      <c r="P1108" s="253">
        <v>56.000000000000007</v>
      </c>
      <c r="Q1108" s="253">
        <v>64</v>
      </c>
      <c r="R1108" s="253">
        <v>60</v>
      </c>
      <c r="S1108" s="253">
        <v>58.999999999999993</v>
      </c>
      <c r="T1108" s="253">
        <v>61</v>
      </c>
      <c r="U1108" s="253">
        <v>63</v>
      </c>
      <c r="V1108" s="253"/>
      <c r="W1108" s="253">
        <v>64</v>
      </c>
      <c r="X1108" s="253">
        <v>52</v>
      </c>
      <c r="Y1108" s="253">
        <v>50</v>
      </c>
      <c r="Z1108" s="253">
        <v>46.999999999999993</v>
      </c>
      <c r="AA1108" s="253"/>
      <c r="AB1108" s="253"/>
      <c r="AC1108" s="253"/>
      <c r="AD1108" s="253"/>
      <c r="AE1108" s="253"/>
    </row>
    <row r="1109" spans="1:31">
      <c r="A1109" s="33">
        <v>1108</v>
      </c>
      <c r="B1109" s="69" t="s">
        <v>1766</v>
      </c>
      <c r="C1109" s="69" t="s">
        <v>740</v>
      </c>
      <c r="D1109" s="56">
        <v>42507</v>
      </c>
      <c r="G1109" s="69" t="str">
        <f t="shared" si="17"/>
        <v>User Registration</v>
      </c>
      <c r="H1109" s="69" t="s">
        <v>922</v>
      </c>
      <c r="J1109" s="69" t="s">
        <v>1766</v>
      </c>
      <c r="K1109" s="69" t="s">
        <v>391</v>
      </c>
      <c r="L1109" s="253">
        <v>67.400000000000006</v>
      </c>
      <c r="M1109" s="253">
        <v>64.260869565217376</v>
      </c>
      <c r="N1109" s="253">
        <v>63.365853658536587</v>
      </c>
      <c r="O1109" s="253">
        <v>68.578947368421055</v>
      </c>
      <c r="P1109" s="253">
        <v>68</v>
      </c>
      <c r="Q1109" s="253">
        <v>60</v>
      </c>
      <c r="R1109" s="253">
        <v>69</v>
      </c>
      <c r="S1109" s="253">
        <v>70</v>
      </c>
      <c r="T1109" s="253">
        <v>66</v>
      </c>
      <c r="U1109" s="253">
        <v>56.999999999999993</v>
      </c>
      <c r="V1109" s="253"/>
      <c r="W1109" s="253">
        <v>66</v>
      </c>
      <c r="X1109" s="253">
        <v>56.999999999999993</v>
      </c>
      <c r="Y1109" s="253">
        <v>71</v>
      </c>
      <c r="Z1109" s="253">
        <v>65</v>
      </c>
      <c r="AA1109" s="253"/>
      <c r="AB1109" s="253"/>
      <c r="AC1109" s="253"/>
      <c r="AD1109" s="253"/>
      <c r="AE1109" s="253"/>
    </row>
    <row r="1110" spans="1:31">
      <c r="A1110" s="33">
        <v>1109</v>
      </c>
      <c r="B1110" s="69" t="s">
        <v>1768</v>
      </c>
      <c r="C1110" s="69" t="s">
        <v>740</v>
      </c>
      <c r="D1110" s="56">
        <v>42507</v>
      </c>
      <c r="G1110" s="69" t="str">
        <f t="shared" si="17"/>
        <v>Both</v>
      </c>
      <c r="H1110" s="69" t="s">
        <v>1769</v>
      </c>
      <c r="J1110" s="69" t="s">
        <v>1768</v>
      </c>
      <c r="K1110" s="69" t="s">
        <v>1768</v>
      </c>
      <c r="L1110" s="253">
        <v>60</v>
      </c>
      <c r="M1110" s="253">
        <v>54.535714285714278</v>
      </c>
      <c r="N1110" s="253">
        <v>52.122807017543856</v>
      </c>
      <c r="O1110" s="253">
        <v>55.473684210526315</v>
      </c>
      <c r="P1110" s="253">
        <v>62</v>
      </c>
      <c r="Q1110" s="253">
        <v>53</v>
      </c>
      <c r="R1110" s="253">
        <v>54</v>
      </c>
      <c r="S1110" s="253">
        <v>53</v>
      </c>
      <c r="T1110" s="253">
        <v>53</v>
      </c>
      <c r="U1110" s="253">
        <v>56.999999999999993</v>
      </c>
      <c r="V1110" s="253">
        <v>56.999999999999993</v>
      </c>
      <c r="W1110" s="253">
        <v>46.999999999999993</v>
      </c>
      <c r="X1110" s="253">
        <v>54</v>
      </c>
      <c r="Y1110" s="253">
        <v>57.999999999999993</v>
      </c>
      <c r="Z1110" s="253">
        <v>52</v>
      </c>
      <c r="AA1110" s="253"/>
      <c r="AB1110" s="253"/>
      <c r="AC1110" s="253"/>
      <c r="AD1110" s="253"/>
      <c r="AE1110" s="253"/>
    </row>
    <row r="1111" spans="1:31">
      <c r="A1111" s="33">
        <v>1110</v>
      </c>
      <c r="B1111" s="69" t="s">
        <v>1768</v>
      </c>
      <c r="C1111" s="69" t="s">
        <v>740</v>
      </c>
      <c r="D1111" s="56">
        <v>42507</v>
      </c>
      <c r="G1111" s="69" t="str">
        <f t="shared" si="17"/>
        <v>Both</v>
      </c>
      <c r="H1111" s="69" t="s">
        <v>1769</v>
      </c>
      <c r="J1111" s="69" t="s">
        <v>1768</v>
      </c>
      <c r="K1111" s="69" t="s">
        <v>1770</v>
      </c>
      <c r="L1111" s="253">
        <v>55.400000000000006</v>
      </c>
      <c r="M1111" s="253">
        <v>54.678571428571431</v>
      </c>
      <c r="N1111" s="253">
        <v>56.140350877192979</v>
      </c>
      <c r="O1111" s="253">
        <v>51.578947368421055</v>
      </c>
      <c r="P1111" s="253">
        <v>56.000000000000007</v>
      </c>
      <c r="Q1111" s="253">
        <v>56.000000000000007</v>
      </c>
      <c r="R1111" s="253">
        <v>60</v>
      </c>
      <c r="S1111" s="253">
        <v>49</v>
      </c>
      <c r="T1111" s="253">
        <v>50</v>
      </c>
      <c r="U1111" s="253">
        <v>60</v>
      </c>
      <c r="V1111" s="253">
        <v>51</v>
      </c>
      <c r="W1111" s="253">
        <v>55</v>
      </c>
      <c r="X1111" s="253">
        <v>60</v>
      </c>
      <c r="Y1111" s="253">
        <v>49</v>
      </c>
      <c r="Z1111" s="253">
        <v>53</v>
      </c>
      <c r="AA1111" s="253"/>
      <c r="AB1111" s="253"/>
      <c r="AC1111" s="253"/>
      <c r="AD1111" s="253"/>
      <c r="AE1111" s="253"/>
    </row>
    <row r="1112" spans="1:31">
      <c r="A1112" s="33">
        <v>1111</v>
      </c>
      <c r="B1112" s="69" t="s">
        <v>1768</v>
      </c>
      <c r="C1112" s="69" t="s">
        <v>740</v>
      </c>
      <c r="D1112" s="56">
        <v>42507</v>
      </c>
      <c r="G1112" s="69" t="str">
        <f t="shared" si="17"/>
        <v>Both</v>
      </c>
      <c r="H1112" s="69" t="s">
        <v>1769</v>
      </c>
      <c r="J1112" s="69" t="s">
        <v>1768</v>
      </c>
      <c r="K1112" s="69" t="s">
        <v>1771</v>
      </c>
      <c r="L1112" s="253">
        <v>53</v>
      </c>
      <c r="M1112" s="253">
        <v>57.035714285714278</v>
      </c>
      <c r="N1112" s="253">
        <v>51.456140350877199</v>
      </c>
      <c r="O1112" s="253">
        <v>54</v>
      </c>
      <c r="P1112" s="253">
        <v>53</v>
      </c>
      <c r="Q1112" s="253">
        <v>67</v>
      </c>
      <c r="R1112" s="253">
        <v>56.000000000000007</v>
      </c>
      <c r="S1112" s="253">
        <v>52</v>
      </c>
      <c r="T1112" s="253">
        <v>55</v>
      </c>
      <c r="U1112" s="253">
        <v>67</v>
      </c>
      <c r="V1112" s="253">
        <v>46.999999999999993</v>
      </c>
      <c r="W1112" s="253">
        <v>50</v>
      </c>
      <c r="X1112" s="253">
        <v>52</v>
      </c>
      <c r="Y1112" s="253">
        <v>53</v>
      </c>
      <c r="Z1112" s="253">
        <v>53</v>
      </c>
      <c r="AA1112" s="253"/>
      <c r="AB1112" s="253"/>
      <c r="AC1112" s="253"/>
      <c r="AD1112" s="253"/>
      <c r="AE1112" s="253"/>
    </row>
    <row r="1113" spans="1:31">
      <c r="A1113" s="33">
        <v>1112</v>
      </c>
      <c r="B1113" s="69" t="s">
        <v>1768</v>
      </c>
      <c r="C1113" s="69" t="s">
        <v>740</v>
      </c>
      <c r="D1113" s="56">
        <v>42507</v>
      </c>
      <c r="G1113" s="69" t="str">
        <f t="shared" si="17"/>
        <v>Both</v>
      </c>
      <c r="H1113" s="69" t="s">
        <v>1769</v>
      </c>
      <c r="J1113" s="69" t="s">
        <v>1768</v>
      </c>
      <c r="K1113" s="69" t="s">
        <v>1772</v>
      </c>
      <c r="L1113" s="253">
        <v>56.800000000000004</v>
      </c>
      <c r="M1113" s="253">
        <v>53.321428571428577</v>
      </c>
      <c r="N1113" s="253">
        <v>53.157894736842103</v>
      </c>
      <c r="O1113" s="253">
        <v>50.684210526315788</v>
      </c>
      <c r="P1113" s="253">
        <v>59.000000000000007</v>
      </c>
      <c r="Q1113" s="253">
        <v>50</v>
      </c>
      <c r="R1113" s="253">
        <v>57.999999999999993</v>
      </c>
      <c r="S1113" s="253">
        <v>56.999999999999993</v>
      </c>
      <c r="T1113" s="253">
        <v>57.999999999999993</v>
      </c>
      <c r="U1113" s="253">
        <v>53</v>
      </c>
      <c r="V1113" s="253">
        <v>48</v>
      </c>
      <c r="W1113" s="253">
        <v>53</v>
      </c>
      <c r="X1113" s="253">
        <v>56.000000000000007</v>
      </c>
      <c r="Y1113" s="253">
        <v>50</v>
      </c>
      <c r="Z1113" s="253">
        <v>48</v>
      </c>
      <c r="AA1113" s="253"/>
      <c r="AB1113" s="253"/>
      <c r="AC1113" s="253"/>
      <c r="AD1113" s="253"/>
      <c r="AE1113" s="253"/>
    </row>
    <row r="1114" spans="1:31">
      <c r="A1114" s="33">
        <v>1113</v>
      </c>
      <c r="B1114" s="69" t="s">
        <v>1768</v>
      </c>
      <c r="C1114" s="69" t="s">
        <v>740</v>
      </c>
      <c r="D1114" s="56">
        <v>42507</v>
      </c>
      <c r="G1114" s="69" t="str">
        <f t="shared" si="17"/>
        <v>Both</v>
      </c>
      <c r="H1114" s="69" t="s">
        <v>1769</v>
      </c>
      <c r="J1114" s="69" t="s">
        <v>1768</v>
      </c>
      <c r="K1114" s="69" t="s">
        <v>1773</v>
      </c>
      <c r="L1114" s="253">
        <v>55.6</v>
      </c>
      <c r="M1114" s="253">
        <v>58.964285714285715</v>
      </c>
      <c r="N1114" s="253">
        <v>58.736842105263165</v>
      </c>
      <c r="O1114" s="253">
        <v>56.789473684210535</v>
      </c>
      <c r="P1114" s="253">
        <v>55</v>
      </c>
      <c r="Q1114" s="253">
        <v>57.999999999999993</v>
      </c>
      <c r="R1114" s="253">
        <v>61</v>
      </c>
      <c r="S1114" s="253">
        <v>58.999999999999993</v>
      </c>
      <c r="T1114" s="253">
        <v>64</v>
      </c>
      <c r="U1114" s="253">
        <v>58.999999999999993</v>
      </c>
      <c r="V1114" s="253">
        <v>55</v>
      </c>
      <c r="W1114" s="253">
        <v>56.999999999999993</v>
      </c>
      <c r="X1114" s="253">
        <v>63</v>
      </c>
      <c r="Y1114" s="253">
        <v>55</v>
      </c>
      <c r="Z1114" s="253">
        <v>57.999999999999993</v>
      </c>
      <c r="AA1114" s="253"/>
      <c r="AB1114" s="253"/>
      <c r="AC1114" s="253"/>
      <c r="AD1114" s="253"/>
      <c r="AE1114" s="253"/>
    </row>
    <row r="1115" spans="1:31">
      <c r="A1115" s="33">
        <v>1114</v>
      </c>
      <c r="B1115" s="69" t="s">
        <v>1766</v>
      </c>
      <c r="C1115" s="69" t="s">
        <v>740</v>
      </c>
      <c r="D1115" s="56">
        <v>42507</v>
      </c>
      <c r="F1115" s="56"/>
      <c r="G1115" s="69" t="str">
        <f t="shared" si="17"/>
        <v>User Registration</v>
      </c>
      <c r="H1115" s="69" t="s">
        <v>922</v>
      </c>
      <c r="J1115" s="69" t="s">
        <v>1766</v>
      </c>
      <c r="K1115" s="69" t="s">
        <v>1774</v>
      </c>
      <c r="L1115" s="253">
        <v>52.800000000000004</v>
      </c>
      <c r="M1115" s="253">
        <v>53.173913043478258</v>
      </c>
      <c r="N1115" s="253">
        <v>57.731707317073166</v>
      </c>
      <c r="O1115" s="253">
        <v>52.78947368421052</v>
      </c>
      <c r="P1115" s="253">
        <v>53</v>
      </c>
      <c r="Q1115" s="253">
        <v>56.999999999999993</v>
      </c>
      <c r="R1115" s="253">
        <v>54</v>
      </c>
      <c r="S1115" s="253">
        <v>48</v>
      </c>
      <c r="T1115" s="253">
        <v>53</v>
      </c>
      <c r="U1115" s="253">
        <v>54</v>
      </c>
      <c r="V1115" s="253"/>
      <c r="W1115" s="253">
        <v>56.999999999999993</v>
      </c>
      <c r="X1115" s="253">
        <v>61</v>
      </c>
      <c r="Y1115" s="253">
        <v>53</v>
      </c>
      <c r="Z1115" s="253">
        <v>52</v>
      </c>
      <c r="AA1115" s="253"/>
      <c r="AB1115" s="253"/>
      <c r="AC1115" s="253"/>
      <c r="AD1115" s="253"/>
      <c r="AE1115" s="253"/>
    </row>
    <row r="1116" spans="1:31">
      <c r="A1116" s="33">
        <v>1115</v>
      </c>
      <c r="B1116" s="69" t="s">
        <v>1766</v>
      </c>
      <c r="C1116" s="69" t="s">
        <v>740</v>
      </c>
      <c r="D1116" s="56">
        <v>42507</v>
      </c>
      <c r="F1116" s="56"/>
      <c r="G1116" s="69" t="str">
        <f t="shared" si="17"/>
        <v>User Registration</v>
      </c>
      <c r="H1116" s="69" t="s">
        <v>922</v>
      </c>
      <c r="J1116" s="69" t="s">
        <v>1766</v>
      </c>
      <c r="K1116" s="69" t="s">
        <v>1488</v>
      </c>
      <c r="L1116" s="253">
        <v>62.8</v>
      </c>
      <c r="M1116" s="253">
        <v>61.391304347826079</v>
      </c>
      <c r="N1116" s="253">
        <v>58.024390243902431</v>
      </c>
      <c r="O1116" s="253">
        <v>65.684210526315795</v>
      </c>
      <c r="P1116" s="253">
        <v>64</v>
      </c>
      <c r="Q1116" s="253">
        <v>55</v>
      </c>
      <c r="R1116" s="253">
        <v>67</v>
      </c>
      <c r="S1116" s="253">
        <v>69</v>
      </c>
      <c r="T1116" s="253">
        <v>60</v>
      </c>
      <c r="U1116" s="253">
        <v>56.999999999999993</v>
      </c>
      <c r="V1116" s="253"/>
      <c r="W1116" s="253">
        <v>60</v>
      </c>
      <c r="X1116" s="253">
        <v>51</v>
      </c>
      <c r="Y1116" s="253">
        <v>70</v>
      </c>
      <c r="Z1116" s="253">
        <v>57.999999999999993</v>
      </c>
      <c r="AA1116" s="253"/>
      <c r="AB1116" s="253"/>
      <c r="AC1116" s="253"/>
      <c r="AD1116" s="253"/>
      <c r="AE1116" s="253"/>
    </row>
    <row r="1117" spans="1:31">
      <c r="A1117" s="33">
        <v>1116</v>
      </c>
      <c r="B1117" s="69" t="s">
        <v>1766</v>
      </c>
      <c r="C1117" s="69" t="s">
        <v>740</v>
      </c>
      <c r="D1117" s="56">
        <v>42507</v>
      </c>
      <c r="F1117" s="56"/>
      <c r="G1117" s="69" t="str">
        <f t="shared" si="17"/>
        <v>User Registration</v>
      </c>
      <c r="H1117" s="69" t="s">
        <v>922</v>
      </c>
      <c r="J1117" s="69" t="s">
        <v>1766</v>
      </c>
      <c r="K1117" s="69" t="s">
        <v>1344</v>
      </c>
      <c r="L1117" s="253">
        <v>58.599999999999994</v>
      </c>
      <c r="M1117" s="253">
        <v>51.565217391304351</v>
      </c>
      <c r="N1117" s="253">
        <v>51.609756097560975</v>
      </c>
      <c r="O1117" s="253">
        <v>57.368421052631575</v>
      </c>
      <c r="P1117" s="253">
        <v>58.999999999999993</v>
      </c>
      <c r="Q1117" s="253">
        <v>52</v>
      </c>
      <c r="R1117" s="253">
        <v>50</v>
      </c>
      <c r="S1117" s="253">
        <v>53</v>
      </c>
      <c r="T1117" s="253">
        <v>49</v>
      </c>
      <c r="U1117" s="253">
        <v>51</v>
      </c>
      <c r="V1117" s="253"/>
      <c r="W1117" s="253">
        <v>53</v>
      </c>
      <c r="X1117" s="253">
        <v>50</v>
      </c>
      <c r="Y1117" s="253">
        <v>60</v>
      </c>
      <c r="Z1117" s="253">
        <v>56.999999999999993</v>
      </c>
      <c r="AA1117" s="253"/>
      <c r="AB1117" s="253"/>
      <c r="AC1117" s="253"/>
      <c r="AD1117" s="253"/>
      <c r="AE1117" s="253"/>
    </row>
    <row r="1118" spans="1:31">
      <c r="A1118" s="33">
        <v>1117</v>
      </c>
      <c r="B1118" s="69" t="s">
        <v>1740</v>
      </c>
      <c r="C1118" s="69" t="s">
        <v>740</v>
      </c>
      <c r="D1118" s="56">
        <v>42508</v>
      </c>
      <c r="G1118" s="69" t="str">
        <f t="shared" si="17"/>
        <v>User Registration</v>
      </c>
      <c r="H1118" s="69" t="s">
        <v>974</v>
      </c>
      <c r="J1118" s="69" t="s">
        <v>1740</v>
      </c>
      <c r="K1118" s="69" t="s">
        <v>1741</v>
      </c>
      <c r="L1118" s="253">
        <v>61.151282051999999</v>
      </c>
      <c r="M1118" s="253">
        <v>51.94862280521739</v>
      </c>
      <c r="N1118" s="253">
        <v>50.462600117073173</v>
      </c>
      <c r="O1118" s="253">
        <v>54.32127646842104</v>
      </c>
      <c r="P1118" s="253">
        <v>62</v>
      </c>
      <c r="Q1118" s="253">
        <v>65</v>
      </c>
      <c r="R1118" s="253">
        <v>49.6611008</v>
      </c>
      <c r="S1118" s="253">
        <v>49</v>
      </c>
      <c r="T1118" s="253">
        <v>50</v>
      </c>
      <c r="U1118" s="253">
        <v>45</v>
      </c>
      <c r="V1118" s="253"/>
      <c r="W1118" s="253">
        <v>46.999999999999993</v>
      </c>
      <c r="X1118" s="253">
        <v>53</v>
      </c>
      <c r="Y1118" s="253">
        <v>53</v>
      </c>
      <c r="Z1118" s="253">
        <v>57.756410260000003</v>
      </c>
      <c r="AA1118" s="253"/>
      <c r="AB1118" s="253"/>
      <c r="AC1118" s="253"/>
      <c r="AD1118" s="253"/>
      <c r="AE1118" s="253"/>
    </row>
    <row r="1119" spans="1:31">
      <c r="A1119" s="33">
        <v>1118</v>
      </c>
      <c r="B1119" s="69" t="s">
        <v>1740</v>
      </c>
      <c r="C1119" s="69" t="s">
        <v>740</v>
      </c>
      <c r="D1119" s="56">
        <v>42508</v>
      </c>
      <c r="G1119" s="69" t="str">
        <f t="shared" si="17"/>
        <v>User Registration</v>
      </c>
      <c r="H1119" s="69" t="s">
        <v>974</v>
      </c>
      <c r="J1119" s="69" t="s">
        <v>1740</v>
      </c>
      <c r="K1119" s="69" t="s">
        <v>1742</v>
      </c>
      <c r="L1119" s="253">
        <v>56.67051282000002</v>
      </c>
      <c r="M1119" s="253">
        <v>56.550286785652169</v>
      </c>
      <c r="N1119" s="253">
        <v>51.159567260975614</v>
      </c>
      <c r="O1119" s="253">
        <v>57.345708930526314</v>
      </c>
      <c r="P1119" s="253">
        <v>57.000000000000007</v>
      </c>
      <c r="Q1119" s="253">
        <v>63</v>
      </c>
      <c r="R1119" s="253">
        <v>54.757042949999999</v>
      </c>
      <c r="S1119" s="253">
        <v>60.291563279999991</v>
      </c>
      <c r="T1119" s="253">
        <v>51</v>
      </c>
      <c r="U1119" s="253">
        <v>54</v>
      </c>
      <c r="V1119" s="253"/>
      <c r="W1119" s="253">
        <v>49</v>
      </c>
      <c r="X1119" s="253">
        <v>50</v>
      </c>
      <c r="Y1119" s="253">
        <v>57.999999999999993</v>
      </c>
      <c r="Z1119" s="253">
        <v>55.352564100000002</v>
      </c>
      <c r="AA1119" s="253"/>
      <c r="AB1119" s="253"/>
      <c r="AC1119" s="253"/>
      <c r="AD1119" s="253"/>
      <c r="AE1119" s="253"/>
    </row>
    <row r="1120" spans="1:31">
      <c r="A1120" s="33">
        <v>1119</v>
      </c>
      <c r="B1120" s="69" t="s">
        <v>1740</v>
      </c>
      <c r="C1120" s="69" t="s">
        <v>740</v>
      </c>
      <c r="D1120" s="56">
        <v>42508</v>
      </c>
      <c r="G1120" s="69" t="str">
        <f t="shared" si="17"/>
        <v>User Registration</v>
      </c>
      <c r="H1120" s="69" t="s">
        <v>974</v>
      </c>
      <c r="J1120" s="69" t="s">
        <v>1740</v>
      </c>
      <c r="K1120" s="69" t="s">
        <v>1743</v>
      </c>
      <c r="L1120" s="253">
        <v>60.800000000000011</v>
      </c>
      <c r="M1120" s="253">
        <v>60.434782608695649</v>
      </c>
      <c r="N1120" s="253">
        <v>55.292682926829258</v>
      </c>
      <c r="O1120" s="253">
        <v>56.315789473684205</v>
      </c>
      <c r="P1120" s="253">
        <v>62</v>
      </c>
      <c r="Q1120" s="253">
        <v>61</v>
      </c>
      <c r="R1120" s="253">
        <v>57.999999999999993</v>
      </c>
      <c r="S1120" s="253">
        <v>63</v>
      </c>
      <c r="T1120" s="253">
        <v>58.999999999999993</v>
      </c>
      <c r="U1120" s="253">
        <v>63</v>
      </c>
      <c r="V1120" s="253"/>
      <c r="W1120" s="253">
        <v>52</v>
      </c>
      <c r="X1120" s="253">
        <v>57.999999999999993</v>
      </c>
      <c r="Y1120" s="253">
        <v>55</v>
      </c>
      <c r="Z1120" s="253">
        <v>56.000000000000007</v>
      </c>
      <c r="AA1120" s="253"/>
      <c r="AB1120" s="253"/>
      <c r="AC1120" s="253"/>
      <c r="AD1120" s="253"/>
      <c r="AE1120" s="253"/>
    </row>
    <row r="1121" spans="1:31">
      <c r="A1121" s="33">
        <v>1120</v>
      </c>
      <c r="B1121" s="69" t="s">
        <v>1740</v>
      </c>
      <c r="C1121" s="69" t="s">
        <v>740</v>
      </c>
      <c r="D1121" s="56">
        <v>42508</v>
      </c>
      <c r="G1121" s="69" t="str">
        <f t="shared" si="17"/>
        <v>User Registration</v>
      </c>
      <c r="H1121" s="69" t="s">
        <v>974</v>
      </c>
      <c r="J1121" s="69" t="s">
        <v>1740</v>
      </c>
      <c r="K1121" s="69" t="s">
        <v>1744</v>
      </c>
      <c r="L1121" s="253">
        <v>58.664473683999994</v>
      </c>
      <c r="M1121" s="253">
        <v>56.381126070000001</v>
      </c>
      <c r="N1121" s="253">
        <v>61.26143339073171</v>
      </c>
      <c r="O1121" s="253">
        <v>52.795104153684214</v>
      </c>
      <c r="P1121" s="253">
        <v>60</v>
      </c>
      <c r="Q1121" s="253">
        <v>60</v>
      </c>
      <c r="R1121" s="253">
        <v>61.953128170000006</v>
      </c>
      <c r="S1121" s="253">
        <v>52.58888048</v>
      </c>
      <c r="T1121" s="253">
        <v>55</v>
      </c>
      <c r="U1121" s="253">
        <v>53</v>
      </c>
      <c r="V1121" s="253"/>
      <c r="W1121" s="253">
        <v>62</v>
      </c>
      <c r="X1121" s="253">
        <v>60</v>
      </c>
      <c r="Y1121" s="253">
        <v>50</v>
      </c>
      <c r="Z1121" s="253">
        <v>53.322368419999997</v>
      </c>
      <c r="AA1121" s="253"/>
      <c r="AB1121" s="253"/>
      <c r="AC1121" s="253"/>
      <c r="AD1121" s="253"/>
      <c r="AE1121" s="253"/>
    </row>
    <row r="1122" spans="1:31">
      <c r="A1122" s="33">
        <v>1121</v>
      </c>
      <c r="B1122" s="69" t="s">
        <v>1740</v>
      </c>
      <c r="C1122" s="69" t="s">
        <v>740</v>
      </c>
      <c r="D1122" s="56">
        <v>42508</v>
      </c>
      <c r="F1122" s="56"/>
      <c r="G1122" s="69" t="str">
        <f t="shared" si="17"/>
        <v>User Registration</v>
      </c>
      <c r="H1122" s="69" t="s">
        <v>974</v>
      </c>
      <c r="J1122" s="69" t="s">
        <v>1740</v>
      </c>
      <c r="K1122" s="69" t="s">
        <v>1745</v>
      </c>
      <c r="L1122" s="253">
        <v>54.400000000000006</v>
      </c>
      <c r="M1122" s="253">
        <v>58.565217391304358</v>
      </c>
      <c r="N1122" s="253">
        <v>58.073170731707322</v>
      </c>
      <c r="O1122" s="253">
        <v>57.631578947368425</v>
      </c>
      <c r="P1122" s="253">
        <v>55</v>
      </c>
      <c r="Q1122" s="253">
        <v>56.999999999999993</v>
      </c>
      <c r="R1122" s="253">
        <v>61</v>
      </c>
      <c r="S1122" s="253">
        <v>66</v>
      </c>
      <c r="T1122" s="253">
        <v>56.999999999999993</v>
      </c>
      <c r="U1122" s="253">
        <v>55</v>
      </c>
      <c r="V1122" s="253"/>
      <c r="W1122" s="253">
        <v>55</v>
      </c>
      <c r="X1122" s="253">
        <v>62</v>
      </c>
      <c r="Y1122" s="253">
        <v>58.999999999999993</v>
      </c>
      <c r="Z1122" s="253">
        <v>52</v>
      </c>
      <c r="AA1122" s="253"/>
      <c r="AB1122" s="253"/>
      <c r="AC1122" s="253"/>
      <c r="AD1122" s="253"/>
      <c r="AE1122" s="253"/>
    </row>
    <row r="1123" spans="1:31">
      <c r="A1123" s="33">
        <v>1122</v>
      </c>
      <c r="B1123" s="69" t="s">
        <v>1740</v>
      </c>
      <c r="C1123" s="69" t="s">
        <v>740</v>
      </c>
      <c r="D1123" s="56">
        <v>42508</v>
      </c>
      <c r="F1123" s="56"/>
      <c r="G1123" s="69" t="str">
        <f t="shared" si="17"/>
        <v>User Registration</v>
      </c>
      <c r="H1123" s="69" t="s">
        <v>974</v>
      </c>
      <c r="J1123" s="69" t="s">
        <v>1740</v>
      </c>
      <c r="K1123" s="69" t="s">
        <v>1740</v>
      </c>
      <c r="L1123" s="253">
        <v>52.699358973999985</v>
      </c>
      <c r="M1123" s="253">
        <v>51.142624525478261</v>
      </c>
      <c r="N1123" s="253">
        <v>51.350829321512194</v>
      </c>
      <c r="O1123" s="253">
        <v>50.205996723894742</v>
      </c>
      <c r="P1123" s="253">
        <v>52.468749999999993</v>
      </c>
      <c r="Q1123" s="253">
        <v>44.339281213999996</v>
      </c>
      <c r="R1123" s="253">
        <v>52.727693090000002</v>
      </c>
      <c r="S1123" s="253">
        <v>56.01029600999999</v>
      </c>
      <c r="T1123" s="253">
        <v>53</v>
      </c>
      <c r="U1123" s="253">
        <v>49</v>
      </c>
      <c r="V1123" s="253"/>
      <c r="W1123" s="253">
        <v>54</v>
      </c>
      <c r="X1123" s="253">
        <v>48</v>
      </c>
      <c r="Y1123" s="253">
        <v>48</v>
      </c>
      <c r="Z1123" s="253">
        <v>53.621794870000002</v>
      </c>
      <c r="AA1123" s="253"/>
      <c r="AB1123" s="253"/>
      <c r="AC1123" s="253"/>
      <c r="AD1123" s="253"/>
      <c r="AE1123" s="253"/>
    </row>
    <row r="1124" spans="1:31">
      <c r="A1124" s="33">
        <v>1123</v>
      </c>
      <c r="B1124" s="69" t="s">
        <v>1746</v>
      </c>
      <c r="C1124" s="69" t="s">
        <v>740</v>
      </c>
      <c r="D1124" s="56">
        <v>42508</v>
      </c>
      <c r="G1124" s="69" t="str">
        <f t="shared" si="17"/>
        <v>User Registration</v>
      </c>
      <c r="H1124" s="69" t="s">
        <v>974</v>
      </c>
      <c r="J1124" s="69" t="s">
        <v>1746</v>
      </c>
      <c r="K1124" s="69" t="s">
        <v>1747</v>
      </c>
      <c r="L1124" s="253">
        <v>56.00620155</v>
      </c>
      <c r="M1124" s="253">
        <v>53.03108694565217</v>
      </c>
      <c r="N1124" s="253">
        <v>46.321550758536581</v>
      </c>
      <c r="O1124" s="253">
        <v>49.590328023684208</v>
      </c>
      <c r="P1124" s="253">
        <v>58.999999999999993</v>
      </c>
      <c r="Q1124" s="253">
        <v>60</v>
      </c>
      <c r="R1124" s="253">
        <v>54.530596850000002</v>
      </c>
      <c r="S1124" s="253">
        <v>53</v>
      </c>
      <c r="T1124" s="253">
        <v>54</v>
      </c>
      <c r="U1124" s="253">
        <v>49</v>
      </c>
      <c r="V1124" s="253"/>
      <c r="W1124" s="253">
        <v>45</v>
      </c>
      <c r="X1124" s="253">
        <v>41</v>
      </c>
      <c r="Y1124" s="253">
        <v>50</v>
      </c>
      <c r="Z1124" s="253">
        <v>44.031007750000001</v>
      </c>
      <c r="AA1124" s="253"/>
      <c r="AB1124" s="253"/>
      <c r="AC1124" s="253"/>
      <c r="AD1124" s="253"/>
      <c r="AE1124" s="253"/>
    </row>
    <row r="1125" spans="1:31">
      <c r="A1125" s="33">
        <v>1124</v>
      </c>
      <c r="B1125" s="69" t="s">
        <v>1748</v>
      </c>
      <c r="C1125" s="69" t="s">
        <v>740</v>
      </c>
      <c r="D1125" s="56">
        <v>42508</v>
      </c>
      <c r="G1125" s="69" t="str">
        <f t="shared" si="17"/>
        <v>E-Commerce</v>
      </c>
      <c r="H1125" s="69" t="s">
        <v>749</v>
      </c>
      <c r="J1125" s="69" t="s">
        <v>1748</v>
      </c>
      <c r="K1125" s="69" t="s">
        <v>1748</v>
      </c>
      <c r="L1125" s="253">
        <v>60.697889447999998</v>
      </c>
      <c r="M1125" s="253">
        <v>52.015672269193281</v>
      </c>
      <c r="N1125" s="253">
        <v>48.710695192502719</v>
      </c>
      <c r="O1125" s="253">
        <v>62.985263158000002</v>
      </c>
      <c r="P1125" s="253">
        <v>60.372361809999994</v>
      </c>
      <c r="Q1125" s="253">
        <v>47.720000001999992</v>
      </c>
      <c r="R1125" s="253">
        <v>52</v>
      </c>
      <c r="S1125" s="253">
        <v>55</v>
      </c>
      <c r="T1125" s="253">
        <v>52</v>
      </c>
      <c r="U1125" s="253">
        <v>48</v>
      </c>
      <c r="V1125" s="253">
        <v>53.111764705882344</v>
      </c>
      <c r="W1125" s="253"/>
      <c r="X1125" s="253">
        <v>48</v>
      </c>
      <c r="Y1125" s="253">
        <v>68</v>
      </c>
      <c r="Z1125" s="253">
        <v>62</v>
      </c>
      <c r="AA1125" s="253"/>
      <c r="AB1125" s="253"/>
      <c r="AC1125" s="253"/>
      <c r="AD1125" s="253"/>
      <c r="AE1125" s="253"/>
    </row>
    <row r="1126" spans="1:31">
      <c r="A1126" s="33">
        <v>1125</v>
      </c>
      <c r="B1126" s="69" t="s">
        <v>1748</v>
      </c>
      <c r="C1126" s="69" t="s">
        <v>740</v>
      </c>
      <c r="D1126" s="56">
        <v>42508</v>
      </c>
      <c r="G1126" s="69" t="str">
        <f t="shared" si="17"/>
        <v>E-Commerce</v>
      </c>
      <c r="H1126" s="69" t="s">
        <v>749</v>
      </c>
      <c r="J1126" s="69" t="s">
        <v>1748</v>
      </c>
      <c r="K1126" s="69" t="s">
        <v>1749</v>
      </c>
      <c r="L1126" s="253">
        <v>62.994025563999998</v>
      </c>
      <c r="M1126" s="253">
        <v>59.672658659663867</v>
      </c>
      <c r="N1126" s="253">
        <v>54.289762979356759</v>
      </c>
      <c r="O1126" s="253">
        <v>66.785078858421059</v>
      </c>
      <c r="P1126" s="253">
        <v>62.947077409999999</v>
      </c>
      <c r="Q1126" s="253">
        <v>63.007407409999985</v>
      </c>
      <c r="R1126" s="253">
        <v>64</v>
      </c>
      <c r="S1126" s="253">
        <v>62</v>
      </c>
      <c r="T1126" s="253">
        <v>56.000000000000007</v>
      </c>
      <c r="U1126" s="253">
        <v>60</v>
      </c>
      <c r="V1126" s="253">
        <v>51.288235294117648</v>
      </c>
      <c r="W1126" s="253"/>
      <c r="X1126" s="253">
        <v>45</v>
      </c>
      <c r="Y1126" s="253">
        <v>70</v>
      </c>
      <c r="Z1126" s="253">
        <v>63.181818179999993</v>
      </c>
      <c r="AA1126" s="253"/>
      <c r="AB1126" s="253"/>
      <c r="AC1126" s="253"/>
      <c r="AD1126" s="253"/>
      <c r="AE1126" s="253"/>
    </row>
    <row r="1127" spans="1:31">
      <c r="A1127" s="33">
        <v>1126</v>
      </c>
      <c r="B1127" s="69" t="s">
        <v>1748</v>
      </c>
      <c r="C1127" s="69" t="s">
        <v>740</v>
      </c>
      <c r="D1127" s="56">
        <v>42508</v>
      </c>
      <c r="G1127" s="69" t="str">
        <f t="shared" si="17"/>
        <v>E-Commerce</v>
      </c>
      <c r="H1127" s="69" t="s">
        <v>749</v>
      </c>
      <c r="J1127" s="69" t="s">
        <v>1748</v>
      </c>
      <c r="K1127" s="69" t="s">
        <v>1750</v>
      </c>
      <c r="L1127" s="253">
        <v>55.958490565999995</v>
      </c>
      <c r="M1127" s="253">
        <v>56.20023454728571</v>
      </c>
      <c r="N1127" s="253">
        <v>42.992821271947903</v>
      </c>
      <c r="O1127" s="253">
        <v>60.231246950842106</v>
      </c>
      <c r="P1127" s="253">
        <v>56.999999999999993</v>
      </c>
      <c r="Q1127" s="253">
        <v>56.37703703599999</v>
      </c>
      <c r="R1127" s="253">
        <v>61</v>
      </c>
      <c r="S1127" s="253">
        <v>58.378378379999994</v>
      </c>
      <c r="T1127" s="253">
        <v>50</v>
      </c>
      <c r="U1127" s="253">
        <v>56.999999999999993</v>
      </c>
      <c r="V1127" s="253">
        <v>54.2</v>
      </c>
      <c r="W1127" s="253"/>
      <c r="X1127" s="253"/>
      <c r="Y1127" s="253">
        <v>64.867601250000007</v>
      </c>
      <c r="Z1127" s="253">
        <v>51.792452830000002</v>
      </c>
      <c r="AA1127" s="253"/>
      <c r="AB1127" s="253"/>
      <c r="AC1127" s="253"/>
      <c r="AD1127" s="253"/>
      <c r="AE1127" s="253"/>
    </row>
    <row r="1128" spans="1:31">
      <c r="A1128" s="33">
        <v>1127</v>
      </c>
      <c r="B1128" s="69" t="s">
        <v>1748</v>
      </c>
      <c r="C1128" s="69" t="s">
        <v>740</v>
      </c>
      <c r="D1128" s="56">
        <v>42508</v>
      </c>
      <c r="G1128" s="69" t="str">
        <f t="shared" si="17"/>
        <v>E-Commerce</v>
      </c>
      <c r="H1128" s="69" t="s">
        <v>749</v>
      </c>
      <c r="J1128" s="69" t="s">
        <v>1748</v>
      </c>
      <c r="K1128" s="69" t="s">
        <v>1751</v>
      </c>
      <c r="L1128" s="253">
        <v>56.537949738000002</v>
      </c>
      <c r="M1128" s="253">
        <v>51.102155968445373</v>
      </c>
      <c r="N1128" s="253">
        <v>51.895108346843834</v>
      </c>
      <c r="O1128" s="253">
        <v>53.031642736315796</v>
      </c>
      <c r="P1128" s="253">
        <v>58.955665020000005</v>
      </c>
      <c r="Q1128" s="253">
        <v>59.627407409999989</v>
      </c>
      <c r="R1128" s="253">
        <v>56.592230409999999</v>
      </c>
      <c r="S1128" s="253">
        <v>50.453900709999999</v>
      </c>
      <c r="T1128" s="253">
        <v>46.999999999999993</v>
      </c>
      <c r="U1128" s="253">
        <v>44</v>
      </c>
      <c r="V1128" s="253">
        <v>50.567961073294107</v>
      </c>
      <c r="W1128" s="253"/>
      <c r="X1128" s="253">
        <v>53</v>
      </c>
      <c r="Y1128" s="253">
        <v>55</v>
      </c>
      <c r="Z1128" s="253">
        <v>46.867088610000003</v>
      </c>
      <c r="AA1128" s="253"/>
      <c r="AB1128" s="253"/>
      <c r="AC1128" s="253"/>
      <c r="AD1128" s="253"/>
      <c r="AE1128" s="253"/>
    </row>
    <row r="1129" spans="1:31">
      <c r="A1129" s="33">
        <v>1128</v>
      </c>
      <c r="B1129" s="69" t="s">
        <v>1748</v>
      </c>
      <c r="C1129" s="69" t="s">
        <v>740</v>
      </c>
      <c r="D1129" s="56">
        <v>42508</v>
      </c>
      <c r="G1129" s="69" t="str">
        <f t="shared" si="17"/>
        <v>E-Commerce</v>
      </c>
      <c r="H1129" s="69" t="s">
        <v>749</v>
      </c>
      <c r="J1129" s="69" t="s">
        <v>1748</v>
      </c>
      <c r="K1129" s="69" t="s">
        <v>1752</v>
      </c>
      <c r="L1129" s="253">
        <v>44.380331355999999</v>
      </c>
      <c r="M1129" s="253">
        <v>43.027565059310916</v>
      </c>
      <c r="N1129" s="253">
        <v>43.359202767224815</v>
      </c>
      <c r="O1129" s="253">
        <v>48.99592823389473</v>
      </c>
      <c r="P1129" s="253">
        <v>45.087064679999997</v>
      </c>
      <c r="Q1129" s="253">
        <v>48.947160493999988</v>
      </c>
      <c r="R1129" s="253">
        <v>46</v>
      </c>
      <c r="S1129" s="253">
        <v>39.211742950000001</v>
      </c>
      <c r="T1129" s="253">
        <v>43</v>
      </c>
      <c r="U1129" s="253">
        <v>41</v>
      </c>
      <c r="V1129" s="253">
        <v>41.005882352941171</v>
      </c>
      <c r="W1129" s="253"/>
      <c r="X1129" s="253">
        <v>55</v>
      </c>
      <c r="Y1129" s="253">
        <v>54.299674269999997</v>
      </c>
      <c r="Z1129" s="253">
        <v>41.553398059999999</v>
      </c>
      <c r="AA1129" s="253"/>
      <c r="AB1129" s="253"/>
      <c r="AC1129" s="253"/>
      <c r="AD1129" s="253"/>
      <c r="AE1129" s="253"/>
    </row>
    <row r="1130" spans="1:31">
      <c r="A1130" s="33">
        <v>1129</v>
      </c>
      <c r="B1130" s="69" t="s">
        <v>1746</v>
      </c>
      <c r="C1130" s="69" t="s">
        <v>740</v>
      </c>
      <c r="D1130" s="56">
        <v>42508</v>
      </c>
      <c r="G1130" s="69" t="str">
        <f t="shared" si="17"/>
        <v>User Registration</v>
      </c>
      <c r="H1130" s="69" t="s">
        <v>974</v>
      </c>
      <c r="J1130" s="69" t="s">
        <v>1746</v>
      </c>
      <c r="K1130" s="69" t="s">
        <v>1753</v>
      </c>
      <c r="L1130" s="253">
        <v>63</v>
      </c>
      <c r="M1130" s="253">
        <v>54.631621534782603</v>
      </c>
      <c r="N1130" s="253">
        <v>52.722750106341465</v>
      </c>
      <c r="O1130" s="253">
        <v>59.432153585263165</v>
      </c>
      <c r="P1130" s="253">
        <v>65</v>
      </c>
      <c r="Q1130" s="253">
        <v>58.999999999999993</v>
      </c>
      <c r="R1130" s="253">
        <v>50.105459060000001</v>
      </c>
      <c r="S1130" s="253">
        <v>55</v>
      </c>
      <c r="T1130" s="253">
        <v>55</v>
      </c>
      <c r="U1130" s="253">
        <v>55</v>
      </c>
      <c r="V1130" s="253"/>
      <c r="W1130" s="253">
        <v>53</v>
      </c>
      <c r="X1130" s="253">
        <v>52</v>
      </c>
      <c r="Y1130" s="253">
        <v>64</v>
      </c>
      <c r="Z1130" s="253">
        <v>55</v>
      </c>
      <c r="AA1130" s="253"/>
      <c r="AB1130" s="253"/>
      <c r="AC1130" s="253"/>
      <c r="AD1130" s="253"/>
      <c r="AE1130" s="253"/>
    </row>
    <row r="1131" spans="1:31">
      <c r="A1131" s="33">
        <v>1130</v>
      </c>
      <c r="B1131" s="69" t="s">
        <v>1746</v>
      </c>
      <c r="C1131" s="69" t="s">
        <v>740</v>
      </c>
      <c r="D1131" s="56">
        <v>42508</v>
      </c>
      <c r="F1131" s="56"/>
      <c r="G1131" s="69" t="str">
        <f t="shared" si="17"/>
        <v>User Registration</v>
      </c>
      <c r="H1131" s="69" t="s">
        <v>974</v>
      </c>
      <c r="J1131" s="69" t="s">
        <v>1746</v>
      </c>
      <c r="K1131" s="69" t="s">
        <v>1754</v>
      </c>
      <c r="L1131" s="253">
        <v>52.497948719999997</v>
      </c>
      <c r="M1131" s="253">
        <v>49.088040091304343</v>
      </c>
      <c r="N1131" s="253">
        <v>50.776339183414628</v>
      </c>
      <c r="O1131" s="253">
        <v>44.768945728421052</v>
      </c>
      <c r="P1131" s="253">
        <v>55.872435899999992</v>
      </c>
      <c r="Q1131" s="253">
        <v>56.999999999999993</v>
      </c>
      <c r="R1131" s="253">
        <v>53.804984420000004</v>
      </c>
      <c r="S1131" s="253">
        <v>41</v>
      </c>
      <c r="T1131" s="253">
        <v>50</v>
      </c>
      <c r="U1131" s="253">
        <v>48</v>
      </c>
      <c r="V1131" s="253"/>
      <c r="W1131" s="253">
        <v>50</v>
      </c>
      <c r="X1131" s="253">
        <v>49</v>
      </c>
      <c r="Y1131" s="253">
        <v>45</v>
      </c>
      <c r="Z1131" s="253">
        <v>39</v>
      </c>
      <c r="AA1131" s="253"/>
      <c r="AB1131" s="253"/>
      <c r="AC1131" s="253"/>
      <c r="AD1131" s="253"/>
      <c r="AE1131" s="253"/>
    </row>
    <row r="1132" spans="1:31">
      <c r="A1132" s="33">
        <v>1131</v>
      </c>
      <c r="B1132" s="69" t="s">
        <v>1755</v>
      </c>
      <c r="C1132" s="69" t="s">
        <v>1639</v>
      </c>
      <c r="D1132" s="56">
        <v>42508</v>
      </c>
      <c r="F1132" s="56"/>
      <c r="G1132" s="69" t="str">
        <f t="shared" si="17"/>
        <v>User Registration</v>
      </c>
      <c r="H1132" s="69" t="s">
        <v>922</v>
      </c>
      <c r="J1132" s="69" t="s">
        <v>1755</v>
      </c>
      <c r="K1132" s="69" t="s">
        <v>1756</v>
      </c>
      <c r="L1132" s="253">
        <v>58.8</v>
      </c>
      <c r="M1132" s="253">
        <v>59.652173913043484</v>
      </c>
      <c r="N1132" s="253">
        <v>58.439024390243901</v>
      </c>
      <c r="O1132" s="253">
        <v>56.105263157894733</v>
      </c>
      <c r="P1132" s="253">
        <v>61</v>
      </c>
      <c r="Q1132" s="253">
        <v>56.000000000000007</v>
      </c>
      <c r="R1132" s="253">
        <v>62</v>
      </c>
      <c r="S1132" s="253">
        <v>66</v>
      </c>
      <c r="T1132" s="253">
        <v>63</v>
      </c>
      <c r="U1132" s="253">
        <v>56.999999999999993</v>
      </c>
      <c r="V1132" s="253"/>
      <c r="W1132" s="253">
        <v>57.999999999999993</v>
      </c>
      <c r="X1132" s="253">
        <v>57.999999999999993</v>
      </c>
      <c r="Y1132" s="253">
        <v>56.999999999999993</v>
      </c>
      <c r="Z1132" s="253">
        <v>50</v>
      </c>
      <c r="AA1132" s="253"/>
      <c r="AB1132" s="253"/>
      <c r="AC1132" s="253"/>
      <c r="AD1132" s="253"/>
      <c r="AE1132" s="253"/>
    </row>
    <row r="1133" spans="1:31">
      <c r="A1133" s="33">
        <v>1132</v>
      </c>
      <c r="B1133" s="69" t="s">
        <v>1755</v>
      </c>
      <c r="C1133" s="69" t="s">
        <v>1639</v>
      </c>
      <c r="D1133" s="56">
        <v>42508</v>
      </c>
      <c r="F1133" s="56"/>
      <c r="G1133" s="69" t="str">
        <f t="shared" si="17"/>
        <v>User Registration</v>
      </c>
      <c r="H1133" s="69" t="s">
        <v>922</v>
      </c>
      <c r="J1133" s="69" t="s">
        <v>1755</v>
      </c>
      <c r="K1133" s="69" t="s">
        <v>1757</v>
      </c>
      <c r="L1133" s="253">
        <v>64.8</v>
      </c>
      <c r="M1133" s="253">
        <v>59.192546584347824</v>
      </c>
      <c r="N1133" s="253">
        <v>52.634146341463406</v>
      </c>
      <c r="O1133" s="253">
        <v>54.308270676842106</v>
      </c>
      <c r="P1133" s="253">
        <v>69</v>
      </c>
      <c r="Q1133" s="253">
        <v>56.000000000000007</v>
      </c>
      <c r="R1133" s="253">
        <v>58.999999999999993</v>
      </c>
      <c r="S1133" s="253">
        <v>67.857142859999996</v>
      </c>
      <c r="T1133" s="253">
        <v>55</v>
      </c>
      <c r="U1133" s="253">
        <v>62</v>
      </c>
      <c r="V1133" s="253"/>
      <c r="W1133" s="253">
        <v>50</v>
      </c>
      <c r="X1133" s="253">
        <v>53</v>
      </c>
      <c r="Y1133" s="253">
        <v>55</v>
      </c>
      <c r="Z1133" s="253">
        <v>48</v>
      </c>
      <c r="AA1133" s="253"/>
      <c r="AB1133" s="253"/>
      <c r="AC1133" s="253"/>
      <c r="AD1133" s="253"/>
      <c r="AE1133" s="253"/>
    </row>
    <row r="1134" spans="1:31">
      <c r="A1134" s="33">
        <v>1133</v>
      </c>
      <c r="B1134" s="69" t="s">
        <v>1746</v>
      </c>
      <c r="C1134" s="69" t="s">
        <v>740</v>
      </c>
      <c r="D1134" s="56">
        <v>42508</v>
      </c>
      <c r="F1134" s="56"/>
      <c r="G1134" s="69" t="str">
        <f t="shared" si="17"/>
        <v>User Registration</v>
      </c>
      <c r="H1134" s="69" t="s">
        <v>974</v>
      </c>
      <c r="J1134" s="69" t="s">
        <v>1746</v>
      </c>
      <c r="K1134" s="69" t="s">
        <v>1758</v>
      </c>
      <c r="L1134" s="253">
        <v>46.6</v>
      </c>
      <c r="M1134" s="253">
        <v>46.46364253695652</v>
      </c>
      <c r="N1134" s="253">
        <v>46.2145496102439</v>
      </c>
      <c r="O1134" s="253">
        <v>43.013974281052633</v>
      </c>
      <c r="P1134" s="253">
        <v>49</v>
      </c>
      <c r="Q1134" s="253">
        <v>54</v>
      </c>
      <c r="R1134" s="253">
        <v>42.132755670000002</v>
      </c>
      <c r="S1134" s="253">
        <v>44</v>
      </c>
      <c r="T1134" s="253">
        <v>49</v>
      </c>
      <c r="U1134" s="253">
        <v>49</v>
      </c>
      <c r="V1134" s="253"/>
      <c r="W1134" s="253">
        <v>47</v>
      </c>
      <c r="X1134" s="253">
        <v>45</v>
      </c>
      <c r="Y1134" s="253">
        <v>45</v>
      </c>
      <c r="Z1134" s="253">
        <v>37</v>
      </c>
      <c r="AA1134" s="253"/>
      <c r="AB1134" s="253"/>
      <c r="AC1134" s="253"/>
      <c r="AD1134" s="253"/>
      <c r="AE1134" s="253"/>
    </row>
    <row r="1135" spans="1:31">
      <c r="A1135" s="33">
        <v>1134</v>
      </c>
      <c r="B1135" s="69" t="s">
        <v>1755</v>
      </c>
      <c r="C1135" s="69" t="s">
        <v>1639</v>
      </c>
      <c r="D1135" s="56">
        <v>42508</v>
      </c>
      <c r="F1135" s="56"/>
      <c r="G1135" s="69" t="str">
        <f t="shared" si="17"/>
        <v>User Registration</v>
      </c>
      <c r="H1135" s="69" t="s">
        <v>922</v>
      </c>
      <c r="J1135" s="69" t="s">
        <v>1755</v>
      </c>
      <c r="K1135" s="69" t="s">
        <v>1759</v>
      </c>
      <c r="L1135" s="253">
        <v>60.8</v>
      </c>
      <c r="M1135" s="253">
        <v>58.304347826086968</v>
      </c>
      <c r="N1135" s="253">
        <v>57.999999999999993</v>
      </c>
      <c r="O1135" s="253">
        <v>54.210526315789473</v>
      </c>
      <c r="P1135" s="253">
        <v>63</v>
      </c>
      <c r="Q1135" s="253">
        <v>54</v>
      </c>
      <c r="R1135" s="253">
        <v>60</v>
      </c>
      <c r="S1135" s="253">
        <v>66</v>
      </c>
      <c r="T1135" s="253">
        <v>54</v>
      </c>
      <c r="U1135" s="253">
        <v>58.999999999999993</v>
      </c>
      <c r="V1135" s="253"/>
      <c r="W1135" s="253">
        <v>61</v>
      </c>
      <c r="X1135" s="253">
        <v>53</v>
      </c>
      <c r="Y1135" s="253">
        <v>53</v>
      </c>
      <c r="Z1135" s="253">
        <v>52</v>
      </c>
      <c r="AA1135" s="253"/>
      <c r="AB1135" s="253"/>
      <c r="AC1135" s="253"/>
      <c r="AD1135" s="253"/>
      <c r="AE1135" s="253"/>
    </row>
    <row r="1136" spans="1:31">
      <c r="A1136" s="33">
        <v>1135</v>
      </c>
      <c r="B1136" s="69" t="s">
        <v>1755</v>
      </c>
      <c r="C1136" s="69" t="s">
        <v>1639</v>
      </c>
      <c r="D1136" s="56">
        <v>42508</v>
      </c>
      <c r="F1136" s="56"/>
      <c r="G1136" s="69" t="str">
        <f t="shared" si="17"/>
        <v>User Registration</v>
      </c>
      <c r="H1136" s="69" t="s">
        <v>922</v>
      </c>
      <c r="J1136" s="69" t="s">
        <v>1755</v>
      </c>
      <c r="K1136" s="69" t="s">
        <v>1760</v>
      </c>
      <c r="L1136" s="253">
        <v>53.2</v>
      </c>
      <c r="M1136" s="253">
        <v>48.521739130434788</v>
      </c>
      <c r="N1136" s="253">
        <v>46.512195121951216</v>
      </c>
      <c r="O1136" s="253">
        <v>50.421052631578945</v>
      </c>
      <c r="P1136" s="253">
        <v>55</v>
      </c>
      <c r="Q1136" s="253">
        <v>53</v>
      </c>
      <c r="R1136" s="253">
        <v>56.000000000000007</v>
      </c>
      <c r="S1136" s="253">
        <v>43</v>
      </c>
      <c r="T1136" s="253">
        <v>40</v>
      </c>
      <c r="U1136" s="253">
        <v>48</v>
      </c>
      <c r="V1136" s="253"/>
      <c r="W1136" s="253">
        <v>40</v>
      </c>
      <c r="X1136" s="253">
        <v>51</v>
      </c>
      <c r="Y1136" s="253">
        <v>52</v>
      </c>
      <c r="Z1136" s="253">
        <v>46</v>
      </c>
      <c r="AA1136" s="253"/>
      <c r="AB1136" s="253"/>
      <c r="AC1136" s="253"/>
      <c r="AD1136" s="253"/>
      <c r="AE1136" s="253"/>
    </row>
    <row r="1137" spans="1:31">
      <c r="A1137" s="33">
        <v>1136</v>
      </c>
      <c r="B1137" s="69" t="s">
        <v>1746</v>
      </c>
      <c r="C1137" s="69" t="s">
        <v>740</v>
      </c>
      <c r="D1137" s="56">
        <v>42508</v>
      </c>
      <c r="F1137" s="56"/>
      <c r="G1137" s="69" t="str">
        <f t="shared" si="17"/>
        <v>User Registration</v>
      </c>
      <c r="H1137" s="69" t="s">
        <v>974</v>
      </c>
      <c r="J1137" s="69" t="s">
        <v>1746</v>
      </c>
      <c r="K1137" s="69" t="s">
        <v>1761</v>
      </c>
      <c r="L1137" s="253">
        <v>56.759595959999999</v>
      </c>
      <c r="M1137" s="253">
        <v>48.441990441304348</v>
      </c>
      <c r="N1137" s="253">
        <v>47.448754540975614</v>
      </c>
      <c r="O1137" s="253">
        <v>46.182437476842111</v>
      </c>
      <c r="P1137" s="253">
        <v>60.699494949999995</v>
      </c>
      <c r="Q1137" s="253">
        <v>50</v>
      </c>
      <c r="R1137" s="253">
        <v>51.233156030000004</v>
      </c>
      <c r="S1137" s="253">
        <v>40</v>
      </c>
      <c r="T1137" s="253">
        <v>52</v>
      </c>
      <c r="U1137" s="253">
        <v>52</v>
      </c>
      <c r="V1137" s="253"/>
      <c r="W1137" s="253">
        <v>45</v>
      </c>
      <c r="X1137" s="253">
        <v>49</v>
      </c>
      <c r="Y1137" s="253">
        <v>48</v>
      </c>
      <c r="Z1137" s="253">
        <v>41</v>
      </c>
      <c r="AA1137" s="253"/>
      <c r="AB1137" s="253"/>
      <c r="AC1137" s="253"/>
      <c r="AD1137" s="253"/>
      <c r="AE1137" s="253"/>
    </row>
    <row r="1138" spans="1:31">
      <c r="A1138" s="33">
        <v>1137</v>
      </c>
      <c r="B1138" s="69" t="s">
        <v>1755</v>
      </c>
      <c r="C1138" s="69" t="s">
        <v>1639</v>
      </c>
      <c r="D1138" s="56">
        <v>42508</v>
      </c>
      <c r="F1138" s="56"/>
      <c r="G1138" s="69" t="str">
        <f t="shared" si="17"/>
        <v>User Registration</v>
      </c>
      <c r="H1138" s="69" t="s">
        <v>922</v>
      </c>
      <c r="J1138" s="69" t="s">
        <v>1755</v>
      </c>
      <c r="K1138" s="69" t="s">
        <v>1762</v>
      </c>
      <c r="L1138" s="253">
        <v>55.6</v>
      </c>
      <c r="M1138" s="253">
        <v>51.169636067391309</v>
      </c>
      <c r="N1138" s="253">
        <v>53.694435888292681</v>
      </c>
      <c r="O1138" s="253">
        <v>53.832839849473679</v>
      </c>
      <c r="P1138" s="253">
        <v>55</v>
      </c>
      <c r="Q1138" s="253">
        <v>50</v>
      </c>
      <c r="R1138" s="253">
        <v>51.911978570000002</v>
      </c>
      <c r="S1138" s="253">
        <v>49</v>
      </c>
      <c r="T1138" s="253">
        <v>52</v>
      </c>
      <c r="U1138" s="253">
        <v>49.86834734</v>
      </c>
      <c r="V1138" s="253"/>
      <c r="W1138" s="253">
        <v>56.999999999999993</v>
      </c>
      <c r="X1138" s="253">
        <v>50</v>
      </c>
      <c r="Y1138" s="253">
        <v>53</v>
      </c>
      <c r="Z1138" s="253">
        <v>57.999999999999993</v>
      </c>
      <c r="AA1138" s="253"/>
      <c r="AB1138" s="253"/>
      <c r="AC1138" s="253"/>
      <c r="AD1138" s="253"/>
      <c r="AE1138" s="253"/>
    </row>
    <row r="1139" spans="1:31">
      <c r="A1139" s="33">
        <v>1138</v>
      </c>
      <c r="B1139" s="69" t="s">
        <v>1755</v>
      </c>
      <c r="C1139" s="69" t="s">
        <v>1639</v>
      </c>
      <c r="D1139" s="56">
        <v>42508</v>
      </c>
      <c r="F1139" s="56"/>
      <c r="G1139" s="69" t="str">
        <f t="shared" si="17"/>
        <v>User Registration</v>
      </c>
      <c r="H1139" s="69" t="s">
        <v>922</v>
      </c>
      <c r="J1139" s="69" t="s">
        <v>1755</v>
      </c>
      <c r="K1139" s="69" t="s">
        <v>1763</v>
      </c>
      <c r="L1139" s="253">
        <v>56.399999999999991</v>
      </c>
      <c r="M1139" s="253">
        <v>49.217391304347828</v>
      </c>
      <c r="N1139" s="253">
        <v>45.097560975609753</v>
      </c>
      <c r="O1139" s="253">
        <v>48.368421052631582</v>
      </c>
      <c r="P1139" s="253">
        <v>58.999999999999993</v>
      </c>
      <c r="Q1139" s="253">
        <v>49</v>
      </c>
      <c r="R1139" s="253">
        <v>49</v>
      </c>
      <c r="S1139" s="253">
        <v>62</v>
      </c>
      <c r="T1139" s="253">
        <v>42</v>
      </c>
      <c r="U1139" s="253">
        <v>45</v>
      </c>
      <c r="V1139" s="253"/>
      <c r="W1139" s="253">
        <v>44</v>
      </c>
      <c r="X1139" s="253">
        <v>44</v>
      </c>
      <c r="Y1139" s="253">
        <v>48</v>
      </c>
      <c r="Z1139" s="253">
        <v>46</v>
      </c>
      <c r="AA1139" s="253"/>
      <c r="AB1139" s="253"/>
      <c r="AC1139" s="253"/>
      <c r="AD1139" s="253"/>
      <c r="AE1139" s="253"/>
    </row>
    <row r="1140" spans="1:31">
      <c r="A1140" s="33">
        <v>1139</v>
      </c>
      <c r="B1140" s="69" t="s">
        <v>1746</v>
      </c>
      <c r="C1140" s="69" t="s">
        <v>740</v>
      </c>
      <c r="D1140" s="56">
        <v>42508</v>
      </c>
      <c r="F1140" s="56"/>
      <c r="G1140" s="69" t="str">
        <f t="shared" si="17"/>
        <v>User Registration</v>
      </c>
      <c r="H1140" s="69" t="s">
        <v>974</v>
      </c>
      <c r="J1140" s="69" t="s">
        <v>1746</v>
      </c>
      <c r="K1140" s="69" t="s">
        <v>1764</v>
      </c>
      <c r="L1140" s="253">
        <v>48.599999999999994</v>
      </c>
      <c r="M1140" s="253">
        <v>42.096542202173907</v>
      </c>
      <c r="N1140" s="253">
        <v>43.201574750731709</v>
      </c>
      <c r="O1140" s="253">
        <v>45.004641487368417</v>
      </c>
      <c r="P1140" s="253">
        <v>52</v>
      </c>
      <c r="Q1140" s="253">
        <v>43</v>
      </c>
      <c r="R1140" s="253">
        <v>51.044094129999991</v>
      </c>
      <c r="S1140" s="253">
        <v>35</v>
      </c>
      <c r="T1140" s="253">
        <v>46.999999999999993</v>
      </c>
      <c r="U1140" s="253">
        <v>38</v>
      </c>
      <c r="V1140" s="253"/>
      <c r="W1140" s="253">
        <v>41</v>
      </c>
      <c r="X1140" s="253">
        <v>43</v>
      </c>
      <c r="Y1140" s="253">
        <v>50</v>
      </c>
      <c r="Z1140" s="253">
        <v>35</v>
      </c>
      <c r="AA1140" s="253"/>
      <c r="AB1140" s="253"/>
      <c r="AC1140" s="253"/>
      <c r="AD1140" s="253"/>
      <c r="AE1140" s="253"/>
    </row>
    <row r="1141" spans="1:31">
      <c r="A1141" s="33">
        <v>1140</v>
      </c>
      <c r="B1141" s="69" t="s">
        <v>1755</v>
      </c>
      <c r="C1141" s="69" t="s">
        <v>1639</v>
      </c>
      <c r="D1141" s="56">
        <v>42508</v>
      </c>
      <c r="F1141" s="56"/>
      <c r="G1141" s="69" t="str">
        <f t="shared" si="17"/>
        <v>User Registration</v>
      </c>
      <c r="H1141" s="69" t="s">
        <v>922</v>
      </c>
      <c r="J1141" s="69" t="s">
        <v>1755</v>
      </c>
      <c r="K1141" s="69" t="s">
        <v>1765</v>
      </c>
      <c r="L1141" s="253">
        <v>55.400000000000006</v>
      </c>
      <c r="M1141" s="253">
        <v>45.913043478260867</v>
      </c>
      <c r="N1141" s="253">
        <v>46.634146341463413</v>
      </c>
      <c r="O1141" s="253">
        <v>47.421052631578945</v>
      </c>
      <c r="P1141" s="253">
        <v>56.000000000000007</v>
      </c>
      <c r="Q1141" s="253">
        <v>38</v>
      </c>
      <c r="R1141" s="253">
        <v>45</v>
      </c>
      <c r="S1141" s="253">
        <v>57.999999999999993</v>
      </c>
      <c r="T1141" s="253">
        <v>46.999999999999993</v>
      </c>
      <c r="U1141" s="253">
        <v>40</v>
      </c>
      <c r="V1141" s="253"/>
      <c r="W1141" s="253">
        <v>46.999999999999993</v>
      </c>
      <c r="X1141" s="253">
        <v>49</v>
      </c>
      <c r="Y1141" s="253">
        <v>45</v>
      </c>
      <c r="Z1141" s="253">
        <v>53</v>
      </c>
      <c r="AA1141" s="253"/>
      <c r="AB1141" s="253"/>
      <c r="AC1141" s="253"/>
      <c r="AD1141" s="253"/>
      <c r="AE1141" s="253"/>
    </row>
    <row r="1142" spans="1:31">
      <c r="A1142" s="33">
        <v>1141</v>
      </c>
      <c r="B1142" s="69" t="s">
        <v>1738</v>
      </c>
      <c r="C1142" s="69" t="s">
        <v>740</v>
      </c>
      <c r="D1142" s="56">
        <v>42531</v>
      </c>
      <c r="G1142" s="69" t="str">
        <f t="shared" si="17"/>
        <v>E-Commerce</v>
      </c>
      <c r="H1142" s="69" t="s">
        <v>1577</v>
      </c>
      <c r="J1142" s="69" t="s">
        <v>1738</v>
      </c>
      <c r="K1142" s="69" t="s">
        <v>1738</v>
      </c>
      <c r="L1142" s="253">
        <v>55</v>
      </c>
      <c r="M1142" s="253">
        <v>58</v>
      </c>
      <c r="N1142" s="253">
        <v>60</v>
      </c>
      <c r="O1142" s="253">
        <v>58</v>
      </c>
      <c r="P1142" s="253">
        <v>55</v>
      </c>
      <c r="Q1142" s="253">
        <v>58</v>
      </c>
      <c r="R1142" s="253">
        <v>59</v>
      </c>
      <c r="S1142" s="253">
        <v>57</v>
      </c>
      <c r="T1142" s="253">
        <v>59</v>
      </c>
      <c r="U1142" s="253">
        <v>55</v>
      </c>
      <c r="V1142" s="253">
        <v>59</v>
      </c>
      <c r="W1142" s="253"/>
      <c r="X1142" s="253">
        <v>54</v>
      </c>
      <c r="Y1142" s="253">
        <v>59</v>
      </c>
      <c r="Z1142" s="253">
        <v>57</v>
      </c>
      <c r="AA1142" s="253"/>
      <c r="AB1142" s="253"/>
      <c r="AC1142" s="253"/>
      <c r="AD1142" s="253"/>
      <c r="AE1142" s="253"/>
    </row>
    <row r="1143" spans="1:31">
      <c r="A1143" s="33">
        <v>1142</v>
      </c>
      <c r="B1143" s="69" t="s">
        <v>1738</v>
      </c>
      <c r="C1143" s="69" t="s">
        <v>740</v>
      </c>
      <c r="D1143" s="56">
        <v>42531</v>
      </c>
      <c r="G1143" s="69" t="str">
        <f t="shared" si="17"/>
        <v>E-Commerce</v>
      </c>
      <c r="H1143" s="69" t="s">
        <v>1577</v>
      </c>
      <c r="J1143" s="69" t="s">
        <v>1738</v>
      </c>
      <c r="K1143" s="69" t="s">
        <v>1739</v>
      </c>
      <c r="L1143" s="253">
        <v>64</v>
      </c>
      <c r="M1143" s="253">
        <v>57</v>
      </c>
      <c r="N1143" s="253">
        <v>63</v>
      </c>
      <c r="O1143" s="253">
        <v>54</v>
      </c>
      <c r="P1143" s="253">
        <v>68</v>
      </c>
      <c r="Q1143" s="253">
        <v>55</v>
      </c>
      <c r="R1143" s="253">
        <v>57</v>
      </c>
      <c r="S1143" s="253">
        <v>50</v>
      </c>
      <c r="T1143" s="253">
        <v>55</v>
      </c>
      <c r="U1143" s="253">
        <v>63</v>
      </c>
      <c r="V1143" s="253">
        <v>63</v>
      </c>
      <c r="W1143" s="253"/>
      <c r="X1143" s="253">
        <v>49</v>
      </c>
      <c r="Y1143" s="253">
        <v>57</v>
      </c>
      <c r="Z1143" s="253">
        <v>48</v>
      </c>
      <c r="AA1143" s="253"/>
      <c r="AB1143" s="253"/>
      <c r="AC1143" s="253"/>
      <c r="AD1143" s="253"/>
      <c r="AE1143" s="253"/>
    </row>
    <row r="1144" spans="1:31">
      <c r="A1144" s="33">
        <v>1143</v>
      </c>
      <c r="B1144" s="69" t="s">
        <v>1738</v>
      </c>
      <c r="C1144" s="69" t="s">
        <v>740</v>
      </c>
      <c r="D1144" s="56">
        <v>42531</v>
      </c>
      <c r="G1144" s="69" t="str">
        <f t="shared" si="17"/>
        <v>E-Commerce</v>
      </c>
      <c r="H1144" s="69" t="s">
        <v>1577</v>
      </c>
      <c r="J1144" s="69" t="s">
        <v>1738</v>
      </c>
      <c r="K1144" s="69" t="s">
        <v>78</v>
      </c>
      <c r="L1144" s="253">
        <v>64</v>
      </c>
      <c r="M1144" s="253">
        <v>66</v>
      </c>
      <c r="N1144" s="253">
        <v>68</v>
      </c>
      <c r="O1144" s="253">
        <v>70</v>
      </c>
      <c r="P1144" s="253">
        <v>65</v>
      </c>
      <c r="Q1144" s="253">
        <v>69</v>
      </c>
      <c r="R1144" s="253">
        <v>70</v>
      </c>
      <c r="S1144" s="253">
        <v>61</v>
      </c>
      <c r="T1144" s="253">
        <v>69</v>
      </c>
      <c r="U1144" s="253">
        <v>64</v>
      </c>
      <c r="V1144" s="253">
        <v>68</v>
      </c>
      <c r="W1144" s="253"/>
      <c r="X1144" s="253"/>
      <c r="Y1144" s="253">
        <v>75</v>
      </c>
      <c r="Z1144" s="253">
        <v>62</v>
      </c>
      <c r="AA1144" s="253"/>
      <c r="AB1144" s="253"/>
      <c r="AC1144" s="253"/>
      <c r="AD1144" s="253"/>
      <c r="AE1144" s="253"/>
    </row>
    <row r="1145" spans="1:31">
      <c r="A1145" s="33">
        <v>1144</v>
      </c>
      <c r="B1145" s="69" t="s">
        <v>1738</v>
      </c>
      <c r="C1145" s="69" t="s">
        <v>740</v>
      </c>
      <c r="D1145" s="56">
        <v>42531</v>
      </c>
      <c r="G1145" s="69" t="str">
        <f t="shared" si="17"/>
        <v>E-Commerce</v>
      </c>
      <c r="H1145" s="69" t="s">
        <v>1577</v>
      </c>
      <c r="J1145" s="69" t="s">
        <v>1738</v>
      </c>
      <c r="K1145" s="69" t="s">
        <v>669</v>
      </c>
      <c r="L1145" s="253">
        <v>56</v>
      </c>
      <c r="M1145" s="253">
        <v>61</v>
      </c>
      <c r="N1145" s="253">
        <v>61</v>
      </c>
      <c r="O1145" s="253">
        <v>61</v>
      </c>
      <c r="P1145" s="253">
        <v>56</v>
      </c>
      <c r="Q1145" s="253">
        <v>62</v>
      </c>
      <c r="R1145" s="253">
        <v>62</v>
      </c>
      <c r="S1145" s="253">
        <v>57</v>
      </c>
      <c r="T1145" s="253">
        <v>58</v>
      </c>
      <c r="U1145" s="253">
        <v>67</v>
      </c>
      <c r="V1145" s="253">
        <v>61</v>
      </c>
      <c r="W1145" s="253"/>
      <c r="X1145" s="253">
        <v>51</v>
      </c>
      <c r="Y1145" s="253">
        <v>62</v>
      </c>
      <c r="Z1145" s="253">
        <v>58</v>
      </c>
      <c r="AA1145" s="253"/>
      <c r="AB1145" s="253"/>
      <c r="AC1145" s="253"/>
      <c r="AD1145" s="253"/>
      <c r="AE1145" s="253"/>
    </row>
    <row r="1146" spans="1:31">
      <c r="A1146" s="33">
        <v>1145</v>
      </c>
      <c r="B1146" s="69" t="s">
        <v>1738</v>
      </c>
      <c r="C1146" s="69" t="s">
        <v>740</v>
      </c>
      <c r="D1146" s="56">
        <v>42531</v>
      </c>
      <c r="G1146" s="69" t="str">
        <f t="shared" si="17"/>
        <v>E-Commerce</v>
      </c>
      <c r="H1146" s="69" t="s">
        <v>1577</v>
      </c>
      <c r="J1146" s="69" t="s">
        <v>1738</v>
      </c>
      <c r="K1146" s="69" t="s">
        <v>1674</v>
      </c>
      <c r="L1146" s="253">
        <v>61</v>
      </c>
      <c r="M1146" s="253">
        <v>61</v>
      </c>
      <c r="N1146" s="253">
        <v>61</v>
      </c>
      <c r="O1146" s="253">
        <v>64</v>
      </c>
      <c r="P1146" s="253">
        <v>60</v>
      </c>
      <c r="Q1146" s="253">
        <v>60</v>
      </c>
      <c r="R1146" s="253">
        <v>63</v>
      </c>
      <c r="S1146" s="253">
        <v>59</v>
      </c>
      <c r="T1146" s="253">
        <v>61</v>
      </c>
      <c r="U1146" s="253">
        <v>61</v>
      </c>
      <c r="V1146" s="253">
        <v>57</v>
      </c>
      <c r="W1146" s="253"/>
      <c r="X1146" s="253">
        <v>58</v>
      </c>
      <c r="Y1146" s="253">
        <v>64</v>
      </c>
      <c r="Z1146" s="253">
        <v>65</v>
      </c>
      <c r="AA1146" s="253"/>
      <c r="AB1146" s="253"/>
      <c r="AC1146" s="253"/>
      <c r="AD1146" s="253"/>
      <c r="AE1146" s="253"/>
    </row>
    <row r="1147" spans="1:31">
      <c r="A1147" s="33">
        <v>1146</v>
      </c>
      <c r="B1147" s="69" t="s">
        <v>1730</v>
      </c>
      <c r="C1147" s="69" t="s">
        <v>740</v>
      </c>
      <c r="D1147" s="56">
        <v>42583</v>
      </c>
      <c r="G1147" s="69" t="str">
        <f t="shared" si="17"/>
        <v>ERROR</v>
      </c>
      <c r="H1147" s="69" t="s">
        <v>1731</v>
      </c>
      <c r="J1147" s="69" t="s">
        <v>1730</v>
      </c>
      <c r="K1147" s="69" t="s">
        <v>1730</v>
      </c>
      <c r="L1147" s="253">
        <v>60</v>
      </c>
      <c r="M1147" s="253">
        <v>53</v>
      </c>
      <c r="N1147" s="253">
        <v>49</v>
      </c>
      <c r="O1147" s="253">
        <v>48</v>
      </c>
      <c r="P1147" s="253">
        <v>62</v>
      </c>
      <c r="Q1147" s="253">
        <v>50</v>
      </c>
      <c r="R1147" s="253">
        <v>57</v>
      </c>
      <c r="S1147" s="253">
        <v>55</v>
      </c>
      <c r="T1147" s="253">
        <v>49</v>
      </c>
      <c r="U1147" s="253">
        <v>54</v>
      </c>
      <c r="V1147" s="253"/>
      <c r="W1147" s="253"/>
      <c r="X1147" s="253">
        <v>43</v>
      </c>
      <c r="Y1147" s="253">
        <v>45</v>
      </c>
      <c r="Z1147" s="253">
        <v>50</v>
      </c>
      <c r="AA1147" s="253"/>
      <c r="AB1147" s="253"/>
      <c r="AC1147" s="253"/>
      <c r="AD1147" s="253"/>
      <c r="AE1147" s="253"/>
    </row>
    <row r="1148" spans="1:31">
      <c r="A1148" s="33">
        <v>1147</v>
      </c>
      <c r="B1148" s="69" t="s">
        <v>1730</v>
      </c>
      <c r="C1148" s="69" t="s">
        <v>740</v>
      </c>
      <c r="D1148" s="56">
        <v>42583</v>
      </c>
      <c r="G1148" s="69" t="str">
        <f t="shared" si="17"/>
        <v>ERROR</v>
      </c>
      <c r="H1148" s="69" t="s">
        <v>1731</v>
      </c>
      <c r="J1148" s="69" t="s">
        <v>1730</v>
      </c>
      <c r="K1148" s="69" t="s">
        <v>1095</v>
      </c>
      <c r="L1148" s="253">
        <v>58</v>
      </c>
      <c r="M1148" s="253">
        <v>59</v>
      </c>
      <c r="N1148" s="253">
        <v>57</v>
      </c>
      <c r="O1148" s="253">
        <v>62</v>
      </c>
      <c r="P1148" s="253">
        <v>57</v>
      </c>
      <c r="Q1148" s="253">
        <v>68</v>
      </c>
      <c r="R1148" s="253">
        <v>60</v>
      </c>
      <c r="S1148" s="253">
        <v>58</v>
      </c>
      <c r="T1148" s="253">
        <v>62</v>
      </c>
      <c r="U1148" s="253">
        <v>50</v>
      </c>
      <c r="V1148" s="253"/>
      <c r="W1148" s="253"/>
      <c r="X1148" s="253">
        <v>50</v>
      </c>
      <c r="Y1148" s="253">
        <v>63</v>
      </c>
      <c r="Z1148" s="253">
        <v>61</v>
      </c>
      <c r="AA1148" s="253"/>
      <c r="AB1148" s="253"/>
      <c r="AC1148" s="253"/>
      <c r="AD1148" s="253"/>
      <c r="AE1148" s="253"/>
    </row>
    <row r="1149" spans="1:31">
      <c r="A1149" s="33">
        <v>1148</v>
      </c>
      <c r="B1149" s="69" t="s">
        <v>1730</v>
      </c>
      <c r="C1149" s="69" t="s">
        <v>740</v>
      </c>
      <c r="D1149" s="56">
        <v>42583</v>
      </c>
      <c r="G1149" s="69" t="str">
        <f t="shared" si="17"/>
        <v>ERROR</v>
      </c>
      <c r="H1149" s="69" t="s">
        <v>1731</v>
      </c>
      <c r="J1149" s="69" t="s">
        <v>1730</v>
      </c>
      <c r="K1149" s="69" t="s">
        <v>78</v>
      </c>
      <c r="L1149" s="253">
        <v>66</v>
      </c>
      <c r="M1149" s="253">
        <v>66</v>
      </c>
      <c r="N1149" s="253">
        <v>68</v>
      </c>
      <c r="O1149" s="253">
        <v>71</v>
      </c>
      <c r="P1149" s="253">
        <v>66</v>
      </c>
      <c r="Q1149" s="253">
        <v>69</v>
      </c>
      <c r="R1149" s="253">
        <v>70</v>
      </c>
      <c r="S1149" s="253">
        <v>62</v>
      </c>
      <c r="T1149" s="253">
        <v>69</v>
      </c>
      <c r="U1149" s="253">
        <v>64</v>
      </c>
      <c r="V1149" s="253"/>
      <c r="W1149" s="253"/>
      <c r="X1149" s="253"/>
      <c r="Y1149" s="253">
        <v>75</v>
      </c>
      <c r="Z1149" s="253">
        <v>64</v>
      </c>
      <c r="AA1149" s="253"/>
      <c r="AB1149" s="253"/>
      <c r="AC1149" s="253"/>
      <c r="AD1149" s="253"/>
      <c r="AE1149" s="253"/>
    </row>
    <row r="1150" spans="1:31">
      <c r="A1150" s="33">
        <v>1149</v>
      </c>
      <c r="B1150" s="69" t="s">
        <v>1730</v>
      </c>
      <c r="C1150" s="69" t="s">
        <v>740</v>
      </c>
      <c r="D1150" s="56">
        <v>42583</v>
      </c>
      <c r="G1150" s="69" t="str">
        <f t="shared" si="17"/>
        <v>ERROR</v>
      </c>
      <c r="H1150" s="69" t="s">
        <v>1731</v>
      </c>
      <c r="J1150" s="69" t="s">
        <v>1730</v>
      </c>
      <c r="K1150" s="69" t="s">
        <v>1732</v>
      </c>
      <c r="L1150" s="253">
        <v>52</v>
      </c>
      <c r="M1150" s="253">
        <v>50</v>
      </c>
      <c r="N1150" s="253">
        <v>47</v>
      </c>
      <c r="O1150" s="253">
        <v>47</v>
      </c>
      <c r="P1150" s="253">
        <v>51</v>
      </c>
      <c r="Q1150" s="253">
        <v>51</v>
      </c>
      <c r="R1150" s="253">
        <v>50</v>
      </c>
      <c r="S1150" s="253">
        <v>52</v>
      </c>
      <c r="T1150" s="253">
        <v>48</v>
      </c>
      <c r="U1150" s="253">
        <v>49</v>
      </c>
      <c r="V1150" s="253"/>
      <c r="W1150" s="253"/>
      <c r="X1150" s="253">
        <v>45</v>
      </c>
      <c r="Y1150" s="253">
        <v>42</v>
      </c>
      <c r="Z1150" s="253">
        <v>55</v>
      </c>
      <c r="AA1150" s="253"/>
      <c r="AB1150" s="253"/>
      <c r="AC1150" s="253"/>
      <c r="AD1150" s="253"/>
      <c r="AE1150" s="253"/>
    </row>
    <row r="1151" spans="1:31">
      <c r="A1151" s="33">
        <v>1150</v>
      </c>
      <c r="B1151" s="69" t="s">
        <v>1730</v>
      </c>
      <c r="C1151" s="69" t="s">
        <v>740</v>
      </c>
      <c r="D1151" s="56">
        <v>42583</v>
      </c>
      <c r="G1151" s="69" t="str">
        <f t="shared" si="17"/>
        <v>ERROR</v>
      </c>
      <c r="H1151" s="69" t="s">
        <v>1731</v>
      </c>
      <c r="J1151" s="69" t="s">
        <v>1730</v>
      </c>
      <c r="K1151" s="69" t="s">
        <v>1733</v>
      </c>
      <c r="L1151" s="253">
        <v>55</v>
      </c>
      <c r="M1151" s="253">
        <v>50</v>
      </c>
      <c r="N1151" s="253">
        <v>55</v>
      </c>
      <c r="O1151" s="253">
        <v>49</v>
      </c>
      <c r="P1151" s="253">
        <v>57</v>
      </c>
      <c r="Q1151" s="253">
        <v>44</v>
      </c>
      <c r="R1151" s="253">
        <v>48</v>
      </c>
      <c r="S1151" s="253">
        <v>54</v>
      </c>
      <c r="T1151" s="253">
        <v>53</v>
      </c>
      <c r="U1151" s="253">
        <v>52</v>
      </c>
      <c r="V1151" s="253"/>
      <c r="W1151" s="253"/>
      <c r="X1151" s="253">
        <v>57</v>
      </c>
      <c r="Y1151" s="253">
        <v>50</v>
      </c>
      <c r="Z1151" s="253">
        <v>46</v>
      </c>
      <c r="AA1151" s="253"/>
      <c r="AB1151" s="253"/>
      <c r="AC1151" s="253"/>
      <c r="AD1151" s="253"/>
      <c r="AE1151" s="253"/>
    </row>
    <row r="1152" spans="1:31">
      <c r="A1152" s="33">
        <v>1151</v>
      </c>
      <c r="B1152" s="69" t="s">
        <v>1730</v>
      </c>
      <c r="C1152" s="69" t="s">
        <v>740</v>
      </c>
      <c r="D1152" s="56">
        <v>42583</v>
      </c>
      <c r="G1152" s="69" t="str">
        <f t="shared" si="17"/>
        <v>ERROR</v>
      </c>
      <c r="H1152" s="69" t="s">
        <v>1731</v>
      </c>
      <c r="J1152" s="69" t="s">
        <v>1730</v>
      </c>
      <c r="K1152" s="69" t="s">
        <v>1734</v>
      </c>
      <c r="L1152" s="253">
        <v>58</v>
      </c>
      <c r="M1152" s="253">
        <v>51</v>
      </c>
      <c r="N1152" s="253">
        <v>51</v>
      </c>
      <c r="O1152" s="253">
        <v>53</v>
      </c>
      <c r="P1152" s="253">
        <v>60</v>
      </c>
      <c r="Q1152" s="253">
        <v>51</v>
      </c>
      <c r="R1152" s="253">
        <v>53</v>
      </c>
      <c r="S1152" s="253">
        <v>56</v>
      </c>
      <c r="T1152" s="253">
        <v>52</v>
      </c>
      <c r="U1152" s="253">
        <v>46</v>
      </c>
      <c r="V1152" s="253"/>
      <c r="W1152" s="253"/>
      <c r="X1152" s="253">
        <v>50</v>
      </c>
      <c r="Y1152" s="253">
        <v>54</v>
      </c>
      <c r="Z1152" s="253">
        <v>51</v>
      </c>
      <c r="AA1152" s="253"/>
      <c r="AB1152" s="253"/>
      <c r="AC1152" s="253"/>
      <c r="AD1152" s="253"/>
      <c r="AE1152" s="253"/>
    </row>
    <row r="1153" spans="1:31">
      <c r="A1153" s="33">
        <v>1152</v>
      </c>
      <c r="B1153" s="69" t="s">
        <v>1730</v>
      </c>
      <c r="C1153" s="69" t="s">
        <v>740</v>
      </c>
      <c r="D1153" s="56">
        <v>42583</v>
      </c>
      <c r="G1153" s="69" t="str">
        <f t="shared" si="17"/>
        <v>ERROR</v>
      </c>
      <c r="H1153" s="69" t="s">
        <v>1731</v>
      </c>
      <c r="J1153" s="69" t="s">
        <v>1730</v>
      </c>
      <c r="K1153" s="69" t="s">
        <v>1254</v>
      </c>
      <c r="L1153" s="253">
        <v>55</v>
      </c>
      <c r="M1153" s="253">
        <v>48</v>
      </c>
      <c r="N1153" s="253">
        <v>34</v>
      </c>
      <c r="O1153" s="253">
        <v>54</v>
      </c>
      <c r="P1153" s="253">
        <v>55</v>
      </c>
      <c r="Q1153" s="253">
        <v>49</v>
      </c>
      <c r="R1153" s="253">
        <v>50</v>
      </c>
      <c r="S1153" s="253">
        <v>45</v>
      </c>
      <c r="T1153" s="253">
        <v>52</v>
      </c>
      <c r="U1153" s="253">
        <v>45</v>
      </c>
      <c r="V1153" s="253"/>
      <c r="W1153" s="253"/>
      <c r="X1153" s="253">
        <v>47</v>
      </c>
      <c r="Y1153" s="253">
        <v>57</v>
      </c>
      <c r="Z1153" s="253">
        <v>53</v>
      </c>
      <c r="AA1153" s="253"/>
      <c r="AB1153" s="253"/>
      <c r="AC1153" s="253"/>
      <c r="AD1153" s="253"/>
      <c r="AE1153" s="253"/>
    </row>
    <row r="1154" spans="1:31">
      <c r="A1154" s="33">
        <v>1153</v>
      </c>
      <c r="B1154" s="69" t="s">
        <v>1735</v>
      </c>
      <c r="C1154" s="69" t="s">
        <v>740</v>
      </c>
      <c r="D1154" s="56">
        <v>42583</v>
      </c>
      <c r="G1154" s="69" t="str">
        <f t="shared" ref="G1154:G1217" si="18">IF(V1154&gt;0,IF(W1154&gt;0,"Both","E-Commerce"),IF(W1154=0, "ERROR","User Registration"))</f>
        <v>E-Commerce</v>
      </c>
      <c r="H1154" s="69" t="s">
        <v>1577</v>
      </c>
      <c r="J1154" s="69" t="s">
        <v>1735</v>
      </c>
      <c r="K1154" s="69" t="s">
        <v>1735</v>
      </c>
      <c r="L1154" s="253">
        <v>55</v>
      </c>
      <c r="M1154" s="253">
        <v>57</v>
      </c>
      <c r="N1154" s="253">
        <v>55</v>
      </c>
      <c r="O1154" s="253">
        <v>53</v>
      </c>
      <c r="P1154" s="253">
        <v>55</v>
      </c>
      <c r="Q1154" s="253">
        <v>58</v>
      </c>
      <c r="R1154" s="253">
        <v>64</v>
      </c>
      <c r="S1154" s="253">
        <v>50</v>
      </c>
      <c r="T1154" s="253">
        <v>61</v>
      </c>
      <c r="U1154" s="253">
        <v>50</v>
      </c>
      <c r="V1154" s="253">
        <v>58</v>
      </c>
      <c r="W1154" s="253"/>
      <c r="X1154" s="253">
        <v>48</v>
      </c>
      <c r="Y1154" s="253">
        <v>49</v>
      </c>
      <c r="Z1154" s="253">
        <v>57</v>
      </c>
      <c r="AA1154" s="253"/>
      <c r="AB1154" s="253"/>
      <c r="AC1154" s="253"/>
      <c r="AD1154" s="253"/>
      <c r="AE1154" s="253"/>
    </row>
    <row r="1155" spans="1:31">
      <c r="A1155" s="33">
        <v>1154</v>
      </c>
      <c r="B1155" s="69" t="s">
        <v>1735</v>
      </c>
      <c r="C1155" s="69" t="s">
        <v>740</v>
      </c>
      <c r="D1155" s="56">
        <v>42583</v>
      </c>
      <c r="G1155" s="69" t="str">
        <f t="shared" si="18"/>
        <v>E-Commerce</v>
      </c>
      <c r="H1155" s="69" t="s">
        <v>1577</v>
      </c>
      <c r="J1155" s="69" t="s">
        <v>1735</v>
      </c>
      <c r="K1155" s="69" t="s">
        <v>1736</v>
      </c>
      <c r="L1155" s="253">
        <v>49</v>
      </c>
      <c r="M1155" s="253">
        <v>48</v>
      </c>
      <c r="N1155" s="253">
        <v>49</v>
      </c>
      <c r="O1155" s="253">
        <v>52</v>
      </c>
      <c r="P1155" s="253">
        <v>50</v>
      </c>
      <c r="Q1155" s="253">
        <v>50</v>
      </c>
      <c r="R1155" s="253">
        <v>59</v>
      </c>
      <c r="S1155" s="253">
        <v>42</v>
      </c>
      <c r="T1155" s="253">
        <v>48</v>
      </c>
      <c r="U1155" s="253">
        <v>42</v>
      </c>
      <c r="V1155" s="253">
        <v>49</v>
      </c>
      <c r="W1155" s="253"/>
      <c r="X1155" s="253">
        <v>42</v>
      </c>
      <c r="Y1155" s="253">
        <v>55</v>
      </c>
      <c r="Z1155" s="253">
        <v>45</v>
      </c>
      <c r="AA1155" s="253"/>
      <c r="AB1155" s="253"/>
      <c r="AC1155" s="253"/>
      <c r="AD1155" s="253"/>
      <c r="AE1155" s="253"/>
    </row>
    <row r="1156" spans="1:31">
      <c r="A1156" s="33">
        <v>1155</v>
      </c>
      <c r="B1156" s="69" t="s">
        <v>1735</v>
      </c>
      <c r="C1156" s="69" t="s">
        <v>740</v>
      </c>
      <c r="D1156" s="56">
        <v>42583</v>
      </c>
      <c r="G1156" s="69" t="str">
        <f t="shared" si="18"/>
        <v>E-Commerce</v>
      </c>
      <c r="H1156" s="69" t="s">
        <v>1577</v>
      </c>
      <c r="J1156" s="69" t="s">
        <v>1735</v>
      </c>
      <c r="K1156" s="69" t="s">
        <v>1737</v>
      </c>
      <c r="L1156" s="253">
        <v>49</v>
      </c>
      <c r="M1156" s="253">
        <v>53</v>
      </c>
      <c r="N1156" s="253">
        <v>52</v>
      </c>
      <c r="O1156" s="253">
        <v>52</v>
      </c>
      <c r="P1156" s="253">
        <v>48</v>
      </c>
      <c r="Q1156" s="253">
        <v>53</v>
      </c>
      <c r="R1156" s="253">
        <v>53</v>
      </c>
      <c r="S1156" s="253">
        <v>47</v>
      </c>
      <c r="T1156" s="253">
        <v>58</v>
      </c>
      <c r="U1156" s="253">
        <v>53</v>
      </c>
      <c r="V1156" s="253">
        <v>52</v>
      </c>
      <c r="W1156" s="253"/>
      <c r="X1156" s="253">
        <v>51</v>
      </c>
      <c r="Y1156" s="253">
        <v>51</v>
      </c>
      <c r="Z1156" s="253">
        <v>53</v>
      </c>
      <c r="AA1156" s="253"/>
      <c r="AB1156" s="253"/>
      <c r="AC1156" s="253"/>
      <c r="AD1156" s="253"/>
      <c r="AE1156" s="253"/>
    </row>
    <row r="1157" spans="1:31">
      <c r="A1157" s="33">
        <v>1156</v>
      </c>
      <c r="B1157" s="69" t="s">
        <v>1726</v>
      </c>
      <c r="C1157" s="69" t="s">
        <v>740</v>
      </c>
      <c r="D1157" s="56">
        <v>42591</v>
      </c>
      <c r="G1157" s="69" t="str">
        <f t="shared" si="18"/>
        <v>E-Commerce</v>
      </c>
      <c r="H1157" s="69" t="s">
        <v>1577</v>
      </c>
      <c r="J1157" s="69" t="s">
        <v>1726</v>
      </c>
      <c r="K1157" s="69" t="s">
        <v>1726</v>
      </c>
      <c r="L1157" s="253">
        <v>61</v>
      </c>
      <c r="M1157" s="253">
        <v>60</v>
      </c>
      <c r="N1157" s="253">
        <v>57</v>
      </c>
      <c r="O1157" s="253">
        <v>63</v>
      </c>
      <c r="P1157" s="253">
        <v>60</v>
      </c>
      <c r="Q1157" s="253">
        <v>52</v>
      </c>
      <c r="R1157" s="253">
        <v>61</v>
      </c>
      <c r="S1157" s="253">
        <v>65</v>
      </c>
      <c r="T1157" s="253">
        <v>57</v>
      </c>
      <c r="U1157" s="253">
        <v>61</v>
      </c>
      <c r="V1157" s="253">
        <v>58</v>
      </c>
      <c r="W1157" s="253"/>
      <c r="X1157" s="253"/>
      <c r="Y1157" s="253">
        <v>63</v>
      </c>
      <c r="Z1157" s="253">
        <v>64</v>
      </c>
      <c r="AA1157" s="253"/>
      <c r="AB1157" s="253"/>
      <c r="AC1157" s="253"/>
      <c r="AD1157" s="253"/>
      <c r="AE1157" s="253"/>
    </row>
    <row r="1158" spans="1:31">
      <c r="A1158" s="33">
        <v>1157</v>
      </c>
      <c r="B1158" s="69" t="s">
        <v>1726</v>
      </c>
      <c r="C1158" s="69" t="s">
        <v>740</v>
      </c>
      <c r="D1158" s="56">
        <v>42591</v>
      </c>
      <c r="G1158" s="69" t="str">
        <f t="shared" si="18"/>
        <v>E-Commerce</v>
      </c>
      <c r="H1158" s="69" t="s">
        <v>1577</v>
      </c>
      <c r="J1158" s="69" t="s">
        <v>1726</v>
      </c>
      <c r="K1158" s="69" t="s">
        <v>1727</v>
      </c>
      <c r="L1158" s="253">
        <v>56</v>
      </c>
      <c r="M1158" s="253">
        <v>52</v>
      </c>
      <c r="N1158" s="253">
        <v>50</v>
      </c>
      <c r="O1158" s="253">
        <v>53</v>
      </c>
      <c r="P1158" s="253">
        <v>56</v>
      </c>
      <c r="Q1158" s="253">
        <v>54</v>
      </c>
      <c r="R1158" s="253">
        <v>52</v>
      </c>
      <c r="S1158" s="253">
        <v>54</v>
      </c>
      <c r="T1158" s="253">
        <v>51</v>
      </c>
      <c r="U1158" s="253">
        <v>51</v>
      </c>
      <c r="V1158" s="253">
        <v>51</v>
      </c>
      <c r="W1158" s="253"/>
      <c r="X1158" s="253"/>
      <c r="Y1158" s="253">
        <v>52</v>
      </c>
      <c r="Z1158" s="253">
        <v>56</v>
      </c>
      <c r="AA1158" s="253"/>
      <c r="AB1158" s="253"/>
      <c r="AC1158" s="253"/>
      <c r="AD1158" s="253"/>
      <c r="AE1158" s="253"/>
    </row>
    <row r="1159" spans="1:31">
      <c r="A1159" s="33">
        <v>1158</v>
      </c>
      <c r="B1159" s="69" t="s">
        <v>1726</v>
      </c>
      <c r="C1159" s="69" t="s">
        <v>740</v>
      </c>
      <c r="D1159" s="56">
        <v>42591</v>
      </c>
      <c r="G1159" s="69" t="str">
        <f t="shared" si="18"/>
        <v>E-Commerce</v>
      </c>
      <c r="H1159" s="69" t="s">
        <v>1577</v>
      </c>
      <c r="J1159" s="69" t="s">
        <v>1726</v>
      </c>
      <c r="K1159" s="69" t="s">
        <v>1728</v>
      </c>
      <c r="L1159" s="253">
        <v>59</v>
      </c>
      <c r="M1159" s="253">
        <v>55</v>
      </c>
      <c r="N1159" s="253">
        <v>52</v>
      </c>
      <c r="O1159" s="253">
        <v>65</v>
      </c>
      <c r="P1159" s="253">
        <v>58</v>
      </c>
      <c r="Q1159" s="253">
        <v>60</v>
      </c>
      <c r="R1159" s="253">
        <v>55</v>
      </c>
      <c r="S1159" s="253">
        <v>51</v>
      </c>
      <c r="T1159" s="253">
        <v>56</v>
      </c>
      <c r="U1159" s="253">
        <v>50</v>
      </c>
      <c r="V1159" s="253">
        <v>53</v>
      </c>
      <c r="W1159" s="253"/>
      <c r="X1159" s="253"/>
      <c r="Y1159" s="253">
        <v>70</v>
      </c>
      <c r="Z1159" s="253">
        <v>63</v>
      </c>
      <c r="AA1159" s="253"/>
      <c r="AB1159" s="253"/>
      <c r="AC1159" s="253"/>
      <c r="AD1159" s="253"/>
      <c r="AE1159" s="253"/>
    </row>
    <row r="1160" spans="1:31">
      <c r="A1160" s="33">
        <v>1159</v>
      </c>
      <c r="B1160" s="69" t="s">
        <v>1726</v>
      </c>
      <c r="C1160" s="69" t="s">
        <v>740</v>
      </c>
      <c r="D1160" s="56">
        <v>42591</v>
      </c>
      <c r="G1160" s="69" t="str">
        <f t="shared" si="18"/>
        <v>E-Commerce</v>
      </c>
      <c r="H1160" s="69" t="s">
        <v>1577</v>
      </c>
      <c r="J1160" s="69" t="s">
        <v>1726</v>
      </c>
      <c r="K1160" s="69" t="s">
        <v>1729</v>
      </c>
      <c r="L1160" s="253">
        <v>65</v>
      </c>
      <c r="M1160" s="253">
        <v>65</v>
      </c>
      <c r="N1160" s="253">
        <v>69</v>
      </c>
      <c r="O1160" s="253">
        <v>69</v>
      </c>
      <c r="P1160" s="253">
        <v>66</v>
      </c>
      <c r="Q1160" s="253">
        <v>68</v>
      </c>
      <c r="R1160" s="253">
        <v>67</v>
      </c>
      <c r="S1160" s="253">
        <v>63</v>
      </c>
      <c r="T1160" s="253">
        <v>67</v>
      </c>
      <c r="U1160" s="253">
        <v>62</v>
      </c>
      <c r="V1160" s="253">
        <v>66</v>
      </c>
      <c r="W1160" s="253"/>
      <c r="X1160" s="253"/>
      <c r="Y1160" s="253">
        <v>73</v>
      </c>
      <c r="Z1160" s="253">
        <v>63</v>
      </c>
      <c r="AA1160" s="253"/>
      <c r="AB1160" s="253"/>
      <c r="AC1160" s="253"/>
      <c r="AD1160" s="253"/>
      <c r="AE1160" s="253"/>
    </row>
    <row r="1161" spans="1:31">
      <c r="A1161" s="33">
        <v>1160</v>
      </c>
      <c r="B1161" s="69" t="s">
        <v>1726</v>
      </c>
      <c r="C1161" s="69" t="s">
        <v>740</v>
      </c>
      <c r="D1161" s="56">
        <v>42591</v>
      </c>
      <c r="G1161" s="69" t="str">
        <f t="shared" si="18"/>
        <v>E-Commerce</v>
      </c>
      <c r="H1161" s="69" t="s">
        <v>1577</v>
      </c>
      <c r="J1161" s="69" t="s">
        <v>1726</v>
      </c>
      <c r="K1161" s="69" t="s">
        <v>389</v>
      </c>
      <c r="L1161" s="253">
        <v>64</v>
      </c>
      <c r="M1161" s="253">
        <v>69</v>
      </c>
      <c r="N1161" s="253">
        <v>70</v>
      </c>
      <c r="O1161" s="253">
        <v>69</v>
      </c>
      <c r="P1161" s="253">
        <v>68</v>
      </c>
      <c r="Q1161" s="253">
        <v>69</v>
      </c>
      <c r="R1161" s="253">
        <v>66</v>
      </c>
      <c r="S1161" s="253">
        <v>67</v>
      </c>
      <c r="T1161" s="253">
        <v>65</v>
      </c>
      <c r="U1161" s="253">
        <v>80</v>
      </c>
      <c r="V1161" s="253">
        <v>72</v>
      </c>
      <c r="W1161" s="253"/>
      <c r="X1161" s="253"/>
      <c r="Y1161" s="253">
        <v>81</v>
      </c>
      <c r="Z1161" s="253">
        <v>48</v>
      </c>
      <c r="AA1161" s="253"/>
      <c r="AB1161" s="253"/>
      <c r="AC1161" s="253"/>
      <c r="AD1161" s="253"/>
      <c r="AE1161" s="253"/>
    </row>
    <row r="1162" spans="1:31">
      <c r="A1162" s="33">
        <v>1161</v>
      </c>
      <c r="B1162" s="69" t="s">
        <v>1723</v>
      </c>
      <c r="C1162" s="69" t="s">
        <v>740</v>
      </c>
      <c r="D1162" s="56">
        <v>42597</v>
      </c>
      <c r="G1162" s="69" t="str">
        <f t="shared" si="18"/>
        <v>User Registration</v>
      </c>
      <c r="H1162" s="69" t="s">
        <v>922</v>
      </c>
      <c r="J1162" s="69" t="s">
        <v>1723</v>
      </c>
      <c r="K1162" s="69" t="s">
        <v>1724</v>
      </c>
      <c r="L1162" s="253">
        <v>52</v>
      </c>
      <c r="M1162" s="253">
        <v>58</v>
      </c>
      <c r="N1162" s="253">
        <v>66</v>
      </c>
      <c r="O1162" s="253">
        <v>56</v>
      </c>
      <c r="P1162" s="253">
        <v>66</v>
      </c>
      <c r="Q1162" s="253">
        <v>66</v>
      </c>
      <c r="R1162" s="253">
        <v>55</v>
      </c>
      <c r="S1162" s="253">
        <v>56</v>
      </c>
      <c r="T1162" s="253">
        <v>53</v>
      </c>
      <c r="U1162" s="253">
        <v>60</v>
      </c>
      <c r="V1162" s="253"/>
      <c r="W1162" s="253">
        <v>75</v>
      </c>
      <c r="X1162" s="253">
        <v>56</v>
      </c>
      <c r="Y1162" s="253">
        <v>55</v>
      </c>
      <c r="Z1162" s="253">
        <v>58</v>
      </c>
      <c r="AA1162" s="253"/>
      <c r="AB1162" s="253"/>
      <c r="AC1162" s="253"/>
      <c r="AD1162" s="253"/>
      <c r="AE1162" s="253"/>
    </row>
    <row r="1163" spans="1:31">
      <c r="A1163" s="33">
        <v>1162</v>
      </c>
      <c r="B1163" s="69" t="s">
        <v>1723</v>
      </c>
      <c r="C1163" s="69" t="s">
        <v>740</v>
      </c>
      <c r="D1163" s="56">
        <v>42597</v>
      </c>
      <c r="G1163" s="69" t="str">
        <f t="shared" si="18"/>
        <v>User Registration</v>
      </c>
      <c r="H1163" s="69" t="s">
        <v>922</v>
      </c>
      <c r="J1163" s="69" t="s">
        <v>1723</v>
      </c>
      <c r="K1163" s="69" t="s">
        <v>1363</v>
      </c>
      <c r="L1163" s="253">
        <v>65</v>
      </c>
      <c r="M1163" s="253">
        <v>61</v>
      </c>
      <c r="N1163" s="253">
        <v>55</v>
      </c>
      <c r="O1163" s="253">
        <v>61</v>
      </c>
      <c r="P1163" s="253">
        <v>67</v>
      </c>
      <c r="Q1163" s="253">
        <v>65</v>
      </c>
      <c r="R1163" s="253">
        <v>62</v>
      </c>
      <c r="S1163" s="253">
        <v>65</v>
      </c>
      <c r="T1163" s="253">
        <v>59</v>
      </c>
      <c r="U1163" s="253">
        <v>58</v>
      </c>
      <c r="V1163" s="253"/>
      <c r="W1163" s="253">
        <v>59</v>
      </c>
      <c r="X1163" s="253">
        <v>42</v>
      </c>
      <c r="Y1163" s="253">
        <v>62</v>
      </c>
      <c r="Z1163" s="253">
        <v>57</v>
      </c>
      <c r="AA1163" s="253"/>
      <c r="AB1163" s="253"/>
      <c r="AC1163" s="253"/>
      <c r="AD1163" s="253"/>
      <c r="AE1163" s="253"/>
    </row>
    <row r="1164" spans="1:31">
      <c r="A1164" s="33">
        <v>1163</v>
      </c>
      <c r="B1164" s="69" t="s">
        <v>1723</v>
      </c>
      <c r="C1164" s="69" t="s">
        <v>740</v>
      </c>
      <c r="D1164" s="56">
        <v>42597</v>
      </c>
      <c r="G1164" s="69" t="str">
        <f t="shared" si="18"/>
        <v>User Registration</v>
      </c>
      <c r="H1164" s="69" t="s">
        <v>922</v>
      </c>
      <c r="J1164" s="69" t="s">
        <v>1723</v>
      </c>
      <c r="K1164" s="69" t="s">
        <v>391</v>
      </c>
      <c r="L1164" s="253">
        <v>68</v>
      </c>
      <c r="M1164" s="253">
        <v>65</v>
      </c>
      <c r="N1164" s="253">
        <v>62</v>
      </c>
      <c r="O1164" s="253">
        <v>68</v>
      </c>
      <c r="P1164" s="253">
        <v>68</v>
      </c>
      <c r="Q1164" s="253">
        <v>60</v>
      </c>
      <c r="R1164" s="253">
        <v>69</v>
      </c>
      <c r="S1164" s="253">
        <v>68</v>
      </c>
      <c r="T1164" s="253">
        <v>66</v>
      </c>
      <c r="U1164" s="253">
        <v>62</v>
      </c>
      <c r="V1164" s="253"/>
      <c r="W1164" s="253">
        <v>62</v>
      </c>
      <c r="X1164" s="253">
        <v>59</v>
      </c>
      <c r="Y1164" s="253">
        <v>69</v>
      </c>
      <c r="Z1164" s="253">
        <v>69</v>
      </c>
      <c r="AA1164" s="253"/>
      <c r="AB1164" s="253"/>
      <c r="AC1164" s="253"/>
      <c r="AD1164" s="253"/>
      <c r="AE1164" s="253"/>
    </row>
    <row r="1165" spans="1:31">
      <c r="A1165" s="33">
        <v>1164</v>
      </c>
      <c r="B1165" s="69" t="s">
        <v>1723</v>
      </c>
      <c r="C1165" s="69" t="s">
        <v>740</v>
      </c>
      <c r="D1165" s="56">
        <v>42597</v>
      </c>
      <c r="F1165" s="56"/>
      <c r="G1165" s="69" t="str">
        <f t="shared" si="18"/>
        <v>User Registration</v>
      </c>
      <c r="H1165" s="69" t="s">
        <v>922</v>
      </c>
      <c r="J1165" s="69" t="s">
        <v>1723</v>
      </c>
      <c r="K1165" s="13" t="s">
        <v>1725</v>
      </c>
      <c r="L1165" s="253">
        <v>59</v>
      </c>
      <c r="M1165" s="253">
        <v>59</v>
      </c>
      <c r="N1165" s="253">
        <v>60</v>
      </c>
      <c r="O1165" s="253">
        <v>58</v>
      </c>
      <c r="P1165" s="253">
        <v>60</v>
      </c>
      <c r="Q1165" s="253">
        <v>55</v>
      </c>
      <c r="R1165" s="253">
        <v>60</v>
      </c>
      <c r="S1165" s="253">
        <v>63</v>
      </c>
      <c r="T1165" s="253">
        <v>61</v>
      </c>
      <c r="U1165" s="253">
        <v>59</v>
      </c>
      <c r="V1165" s="253"/>
      <c r="W1165" s="253">
        <v>62</v>
      </c>
      <c r="X1165" s="253">
        <v>58</v>
      </c>
      <c r="Y1165" s="253">
        <v>58</v>
      </c>
      <c r="Z1165" s="253">
        <v>55</v>
      </c>
      <c r="AA1165" s="253"/>
      <c r="AB1165" s="253"/>
      <c r="AC1165" s="253"/>
      <c r="AD1165" s="253"/>
      <c r="AE1165" s="253"/>
    </row>
    <row r="1166" spans="1:31">
      <c r="A1166" s="33">
        <v>1165</v>
      </c>
      <c r="B1166" s="69" t="s">
        <v>1723</v>
      </c>
      <c r="C1166" s="69" t="s">
        <v>740</v>
      </c>
      <c r="D1166" s="56">
        <v>42597</v>
      </c>
      <c r="F1166" s="56"/>
      <c r="G1166" s="69" t="str">
        <f t="shared" si="18"/>
        <v>User Registration</v>
      </c>
      <c r="H1166" s="69" t="s">
        <v>922</v>
      </c>
      <c r="J1166" s="69" t="s">
        <v>1723</v>
      </c>
      <c r="K1166" s="69" t="s">
        <v>1723</v>
      </c>
      <c r="L1166" s="253">
        <v>55</v>
      </c>
      <c r="M1166" s="253">
        <v>52</v>
      </c>
      <c r="N1166" s="253">
        <v>54</v>
      </c>
      <c r="O1166" s="253">
        <v>52</v>
      </c>
      <c r="P1166" s="253">
        <v>56</v>
      </c>
      <c r="Q1166" s="253">
        <v>43</v>
      </c>
      <c r="R1166" s="253">
        <v>53</v>
      </c>
      <c r="S1166" s="253">
        <v>55</v>
      </c>
      <c r="T1166" s="253">
        <v>54</v>
      </c>
      <c r="U1166" s="253">
        <v>54</v>
      </c>
      <c r="V1166" s="253"/>
      <c r="W1166" s="253">
        <v>58</v>
      </c>
      <c r="X1166" s="253">
        <v>52</v>
      </c>
      <c r="Y1166" s="253">
        <v>53</v>
      </c>
      <c r="Z1166" s="253">
        <v>52</v>
      </c>
      <c r="AA1166" s="253"/>
      <c r="AB1166" s="253"/>
      <c r="AC1166" s="253"/>
      <c r="AD1166" s="253"/>
      <c r="AE1166" s="253"/>
    </row>
    <row r="1167" spans="1:31">
      <c r="A1167" s="33">
        <v>1166</v>
      </c>
      <c r="B1167" s="69" t="s">
        <v>1716</v>
      </c>
      <c r="C1167" s="69" t="s">
        <v>740</v>
      </c>
      <c r="D1167" s="56">
        <v>42598</v>
      </c>
      <c r="G1167" s="69" t="str">
        <f t="shared" si="18"/>
        <v>Both</v>
      </c>
      <c r="H1167" s="69" t="s">
        <v>364</v>
      </c>
      <c r="J1167" s="69" t="s">
        <v>1716</v>
      </c>
      <c r="K1167" s="69" t="s">
        <v>1716</v>
      </c>
      <c r="L1167" s="253">
        <v>52</v>
      </c>
      <c r="M1167" s="253">
        <v>56.999999999999993</v>
      </c>
      <c r="N1167" s="253">
        <v>61</v>
      </c>
      <c r="O1167" s="253">
        <v>51</v>
      </c>
      <c r="P1167" s="253">
        <v>52</v>
      </c>
      <c r="Q1167" s="253">
        <v>61</v>
      </c>
      <c r="R1167" s="253">
        <v>54</v>
      </c>
      <c r="S1167" s="253">
        <v>49</v>
      </c>
      <c r="T1167" s="253">
        <v>60</v>
      </c>
      <c r="U1167" s="253">
        <v>60</v>
      </c>
      <c r="V1167" s="253">
        <v>60</v>
      </c>
      <c r="W1167" s="253">
        <v>55</v>
      </c>
      <c r="X1167" s="253">
        <v>54</v>
      </c>
      <c r="Y1167" s="253">
        <v>49</v>
      </c>
      <c r="Z1167" s="253">
        <v>54</v>
      </c>
      <c r="AA1167" s="253"/>
      <c r="AB1167" s="253"/>
      <c r="AC1167" s="253"/>
      <c r="AD1167" s="253"/>
      <c r="AE1167" s="253"/>
    </row>
    <row r="1168" spans="1:31">
      <c r="A1168" s="33">
        <v>1167</v>
      </c>
      <c r="B1168" s="69" t="s">
        <v>1716</v>
      </c>
      <c r="C1168" s="69" t="s">
        <v>740</v>
      </c>
      <c r="D1168" s="56">
        <v>42598</v>
      </c>
      <c r="G1168" s="69" t="str">
        <f t="shared" si="18"/>
        <v>Both</v>
      </c>
      <c r="H1168" s="69" t="s">
        <v>364</v>
      </c>
      <c r="J1168" s="69" t="s">
        <v>1716</v>
      </c>
      <c r="K1168" s="69" t="s">
        <v>1717</v>
      </c>
      <c r="L1168" s="253">
        <v>52</v>
      </c>
      <c r="M1168" s="253">
        <v>53</v>
      </c>
      <c r="N1168" s="253">
        <v>56.000000000000007</v>
      </c>
      <c r="O1168" s="253">
        <v>53</v>
      </c>
      <c r="P1168" s="253">
        <v>51</v>
      </c>
      <c r="Q1168" s="253">
        <v>58.999999999999993</v>
      </c>
      <c r="R1168" s="253">
        <v>53</v>
      </c>
      <c r="S1168" s="253">
        <v>50</v>
      </c>
      <c r="T1168" s="253">
        <v>55</v>
      </c>
      <c r="U1168" s="253">
        <v>48</v>
      </c>
      <c r="V1168" s="253">
        <v>51</v>
      </c>
      <c r="W1168" s="253">
        <v>55</v>
      </c>
      <c r="X1168" s="253"/>
      <c r="Y1168" s="253">
        <v>51</v>
      </c>
      <c r="Z1168" s="253">
        <v>56.000000000000007</v>
      </c>
      <c r="AA1168" s="253"/>
      <c r="AB1168" s="253"/>
      <c r="AC1168" s="253"/>
      <c r="AD1168" s="253"/>
      <c r="AE1168" s="253"/>
    </row>
    <row r="1169" spans="1:31">
      <c r="A1169" s="33">
        <v>1168</v>
      </c>
      <c r="B1169" s="69" t="s">
        <v>1716</v>
      </c>
      <c r="C1169" s="69" t="s">
        <v>740</v>
      </c>
      <c r="D1169" s="56">
        <v>42598</v>
      </c>
      <c r="G1169" s="69" t="str">
        <f t="shared" si="18"/>
        <v>Both</v>
      </c>
      <c r="H1169" s="69" t="s">
        <v>364</v>
      </c>
      <c r="J1169" s="69" t="s">
        <v>1716</v>
      </c>
      <c r="K1169" s="69" t="s">
        <v>1718</v>
      </c>
      <c r="L1169" s="253">
        <v>56.000000000000007</v>
      </c>
      <c r="M1169" s="253">
        <v>61</v>
      </c>
      <c r="N1169" s="253">
        <v>56.999999999999993</v>
      </c>
      <c r="O1169" s="253">
        <v>55</v>
      </c>
      <c r="P1169" s="253">
        <v>54</v>
      </c>
      <c r="Q1169" s="253">
        <v>65</v>
      </c>
      <c r="R1169" s="253">
        <v>56.000000000000007</v>
      </c>
      <c r="S1169" s="253">
        <v>55</v>
      </c>
      <c r="T1169" s="253">
        <v>65</v>
      </c>
      <c r="U1169" s="253">
        <v>65</v>
      </c>
      <c r="V1169" s="253">
        <v>62</v>
      </c>
      <c r="W1169" s="253">
        <v>65</v>
      </c>
      <c r="X1169" s="253">
        <v>56.999999999999993</v>
      </c>
      <c r="Y1169" s="253">
        <v>50</v>
      </c>
      <c r="Z1169" s="253">
        <v>63</v>
      </c>
      <c r="AA1169" s="253"/>
      <c r="AB1169" s="253"/>
      <c r="AC1169" s="253"/>
      <c r="AD1169" s="253"/>
      <c r="AE1169" s="253"/>
    </row>
    <row r="1170" spans="1:31">
      <c r="A1170" s="33">
        <v>1169</v>
      </c>
      <c r="B1170" s="69" t="s">
        <v>1716</v>
      </c>
      <c r="C1170" s="69" t="s">
        <v>740</v>
      </c>
      <c r="D1170" s="56">
        <v>42598</v>
      </c>
      <c r="G1170" s="69" t="str">
        <f t="shared" si="18"/>
        <v>Both</v>
      </c>
      <c r="H1170" s="69" t="s">
        <v>364</v>
      </c>
      <c r="J1170" s="69" t="s">
        <v>1716</v>
      </c>
      <c r="K1170" s="69" t="s">
        <v>1719</v>
      </c>
      <c r="L1170" s="253">
        <v>62</v>
      </c>
      <c r="M1170" s="253">
        <v>55</v>
      </c>
      <c r="N1170" s="253">
        <v>56.999999999999993</v>
      </c>
      <c r="O1170" s="253">
        <v>56.000000000000007</v>
      </c>
      <c r="P1170" s="253">
        <v>60</v>
      </c>
      <c r="Q1170" s="253">
        <v>53</v>
      </c>
      <c r="R1170" s="253">
        <v>56.999999999999993</v>
      </c>
      <c r="S1170" s="253">
        <v>50</v>
      </c>
      <c r="T1170" s="253">
        <v>53</v>
      </c>
      <c r="U1170" s="253">
        <v>55</v>
      </c>
      <c r="V1170" s="253">
        <v>55</v>
      </c>
      <c r="W1170" s="253">
        <v>55</v>
      </c>
      <c r="X1170" s="253">
        <v>55</v>
      </c>
      <c r="Y1170" s="253">
        <v>51</v>
      </c>
      <c r="Z1170" s="253">
        <v>68</v>
      </c>
      <c r="AA1170" s="253"/>
      <c r="AB1170" s="253"/>
      <c r="AC1170" s="253"/>
      <c r="AD1170" s="253"/>
      <c r="AE1170" s="253"/>
    </row>
    <row r="1171" spans="1:31">
      <c r="A1171" s="33">
        <v>1170</v>
      </c>
      <c r="B1171" s="69" t="s">
        <v>1716</v>
      </c>
      <c r="C1171" s="69" t="s">
        <v>740</v>
      </c>
      <c r="D1171" s="56">
        <v>42598</v>
      </c>
      <c r="G1171" s="69" t="str">
        <f t="shared" si="18"/>
        <v>Both</v>
      </c>
      <c r="H1171" s="69" t="s">
        <v>364</v>
      </c>
      <c r="J1171" s="69" t="s">
        <v>1716</v>
      </c>
      <c r="K1171" s="69" t="s">
        <v>1720</v>
      </c>
      <c r="L1171" s="253">
        <v>64</v>
      </c>
      <c r="M1171" s="253">
        <v>61</v>
      </c>
      <c r="N1171" s="253">
        <v>54</v>
      </c>
      <c r="O1171" s="253">
        <v>60</v>
      </c>
      <c r="P1171" s="253">
        <v>64</v>
      </c>
      <c r="Q1171" s="253">
        <v>55</v>
      </c>
      <c r="R1171" s="253">
        <v>64</v>
      </c>
      <c r="S1171" s="253">
        <v>58.999999999999993</v>
      </c>
      <c r="T1171" s="253">
        <v>67</v>
      </c>
      <c r="U1171" s="253">
        <v>62</v>
      </c>
      <c r="V1171" s="253">
        <v>61</v>
      </c>
      <c r="W1171" s="253">
        <v>64</v>
      </c>
      <c r="X1171" s="253">
        <v>51</v>
      </c>
      <c r="Y1171" s="253">
        <v>56.999999999999993</v>
      </c>
      <c r="Z1171" s="253">
        <v>64</v>
      </c>
      <c r="AA1171" s="253"/>
      <c r="AB1171" s="253"/>
      <c r="AC1171" s="253"/>
      <c r="AD1171" s="253"/>
      <c r="AE1171" s="253"/>
    </row>
    <row r="1172" spans="1:31">
      <c r="A1172" s="33">
        <v>1171</v>
      </c>
      <c r="B1172" s="69" t="s">
        <v>1716</v>
      </c>
      <c r="C1172" s="69" t="s">
        <v>740</v>
      </c>
      <c r="D1172" s="56">
        <v>42598</v>
      </c>
      <c r="G1172" s="69" t="str">
        <f t="shared" si="18"/>
        <v>Both</v>
      </c>
      <c r="H1172" s="69" t="s">
        <v>364</v>
      </c>
      <c r="J1172" s="69" t="s">
        <v>1716</v>
      </c>
      <c r="K1172" s="69" t="s">
        <v>1721</v>
      </c>
      <c r="L1172" s="253">
        <v>56.000000000000007</v>
      </c>
      <c r="M1172" s="253">
        <v>56.999999999999993</v>
      </c>
      <c r="N1172" s="253">
        <v>55</v>
      </c>
      <c r="O1172" s="253">
        <v>57.999999999999993</v>
      </c>
      <c r="P1172" s="253">
        <v>54</v>
      </c>
      <c r="Q1172" s="253">
        <v>56.999999999999993</v>
      </c>
      <c r="R1172" s="253">
        <v>56.000000000000007</v>
      </c>
      <c r="S1172" s="253">
        <v>55</v>
      </c>
      <c r="T1172" s="253">
        <v>62</v>
      </c>
      <c r="U1172" s="253">
        <v>53</v>
      </c>
      <c r="V1172" s="253">
        <v>56.999999999999993</v>
      </c>
      <c r="W1172" s="253">
        <v>67</v>
      </c>
      <c r="X1172" s="253">
        <v>51</v>
      </c>
      <c r="Y1172" s="253">
        <v>55</v>
      </c>
      <c r="Z1172" s="253">
        <v>66</v>
      </c>
      <c r="AA1172" s="253"/>
      <c r="AB1172" s="253"/>
      <c r="AC1172" s="253"/>
      <c r="AD1172" s="253"/>
      <c r="AE1172" s="253"/>
    </row>
    <row r="1173" spans="1:31">
      <c r="A1173" s="33">
        <v>1172</v>
      </c>
      <c r="B1173" s="69" t="s">
        <v>1716</v>
      </c>
      <c r="C1173" s="69" t="s">
        <v>740</v>
      </c>
      <c r="D1173" s="56">
        <v>42598</v>
      </c>
      <c r="G1173" s="69" t="str">
        <f t="shared" si="18"/>
        <v>Both</v>
      </c>
      <c r="H1173" s="69" t="s">
        <v>364</v>
      </c>
      <c r="J1173" s="69" t="s">
        <v>1716</v>
      </c>
      <c r="K1173" s="69" t="s">
        <v>1722</v>
      </c>
      <c r="L1173" s="253">
        <v>62</v>
      </c>
      <c r="M1173" s="253">
        <v>57.999999999999993</v>
      </c>
      <c r="N1173" s="253">
        <v>57.999999999999993</v>
      </c>
      <c r="O1173" s="253">
        <v>56.999999999999993</v>
      </c>
      <c r="P1173" s="253">
        <v>63</v>
      </c>
      <c r="Q1173" s="253">
        <v>58.999999999999993</v>
      </c>
      <c r="R1173" s="253">
        <v>60</v>
      </c>
      <c r="S1173" s="253">
        <v>56.999999999999993</v>
      </c>
      <c r="T1173" s="253">
        <v>55</v>
      </c>
      <c r="U1173" s="253">
        <v>60</v>
      </c>
      <c r="V1173" s="253">
        <v>57.999999999999993</v>
      </c>
      <c r="W1173" s="253">
        <v>62</v>
      </c>
      <c r="X1173" s="253">
        <v>63</v>
      </c>
      <c r="Y1173" s="253">
        <v>56.000000000000007</v>
      </c>
      <c r="Z1173" s="253">
        <v>58.999999999999993</v>
      </c>
      <c r="AA1173" s="253"/>
      <c r="AB1173" s="253"/>
      <c r="AC1173" s="253"/>
      <c r="AD1173" s="253"/>
      <c r="AE1173" s="253"/>
    </row>
    <row r="1174" spans="1:31">
      <c r="A1174" s="33">
        <v>1173</v>
      </c>
      <c r="B1174" s="69" t="s">
        <v>1030</v>
      </c>
      <c r="C1174" s="69" t="s">
        <v>740</v>
      </c>
      <c r="D1174" s="56">
        <v>42599</v>
      </c>
      <c r="G1174" s="69" t="str">
        <f t="shared" si="18"/>
        <v>User Registration</v>
      </c>
      <c r="H1174" s="69" t="s">
        <v>922</v>
      </c>
      <c r="J1174" s="69" t="s">
        <v>1030</v>
      </c>
      <c r="K1174" s="69" t="s">
        <v>1026</v>
      </c>
      <c r="L1174" s="253">
        <v>61</v>
      </c>
      <c r="M1174" s="253">
        <v>58</v>
      </c>
      <c r="N1174" s="253">
        <v>52</v>
      </c>
      <c r="O1174" s="253">
        <v>61</v>
      </c>
      <c r="P1174" s="253">
        <v>64</v>
      </c>
      <c r="Q1174" s="253">
        <v>63</v>
      </c>
      <c r="R1174" s="253">
        <v>59</v>
      </c>
      <c r="S1174" s="253">
        <v>54</v>
      </c>
      <c r="T1174" s="253">
        <v>63</v>
      </c>
      <c r="U1174" s="253">
        <v>59</v>
      </c>
      <c r="V1174" s="253"/>
      <c r="W1174" s="253">
        <v>48</v>
      </c>
      <c r="X1174" s="253">
        <v>53</v>
      </c>
      <c r="Y1174" s="253">
        <v>68</v>
      </c>
      <c r="Z1174" s="253">
        <v>49</v>
      </c>
      <c r="AA1174" s="253"/>
      <c r="AB1174" s="253"/>
      <c r="AC1174" s="253"/>
      <c r="AD1174" s="253"/>
      <c r="AE1174" s="253"/>
    </row>
    <row r="1175" spans="1:31">
      <c r="A1175" s="33">
        <v>1174</v>
      </c>
      <c r="B1175" s="69" t="s">
        <v>1030</v>
      </c>
      <c r="C1175" s="69" t="s">
        <v>740</v>
      </c>
      <c r="D1175" s="56">
        <v>42599</v>
      </c>
      <c r="G1175" s="69" t="str">
        <f t="shared" si="18"/>
        <v>User Registration</v>
      </c>
      <c r="H1175" s="69" t="s">
        <v>922</v>
      </c>
      <c r="J1175" s="69" t="s">
        <v>1030</v>
      </c>
      <c r="K1175" s="69" t="s">
        <v>1436</v>
      </c>
      <c r="L1175" s="253">
        <v>54</v>
      </c>
      <c r="M1175" s="253">
        <v>56</v>
      </c>
      <c r="N1175" s="253">
        <v>53</v>
      </c>
      <c r="O1175" s="253">
        <v>56</v>
      </c>
      <c r="P1175" s="253">
        <v>54</v>
      </c>
      <c r="Q1175" s="253">
        <v>62</v>
      </c>
      <c r="R1175" s="253">
        <v>53</v>
      </c>
      <c r="S1175" s="253">
        <v>52</v>
      </c>
      <c r="T1175" s="253">
        <v>66</v>
      </c>
      <c r="U1175" s="253">
        <v>55</v>
      </c>
      <c r="V1175" s="253"/>
      <c r="W1175" s="253">
        <v>50</v>
      </c>
      <c r="X1175" s="253">
        <v>56</v>
      </c>
      <c r="Y1175" s="253">
        <v>59</v>
      </c>
      <c r="Z1175" s="253">
        <v>52</v>
      </c>
      <c r="AA1175" s="253"/>
      <c r="AB1175" s="253"/>
      <c r="AC1175" s="253"/>
      <c r="AD1175" s="253"/>
      <c r="AE1175" s="253"/>
    </row>
    <row r="1176" spans="1:31">
      <c r="A1176" s="33">
        <v>1175</v>
      </c>
      <c r="B1176" s="69" t="s">
        <v>1712</v>
      </c>
      <c r="C1176" s="69" t="s">
        <v>740</v>
      </c>
      <c r="D1176" s="56">
        <v>42599</v>
      </c>
      <c r="G1176" s="69" t="str">
        <f t="shared" si="18"/>
        <v>E-Commerce</v>
      </c>
      <c r="H1176" s="69" t="s">
        <v>749</v>
      </c>
      <c r="J1176" s="69" t="s">
        <v>1712</v>
      </c>
      <c r="K1176" s="69" t="s">
        <v>1712</v>
      </c>
      <c r="L1176" s="253">
        <v>54</v>
      </c>
      <c r="M1176" s="253">
        <v>52</v>
      </c>
      <c r="N1176" s="253">
        <v>50</v>
      </c>
      <c r="O1176" s="253">
        <v>55</v>
      </c>
      <c r="P1176" s="253">
        <v>53</v>
      </c>
      <c r="Q1176" s="253">
        <v>50</v>
      </c>
      <c r="R1176" s="253">
        <v>52</v>
      </c>
      <c r="S1176" s="253">
        <v>49</v>
      </c>
      <c r="T1176" s="253">
        <v>52</v>
      </c>
      <c r="U1176" s="253">
        <v>55</v>
      </c>
      <c r="V1176" s="253">
        <v>52</v>
      </c>
      <c r="W1176" s="253"/>
      <c r="X1176" s="253">
        <v>53</v>
      </c>
      <c r="Y1176" s="253">
        <v>56.000000000000007</v>
      </c>
      <c r="Z1176" s="253">
        <v>56.999999999999993</v>
      </c>
      <c r="AA1176" s="253"/>
      <c r="AB1176" s="253"/>
      <c r="AC1176" s="253"/>
      <c r="AD1176" s="253"/>
      <c r="AE1176" s="253"/>
    </row>
    <row r="1177" spans="1:31">
      <c r="A1177" s="33">
        <v>1176</v>
      </c>
      <c r="B1177" s="69" t="s">
        <v>1712</v>
      </c>
      <c r="C1177" s="69" t="s">
        <v>740</v>
      </c>
      <c r="D1177" s="56">
        <v>42599</v>
      </c>
      <c r="G1177" s="69" t="str">
        <f t="shared" si="18"/>
        <v>E-Commerce</v>
      </c>
      <c r="H1177" s="69" t="s">
        <v>749</v>
      </c>
      <c r="J1177" s="69" t="s">
        <v>1712</v>
      </c>
      <c r="K1177" s="69" t="s">
        <v>1263</v>
      </c>
      <c r="L1177" s="253">
        <v>58.999999999999993</v>
      </c>
      <c r="M1177" s="253">
        <v>57.999999999999993</v>
      </c>
      <c r="N1177" s="253">
        <v>51</v>
      </c>
      <c r="O1177" s="253">
        <v>69</v>
      </c>
      <c r="P1177" s="253">
        <v>55</v>
      </c>
      <c r="Q1177" s="253">
        <v>55</v>
      </c>
      <c r="R1177" s="253">
        <v>60</v>
      </c>
      <c r="S1177" s="253">
        <v>58.999999999999993</v>
      </c>
      <c r="T1177" s="253">
        <v>56.999999999999993</v>
      </c>
      <c r="U1177" s="253">
        <v>56.999999999999993</v>
      </c>
      <c r="V1177" s="253">
        <v>55</v>
      </c>
      <c r="W1177" s="253"/>
      <c r="X1177" s="253">
        <v>64</v>
      </c>
      <c r="Y1177" s="253">
        <v>72</v>
      </c>
      <c r="Z1177" s="253">
        <v>73</v>
      </c>
      <c r="AA1177" s="253"/>
      <c r="AB1177" s="253"/>
      <c r="AC1177" s="253"/>
      <c r="AD1177" s="253"/>
      <c r="AE1177" s="253"/>
    </row>
    <row r="1178" spans="1:31">
      <c r="A1178" s="33">
        <v>1177</v>
      </c>
      <c r="B1178" s="69" t="s">
        <v>1712</v>
      </c>
      <c r="C1178" s="69" t="s">
        <v>740</v>
      </c>
      <c r="D1178" s="56">
        <v>42599</v>
      </c>
      <c r="G1178" s="69" t="str">
        <f t="shared" si="18"/>
        <v>E-Commerce</v>
      </c>
      <c r="H1178" s="69" t="s">
        <v>749</v>
      </c>
      <c r="J1178" s="69" t="s">
        <v>1712</v>
      </c>
      <c r="K1178" s="69" t="s">
        <v>79</v>
      </c>
      <c r="L1178" s="253">
        <v>68</v>
      </c>
      <c r="M1178" s="253">
        <v>67</v>
      </c>
      <c r="N1178" s="253">
        <v>66</v>
      </c>
      <c r="O1178" s="253">
        <v>71</v>
      </c>
      <c r="P1178" s="253">
        <v>70</v>
      </c>
      <c r="Q1178" s="253">
        <v>70</v>
      </c>
      <c r="R1178" s="253">
        <v>68</v>
      </c>
      <c r="S1178" s="253">
        <v>69</v>
      </c>
      <c r="T1178" s="253">
        <v>67</v>
      </c>
      <c r="U1178" s="253">
        <v>67</v>
      </c>
      <c r="V1178" s="253">
        <v>67</v>
      </c>
      <c r="W1178" s="253"/>
      <c r="X1178" s="253">
        <v>72</v>
      </c>
      <c r="Y1178" s="253">
        <v>77</v>
      </c>
      <c r="Z1178" s="253">
        <v>61</v>
      </c>
      <c r="AA1178" s="253"/>
      <c r="AB1178" s="253"/>
      <c r="AC1178" s="253"/>
      <c r="AD1178" s="253"/>
      <c r="AE1178" s="253"/>
    </row>
    <row r="1179" spans="1:31">
      <c r="A1179" s="33">
        <v>1178</v>
      </c>
      <c r="B1179" s="69" t="s">
        <v>1712</v>
      </c>
      <c r="C1179" s="69" t="s">
        <v>740</v>
      </c>
      <c r="D1179" s="56">
        <v>42599</v>
      </c>
      <c r="G1179" s="69" t="str">
        <f t="shared" si="18"/>
        <v>E-Commerce</v>
      </c>
      <c r="H1179" s="69" t="s">
        <v>749</v>
      </c>
      <c r="J1179" s="69" t="s">
        <v>1712</v>
      </c>
      <c r="K1179" s="69" t="s">
        <v>1713</v>
      </c>
      <c r="L1179" s="253">
        <v>51</v>
      </c>
      <c r="M1179" s="253">
        <v>52</v>
      </c>
      <c r="N1179" s="253">
        <v>60</v>
      </c>
      <c r="O1179" s="253">
        <v>54</v>
      </c>
      <c r="P1179" s="253">
        <v>48</v>
      </c>
      <c r="Q1179" s="253">
        <v>54</v>
      </c>
      <c r="R1179" s="253">
        <v>48</v>
      </c>
      <c r="S1179" s="253">
        <v>48</v>
      </c>
      <c r="T1179" s="253">
        <v>50</v>
      </c>
      <c r="U1179" s="253">
        <v>52</v>
      </c>
      <c r="V1179" s="253">
        <v>54</v>
      </c>
      <c r="W1179" s="253"/>
      <c r="X1179" s="253">
        <v>55</v>
      </c>
      <c r="Y1179" s="253">
        <v>50</v>
      </c>
      <c r="Z1179" s="253">
        <v>65</v>
      </c>
      <c r="AA1179" s="253"/>
      <c r="AB1179" s="253"/>
      <c r="AC1179" s="253"/>
      <c r="AD1179" s="253"/>
      <c r="AE1179" s="253"/>
    </row>
    <row r="1180" spans="1:31">
      <c r="A1180" s="33">
        <v>1179</v>
      </c>
      <c r="B1180" s="69" t="s">
        <v>1712</v>
      </c>
      <c r="C1180" s="69" t="s">
        <v>740</v>
      </c>
      <c r="D1180" s="56">
        <v>42599</v>
      </c>
      <c r="G1180" s="69" t="str">
        <f t="shared" si="18"/>
        <v>E-Commerce</v>
      </c>
      <c r="H1180" s="69" t="s">
        <v>749</v>
      </c>
      <c r="J1180" s="69" t="s">
        <v>1712</v>
      </c>
      <c r="K1180" s="69" t="b">
        <v>1</v>
      </c>
      <c r="L1180" s="253">
        <v>52</v>
      </c>
      <c r="M1180" s="253">
        <v>52</v>
      </c>
      <c r="N1180" s="253">
        <v>56.000000000000007</v>
      </c>
      <c r="O1180" s="253">
        <v>56.000000000000007</v>
      </c>
      <c r="P1180" s="253">
        <v>50</v>
      </c>
      <c r="Q1180" s="253">
        <v>52</v>
      </c>
      <c r="R1180" s="253">
        <v>52</v>
      </c>
      <c r="S1180" s="253">
        <v>53</v>
      </c>
      <c r="T1180" s="253">
        <v>45</v>
      </c>
      <c r="U1180" s="253">
        <v>52</v>
      </c>
      <c r="V1180" s="253">
        <v>51</v>
      </c>
      <c r="W1180" s="253"/>
      <c r="X1180" s="253">
        <v>56.999999999999993</v>
      </c>
      <c r="Y1180" s="253">
        <v>56.000000000000007</v>
      </c>
      <c r="Z1180" s="253">
        <v>60</v>
      </c>
      <c r="AA1180" s="253"/>
      <c r="AB1180" s="253"/>
      <c r="AC1180" s="253"/>
      <c r="AD1180" s="253"/>
      <c r="AE1180" s="253"/>
    </row>
    <row r="1181" spans="1:31">
      <c r="A1181" s="33">
        <v>1180</v>
      </c>
      <c r="B1181" s="69" t="s">
        <v>1030</v>
      </c>
      <c r="C1181" s="69" t="s">
        <v>740</v>
      </c>
      <c r="D1181" s="56">
        <v>42599</v>
      </c>
      <c r="G1181" s="69" t="str">
        <f t="shared" si="18"/>
        <v>User Registration</v>
      </c>
      <c r="H1181" s="69" t="s">
        <v>922</v>
      </c>
      <c r="J1181" s="69" t="s">
        <v>1030</v>
      </c>
      <c r="K1181" s="69" t="s">
        <v>1030</v>
      </c>
      <c r="L1181" s="253">
        <v>56</v>
      </c>
      <c r="M1181" s="253">
        <v>57</v>
      </c>
      <c r="N1181" s="253">
        <v>53</v>
      </c>
      <c r="O1181" s="253">
        <v>58</v>
      </c>
      <c r="P1181" s="253">
        <v>57</v>
      </c>
      <c r="Q1181" s="253">
        <v>59</v>
      </c>
      <c r="R1181" s="253">
        <v>58</v>
      </c>
      <c r="S1181" s="253">
        <v>59</v>
      </c>
      <c r="T1181" s="253">
        <v>54</v>
      </c>
      <c r="U1181" s="253">
        <v>55</v>
      </c>
      <c r="V1181" s="253"/>
      <c r="W1181" s="253">
        <v>49</v>
      </c>
      <c r="X1181" s="253">
        <v>55</v>
      </c>
      <c r="Y1181" s="253">
        <v>59</v>
      </c>
      <c r="Z1181" s="253">
        <v>54</v>
      </c>
      <c r="AA1181" s="253"/>
      <c r="AB1181" s="253"/>
      <c r="AC1181" s="253"/>
      <c r="AD1181" s="253"/>
      <c r="AE1181" s="253"/>
    </row>
    <row r="1182" spans="1:31">
      <c r="A1182" s="33">
        <v>1181</v>
      </c>
      <c r="B1182" s="69" t="s">
        <v>1030</v>
      </c>
      <c r="C1182" s="69" t="s">
        <v>740</v>
      </c>
      <c r="D1182" s="56">
        <v>42599</v>
      </c>
      <c r="F1182" s="56"/>
      <c r="G1182" s="69" t="str">
        <f t="shared" si="18"/>
        <v>User Registration</v>
      </c>
      <c r="H1182" s="69" t="s">
        <v>922</v>
      </c>
      <c r="J1182" s="69" t="s">
        <v>1030</v>
      </c>
      <c r="K1182" s="13" t="s">
        <v>1714</v>
      </c>
      <c r="L1182" s="253">
        <v>55</v>
      </c>
      <c r="M1182" s="253">
        <v>55</v>
      </c>
      <c r="N1182" s="253">
        <v>57</v>
      </c>
      <c r="O1182" s="253">
        <v>57</v>
      </c>
      <c r="P1182" s="253">
        <v>56</v>
      </c>
      <c r="Q1182" s="253">
        <v>52</v>
      </c>
      <c r="R1182" s="253">
        <v>55</v>
      </c>
      <c r="S1182" s="253">
        <v>56</v>
      </c>
      <c r="T1182" s="253">
        <v>60</v>
      </c>
      <c r="U1182" s="253">
        <v>54</v>
      </c>
      <c r="V1182" s="253"/>
      <c r="W1182" s="253">
        <v>59</v>
      </c>
      <c r="X1182" s="253">
        <v>57</v>
      </c>
      <c r="Y1182" s="253">
        <v>60</v>
      </c>
      <c r="Z1182" s="253">
        <v>52</v>
      </c>
      <c r="AA1182" s="253"/>
      <c r="AB1182" s="253"/>
      <c r="AC1182" s="253"/>
      <c r="AD1182" s="253"/>
      <c r="AE1182" s="253"/>
    </row>
    <row r="1183" spans="1:31">
      <c r="A1183" s="33">
        <v>1182</v>
      </c>
      <c r="B1183" s="69" t="s">
        <v>1030</v>
      </c>
      <c r="C1183" s="69" t="s">
        <v>740</v>
      </c>
      <c r="D1183" s="56">
        <v>42599</v>
      </c>
      <c r="F1183" s="56"/>
      <c r="G1183" s="69" t="str">
        <f t="shared" si="18"/>
        <v>User Registration</v>
      </c>
      <c r="H1183" s="69" t="s">
        <v>922</v>
      </c>
      <c r="J1183" s="69" t="s">
        <v>1030</v>
      </c>
      <c r="K1183" s="13" t="s">
        <v>1715</v>
      </c>
      <c r="L1183" s="253">
        <v>56</v>
      </c>
      <c r="M1183" s="253">
        <v>51</v>
      </c>
      <c r="N1183" s="253">
        <v>48</v>
      </c>
      <c r="O1183" s="253">
        <v>56</v>
      </c>
      <c r="P1183" s="253">
        <v>56</v>
      </c>
      <c r="Q1183" s="253">
        <v>48</v>
      </c>
      <c r="R1183" s="253">
        <v>51</v>
      </c>
      <c r="S1183" s="253">
        <v>51</v>
      </c>
      <c r="T1183" s="253">
        <v>52</v>
      </c>
      <c r="U1183" s="253">
        <v>50</v>
      </c>
      <c r="V1183" s="253"/>
      <c r="W1183" s="253">
        <v>48</v>
      </c>
      <c r="X1183" s="253">
        <v>45</v>
      </c>
      <c r="Y1183" s="253">
        <v>58</v>
      </c>
      <c r="Z1183" s="253">
        <v>57</v>
      </c>
      <c r="AA1183" s="253"/>
      <c r="AB1183" s="253"/>
      <c r="AC1183" s="253"/>
      <c r="AD1183" s="253"/>
      <c r="AE1183" s="253"/>
    </row>
    <row r="1184" spans="1:31">
      <c r="A1184" s="33">
        <v>1183</v>
      </c>
      <c r="B1184" s="69" t="s">
        <v>1434</v>
      </c>
      <c r="C1184" s="69" t="s">
        <v>1203</v>
      </c>
      <c r="D1184" s="56">
        <v>42599</v>
      </c>
      <c r="E1184" s="33" t="s">
        <v>781</v>
      </c>
      <c r="F1184" s="69" t="s">
        <v>755</v>
      </c>
      <c r="G1184" s="69" t="str">
        <f t="shared" si="18"/>
        <v>User Registration</v>
      </c>
      <c r="H1184" s="69" t="s">
        <v>508</v>
      </c>
      <c r="I1184" s="69" t="s">
        <v>962</v>
      </c>
      <c r="J1184" s="69" t="s">
        <v>1434</v>
      </c>
      <c r="K1184" s="69" t="s">
        <v>1434</v>
      </c>
      <c r="L1184" s="253">
        <v>0.55000000000000004</v>
      </c>
      <c r="M1184" s="253">
        <v>0.52600000000000002</v>
      </c>
      <c r="N1184" s="253">
        <v>0.50195121951219512</v>
      </c>
      <c r="O1184" s="253">
        <v>0.53947368421052633</v>
      </c>
      <c r="P1184" s="253">
        <v>0.56000000000000005</v>
      </c>
      <c r="Q1184" s="253">
        <v>0.52</v>
      </c>
      <c r="R1184" s="253">
        <v>0.55000000000000004</v>
      </c>
      <c r="S1184" s="253">
        <v>0.57999999999999996</v>
      </c>
      <c r="T1184" s="253"/>
      <c r="U1184" s="253">
        <v>0.47</v>
      </c>
      <c r="V1184" s="253"/>
      <c r="W1184" s="253">
        <v>0.48</v>
      </c>
      <c r="X1184" s="253">
        <v>0.51</v>
      </c>
      <c r="Y1184" s="253">
        <v>0.55000000000000004</v>
      </c>
      <c r="Z1184" s="253">
        <v>0.51</v>
      </c>
      <c r="AA1184" s="253"/>
      <c r="AB1184" s="253"/>
      <c r="AC1184" s="253"/>
      <c r="AD1184" s="253"/>
      <c r="AE1184" s="253"/>
    </row>
    <row r="1185" spans="1:31">
      <c r="A1185" s="33">
        <v>1184</v>
      </c>
      <c r="B1185" s="69" t="s">
        <v>1434</v>
      </c>
      <c r="C1185" s="69" t="s">
        <v>1203</v>
      </c>
      <c r="D1185" s="56">
        <v>42599</v>
      </c>
      <c r="E1185" s="33" t="s">
        <v>781</v>
      </c>
      <c r="F1185" s="69" t="s">
        <v>755</v>
      </c>
      <c r="G1185" s="69" t="str">
        <f t="shared" si="18"/>
        <v>User Registration</v>
      </c>
      <c r="H1185" s="69" t="s">
        <v>508</v>
      </c>
      <c r="I1185" s="69" t="s">
        <v>962</v>
      </c>
      <c r="J1185" s="69" t="s">
        <v>1434</v>
      </c>
      <c r="K1185" s="69" t="s">
        <v>930</v>
      </c>
      <c r="L1185" s="253">
        <v>0.66400000000000003</v>
      </c>
      <c r="M1185" s="253">
        <v>0.66299999999999992</v>
      </c>
      <c r="N1185" s="253">
        <v>0.74097560975609755</v>
      </c>
      <c r="O1185" s="253">
        <v>0.66315789473684206</v>
      </c>
      <c r="P1185" s="253">
        <v>0.68</v>
      </c>
      <c r="Q1185" s="253">
        <v>0.6</v>
      </c>
      <c r="R1185" s="253">
        <v>0.63</v>
      </c>
      <c r="S1185" s="253">
        <v>0.74</v>
      </c>
      <c r="T1185" s="253"/>
      <c r="U1185" s="253">
        <v>0.71</v>
      </c>
      <c r="V1185" s="253"/>
      <c r="W1185" s="253">
        <v>0.82</v>
      </c>
      <c r="X1185" s="253">
        <v>0.7</v>
      </c>
      <c r="Y1185" s="253">
        <v>0.7</v>
      </c>
      <c r="Z1185" s="253">
        <v>0.6</v>
      </c>
      <c r="AA1185" s="253"/>
      <c r="AB1185" s="253"/>
      <c r="AC1185" s="253"/>
      <c r="AD1185" s="253"/>
      <c r="AE1185" s="253"/>
    </row>
    <row r="1186" spans="1:31">
      <c r="A1186" s="33">
        <v>1185</v>
      </c>
      <c r="B1186" s="69" t="s">
        <v>1434</v>
      </c>
      <c r="C1186" s="69" t="s">
        <v>1203</v>
      </c>
      <c r="D1186" s="56">
        <v>42599</v>
      </c>
      <c r="E1186" s="33" t="s">
        <v>781</v>
      </c>
      <c r="F1186" s="69" t="s">
        <v>755</v>
      </c>
      <c r="G1186" s="69" t="str">
        <f t="shared" si="18"/>
        <v>User Registration</v>
      </c>
      <c r="H1186" s="69" t="s">
        <v>508</v>
      </c>
      <c r="I1186" s="69" t="s">
        <v>962</v>
      </c>
      <c r="J1186" s="69" t="s">
        <v>1434</v>
      </c>
      <c r="K1186" s="69" t="s">
        <v>1435</v>
      </c>
      <c r="L1186" s="253">
        <v>0.69</v>
      </c>
      <c r="M1186" s="253">
        <v>0.66200000000000003</v>
      </c>
      <c r="N1186" s="253">
        <v>0.70707317073170739</v>
      </c>
      <c r="O1186" s="253">
        <v>0.70578947368421052</v>
      </c>
      <c r="P1186" s="253">
        <v>0.72</v>
      </c>
      <c r="Q1186" s="253">
        <v>0.61</v>
      </c>
      <c r="R1186" s="253">
        <v>0.68</v>
      </c>
      <c r="S1186" s="253">
        <v>0.79</v>
      </c>
      <c r="T1186" s="253"/>
      <c r="U1186" s="253">
        <v>0.62</v>
      </c>
      <c r="V1186" s="253"/>
      <c r="W1186" s="253">
        <v>0.77</v>
      </c>
      <c r="X1186" s="253">
        <v>0.64</v>
      </c>
      <c r="Y1186" s="253">
        <v>0.78</v>
      </c>
      <c r="Z1186" s="253">
        <v>0.56999999999999995</v>
      </c>
      <c r="AA1186" s="253"/>
      <c r="AB1186" s="253"/>
      <c r="AC1186" s="253"/>
      <c r="AD1186" s="253"/>
      <c r="AE1186" s="253"/>
    </row>
    <row r="1187" spans="1:31">
      <c r="A1187" s="33">
        <v>1186</v>
      </c>
      <c r="B1187" s="69" t="s">
        <v>1434</v>
      </c>
      <c r="C1187" s="69" t="s">
        <v>1203</v>
      </c>
      <c r="D1187" s="56">
        <v>42599</v>
      </c>
      <c r="E1187" s="33" t="s">
        <v>781</v>
      </c>
      <c r="F1187" s="69" t="s">
        <v>755</v>
      </c>
      <c r="G1187" s="69" t="str">
        <f t="shared" si="18"/>
        <v>User Registration</v>
      </c>
      <c r="H1187" s="69" t="s">
        <v>508</v>
      </c>
      <c r="I1187" s="69" t="s">
        <v>962</v>
      </c>
      <c r="J1187" s="69" t="s">
        <v>1434</v>
      </c>
      <c r="K1187" s="69" t="s">
        <v>1436</v>
      </c>
      <c r="L1187" s="253">
        <v>0.504</v>
      </c>
      <c r="M1187" s="253">
        <v>0.5625</v>
      </c>
      <c r="N1187" s="253">
        <v>0.53902439024390247</v>
      </c>
      <c r="O1187" s="253">
        <v>0.56842105263157894</v>
      </c>
      <c r="P1187" s="253">
        <v>0.5</v>
      </c>
      <c r="Q1187" s="253">
        <v>0.62</v>
      </c>
      <c r="R1187" s="253">
        <v>0.57999999999999996</v>
      </c>
      <c r="S1187" s="253">
        <v>0.52</v>
      </c>
      <c r="T1187" s="253"/>
      <c r="U1187" s="253">
        <v>0.55000000000000004</v>
      </c>
      <c r="V1187" s="253"/>
      <c r="W1187" s="253">
        <v>0.55000000000000004</v>
      </c>
      <c r="X1187" s="253">
        <v>0.48</v>
      </c>
      <c r="Y1187" s="253">
        <v>0.59</v>
      </c>
      <c r="Z1187" s="253">
        <v>0.52</v>
      </c>
      <c r="AA1187" s="253"/>
      <c r="AB1187" s="253"/>
      <c r="AC1187" s="253"/>
      <c r="AD1187" s="253"/>
      <c r="AE1187" s="253"/>
    </row>
    <row r="1188" spans="1:31">
      <c r="A1188" s="33">
        <v>1187</v>
      </c>
      <c r="B1188" s="69" t="s">
        <v>1434</v>
      </c>
      <c r="C1188" s="69" t="s">
        <v>1203</v>
      </c>
      <c r="D1188" s="56">
        <v>42599</v>
      </c>
      <c r="E1188" s="33" t="s">
        <v>781</v>
      </c>
      <c r="F1188" s="69" t="s">
        <v>755</v>
      </c>
      <c r="G1188" s="69" t="str">
        <f t="shared" si="18"/>
        <v>User Registration</v>
      </c>
      <c r="H1188" s="69" t="s">
        <v>508</v>
      </c>
      <c r="I1188" s="69" t="s">
        <v>962</v>
      </c>
      <c r="J1188" s="69" t="s">
        <v>1434</v>
      </c>
      <c r="K1188" s="69" t="s">
        <v>1226</v>
      </c>
      <c r="L1188" s="253">
        <v>0.55600000000000005</v>
      </c>
      <c r="M1188" s="253">
        <v>0.5734999999999999</v>
      </c>
      <c r="N1188" s="253">
        <v>0.51780487804878039</v>
      </c>
      <c r="O1188" s="253">
        <v>0.59368421052631581</v>
      </c>
      <c r="P1188" s="253">
        <v>0.55000000000000004</v>
      </c>
      <c r="Q1188" s="253">
        <v>0.55000000000000004</v>
      </c>
      <c r="R1188" s="253">
        <v>0.56999999999999995</v>
      </c>
      <c r="S1188" s="253">
        <v>0.59</v>
      </c>
      <c r="T1188" s="253"/>
      <c r="U1188" s="253">
        <v>0.57999999999999996</v>
      </c>
      <c r="V1188" s="253"/>
      <c r="W1188" s="253">
        <v>0.52</v>
      </c>
      <c r="X1188" s="253">
        <v>0.48</v>
      </c>
      <c r="Y1188" s="253">
        <v>0.61</v>
      </c>
      <c r="Z1188" s="253">
        <v>0.57999999999999996</v>
      </c>
      <c r="AA1188" s="253"/>
      <c r="AB1188" s="253"/>
      <c r="AC1188" s="253"/>
      <c r="AD1188" s="253"/>
      <c r="AE1188" s="253"/>
    </row>
    <row r="1189" spans="1:31">
      <c r="A1189" s="33">
        <v>1188</v>
      </c>
      <c r="B1189" s="69" t="s">
        <v>1434</v>
      </c>
      <c r="C1189" s="69" t="s">
        <v>1203</v>
      </c>
      <c r="D1189" s="56">
        <v>42599</v>
      </c>
      <c r="E1189" s="33" t="s">
        <v>781</v>
      </c>
      <c r="F1189" s="69" t="s">
        <v>755</v>
      </c>
      <c r="G1189" s="69" t="str">
        <f t="shared" si="18"/>
        <v>User Registration</v>
      </c>
      <c r="H1189" s="69" t="s">
        <v>508</v>
      </c>
      <c r="I1189" s="69" t="s">
        <v>962</v>
      </c>
      <c r="J1189" s="69" t="s">
        <v>1434</v>
      </c>
      <c r="K1189" s="69" t="s">
        <v>1437</v>
      </c>
      <c r="L1189" s="253">
        <v>0.54</v>
      </c>
      <c r="M1189" s="253">
        <v>0.60699999999999998</v>
      </c>
      <c r="N1189" s="253">
        <v>0.57341463414634142</v>
      </c>
      <c r="O1189" s="253">
        <v>0.6110526315789474</v>
      </c>
      <c r="P1189" s="253">
        <v>0.56000000000000005</v>
      </c>
      <c r="Q1189" s="253">
        <v>0.61</v>
      </c>
      <c r="R1189" s="253">
        <v>0.64</v>
      </c>
      <c r="S1189" s="253">
        <v>0.62</v>
      </c>
      <c r="T1189" s="253"/>
      <c r="U1189" s="253">
        <v>0.62</v>
      </c>
      <c r="V1189" s="253"/>
      <c r="W1189" s="253">
        <v>0.57999999999999996</v>
      </c>
      <c r="X1189" s="253">
        <v>0.52</v>
      </c>
      <c r="Y1189" s="253">
        <v>0.68</v>
      </c>
      <c r="Z1189" s="253">
        <v>0.46</v>
      </c>
      <c r="AA1189" s="253"/>
      <c r="AB1189" s="253"/>
      <c r="AC1189" s="253"/>
      <c r="AD1189" s="253"/>
      <c r="AE1189" s="253"/>
    </row>
    <row r="1190" spans="1:31">
      <c r="A1190" s="33">
        <v>1189</v>
      </c>
      <c r="B1190" s="69" t="s">
        <v>1434</v>
      </c>
      <c r="C1190" s="69" t="s">
        <v>1203</v>
      </c>
      <c r="D1190" s="56">
        <v>42599</v>
      </c>
      <c r="E1190" s="33" t="s">
        <v>781</v>
      </c>
      <c r="F1190" s="69" t="s">
        <v>755</v>
      </c>
      <c r="G1190" s="69" t="str">
        <f t="shared" si="18"/>
        <v>User Registration</v>
      </c>
      <c r="H1190" s="69" t="s">
        <v>508</v>
      </c>
      <c r="I1190" s="69" t="s">
        <v>962</v>
      </c>
      <c r="J1190" s="69" t="s">
        <v>1434</v>
      </c>
      <c r="K1190" s="69" t="s">
        <v>1224</v>
      </c>
      <c r="L1190" s="253">
        <v>0.6</v>
      </c>
      <c r="M1190" s="253">
        <v>0.56950000000000001</v>
      </c>
      <c r="N1190" s="253">
        <v>0.54731707317073164</v>
      </c>
      <c r="O1190" s="253">
        <v>0.56894736842105265</v>
      </c>
      <c r="P1190" s="253">
        <v>0.61</v>
      </c>
      <c r="Q1190" s="253">
        <v>0.56000000000000005</v>
      </c>
      <c r="R1190" s="253">
        <v>0.54</v>
      </c>
      <c r="S1190" s="253">
        <v>0.56999999999999995</v>
      </c>
      <c r="T1190" s="253"/>
      <c r="U1190" s="253">
        <v>0.61</v>
      </c>
      <c r="V1190" s="253"/>
      <c r="W1190" s="253">
        <v>0.54</v>
      </c>
      <c r="X1190" s="253">
        <v>0.56000000000000005</v>
      </c>
      <c r="Y1190" s="253">
        <v>0.57999999999999996</v>
      </c>
      <c r="Z1190" s="253">
        <v>0.56000000000000005</v>
      </c>
      <c r="AA1190" s="253"/>
      <c r="AB1190" s="253"/>
      <c r="AC1190" s="253"/>
      <c r="AD1190" s="253"/>
      <c r="AE1190" s="253"/>
    </row>
    <row r="1191" spans="1:31">
      <c r="A1191" s="33">
        <v>1190</v>
      </c>
      <c r="B1191" s="69" t="s">
        <v>1434</v>
      </c>
      <c r="C1191" s="69" t="s">
        <v>1203</v>
      </c>
      <c r="D1191" s="56">
        <v>42599</v>
      </c>
      <c r="E1191" s="33" t="s">
        <v>781</v>
      </c>
      <c r="F1191" s="69" t="s">
        <v>755</v>
      </c>
      <c r="G1191" s="69" t="str">
        <f t="shared" si="18"/>
        <v>User Registration</v>
      </c>
      <c r="H1191" s="69" t="s">
        <v>508</v>
      </c>
      <c r="I1191" s="69" t="s">
        <v>962</v>
      </c>
      <c r="J1191" s="69" t="s">
        <v>1434</v>
      </c>
      <c r="K1191" s="69" t="s">
        <v>1438</v>
      </c>
      <c r="L1191" s="253">
        <v>0.51800000000000002</v>
      </c>
      <c r="M1191" s="253">
        <v>0.54449999999999998</v>
      </c>
      <c r="N1191" s="253">
        <v>0.49390243902439024</v>
      </c>
      <c r="O1191" s="253">
        <v>0.53999999999999992</v>
      </c>
      <c r="P1191" s="253">
        <v>0.52</v>
      </c>
      <c r="Q1191" s="253">
        <v>0.61</v>
      </c>
      <c r="R1191" s="253">
        <v>0.59</v>
      </c>
      <c r="S1191" s="253">
        <v>0.52</v>
      </c>
      <c r="T1191" s="253"/>
      <c r="U1191" s="253">
        <v>0.48</v>
      </c>
      <c r="V1191" s="253"/>
      <c r="W1191" s="253">
        <v>0.45</v>
      </c>
      <c r="X1191" s="253">
        <v>0.49</v>
      </c>
      <c r="Y1191" s="253">
        <v>0.54</v>
      </c>
      <c r="Z1191" s="253">
        <v>0.51</v>
      </c>
      <c r="AA1191" s="253"/>
      <c r="AB1191" s="253"/>
      <c r="AC1191" s="253"/>
      <c r="AD1191" s="253"/>
      <c r="AE1191" s="253"/>
    </row>
    <row r="1192" spans="1:31">
      <c r="A1192" s="33">
        <v>1191</v>
      </c>
      <c r="B1192" s="69" t="s">
        <v>1434</v>
      </c>
      <c r="C1192" s="69" t="s">
        <v>1203</v>
      </c>
      <c r="D1192" s="56">
        <v>42599</v>
      </c>
      <c r="E1192" s="33" t="s">
        <v>781</v>
      </c>
      <c r="F1192" s="69" t="s">
        <v>755</v>
      </c>
      <c r="G1192" s="69" t="str">
        <f t="shared" si="18"/>
        <v>User Registration</v>
      </c>
      <c r="H1192" s="69" t="s">
        <v>508</v>
      </c>
      <c r="I1192" s="69" t="s">
        <v>962</v>
      </c>
      <c r="J1192" s="69" t="s">
        <v>1434</v>
      </c>
      <c r="K1192" s="69" t="s">
        <v>1439</v>
      </c>
      <c r="L1192" s="253">
        <v>0.55800000000000005</v>
      </c>
      <c r="M1192" s="253">
        <v>0.55149999999999999</v>
      </c>
      <c r="N1192" s="253">
        <v>0.48341463414634145</v>
      </c>
      <c r="O1192" s="253">
        <v>0.57210526315789478</v>
      </c>
      <c r="P1192" s="253">
        <v>0.56000000000000005</v>
      </c>
      <c r="Q1192" s="253">
        <v>0.6</v>
      </c>
      <c r="R1192" s="253">
        <v>0.55000000000000004</v>
      </c>
      <c r="S1192" s="253">
        <v>0.52</v>
      </c>
      <c r="T1192" s="253"/>
      <c r="U1192" s="253">
        <v>0.54</v>
      </c>
      <c r="V1192" s="253"/>
      <c r="W1192" s="253">
        <v>0.46</v>
      </c>
      <c r="X1192" s="253">
        <v>0.46</v>
      </c>
      <c r="Y1192" s="253">
        <v>0.59</v>
      </c>
      <c r="Z1192" s="253">
        <v>0.55000000000000004</v>
      </c>
      <c r="AA1192" s="253"/>
      <c r="AB1192" s="253"/>
      <c r="AC1192" s="253"/>
      <c r="AD1192" s="253"/>
      <c r="AE1192" s="253"/>
    </row>
    <row r="1193" spans="1:31">
      <c r="A1193" s="33">
        <v>1192</v>
      </c>
      <c r="B1193" s="69" t="s">
        <v>1710</v>
      </c>
      <c r="C1193" s="69" t="s">
        <v>740</v>
      </c>
      <c r="D1193" s="56">
        <v>42600</v>
      </c>
      <c r="G1193" s="69" t="str">
        <f t="shared" si="18"/>
        <v>E-Commerce</v>
      </c>
      <c r="H1193" s="69" t="s">
        <v>1577</v>
      </c>
      <c r="J1193" s="69" t="s">
        <v>1710</v>
      </c>
      <c r="K1193" s="69" t="s">
        <v>1710</v>
      </c>
      <c r="L1193" s="253">
        <v>53</v>
      </c>
      <c r="M1193" s="253">
        <v>54</v>
      </c>
      <c r="N1193" s="253">
        <v>58</v>
      </c>
      <c r="O1193" s="253">
        <v>54</v>
      </c>
      <c r="P1193" s="253">
        <v>53</v>
      </c>
      <c r="Q1193" s="253">
        <v>52</v>
      </c>
      <c r="R1193" s="253">
        <v>54</v>
      </c>
      <c r="S1193" s="253">
        <v>53</v>
      </c>
      <c r="T1193" s="253">
        <v>58</v>
      </c>
      <c r="U1193" s="253">
        <v>53</v>
      </c>
      <c r="V1193" s="253">
        <v>56</v>
      </c>
      <c r="W1193" s="253"/>
      <c r="X1193" s="253">
        <v>57</v>
      </c>
      <c r="Y1193" s="253">
        <v>54</v>
      </c>
      <c r="Z1193" s="253">
        <v>54</v>
      </c>
      <c r="AA1193" s="253"/>
      <c r="AB1193" s="253"/>
      <c r="AC1193" s="253"/>
      <c r="AD1193" s="253"/>
      <c r="AE1193" s="253"/>
    </row>
    <row r="1194" spans="1:31">
      <c r="A1194" s="33">
        <v>1193</v>
      </c>
      <c r="B1194" s="69" t="s">
        <v>1710</v>
      </c>
      <c r="C1194" s="69" t="s">
        <v>740</v>
      </c>
      <c r="D1194" s="56">
        <v>42600</v>
      </c>
      <c r="G1194" s="69" t="str">
        <f t="shared" si="18"/>
        <v>E-Commerce</v>
      </c>
      <c r="H1194" s="69" t="s">
        <v>1577</v>
      </c>
      <c r="J1194" s="69" t="s">
        <v>1710</v>
      </c>
      <c r="K1194" s="69" t="s">
        <v>1711</v>
      </c>
      <c r="L1194" s="253">
        <v>56</v>
      </c>
      <c r="M1194" s="253">
        <v>52</v>
      </c>
      <c r="N1194" s="253">
        <v>55</v>
      </c>
      <c r="O1194" s="253">
        <v>57</v>
      </c>
      <c r="P1194" s="253">
        <v>56</v>
      </c>
      <c r="Q1194" s="253">
        <v>40</v>
      </c>
      <c r="R1194" s="253">
        <v>55</v>
      </c>
      <c r="S1194" s="253">
        <v>59</v>
      </c>
      <c r="T1194" s="253">
        <v>56</v>
      </c>
      <c r="U1194" s="253">
        <v>48</v>
      </c>
      <c r="V1194" s="253">
        <v>53</v>
      </c>
      <c r="W1194" s="253"/>
      <c r="X1194" s="253">
        <v>53</v>
      </c>
      <c r="Y1194" s="253">
        <v>60</v>
      </c>
      <c r="Z1194" s="253">
        <v>56</v>
      </c>
      <c r="AA1194" s="253"/>
      <c r="AB1194" s="253"/>
      <c r="AC1194" s="253"/>
      <c r="AD1194" s="253"/>
      <c r="AE1194" s="253"/>
    </row>
    <row r="1195" spans="1:31">
      <c r="A1195" s="33">
        <v>1194</v>
      </c>
      <c r="B1195" s="69" t="s">
        <v>1710</v>
      </c>
      <c r="C1195" s="69" t="s">
        <v>740</v>
      </c>
      <c r="D1195" s="56">
        <v>42600</v>
      </c>
      <c r="G1195" s="69" t="str">
        <f t="shared" si="18"/>
        <v>E-Commerce</v>
      </c>
      <c r="H1195" s="69" t="s">
        <v>1577</v>
      </c>
      <c r="J1195" s="69" t="s">
        <v>1710</v>
      </c>
      <c r="K1195" s="69" t="s">
        <v>1380</v>
      </c>
      <c r="L1195" s="253">
        <v>52</v>
      </c>
      <c r="M1195" s="253">
        <v>52</v>
      </c>
      <c r="N1195" s="253">
        <v>57</v>
      </c>
      <c r="O1195" s="253">
        <v>55</v>
      </c>
      <c r="P1195" s="253">
        <v>51</v>
      </c>
      <c r="Q1195" s="253">
        <v>49</v>
      </c>
      <c r="R1195" s="253">
        <v>50</v>
      </c>
      <c r="S1195" s="253">
        <v>56</v>
      </c>
      <c r="T1195" s="253">
        <v>50</v>
      </c>
      <c r="U1195" s="253">
        <v>53</v>
      </c>
      <c r="V1195" s="253">
        <v>53</v>
      </c>
      <c r="W1195" s="253"/>
      <c r="X1195" s="253">
        <v>51</v>
      </c>
      <c r="Y1195" s="253">
        <v>55</v>
      </c>
      <c r="Z1195" s="253">
        <v>58</v>
      </c>
      <c r="AA1195" s="253"/>
      <c r="AB1195" s="253"/>
      <c r="AC1195" s="253"/>
      <c r="AD1195" s="253"/>
      <c r="AE1195" s="253"/>
    </row>
    <row r="1196" spans="1:31">
      <c r="A1196" s="33">
        <v>1195</v>
      </c>
      <c r="B1196" s="69" t="s">
        <v>1710</v>
      </c>
      <c r="C1196" s="69" t="s">
        <v>740</v>
      </c>
      <c r="D1196" s="56">
        <v>42600</v>
      </c>
      <c r="G1196" s="69" t="str">
        <f t="shared" si="18"/>
        <v>E-Commerce</v>
      </c>
      <c r="H1196" s="69" t="s">
        <v>1577</v>
      </c>
      <c r="J1196" s="69" t="s">
        <v>1710</v>
      </c>
      <c r="K1196" s="69" t="s">
        <v>393</v>
      </c>
      <c r="L1196" s="253">
        <v>62</v>
      </c>
      <c r="M1196" s="253">
        <v>61</v>
      </c>
      <c r="N1196" s="253">
        <v>65</v>
      </c>
      <c r="O1196" s="253">
        <v>63</v>
      </c>
      <c r="P1196" s="253">
        <v>60</v>
      </c>
      <c r="Q1196" s="253">
        <v>60</v>
      </c>
      <c r="R1196" s="253">
        <v>61</v>
      </c>
      <c r="S1196" s="253">
        <v>58</v>
      </c>
      <c r="T1196" s="253">
        <v>62</v>
      </c>
      <c r="U1196" s="253">
        <v>58</v>
      </c>
      <c r="V1196" s="253">
        <v>62</v>
      </c>
      <c r="W1196" s="253"/>
      <c r="X1196" s="253">
        <v>63</v>
      </c>
      <c r="Y1196" s="253">
        <v>61</v>
      </c>
      <c r="Z1196" s="253">
        <v>68</v>
      </c>
      <c r="AA1196" s="253"/>
      <c r="AB1196" s="253"/>
      <c r="AC1196" s="253"/>
      <c r="AD1196" s="253"/>
      <c r="AE1196" s="253"/>
    </row>
    <row r="1197" spans="1:31">
      <c r="A1197" s="33">
        <v>1196</v>
      </c>
      <c r="B1197" s="69" t="s">
        <v>1710</v>
      </c>
      <c r="C1197" s="69" t="s">
        <v>740</v>
      </c>
      <c r="D1197" s="56">
        <v>42600</v>
      </c>
      <c r="G1197" s="69" t="str">
        <f t="shared" si="18"/>
        <v>E-Commerce</v>
      </c>
      <c r="H1197" s="69" t="s">
        <v>1577</v>
      </c>
      <c r="J1197" s="69" t="s">
        <v>1710</v>
      </c>
      <c r="K1197" s="69" t="s">
        <v>78</v>
      </c>
      <c r="L1197" s="253">
        <v>66</v>
      </c>
      <c r="M1197" s="253">
        <v>67</v>
      </c>
      <c r="N1197" s="253">
        <v>68</v>
      </c>
      <c r="O1197" s="253">
        <v>71</v>
      </c>
      <c r="P1197" s="253">
        <v>67</v>
      </c>
      <c r="Q1197" s="253">
        <v>69</v>
      </c>
      <c r="R1197" s="253">
        <v>69</v>
      </c>
      <c r="S1197" s="253">
        <v>64</v>
      </c>
      <c r="T1197" s="253">
        <v>68</v>
      </c>
      <c r="U1197" s="253">
        <v>67</v>
      </c>
      <c r="V1197" s="253">
        <v>68</v>
      </c>
      <c r="W1197" s="253"/>
      <c r="X1197" s="253">
        <v>61</v>
      </c>
      <c r="Y1197" s="253">
        <v>76</v>
      </c>
      <c r="Z1197" s="253">
        <v>64</v>
      </c>
      <c r="AA1197" s="253"/>
      <c r="AB1197" s="253"/>
      <c r="AC1197" s="253"/>
      <c r="AD1197" s="253"/>
      <c r="AE1197" s="253"/>
    </row>
    <row r="1198" spans="1:31">
      <c r="A1198" s="33">
        <v>1197</v>
      </c>
      <c r="B1198" s="69" t="s">
        <v>1371</v>
      </c>
      <c r="C1198" s="69" t="s">
        <v>740</v>
      </c>
      <c r="D1198" s="56">
        <v>42601</v>
      </c>
      <c r="G1198" s="69" t="str">
        <f t="shared" si="18"/>
        <v>User Registration</v>
      </c>
      <c r="H1198" s="69" t="s">
        <v>1658</v>
      </c>
      <c r="J1198" s="69" t="s">
        <v>1371</v>
      </c>
      <c r="K1198" s="69" t="s">
        <v>1369</v>
      </c>
      <c r="L1198" s="253">
        <v>55</v>
      </c>
      <c r="M1198" s="253">
        <v>56.999999999999993</v>
      </c>
      <c r="N1198" s="253">
        <v>54</v>
      </c>
      <c r="O1198" s="253">
        <v>55</v>
      </c>
      <c r="P1198" s="253">
        <v>56.000000000000007</v>
      </c>
      <c r="Q1198" s="253">
        <v>62</v>
      </c>
      <c r="R1198" s="253">
        <v>55</v>
      </c>
      <c r="S1198" s="253">
        <v>56.000000000000007</v>
      </c>
      <c r="T1198" s="253">
        <v>62</v>
      </c>
      <c r="U1198" s="253">
        <v>56.000000000000007</v>
      </c>
      <c r="V1198" s="253"/>
      <c r="W1198" s="253">
        <v>51</v>
      </c>
      <c r="X1198" s="253">
        <v>56.999999999999993</v>
      </c>
      <c r="Y1198" s="253">
        <v>56.000000000000007</v>
      </c>
      <c r="Z1198" s="253">
        <v>52</v>
      </c>
      <c r="AA1198" s="253"/>
      <c r="AB1198" s="253"/>
      <c r="AC1198" s="253"/>
      <c r="AD1198" s="253"/>
      <c r="AE1198" s="253"/>
    </row>
    <row r="1199" spans="1:31">
      <c r="A1199" s="33">
        <v>1198</v>
      </c>
      <c r="B1199" s="69" t="s">
        <v>1371</v>
      </c>
      <c r="C1199" s="69" t="s">
        <v>740</v>
      </c>
      <c r="D1199" s="56">
        <v>42601</v>
      </c>
      <c r="G1199" s="69" t="str">
        <f t="shared" si="18"/>
        <v>User Registration</v>
      </c>
      <c r="H1199" s="69" t="s">
        <v>1658</v>
      </c>
      <c r="J1199" s="69" t="s">
        <v>1371</v>
      </c>
      <c r="K1199" s="69" t="s">
        <v>1707</v>
      </c>
      <c r="L1199" s="253">
        <v>53</v>
      </c>
      <c r="M1199" s="253">
        <v>53</v>
      </c>
      <c r="N1199" s="253">
        <v>54</v>
      </c>
      <c r="O1199" s="253">
        <v>52</v>
      </c>
      <c r="P1199" s="253">
        <v>52</v>
      </c>
      <c r="Q1199" s="253">
        <v>58.999999999999993</v>
      </c>
      <c r="R1199" s="253">
        <v>58.999999999999993</v>
      </c>
      <c r="S1199" s="253">
        <v>50</v>
      </c>
      <c r="T1199" s="253">
        <v>51</v>
      </c>
      <c r="U1199" s="253">
        <v>54</v>
      </c>
      <c r="V1199" s="253"/>
      <c r="W1199" s="253">
        <v>53</v>
      </c>
      <c r="X1199" s="253">
        <v>56.000000000000007</v>
      </c>
      <c r="Y1199" s="253">
        <v>50</v>
      </c>
      <c r="Z1199" s="253">
        <v>55</v>
      </c>
      <c r="AA1199" s="253"/>
      <c r="AB1199" s="253"/>
      <c r="AC1199" s="253"/>
      <c r="AD1199" s="253"/>
      <c r="AE1199" s="253"/>
    </row>
    <row r="1200" spans="1:31">
      <c r="A1200" s="33">
        <v>1199</v>
      </c>
      <c r="B1200" s="69" t="s">
        <v>1371</v>
      </c>
      <c r="C1200" s="69" t="s">
        <v>740</v>
      </c>
      <c r="D1200" s="56">
        <v>42601</v>
      </c>
      <c r="F1200" s="56"/>
      <c r="G1200" s="69" t="str">
        <f t="shared" si="18"/>
        <v>User Registration</v>
      </c>
      <c r="H1200" s="69" t="s">
        <v>1658</v>
      </c>
      <c r="J1200" s="69" t="s">
        <v>1371</v>
      </c>
      <c r="K1200" s="13" t="s">
        <v>1371</v>
      </c>
      <c r="L1200" s="253">
        <v>56.999999999999993</v>
      </c>
      <c r="M1200" s="253">
        <v>56.000000000000007</v>
      </c>
      <c r="N1200" s="253">
        <v>56.000000000000007</v>
      </c>
      <c r="O1200" s="253">
        <v>56.000000000000007</v>
      </c>
      <c r="P1200" s="253">
        <v>56.999999999999993</v>
      </c>
      <c r="Q1200" s="253">
        <v>56.999999999999993</v>
      </c>
      <c r="R1200" s="253">
        <v>58.999999999999993</v>
      </c>
      <c r="S1200" s="253">
        <v>55</v>
      </c>
      <c r="T1200" s="253">
        <v>50</v>
      </c>
      <c r="U1200" s="253">
        <v>56.000000000000007</v>
      </c>
      <c r="V1200" s="253"/>
      <c r="W1200" s="253">
        <v>55</v>
      </c>
      <c r="X1200" s="253">
        <v>55</v>
      </c>
      <c r="Y1200" s="253">
        <v>54</v>
      </c>
      <c r="Z1200" s="253">
        <v>58.999999999999993</v>
      </c>
      <c r="AA1200" s="253"/>
      <c r="AB1200" s="253"/>
      <c r="AC1200" s="253"/>
      <c r="AD1200" s="253"/>
      <c r="AE1200" s="253"/>
    </row>
    <row r="1201" spans="1:31">
      <c r="A1201" s="33">
        <v>1200</v>
      </c>
      <c r="B1201" s="69" t="s">
        <v>1371</v>
      </c>
      <c r="C1201" s="69" t="s">
        <v>740</v>
      </c>
      <c r="D1201" s="56">
        <v>42601</v>
      </c>
      <c r="F1201" s="56"/>
      <c r="G1201" s="69" t="str">
        <f t="shared" si="18"/>
        <v>User Registration</v>
      </c>
      <c r="H1201" s="69" t="s">
        <v>1658</v>
      </c>
      <c r="J1201" s="69" t="s">
        <v>1371</v>
      </c>
      <c r="K1201" s="13" t="s">
        <v>1708</v>
      </c>
      <c r="L1201" s="253">
        <v>62</v>
      </c>
      <c r="M1201" s="253">
        <v>57.999999999999993</v>
      </c>
      <c r="N1201" s="253">
        <v>53</v>
      </c>
      <c r="O1201" s="253">
        <v>54</v>
      </c>
      <c r="P1201" s="253">
        <v>62</v>
      </c>
      <c r="Q1201" s="253">
        <v>55</v>
      </c>
      <c r="R1201" s="253">
        <v>61</v>
      </c>
      <c r="S1201" s="253">
        <v>54</v>
      </c>
      <c r="T1201" s="253">
        <v>57.999999999999993</v>
      </c>
      <c r="U1201" s="253">
        <v>58.999999999999993</v>
      </c>
      <c r="V1201" s="253"/>
      <c r="W1201" s="253">
        <v>51</v>
      </c>
      <c r="X1201" s="253">
        <v>53</v>
      </c>
      <c r="Y1201" s="253">
        <v>49</v>
      </c>
      <c r="Z1201" s="253">
        <v>62</v>
      </c>
      <c r="AA1201" s="253"/>
      <c r="AB1201" s="253"/>
      <c r="AC1201" s="253"/>
      <c r="AD1201" s="253"/>
      <c r="AE1201" s="253"/>
    </row>
    <row r="1202" spans="1:31">
      <c r="A1202" s="33">
        <v>1201</v>
      </c>
      <c r="B1202" s="69" t="s">
        <v>1371</v>
      </c>
      <c r="C1202" s="69" t="s">
        <v>740</v>
      </c>
      <c r="D1202" s="56">
        <v>42601</v>
      </c>
      <c r="F1202" s="56"/>
      <c r="G1202" s="69" t="str">
        <f t="shared" si="18"/>
        <v>User Registration</v>
      </c>
      <c r="H1202" s="69" t="s">
        <v>1658</v>
      </c>
      <c r="J1202" s="69" t="s">
        <v>1371</v>
      </c>
      <c r="K1202" s="13" t="s">
        <v>1709</v>
      </c>
      <c r="L1202" s="253">
        <v>55</v>
      </c>
      <c r="M1202" s="253">
        <v>52</v>
      </c>
      <c r="N1202" s="253">
        <v>49</v>
      </c>
      <c r="O1202" s="253">
        <v>56.000000000000007</v>
      </c>
      <c r="P1202" s="253">
        <v>56.000000000000007</v>
      </c>
      <c r="Q1202" s="253">
        <v>46.999999999999993</v>
      </c>
      <c r="R1202" s="253">
        <v>55</v>
      </c>
      <c r="S1202" s="253">
        <v>58.999999999999993</v>
      </c>
      <c r="T1202" s="253">
        <v>51</v>
      </c>
      <c r="U1202" s="253">
        <v>49</v>
      </c>
      <c r="V1202" s="253"/>
      <c r="W1202" s="253">
        <v>49</v>
      </c>
      <c r="X1202" s="253">
        <v>45</v>
      </c>
      <c r="Y1202" s="253">
        <v>60</v>
      </c>
      <c r="Z1202" s="253">
        <v>50</v>
      </c>
      <c r="AA1202" s="253"/>
      <c r="AB1202" s="253"/>
      <c r="AC1202" s="253"/>
      <c r="AD1202" s="253"/>
      <c r="AE1202" s="253"/>
    </row>
    <row r="1203" spans="1:31">
      <c r="A1203" s="33">
        <v>1202</v>
      </c>
      <c r="B1203" s="69" t="s">
        <v>1371</v>
      </c>
      <c r="C1203" s="69" t="s">
        <v>740</v>
      </c>
      <c r="D1203" s="56">
        <v>42607</v>
      </c>
      <c r="G1203" s="69" t="str">
        <f t="shared" si="18"/>
        <v>User Registration</v>
      </c>
      <c r="H1203" s="69" t="s">
        <v>1658</v>
      </c>
      <c r="J1203" s="69" t="s">
        <v>1371</v>
      </c>
      <c r="K1203" s="69" t="s">
        <v>1369</v>
      </c>
      <c r="L1203" s="253">
        <v>55</v>
      </c>
      <c r="M1203" s="253">
        <v>57</v>
      </c>
      <c r="N1203" s="253">
        <v>54</v>
      </c>
      <c r="O1203" s="253">
        <v>54</v>
      </c>
      <c r="P1203" s="253">
        <v>56</v>
      </c>
      <c r="Q1203" s="253">
        <v>62</v>
      </c>
      <c r="R1203" s="253">
        <v>55</v>
      </c>
      <c r="S1203" s="253">
        <v>56</v>
      </c>
      <c r="T1203" s="253">
        <v>62</v>
      </c>
      <c r="U1203" s="253">
        <v>56</v>
      </c>
      <c r="V1203" s="253"/>
      <c r="W1203" s="253">
        <v>51</v>
      </c>
      <c r="X1203" s="253">
        <v>57</v>
      </c>
      <c r="Y1203" s="253">
        <v>56</v>
      </c>
      <c r="Z1203" s="253">
        <v>52</v>
      </c>
      <c r="AA1203" s="253"/>
      <c r="AB1203" s="253"/>
      <c r="AC1203" s="253"/>
      <c r="AD1203" s="253"/>
      <c r="AE1203" s="253"/>
    </row>
    <row r="1204" spans="1:31">
      <c r="A1204" s="33">
        <v>1203</v>
      </c>
      <c r="B1204" s="69" t="s">
        <v>1371</v>
      </c>
      <c r="C1204" s="69" t="s">
        <v>740</v>
      </c>
      <c r="D1204" s="56">
        <v>42607</v>
      </c>
      <c r="G1204" s="69" t="str">
        <f t="shared" si="18"/>
        <v>User Registration</v>
      </c>
      <c r="H1204" s="69" t="s">
        <v>1658</v>
      </c>
      <c r="J1204" s="69" t="s">
        <v>1371</v>
      </c>
      <c r="K1204" s="69" t="s">
        <v>1707</v>
      </c>
      <c r="L1204" s="253">
        <v>53</v>
      </c>
      <c r="M1204" s="253">
        <v>53</v>
      </c>
      <c r="N1204" s="253">
        <v>54</v>
      </c>
      <c r="O1204" s="253">
        <v>54</v>
      </c>
      <c r="P1204" s="253">
        <v>52</v>
      </c>
      <c r="Q1204" s="253">
        <v>59</v>
      </c>
      <c r="R1204" s="253">
        <v>50</v>
      </c>
      <c r="S1204" s="253">
        <v>50</v>
      </c>
      <c r="T1204" s="253">
        <v>51</v>
      </c>
      <c r="U1204" s="253">
        <v>54</v>
      </c>
      <c r="V1204" s="253"/>
      <c r="W1204" s="253">
        <v>53</v>
      </c>
      <c r="X1204" s="253">
        <v>56</v>
      </c>
      <c r="Y1204" s="253">
        <v>50</v>
      </c>
      <c r="Z1204" s="253">
        <v>55</v>
      </c>
      <c r="AA1204" s="253"/>
      <c r="AB1204" s="253"/>
      <c r="AC1204" s="253"/>
      <c r="AD1204" s="253"/>
      <c r="AE1204" s="253"/>
    </row>
    <row r="1205" spans="1:31">
      <c r="A1205" s="33">
        <v>1204</v>
      </c>
      <c r="B1205" s="69" t="s">
        <v>1371</v>
      </c>
      <c r="C1205" s="69" t="s">
        <v>740</v>
      </c>
      <c r="D1205" s="56">
        <v>42607</v>
      </c>
      <c r="F1205" s="56"/>
      <c r="G1205" s="69" t="str">
        <f t="shared" si="18"/>
        <v>User Registration</v>
      </c>
      <c r="H1205" s="69" t="s">
        <v>1658</v>
      </c>
      <c r="J1205" s="69" t="s">
        <v>1371</v>
      </c>
      <c r="K1205" s="13" t="s">
        <v>1371</v>
      </c>
      <c r="L1205" s="253">
        <v>57</v>
      </c>
      <c r="M1205" s="253">
        <v>56</v>
      </c>
      <c r="N1205" s="253">
        <v>56</v>
      </c>
      <c r="O1205" s="253">
        <v>56</v>
      </c>
      <c r="P1205" s="253">
        <v>57</v>
      </c>
      <c r="Q1205" s="253">
        <v>57</v>
      </c>
      <c r="R1205" s="253">
        <v>59</v>
      </c>
      <c r="S1205" s="253">
        <v>55</v>
      </c>
      <c r="T1205" s="253">
        <v>50</v>
      </c>
      <c r="U1205" s="253">
        <v>56</v>
      </c>
      <c r="V1205" s="253"/>
      <c r="W1205" s="253">
        <v>55</v>
      </c>
      <c r="X1205" s="253">
        <v>55</v>
      </c>
      <c r="Y1205" s="253">
        <v>54</v>
      </c>
      <c r="Z1205" s="253">
        <v>59</v>
      </c>
      <c r="AA1205" s="253"/>
      <c r="AB1205" s="253"/>
      <c r="AC1205" s="253"/>
      <c r="AD1205" s="253"/>
      <c r="AE1205" s="253"/>
    </row>
    <row r="1206" spans="1:31">
      <c r="A1206" s="33">
        <v>1205</v>
      </c>
      <c r="B1206" s="69" t="s">
        <v>1371</v>
      </c>
      <c r="C1206" s="69" t="s">
        <v>740</v>
      </c>
      <c r="D1206" s="56">
        <v>42607</v>
      </c>
      <c r="F1206" s="56"/>
      <c r="G1206" s="69" t="str">
        <f t="shared" si="18"/>
        <v>User Registration</v>
      </c>
      <c r="H1206" s="69" t="s">
        <v>1658</v>
      </c>
      <c r="J1206" s="69" t="s">
        <v>1371</v>
      </c>
      <c r="K1206" s="13" t="s">
        <v>1708</v>
      </c>
      <c r="L1206" s="253">
        <v>62</v>
      </c>
      <c r="M1206" s="253">
        <v>58</v>
      </c>
      <c r="N1206" s="253">
        <v>53</v>
      </c>
      <c r="O1206" s="253">
        <v>53</v>
      </c>
      <c r="P1206" s="253">
        <v>62</v>
      </c>
      <c r="Q1206" s="253">
        <v>55</v>
      </c>
      <c r="R1206" s="253">
        <v>61</v>
      </c>
      <c r="S1206" s="253">
        <v>54</v>
      </c>
      <c r="T1206" s="253">
        <v>58</v>
      </c>
      <c r="U1206" s="253">
        <v>59</v>
      </c>
      <c r="V1206" s="253"/>
      <c r="W1206" s="253">
        <v>51</v>
      </c>
      <c r="X1206" s="253">
        <v>53</v>
      </c>
      <c r="Y1206" s="253">
        <v>49</v>
      </c>
      <c r="Z1206" s="253">
        <v>62</v>
      </c>
      <c r="AA1206" s="253"/>
      <c r="AB1206" s="253"/>
      <c r="AC1206" s="253"/>
      <c r="AD1206" s="253"/>
      <c r="AE1206" s="253"/>
    </row>
    <row r="1207" spans="1:31">
      <c r="A1207" s="33">
        <v>1206</v>
      </c>
      <c r="B1207" s="69" t="s">
        <v>1371</v>
      </c>
      <c r="C1207" s="69" t="s">
        <v>740</v>
      </c>
      <c r="D1207" s="56">
        <v>42607</v>
      </c>
      <c r="F1207" s="56"/>
      <c r="G1207" s="69" t="str">
        <f t="shared" si="18"/>
        <v>User Registration</v>
      </c>
      <c r="H1207" s="69" t="s">
        <v>1658</v>
      </c>
      <c r="J1207" s="69" t="s">
        <v>1371</v>
      </c>
      <c r="K1207" s="13" t="s">
        <v>1709</v>
      </c>
      <c r="L1207" s="253">
        <v>55</v>
      </c>
      <c r="M1207" s="253">
        <v>52</v>
      </c>
      <c r="N1207" s="253">
        <v>49</v>
      </c>
      <c r="O1207" s="253">
        <v>49</v>
      </c>
      <c r="P1207" s="253">
        <v>56</v>
      </c>
      <c r="Q1207" s="253">
        <v>47</v>
      </c>
      <c r="R1207" s="253">
        <v>55</v>
      </c>
      <c r="S1207" s="253">
        <v>59</v>
      </c>
      <c r="T1207" s="253">
        <v>51</v>
      </c>
      <c r="U1207" s="253">
        <v>49</v>
      </c>
      <c r="V1207" s="253"/>
      <c r="W1207" s="253">
        <v>49</v>
      </c>
      <c r="X1207" s="253">
        <v>45</v>
      </c>
      <c r="Y1207" s="253">
        <v>60</v>
      </c>
      <c r="Z1207" s="253">
        <v>50</v>
      </c>
      <c r="AA1207" s="253"/>
      <c r="AB1207" s="253"/>
      <c r="AC1207" s="253"/>
      <c r="AD1207" s="253"/>
      <c r="AE1207" s="253"/>
    </row>
    <row r="1208" spans="1:31">
      <c r="A1208" s="33">
        <v>1207</v>
      </c>
      <c r="B1208" s="69" t="s">
        <v>1701</v>
      </c>
      <c r="C1208" s="69" t="s">
        <v>740</v>
      </c>
      <c r="D1208" s="56">
        <v>42613</v>
      </c>
      <c r="G1208" s="69" t="str">
        <f t="shared" si="18"/>
        <v>E-Commerce</v>
      </c>
      <c r="H1208" s="69" t="s">
        <v>364</v>
      </c>
      <c r="J1208" s="69" t="s">
        <v>1701</v>
      </c>
      <c r="K1208" s="69" t="s">
        <v>1701</v>
      </c>
      <c r="L1208" s="253">
        <v>53</v>
      </c>
      <c r="M1208" s="253">
        <v>56.999999999999993</v>
      </c>
      <c r="N1208" s="253">
        <v>60</v>
      </c>
      <c r="O1208" s="253">
        <v>58.999999999999993</v>
      </c>
      <c r="P1208" s="253">
        <v>50</v>
      </c>
      <c r="Q1208" s="253">
        <v>55</v>
      </c>
      <c r="R1208" s="253">
        <v>54</v>
      </c>
      <c r="S1208" s="253">
        <v>56.000000000000007</v>
      </c>
      <c r="T1208" s="253">
        <v>60</v>
      </c>
      <c r="U1208" s="253">
        <v>55</v>
      </c>
      <c r="V1208" s="253">
        <v>58.999999999999993</v>
      </c>
      <c r="W1208" s="253"/>
      <c r="X1208" s="253">
        <v>52</v>
      </c>
      <c r="Y1208" s="253">
        <v>56.000000000000007</v>
      </c>
      <c r="Z1208" s="253">
        <v>67</v>
      </c>
      <c r="AA1208" s="253"/>
      <c r="AB1208" s="253"/>
      <c r="AC1208" s="253"/>
      <c r="AD1208" s="253"/>
      <c r="AE1208" s="253"/>
    </row>
    <row r="1209" spans="1:31">
      <c r="A1209" s="33">
        <v>1208</v>
      </c>
      <c r="B1209" s="69" t="s">
        <v>1701</v>
      </c>
      <c r="C1209" s="69" t="s">
        <v>740</v>
      </c>
      <c r="D1209" s="56">
        <v>42613</v>
      </c>
      <c r="G1209" s="69" t="str">
        <f t="shared" si="18"/>
        <v>E-Commerce</v>
      </c>
      <c r="H1209" s="69" t="s">
        <v>364</v>
      </c>
      <c r="J1209" s="69" t="s">
        <v>1701</v>
      </c>
      <c r="K1209" s="69" t="s">
        <v>1702</v>
      </c>
      <c r="L1209" s="253">
        <v>56.000000000000007</v>
      </c>
      <c r="M1209" s="253">
        <v>58.999999999999993</v>
      </c>
      <c r="N1209" s="253">
        <v>56.000000000000007</v>
      </c>
      <c r="O1209" s="253">
        <v>56.000000000000007</v>
      </c>
      <c r="P1209" s="253">
        <v>56.000000000000007</v>
      </c>
      <c r="Q1209" s="253">
        <v>62</v>
      </c>
      <c r="R1209" s="253">
        <v>60</v>
      </c>
      <c r="S1209" s="253">
        <v>54</v>
      </c>
      <c r="T1209" s="253">
        <v>62</v>
      </c>
      <c r="U1209" s="253">
        <v>56.999999999999993</v>
      </c>
      <c r="V1209" s="253">
        <v>61</v>
      </c>
      <c r="W1209" s="253"/>
      <c r="X1209" s="253">
        <v>46.999999999999993</v>
      </c>
      <c r="Y1209" s="253">
        <v>55</v>
      </c>
      <c r="Z1209" s="253">
        <v>54</v>
      </c>
      <c r="AA1209" s="253"/>
      <c r="AB1209" s="253"/>
      <c r="AC1209" s="253"/>
      <c r="AD1209" s="253"/>
      <c r="AE1209" s="253"/>
    </row>
    <row r="1210" spans="1:31">
      <c r="A1210" s="33">
        <v>1209</v>
      </c>
      <c r="B1210" s="69" t="s">
        <v>1701</v>
      </c>
      <c r="C1210" s="69" t="s">
        <v>740</v>
      </c>
      <c r="D1210" s="56">
        <v>42613</v>
      </c>
      <c r="G1210" s="69" t="str">
        <f t="shared" si="18"/>
        <v>E-Commerce</v>
      </c>
      <c r="H1210" s="69" t="s">
        <v>364</v>
      </c>
      <c r="J1210" s="69" t="s">
        <v>1701</v>
      </c>
      <c r="K1210" s="69" t="s">
        <v>1703</v>
      </c>
      <c r="L1210" s="253">
        <v>53</v>
      </c>
      <c r="M1210" s="253">
        <v>55</v>
      </c>
      <c r="N1210" s="253">
        <v>55</v>
      </c>
      <c r="O1210" s="253">
        <v>54</v>
      </c>
      <c r="P1210" s="253">
        <v>52</v>
      </c>
      <c r="Q1210" s="253">
        <v>57.999999999999993</v>
      </c>
      <c r="R1210" s="253">
        <v>52</v>
      </c>
      <c r="S1210" s="253">
        <v>49</v>
      </c>
      <c r="T1210" s="253">
        <v>56.999999999999993</v>
      </c>
      <c r="U1210" s="253">
        <v>55</v>
      </c>
      <c r="V1210" s="253">
        <v>55</v>
      </c>
      <c r="W1210" s="253"/>
      <c r="X1210" s="253">
        <v>45</v>
      </c>
      <c r="Y1210" s="253">
        <v>52</v>
      </c>
      <c r="Z1210" s="253">
        <v>58.999999999999993</v>
      </c>
      <c r="AA1210" s="253"/>
      <c r="AB1210" s="253"/>
      <c r="AC1210" s="253"/>
      <c r="AD1210" s="253"/>
      <c r="AE1210" s="253"/>
    </row>
    <row r="1211" spans="1:31">
      <c r="A1211" s="33">
        <v>1210</v>
      </c>
      <c r="B1211" s="69" t="s">
        <v>1701</v>
      </c>
      <c r="C1211" s="69" t="s">
        <v>740</v>
      </c>
      <c r="D1211" s="56">
        <v>42613</v>
      </c>
      <c r="G1211" s="69" t="str">
        <f t="shared" si="18"/>
        <v>E-Commerce</v>
      </c>
      <c r="H1211" s="69" t="s">
        <v>364</v>
      </c>
      <c r="J1211" s="69" t="s">
        <v>1701</v>
      </c>
      <c r="K1211" s="69" t="s">
        <v>1704</v>
      </c>
      <c r="L1211" s="253">
        <v>61</v>
      </c>
      <c r="M1211" s="253">
        <v>60</v>
      </c>
      <c r="N1211" s="253">
        <v>57.999999999999993</v>
      </c>
      <c r="O1211" s="253">
        <v>56.999999999999993</v>
      </c>
      <c r="P1211" s="253">
        <v>62</v>
      </c>
      <c r="Q1211" s="253">
        <v>66</v>
      </c>
      <c r="R1211" s="253">
        <v>63</v>
      </c>
      <c r="S1211" s="253">
        <v>50</v>
      </c>
      <c r="T1211" s="253">
        <v>55</v>
      </c>
      <c r="U1211" s="253">
        <v>61</v>
      </c>
      <c r="V1211" s="253">
        <v>66</v>
      </c>
      <c r="W1211" s="253"/>
      <c r="X1211" s="253">
        <v>65</v>
      </c>
      <c r="Y1211" s="253">
        <v>55</v>
      </c>
      <c r="Z1211" s="253">
        <v>56.999999999999993</v>
      </c>
      <c r="AA1211" s="253"/>
      <c r="AB1211" s="253"/>
      <c r="AC1211" s="253"/>
      <c r="AD1211" s="253"/>
      <c r="AE1211" s="253"/>
    </row>
    <row r="1212" spans="1:31">
      <c r="A1212" s="33">
        <v>1211</v>
      </c>
      <c r="B1212" s="69" t="s">
        <v>1701</v>
      </c>
      <c r="C1212" s="69" t="s">
        <v>740</v>
      </c>
      <c r="D1212" s="56">
        <v>42613</v>
      </c>
      <c r="G1212" s="69" t="str">
        <f t="shared" si="18"/>
        <v>ERROR</v>
      </c>
      <c r="H1212" s="69" t="s">
        <v>364</v>
      </c>
      <c r="J1212" s="69" t="s">
        <v>1701</v>
      </c>
      <c r="K1212" s="69" t="s">
        <v>1705</v>
      </c>
      <c r="L1212" s="253">
        <v>63</v>
      </c>
      <c r="M1212" s="253">
        <v>40</v>
      </c>
      <c r="N1212" s="253">
        <v>52</v>
      </c>
      <c r="O1212" s="253">
        <v>50</v>
      </c>
      <c r="P1212" s="253">
        <v>64</v>
      </c>
      <c r="Q1212" s="253">
        <v>62</v>
      </c>
      <c r="R1212" s="253">
        <v>45</v>
      </c>
      <c r="S1212" s="253">
        <v>48</v>
      </c>
      <c r="T1212" s="253">
        <v>48</v>
      </c>
      <c r="U1212" s="253">
        <v>35</v>
      </c>
      <c r="V1212" s="253"/>
      <c r="W1212" s="253"/>
      <c r="X1212" s="253">
        <v>43</v>
      </c>
      <c r="Y1212" s="253">
        <v>45</v>
      </c>
      <c r="Z1212" s="253">
        <v>61</v>
      </c>
      <c r="AA1212" s="253"/>
      <c r="AB1212" s="253"/>
      <c r="AC1212" s="253"/>
      <c r="AD1212" s="253"/>
      <c r="AE1212" s="253"/>
    </row>
    <row r="1213" spans="1:31">
      <c r="A1213" s="33">
        <v>1212</v>
      </c>
      <c r="B1213" s="69" t="s">
        <v>1701</v>
      </c>
      <c r="C1213" s="69" t="s">
        <v>740</v>
      </c>
      <c r="D1213" s="56">
        <v>42613</v>
      </c>
      <c r="G1213" s="69" t="str">
        <f t="shared" si="18"/>
        <v>E-Commerce</v>
      </c>
      <c r="H1213" s="69" t="s">
        <v>364</v>
      </c>
      <c r="J1213" s="69" t="s">
        <v>1701</v>
      </c>
      <c r="K1213" s="69" t="s">
        <v>1706</v>
      </c>
      <c r="L1213" s="253">
        <v>56.000000000000007</v>
      </c>
      <c r="M1213" s="253">
        <v>56.999999999999993</v>
      </c>
      <c r="N1213" s="253">
        <v>54</v>
      </c>
      <c r="O1213" s="253">
        <v>55</v>
      </c>
      <c r="P1213" s="253">
        <v>54</v>
      </c>
      <c r="Q1213" s="253">
        <v>62</v>
      </c>
      <c r="R1213" s="253">
        <v>54</v>
      </c>
      <c r="S1213" s="253">
        <v>52</v>
      </c>
      <c r="T1213" s="253">
        <v>65</v>
      </c>
      <c r="U1213" s="253">
        <v>50</v>
      </c>
      <c r="V1213" s="253">
        <v>61</v>
      </c>
      <c r="W1213" s="253"/>
      <c r="X1213" s="253">
        <v>45</v>
      </c>
      <c r="Y1213" s="253">
        <v>50</v>
      </c>
      <c r="Z1213" s="253">
        <v>64</v>
      </c>
      <c r="AA1213" s="253"/>
      <c r="AB1213" s="253"/>
      <c r="AC1213" s="253"/>
      <c r="AD1213" s="253"/>
      <c r="AE1213" s="253"/>
    </row>
    <row r="1214" spans="1:31">
      <c r="A1214" s="33">
        <v>1213</v>
      </c>
      <c r="B1214" s="69" t="s">
        <v>1695</v>
      </c>
      <c r="C1214" s="69" t="s">
        <v>740</v>
      </c>
      <c r="D1214" s="56">
        <v>42614</v>
      </c>
      <c r="G1214" s="69" t="str">
        <f t="shared" si="18"/>
        <v>User Registration</v>
      </c>
      <c r="H1214" s="69" t="s">
        <v>1696</v>
      </c>
      <c r="J1214" s="69" t="s">
        <v>1695</v>
      </c>
      <c r="K1214" s="69" t="s">
        <v>1697</v>
      </c>
      <c r="L1214" s="253">
        <v>64</v>
      </c>
      <c r="M1214" s="253">
        <v>66</v>
      </c>
      <c r="N1214" s="253">
        <v>62</v>
      </c>
      <c r="O1214" s="253">
        <v>58.999999999999993</v>
      </c>
      <c r="P1214" s="253">
        <v>65</v>
      </c>
      <c r="Q1214" s="253">
        <v>67</v>
      </c>
      <c r="R1214" s="253">
        <v>66</v>
      </c>
      <c r="S1214" s="253">
        <v>58.999999999999993</v>
      </c>
      <c r="T1214" s="253">
        <v>62</v>
      </c>
      <c r="U1214" s="253">
        <v>73</v>
      </c>
      <c r="V1214" s="253"/>
      <c r="W1214" s="253">
        <v>56.999999999999993</v>
      </c>
      <c r="X1214" s="253">
        <v>68</v>
      </c>
      <c r="Y1214" s="253">
        <v>54</v>
      </c>
      <c r="Z1214" s="253">
        <v>65</v>
      </c>
      <c r="AA1214" s="253"/>
      <c r="AB1214" s="253"/>
      <c r="AC1214" s="253"/>
      <c r="AD1214" s="253"/>
      <c r="AE1214" s="253"/>
    </row>
    <row r="1215" spans="1:31">
      <c r="A1215" s="33">
        <v>1214</v>
      </c>
      <c r="B1215" s="69" t="s">
        <v>1695</v>
      </c>
      <c r="C1215" s="69" t="s">
        <v>740</v>
      </c>
      <c r="D1215" s="56">
        <v>42614</v>
      </c>
      <c r="G1215" s="69" t="str">
        <f t="shared" si="18"/>
        <v>User Registration</v>
      </c>
      <c r="H1215" s="69" t="s">
        <v>1696</v>
      </c>
      <c r="J1215" s="69" t="s">
        <v>1695</v>
      </c>
      <c r="K1215" s="69" t="s">
        <v>1698</v>
      </c>
      <c r="L1215" s="253">
        <v>56.000000000000007</v>
      </c>
      <c r="M1215" s="253">
        <v>56.000000000000007</v>
      </c>
      <c r="N1215" s="253">
        <v>53</v>
      </c>
      <c r="O1215" s="253">
        <v>52</v>
      </c>
      <c r="P1215" s="253">
        <v>55</v>
      </c>
      <c r="Q1215" s="253">
        <v>65</v>
      </c>
      <c r="R1215" s="253">
        <v>56.000000000000007</v>
      </c>
      <c r="S1215" s="253">
        <v>43</v>
      </c>
      <c r="T1215" s="253">
        <v>49</v>
      </c>
      <c r="U1215" s="253">
        <v>61</v>
      </c>
      <c r="V1215" s="253"/>
      <c r="W1215" s="253">
        <v>52</v>
      </c>
      <c r="X1215" s="253">
        <v>50</v>
      </c>
      <c r="Y1215" s="253">
        <v>45</v>
      </c>
      <c r="Z1215" s="253">
        <v>62</v>
      </c>
      <c r="AA1215" s="253"/>
      <c r="AB1215" s="253"/>
      <c r="AC1215" s="253"/>
      <c r="AD1215" s="253"/>
      <c r="AE1215" s="253"/>
    </row>
    <row r="1216" spans="1:31">
      <c r="A1216" s="33">
        <v>1215</v>
      </c>
      <c r="B1216" s="69" t="s">
        <v>1695</v>
      </c>
      <c r="C1216" s="69" t="s">
        <v>740</v>
      </c>
      <c r="D1216" s="56">
        <v>42614</v>
      </c>
      <c r="G1216" s="69" t="str">
        <f t="shared" si="18"/>
        <v>User Registration</v>
      </c>
      <c r="H1216" s="69" t="s">
        <v>1696</v>
      </c>
      <c r="J1216" s="69" t="s">
        <v>1695</v>
      </c>
      <c r="K1216" s="69" t="s">
        <v>1695</v>
      </c>
      <c r="L1216" s="253">
        <v>55</v>
      </c>
      <c r="M1216" s="253">
        <v>55</v>
      </c>
      <c r="N1216" s="253">
        <v>56.000000000000007</v>
      </c>
      <c r="O1216" s="253">
        <v>50</v>
      </c>
      <c r="P1216" s="253">
        <v>54</v>
      </c>
      <c r="Q1216" s="253">
        <v>63</v>
      </c>
      <c r="R1216" s="253">
        <v>53</v>
      </c>
      <c r="S1216" s="253">
        <v>43</v>
      </c>
      <c r="T1216" s="253">
        <v>46.999999999999993</v>
      </c>
      <c r="U1216" s="253">
        <v>65</v>
      </c>
      <c r="V1216" s="253"/>
      <c r="W1216" s="253">
        <v>55</v>
      </c>
      <c r="X1216" s="253">
        <v>56.000000000000007</v>
      </c>
      <c r="Y1216" s="253">
        <v>45</v>
      </c>
      <c r="Z1216" s="253">
        <v>57.999999999999993</v>
      </c>
      <c r="AA1216" s="253"/>
      <c r="AB1216" s="253"/>
      <c r="AC1216" s="253"/>
      <c r="AD1216" s="253"/>
      <c r="AE1216" s="253"/>
    </row>
    <row r="1217" spans="1:31">
      <c r="A1217" s="33">
        <v>1216</v>
      </c>
      <c r="B1217" s="69" t="s">
        <v>1695</v>
      </c>
      <c r="C1217" s="69" t="s">
        <v>740</v>
      </c>
      <c r="D1217" s="56">
        <v>42614</v>
      </c>
      <c r="G1217" s="69" t="str">
        <f t="shared" si="18"/>
        <v>User Registration</v>
      </c>
      <c r="H1217" s="69" t="s">
        <v>1696</v>
      </c>
      <c r="J1217" s="69" t="s">
        <v>1695</v>
      </c>
      <c r="K1217" s="69" t="s">
        <v>1699</v>
      </c>
      <c r="L1217" s="253">
        <v>60</v>
      </c>
      <c r="M1217" s="253">
        <v>56.000000000000007</v>
      </c>
      <c r="N1217" s="253">
        <v>53</v>
      </c>
      <c r="O1217" s="253">
        <v>53</v>
      </c>
      <c r="P1217" s="253">
        <v>58.999999999999993</v>
      </c>
      <c r="Q1217" s="253">
        <v>58.999999999999993</v>
      </c>
      <c r="R1217" s="253">
        <v>55</v>
      </c>
      <c r="S1217" s="253">
        <v>45</v>
      </c>
      <c r="T1217" s="253">
        <v>50</v>
      </c>
      <c r="U1217" s="253">
        <v>67</v>
      </c>
      <c r="V1217" s="253"/>
      <c r="W1217" s="253">
        <v>53</v>
      </c>
      <c r="X1217" s="253">
        <v>52</v>
      </c>
      <c r="Y1217" s="253">
        <v>48</v>
      </c>
      <c r="Z1217" s="253">
        <v>62</v>
      </c>
      <c r="AA1217" s="253"/>
      <c r="AB1217" s="253"/>
      <c r="AC1217" s="253"/>
      <c r="AD1217" s="253"/>
      <c r="AE1217" s="253"/>
    </row>
    <row r="1218" spans="1:31">
      <c r="A1218" s="33">
        <v>1217</v>
      </c>
      <c r="B1218" s="69" t="s">
        <v>1695</v>
      </c>
      <c r="C1218" s="69" t="s">
        <v>740</v>
      </c>
      <c r="D1218" s="56">
        <v>42614</v>
      </c>
      <c r="F1218" s="56"/>
      <c r="G1218" s="69" t="str">
        <f t="shared" ref="G1218:G1281" si="19">IF(V1218&gt;0,IF(W1218&gt;0,"Both","E-Commerce"),IF(W1218=0, "ERROR","User Registration"))</f>
        <v>User Registration</v>
      </c>
      <c r="H1218" s="69" t="s">
        <v>1696</v>
      </c>
      <c r="J1218" s="69" t="s">
        <v>1695</v>
      </c>
      <c r="K1218" s="13" t="s">
        <v>1700</v>
      </c>
      <c r="L1218" s="253">
        <v>54</v>
      </c>
      <c r="M1218" s="253">
        <v>56.000000000000007</v>
      </c>
      <c r="N1218" s="253">
        <v>52</v>
      </c>
      <c r="O1218" s="253">
        <v>53</v>
      </c>
      <c r="P1218" s="253">
        <v>54</v>
      </c>
      <c r="Q1218" s="253">
        <v>54</v>
      </c>
      <c r="R1218" s="253">
        <v>51</v>
      </c>
      <c r="S1218" s="253">
        <v>56.999999999999993</v>
      </c>
      <c r="T1218" s="253">
        <v>56.000000000000007</v>
      </c>
      <c r="U1218" s="253">
        <v>63</v>
      </c>
      <c r="V1218" s="253"/>
      <c r="W1218" s="253">
        <v>50</v>
      </c>
      <c r="X1218" s="253">
        <v>46.999999999999993</v>
      </c>
      <c r="Y1218" s="253">
        <v>52</v>
      </c>
      <c r="Z1218" s="253">
        <v>53</v>
      </c>
      <c r="AA1218" s="253"/>
      <c r="AB1218" s="253"/>
      <c r="AC1218" s="253"/>
      <c r="AD1218" s="253"/>
      <c r="AE1218" s="253"/>
    </row>
    <row r="1219" spans="1:31">
      <c r="A1219" s="33">
        <v>1218</v>
      </c>
      <c r="B1219" s="69" t="s">
        <v>1680</v>
      </c>
      <c r="C1219" s="69" t="s">
        <v>1681</v>
      </c>
      <c r="D1219" s="56">
        <v>42615</v>
      </c>
      <c r="G1219" s="69" t="str">
        <f t="shared" si="19"/>
        <v>User Registration</v>
      </c>
      <c r="H1219" s="69" t="s">
        <v>922</v>
      </c>
      <c r="J1219" s="69" t="s">
        <v>1680</v>
      </c>
      <c r="K1219" s="69" t="s">
        <v>1682</v>
      </c>
      <c r="L1219" s="253">
        <v>56.999999999999993</v>
      </c>
      <c r="M1219" s="253">
        <v>56.999999999999993</v>
      </c>
      <c r="N1219" s="253">
        <v>44</v>
      </c>
      <c r="O1219" s="253">
        <v>52</v>
      </c>
      <c r="P1219" s="253">
        <v>56.999999999999993</v>
      </c>
      <c r="Q1219" s="253">
        <v>66</v>
      </c>
      <c r="R1219" s="253">
        <v>57.999999999999993</v>
      </c>
      <c r="S1219" s="253">
        <v>45</v>
      </c>
      <c r="T1219" s="253">
        <v>60</v>
      </c>
      <c r="U1219" s="253">
        <v>57.999999999999993</v>
      </c>
      <c r="V1219" s="253"/>
      <c r="W1219" s="253">
        <v>63</v>
      </c>
      <c r="X1219" s="253">
        <v>40</v>
      </c>
      <c r="Y1219" s="253">
        <v>49</v>
      </c>
      <c r="Z1219" s="253">
        <v>55</v>
      </c>
      <c r="AA1219" s="253"/>
      <c r="AB1219" s="253"/>
      <c r="AC1219" s="253"/>
      <c r="AD1219" s="253"/>
      <c r="AE1219" s="253"/>
    </row>
    <row r="1220" spans="1:31">
      <c r="A1220" s="33">
        <v>1219</v>
      </c>
      <c r="B1220" s="69" t="s">
        <v>1680</v>
      </c>
      <c r="C1220" s="69" t="s">
        <v>1681</v>
      </c>
      <c r="D1220" s="56">
        <v>42615</v>
      </c>
      <c r="G1220" s="69" t="str">
        <f t="shared" si="19"/>
        <v>User Registration</v>
      </c>
      <c r="H1220" s="69" t="s">
        <v>922</v>
      </c>
      <c r="J1220" s="69" t="s">
        <v>1680</v>
      </c>
      <c r="K1220" s="69" t="s">
        <v>1683</v>
      </c>
      <c r="L1220" s="253">
        <v>61</v>
      </c>
      <c r="M1220" s="253">
        <v>57.999999999999993</v>
      </c>
      <c r="N1220" s="253">
        <v>40</v>
      </c>
      <c r="O1220" s="253">
        <v>57.999999999999993</v>
      </c>
      <c r="P1220" s="253">
        <v>62</v>
      </c>
      <c r="Q1220" s="253">
        <v>65</v>
      </c>
      <c r="R1220" s="253">
        <v>55</v>
      </c>
      <c r="S1220" s="253">
        <v>61</v>
      </c>
      <c r="T1220" s="253">
        <v>54</v>
      </c>
      <c r="U1220" s="253">
        <v>55</v>
      </c>
      <c r="V1220" s="253"/>
      <c r="W1220" s="253">
        <v>52</v>
      </c>
      <c r="X1220" s="253">
        <v>46.999999999999993</v>
      </c>
      <c r="Y1220" s="253">
        <v>58.999999999999993</v>
      </c>
      <c r="Z1220" s="253">
        <v>56.999999999999993</v>
      </c>
      <c r="AA1220" s="253"/>
      <c r="AB1220" s="253"/>
      <c r="AC1220" s="253"/>
      <c r="AD1220" s="253"/>
      <c r="AE1220" s="253"/>
    </row>
    <row r="1221" spans="1:31">
      <c r="A1221" s="33">
        <v>1220</v>
      </c>
      <c r="B1221" s="69" t="s">
        <v>1680</v>
      </c>
      <c r="C1221" s="69" t="s">
        <v>1681</v>
      </c>
      <c r="D1221" s="56">
        <v>42615</v>
      </c>
      <c r="G1221" s="69" t="str">
        <f t="shared" si="19"/>
        <v>User Registration</v>
      </c>
      <c r="H1221" s="69" t="s">
        <v>922</v>
      </c>
      <c r="J1221" s="69" t="s">
        <v>1680</v>
      </c>
      <c r="K1221" s="69" t="s">
        <v>1684</v>
      </c>
      <c r="L1221" s="253">
        <v>48</v>
      </c>
      <c r="M1221" s="253">
        <v>52</v>
      </c>
      <c r="N1221" s="253">
        <v>53</v>
      </c>
      <c r="O1221" s="253">
        <v>48</v>
      </c>
      <c r="P1221" s="253">
        <v>50</v>
      </c>
      <c r="Q1221" s="253">
        <v>61</v>
      </c>
      <c r="R1221" s="253">
        <v>52</v>
      </c>
      <c r="S1221" s="253">
        <v>50</v>
      </c>
      <c r="T1221" s="253">
        <v>51</v>
      </c>
      <c r="U1221" s="253">
        <v>55</v>
      </c>
      <c r="V1221" s="253"/>
      <c r="W1221" s="253">
        <v>45</v>
      </c>
      <c r="X1221" s="253">
        <v>64</v>
      </c>
      <c r="Y1221" s="253">
        <v>50</v>
      </c>
      <c r="Z1221" s="253">
        <v>38</v>
      </c>
      <c r="AA1221" s="253"/>
      <c r="AB1221" s="253"/>
      <c r="AC1221" s="253"/>
      <c r="AD1221" s="253"/>
      <c r="AE1221" s="253"/>
    </row>
    <row r="1222" spans="1:31">
      <c r="A1222" s="33">
        <v>1221</v>
      </c>
      <c r="B1222" s="69" t="s">
        <v>1685</v>
      </c>
      <c r="C1222" s="69" t="s">
        <v>740</v>
      </c>
      <c r="D1222" s="56">
        <v>42615</v>
      </c>
      <c r="G1222" s="69" t="str">
        <f t="shared" si="19"/>
        <v>User Registration</v>
      </c>
      <c r="H1222" s="69" t="s">
        <v>922</v>
      </c>
      <c r="J1222" s="69" t="s">
        <v>1680</v>
      </c>
      <c r="K1222" s="69" t="s">
        <v>1686</v>
      </c>
      <c r="L1222" s="253">
        <v>60</v>
      </c>
      <c r="M1222" s="253">
        <v>58.999999999999993</v>
      </c>
      <c r="N1222" s="253">
        <v>54</v>
      </c>
      <c r="O1222" s="253">
        <v>62</v>
      </c>
      <c r="P1222" s="253">
        <v>60</v>
      </c>
      <c r="Q1222" s="253">
        <v>60</v>
      </c>
      <c r="R1222" s="253">
        <v>60</v>
      </c>
      <c r="S1222" s="253">
        <v>56.999999999999993</v>
      </c>
      <c r="T1222" s="253">
        <v>57.999999999999993</v>
      </c>
      <c r="U1222" s="253">
        <v>58.999999999999993</v>
      </c>
      <c r="V1222" s="253"/>
      <c r="W1222" s="253">
        <v>55</v>
      </c>
      <c r="X1222" s="253">
        <v>48</v>
      </c>
      <c r="Y1222" s="253">
        <v>64</v>
      </c>
      <c r="Z1222" s="253">
        <v>61</v>
      </c>
      <c r="AA1222" s="253"/>
      <c r="AB1222" s="253"/>
      <c r="AC1222" s="253"/>
      <c r="AD1222" s="253"/>
      <c r="AE1222" s="253"/>
    </row>
    <row r="1223" spans="1:31">
      <c r="A1223" s="33">
        <v>1222</v>
      </c>
      <c r="B1223" s="69" t="s">
        <v>1680</v>
      </c>
      <c r="C1223" s="69" t="s">
        <v>1681</v>
      </c>
      <c r="D1223" s="56">
        <v>42615</v>
      </c>
      <c r="F1223" s="56"/>
      <c r="G1223" s="69" t="str">
        <f t="shared" si="19"/>
        <v>User Registration</v>
      </c>
      <c r="H1223" s="69" t="s">
        <v>922</v>
      </c>
      <c r="J1223" s="69" t="s">
        <v>1680</v>
      </c>
      <c r="K1223" s="13" t="s">
        <v>1687</v>
      </c>
      <c r="L1223" s="253">
        <v>53</v>
      </c>
      <c r="M1223" s="253">
        <v>53</v>
      </c>
      <c r="N1223" s="253">
        <v>52</v>
      </c>
      <c r="O1223" s="253">
        <v>50</v>
      </c>
      <c r="P1223" s="253">
        <v>52</v>
      </c>
      <c r="Q1223" s="253">
        <v>56.999999999999993</v>
      </c>
      <c r="R1223" s="253">
        <v>56.000000000000007</v>
      </c>
      <c r="S1223" s="253">
        <v>42</v>
      </c>
      <c r="T1223" s="253">
        <v>56.000000000000007</v>
      </c>
      <c r="U1223" s="253">
        <v>52</v>
      </c>
      <c r="V1223" s="253"/>
      <c r="W1223" s="253">
        <v>50</v>
      </c>
      <c r="X1223" s="253">
        <v>53</v>
      </c>
      <c r="Y1223" s="253">
        <v>46.999999999999993</v>
      </c>
      <c r="Z1223" s="253">
        <v>55</v>
      </c>
      <c r="AA1223" s="253"/>
      <c r="AB1223" s="253"/>
      <c r="AC1223" s="253"/>
      <c r="AD1223" s="253"/>
      <c r="AE1223" s="253"/>
    </row>
    <row r="1224" spans="1:31">
      <c r="A1224" s="33">
        <v>1223</v>
      </c>
      <c r="B1224" s="69" t="s">
        <v>1685</v>
      </c>
      <c r="C1224" s="69" t="s">
        <v>740</v>
      </c>
      <c r="D1224" s="56">
        <v>42615</v>
      </c>
      <c r="F1224" s="56"/>
      <c r="G1224" s="69" t="str">
        <f t="shared" si="19"/>
        <v>User Registration</v>
      </c>
      <c r="H1224" s="69" t="s">
        <v>922</v>
      </c>
      <c r="J1224" s="69" t="s">
        <v>1680</v>
      </c>
      <c r="K1224" s="13" t="s">
        <v>1688</v>
      </c>
      <c r="L1224" s="253">
        <v>56.999999999999993</v>
      </c>
      <c r="M1224" s="253">
        <v>52</v>
      </c>
      <c r="N1224" s="253">
        <v>49</v>
      </c>
      <c r="O1224" s="253">
        <v>54</v>
      </c>
      <c r="P1224" s="253">
        <v>56.999999999999993</v>
      </c>
      <c r="Q1224" s="253">
        <v>56.999999999999993</v>
      </c>
      <c r="R1224" s="253">
        <v>50</v>
      </c>
      <c r="S1224" s="253">
        <v>56.000000000000007</v>
      </c>
      <c r="T1224" s="253">
        <v>46.999999999999993</v>
      </c>
      <c r="U1224" s="253">
        <v>46.999999999999993</v>
      </c>
      <c r="V1224" s="253"/>
      <c r="W1224" s="253">
        <v>46.999999999999993</v>
      </c>
      <c r="X1224" s="253">
        <v>49</v>
      </c>
      <c r="Y1224" s="253">
        <v>54</v>
      </c>
      <c r="Z1224" s="253">
        <v>56.000000000000007</v>
      </c>
      <c r="AA1224" s="253"/>
      <c r="AB1224" s="253"/>
      <c r="AC1224" s="253"/>
      <c r="AD1224" s="253"/>
      <c r="AE1224" s="253"/>
    </row>
    <row r="1225" spans="1:31">
      <c r="A1225" s="33">
        <v>1224</v>
      </c>
      <c r="B1225" s="69" t="s">
        <v>1685</v>
      </c>
      <c r="C1225" s="69" t="s">
        <v>740</v>
      </c>
      <c r="D1225" s="56">
        <v>42615</v>
      </c>
      <c r="F1225" s="56"/>
      <c r="G1225" s="69" t="str">
        <f t="shared" si="19"/>
        <v>User Registration</v>
      </c>
      <c r="H1225" s="69" t="s">
        <v>922</v>
      </c>
      <c r="J1225" s="69" t="s">
        <v>1680</v>
      </c>
      <c r="K1225" s="13" t="s">
        <v>1689</v>
      </c>
      <c r="L1225" s="253">
        <v>55</v>
      </c>
      <c r="M1225" s="253">
        <v>53</v>
      </c>
      <c r="N1225" s="253">
        <v>50</v>
      </c>
      <c r="O1225" s="253">
        <v>56.000000000000007</v>
      </c>
      <c r="P1225" s="253">
        <v>54</v>
      </c>
      <c r="Q1225" s="253">
        <v>56.000000000000007</v>
      </c>
      <c r="R1225" s="253">
        <v>53</v>
      </c>
      <c r="S1225" s="253">
        <v>53</v>
      </c>
      <c r="T1225" s="253">
        <v>50</v>
      </c>
      <c r="U1225" s="253">
        <v>52</v>
      </c>
      <c r="V1225" s="253"/>
      <c r="W1225" s="253">
        <v>50</v>
      </c>
      <c r="X1225" s="253">
        <v>48</v>
      </c>
      <c r="Y1225" s="253">
        <v>56.000000000000007</v>
      </c>
      <c r="Z1225" s="253">
        <v>57.999999999999993</v>
      </c>
      <c r="AA1225" s="253"/>
      <c r="AB1225" s="253"/>
      <c r="AC1225" s="253"/>
      <c r="AD1225" s="253"/>
      <c r="AE1225" s="253"/>
    </row>
    <row r="1226" spans="1:31">
      <c r="A1226" s="33">
        <v>1225</v>
      </c>
      <c r="B1226" s="69" t="s">
        <v>1685</v>
      </c>
      <c r="C1226" s="69" t="s">
        <v>740</v>
      </c>
      <c r="D1226" s="56">
        <v>42615</v>
      </c>
      <c r="F1226" s="56"/>
      <c r="G1226" s="69" t="str">
        <f t="shared" si="19"/>
        <v>User Registration</v>
      </c>
      <c r="H1226" s="69" t="s">
        <v>922</v>
      </c>
      <c r="J1226" s="69" t="s">
        <v>1680</v>
      </c>
      <c r="K1226" s="13" t="s">
        <v>1690</v>
      </c>
      <c r="L1226" s="253">
        <v>56.000000000000007</v>
      </c>
      <c r="M1226" s="253">
        <v>52</v>
      </c>
      <c r="N1226" s="253">
        <v>53</v>
      </c>
      <c r="O1226" s="253">
        <v>63</v>
      </c>
      <c r="P1226" s="253">
        <v>54</v>
      </c>
      <c r="Q1226" s="253">
        <v>55</v>
      </c>
      <c r="R1226" s="253">
        <v>54</v>
      </c>
      <c r="S1226" s="253">
        <v>56.000000000000007</v>
      </c>
      <c r="T1226" s="253">
        <v>46.999999999999993</v>
      </c>
      <c r="U1226" s="253">
        <v>41</v>
      </c>
      <c r="V1226" s="253"/>
      <c r="W1226" s="253">
        <v>54</v>
      </c>
      <c r="X1226" s="253">
        <v>50</v>
      </c>
      <c r="Y1226" s="253">
        <v>65</v>
      </c>
      <c r="Z1226" s="253">
        <v>64</v>
      </c>
      <c r="AA1226" s="253"/>
      <c r="AB1226" s="253"/>
      <c r="AC1226" s="253"/>
      <c r="AD1226" s="253"/>
      <c r="AE1226" s="253"/>
    </row>
    <row r="1227" spans="1:31">
      <c r="A1227" s="33">
        <v>1226</v>
      </c>
      <c r="B1227" s="69" t="s">
        <v>1680</v>
      </c>
      <c r="C1227" s="69" t="s">
        <v>1681</v>
      </c>
      <c r="D1227" s="56">
        <v>42615</v>
      </c>
      <c r="F1227" s="56"/>
      <c r="G1227" s="69" t="str">
        <f t="shared" si="19"/>
        <v>User Registration</v>
      </c>
      <c r="H1227" s="69" t="s">
        <v>922</v>
      </c>
      <c r="J1227" s="69" t="s">
        <v>1680</v>
      </c>
      <c r="K1227" s="13" t="s">
        <v>1691</v>
      </c>
      <c r="L1227" s="253">
        <v>60</v>
      </c>
      <c r="M1227" s="253">
        <v>54</v>
      </c>
      <c r="N1227" s="253">
        <v>51</v>
      </c>
      <c r="O1227" s="253">
        <v>56.000000000000007</v>
      </c>
      <c r="P1227" s="253">
        <v>60</v>
      </c>
      <c r="Q1227" s="253">
        <v>45</v>
      </c>
      <c r="R1227" s="253">
        <v>51</v>
      </c>
      <c r="S1227" s="253">
        <v>65</v>
      </c>
      <c r="T1227" s="253">
        <v>54</v>
      </c>
      <c r="U1227" s="253">
        <v>52</v>
      </c>
      <c r="V1227" s="253"/>
      <c r="W1227" s="253">
        <v>50</v>
      </c>
      <c r="X1227" s="253">
        <v>53</v>
      </c>
      <c r="Y1227" s="253">
        <v>55</v>
      </c>
      <c r="Z1227" s="253">
        <v>60</v>
      </c>
      <c r="AA1227" s="253"/>
      <c r="AB1227" s="253"/>
      <c r="AC1227" s="253"/>
      <c r="AD1227" s="253"/>
      <c r="AE1227" s="253"/>
    </row>
    <row r="1228" spans="1:31">
      <c r="A1228" s="33">
        <v>1227</v>
      </c>
      <c r="B1228" s="69" t="s">
        <v>1680</v>
      </c>
      <c r="C1228" s="69" t="s">
        <v>1681</v>
      </c>
      <c r="D1228" s="56">
        <v>42615</v>
      </c>
      <c r="F1228" s="56"/>
      <c r="G1228" s="69" t="str">
        <f t="shared" si="19"/>
        <v>User Registration</v>
      </c>
      <c r="H1228" s="69" t="s">
        <v>922</v>
      </c>
      <c r="J1228" s="69" t="s">
        <v>1680</v>
      </c>
      <c r="K1228" s="13" t="s">
        <v>1692</v>
      </c>
      <c r="L1228" s="253">
        <v>56.999999999999993</v>
      </c>
      <c r="M1228" s="253">
        <v>48</v>
      </c>
      <c r="N1228" s="253">
        <v>49</v>
      </c>
      <c r="O1228" s="253">
        <v>49</v>
      </c>
      <c r="P1228" s="253">
        <v>55</v>
      </c>
      <c r="Q1228" s="253">
        <v>45</v>
      </c>
      <c r="R1228" s="253">
        <v>48</v>
      </c>
      <c r="S1228" s="253">
        <v>45</v>
      </c>
      <c r="T1228" s="253">
        <v>46</v>
      </c>
      <c r="U1228" s="253">
        <v>46.999999999999993</v>
      </c>
      <c r="V1228" s="253"/>
      <c r="W1228" s="253">
        <v>55</v>
      </c>
      <c r="X1228" s="253">
        <v>40</v>
      </c>
      <c r="Y1228" s="253">
        <v>43</v>
      </c>
      <c r="Z1228" s="253">
        <v>63</v>
      </c>
      <c r="AA1228" s="253"/>
      <c r="AB1228" s="253"/>
      <c r="AC1228" s="253"/>
      <c r="AD1228" s="253"/>
      <c r="AE1228" s="253"/>
    </row>
    <row r="1229" spans="1:31">
      <c r="A1229" s="33">
        <v>1228</v>
      </c>
      <c r="B1229" s="69" t="s">
        <v>1680</v>
      </c>
      <c r="C1229" s="69" t="s">
        <v>1681</v>
      </c>
      <c r="D1229" s="56">
        <v>42615</v>
      </c>
      <c r="F1229" s="56"/>
      <c r="G1229" s="69" t="str">
        <f t="shared" si="19"/>
        <v>User Registration</v>
      </c>
      <c r="H1229" s="69" t="s">
        <v>922</v>
      </c>
      <c r="J1229" s="69" t="s">
        <v>1680</v>
      </c>
      <c r="K1229" s="13" t="s">
        <v>1693</v>
      </c>
      <c r="L1229" s="253">
        <v>49</v>
      </c>
      <c r="M1229" s="253">
        <v>45</v>
      </c>
      <c r="N1229" s="253">
        <v>50</v>
      </c>
      <c r="O1229" s="253">
        <v>48</v>
      </c>
      <c r="P1229" s="253">
        <v>48</v>
      </c>
      <c r="Q1229" s="253">
        <v>45</v>
      </c>
      <c r="R1229" s="253">
        <v>45</v>
      </c>
      <c r="S1229" s="253">
        <v>42</v>
      </c>
      <c r="T1229" s="253">
        <v>46</v>
      </c>
      <c r="U1229" s="253">
        <v>45</v>
      </c>
      <c r="V1229" s="253"/>
      <c r="W1229" s="253">
        <v>52</v>
      </c>
      <c r="X1229" s="253">
        <v>49</v>
      </c>
      <c r="Y1229" s="253">
        <v>48</v>
      </c>
      <c r="Z1229" s="253">
        <v>52</v>
      </c>
      <c r="AA1229" s="253"/>
      <c r="AB1229" s="253"/>
      <c r="AC1229" s="253"/>
      <c r="AD1229" s="253"/>
      <c r="AE1229" s="253"/>
    </row>
    <row r="1230" spans="1:31">
      <c r="A1230" s="33">
        <v>1229</v>
      </c>
      <c r="B1230" s="69" t="s">
        <v>1685</v>
      </c>
      <c r="C1230" s="69" t="s">
        <v>740</v>
      </c>
      <c r="D1230" s="56">
        <v>42615</v>
      </c>
      <c r="F1230" s="56"/>
      <c r="G1230" s="69" t="str">
        <f t="shared" si="19"/>
        <v>User Registration</v>
      </c>
      <c r="H1230" s="69" t="s">
        <v>922</v>
      </c>
      <c r="J1230" s="69" t="s">
        <v>1680</v>
      </c>
      <c r="K1230" s="13" t="s">
        <v>1694</v>
      </c>
      <c r="L1230" s="253">
        <v>51</v>
      </c>
      <c r="M1230" s="253">
        <v>44</v>
      </c>
      <c r="N1230" s="253">
        <v>45</v>
      </c>
      <c r="O1230" s="253">
        <v>46</v>
      </c>
      <c r="P1230" s="253">
        <v>55</v>
      </c>
      <c r="Q1230" s="253">
        <v>44</v>
      </c>
      <c r="R1230" s="253">
        <v>46.999999999999993</v>
      </c>
      <c r="S1230" s="253">
        <v>50</v>
      </c>
      <c r="T1230" s="253">
        <v>43</v>
      </c>
      <c r="U1230" s="253">
        <v>40</v>
      </c>
      <c r="V1230" s="253"/>
      <c r="W1230" s="253">
        <v>45</v>
      </c>
      <c r="X1230" s="253">
        <v>43</v>
      </c>
      <c r="Y1230" s="253">
        <v>51</v>
      </c>
      <c r="Z1230" s="253">
        <v>35</v>
      </c>
      <c r="AA1230" s="253"/>
      <c r="AB1230" s="253"/>
      <c r="AC1230" s="253"/>
      <c r="AD1230" s="253"/>
      <c r="AE1230" s="253"/>
    </row>
    <row r="1231" spans="1:31">
      <c r="A1231" s="33">
        <v>1230</v>
      </c>
      <c r="B1231" s="69" t="s">
        <v>1672</v>
      </c>
      <c r="C1231" s="69" t="s">
        <v>740</v>
      </c>
      <c r="D1231" s="56">
        <v>42620</v>
      </c>
      <c r="G1231" s="69" t="str">
        <f t="shared" si="19"/>
        <v>E-Commerce</v>
      </c>
      <c r="H1231" s="69" t="s">
        <v>1672</v>
      </c>
      <c r="J1231" s="69" t="s">
        <v>1673</v>
      </c>
      <c r="K1231" s="69" t="s">
        <v>1673</v>
      </c>
      <c r="L1231" s="253">
        <v>59</v>
      </c>
      <c r="M1231" s="253">
        <v>60</v>
      </c>
      <c r="N1231" s="253">
        <v>59</v>
      </c>
      <c r="O1231" s="253">
        <v>56</v>
      </c>
      <c r="P1231" s="253">
        <v>58</v>
      </c>
      <c r="Q1231" s="253">
        <v>55</v>
      </c>
      <c r="R1231" s="253">
        <v>57</v>
      </c>
      <c r="S1231" s="253">
        <v>57</v>
      </c>
      <c r="T1231" s="253">
        <v>63</v>
      </c>
      <c r="U1231" s="253">
        <v>62</v>
      </c>
      <c r="V1231" s="253">
        <v>61</v>
      </c>
      <c r="W1231" s="253"/>
      <c r="X1231" s="253"/>
      <c r="Y1231" s="253">
        <v>52</v>
      </c>
      <c r="Z1231" s="253">
        <v>64</v>
      </c>
      <c r="AA1231" s="253"/>
      <c r="AB1231" s="253"/>
      <c r="AC1231" s="253"/>
      <c r="AD1231" s="253"/>
      <c r="AE1231" s="253"/>
    </row>
    <row r="1232" spans="1:31">
      <c r="A1232" s="33">
        <v>1231</v>
      </c>
      <c r="B1232" s="69" t="s">
        <v>1672</v>
      </c>
      <c r="C1232" s="69" t="s">
        <v>740</v>
      </c>
      <c r="D1232" s="56">
        <v>42620</v>
      </c>
      <c r="G1232" s="69" t="str">
        <f t="shared" si="19"/>
        <v>E-Commerce</v>
      </c>
      <c r="H1232" s="69" t="s">
        <v>1672</v>
      </c>
      <c r="J1232" s="69" t="s">
        <v>1673</v>
      </c>
      <c r="K1232" s="69" t="s">
        <v>1674</v>
      </c>
      <c r="L1232" s="253">
        <v>58</v>
      </c>
      <c r="M1232" s="253">
        <v>62</v>
      </c>
      <c r="N1232" s="253">
        <v>58</v>
      </c>
      <c r="O1232" s="253">
        <v>59</v>
      </c>
      <c r="P1232" s="253">
        <v>56</v>
      </c>
      <c r="Q1232" s="253">
        <v>60</v>
      </c>
      <c r="R1232" s="253">
        <v>59</v>
      </c>
      <c r="S1232" s="253">
        <v>58</v>
      </c>
      <c r="T1232" s="253">
        <v>64</v>
      </c>
      <c r="U1232" s="253">
        <v>66</v>
      </c>
      <c r="V1232" s="253">
        <v>63</v>
      </c>
      <c r="W1232" s="253"/>
      <c r="X1232" s="253"/>
      <c r="Y1232" s="253">
        <v>57</v>
      </c>
      <c r="Z1232" s="253">
        <v>64</v>
      </c>
      <c r="AA1232" s="253"/>
      <c r="AB1232" s="253"/>
      <c r="AC1232" s="253"/>
      <c r="AD1232" s="253"/>
      <c r="AE1232" s="253"/>
    </row>
    <row r="1233" spans="1:31">
      <c r="A1233" s="33">
        <v>1232</v>
      </c>
      <c r="B1233" s="69" t="s">
        <v>1672</v>
      </c>
      <c r="C1233" s="69" t="s">
        <v>740</v>
      </c>
      <c r="D1233" s="56">
        <v>42620</v>
      </c>
      <c r="G1233" s="69" t="str">
        <f t="shared" si="19"/>
        <v>E-Commerce</v>
      </c>
      <c r="H1233" s="69" t="s">
        <v>1672</v>
      </c>
      <c r="J1233" s="69" t="s">
        <v>1673</v>
      </c>
      <c r="K1233" s="69" t="s">
        <v>665</v>
      </c>
      <c r="L1233" s="253">
        <v>67</v>
      </c>
      <c r="M1233" s="253">
        <v>60</v>
      </c>
      <c r="N1233" s="253">
        <v>40</v>
      </c>
      <c r="O1233" s="253">
        <v>57</v>
      </c>
      <c r="P1233" s="253">
        <v>68</v>
      </c>
      <c r="Q1233" s="253">
        <v>56</v>
      </c>
      <c r="R1233" s="253">
        <v>58</v>
      </c>
      <c r="S1233" s="253">
        <v>61</v>
      </c>
      <c r="T1233" s="253">
        <v>62</v>
      </c>
      <c r="U1233" s="253">
        <v>61</v>
      </c>
      <c r="V1233" s="253">
        <v>60</v>
      </c>
      <c r="W1233" s="253"/>
      <c r="X1233" s="253"/>
      <c r="Y1233" s="253">
        <v>54</v>
      </c>
      <c r="Z1233" s="253">
        <v>62</v>
      </c>
      <c r="AA1233" s="253"/>
      <c r="AB1233" s="253"/>
      <c r="AC1233" s="253"/>
      <c r="AD1233" s="253"/>
      <c r="AE1233" s="253"/>
    </row>
    <row r="1234" spans="1:31">
      <c r="A1234" s="33">
        <v>1233</v>
      </c>
      <c r="B1234" s="69" t="s">
        <v>1672</v>
      </c>
      <c r="C1234" s="69" t="s">
        <v>740</v>
      </c>
      <c r="D1234" s="56">
        <v>42620</v>
      </c>
      <c r="G1234" s="69" t="str">
        <f t="shared" si="19"/>
        <v>E-Commerce</v>
      </c>
      <c r="H1234" s="69" t="s">
        <v>1672</v>
      </c>
      <c r="J1234" s="69" t="s">
        <v>1673</v>
      </c>
      <c r="K1234" s="69" t="s">
        <v>1675</v>
      </c>
      <c r="L1234" s="253">
        <v>57</v>
      </c>
      <c r="M1234" s="253">
        <v>51</v>
      </c>
      <c r="N1234" s="253">
        <v>44</v>
      </c>
      <c r="O1234" s="253">
        <v>53</v>
      </c>
      <c r="P1234" s="253">
        <v>55</v>
      </c>
      <c r="Q1234" s="253">
        <v>47</v>
      </c>
      <c r="R1234" s="253">
        <v>54</v>
      </c>
      <c r="S1234" s="253">
        <v>45</v>
      </c>
      <c r="T1234" s="253">
        <v>50</v>
      </c>
      <c r="U1234" s="253">
        <v>52</v>
      </c>
      <c r="V1234" s="253">
        <v>51</v>
      </c>
      <c r="W1234" s="253"/>
      <c r="X1234" s="253"/>
      <c r="Y1234" s="253">
        <v>47</v>
      </c>
      <c r="Z1234" s="253">
        <v>66</v>
      </c>
      <c r="AA1234" s="253"/>
      <c r="AB1234" s="253"/>
      <c r="AC1234" s="253"/>
      <c r="AD1234" s="253"/>
      <c r="AE1234" s="253"/>
    </row>
    <row r="1235" spans="1:31">
      <c r="A1235" s="33">
        <v>1234</v>
      </c>
      <c r="B1235" s="69" t="s">
        <v>1672</v>
      </c>
      <c r="C1235" s="69" t="s">
        <v>740</v>
      </c>
      <c r="D1235" s="56">
        <v>42620</v>
      </c>
      <c r="G1235" s="69" t="str">
        <f t="shared" si="19"/>
        <v>E-Commerce</v>
      </c>
      <c r="H1235" s="69" t="s">
        <v>1672</v>
      </c>
      <c r="J1235" s="69" t="s">
        <v>1673</v>
      </c>
      <c r="K1235" s="69" t="s">
        <v>1676</v>
      </c>
      <c r="L1235" s="253">
        <v>62</v>
      </c>
      <c r="M1235" s="253">
        <v>57</v>
      </c>
      <c r="N1235" s="253">
        <v>51</v>
      </c>
      <c r="O1235" s="253">
        <v>57</v>
      </c>
      <c r="P1235" s="253">
        <v>62</v>
      </c>
      <c r="Q1235" s="253">
        <v>50</v>
      </c>
      <c r="R1235" s="253">
        <v>52</v>
      </c>
      <c r="S1235" s="253">
        <v>64</v>
      </c>
      <c r="T1235" s="253">
        <v>54</v>
      </c>
      <c r="U1235" s="253">
        <v>62</v>
      </c>
      <c r="V1235" s="253">
        <v>55</v>
      </c>
      <c r="W1235" s="253"/>
      <c r="X1235" s="253"/>
      <c r="Y1235" s="253">
        <v>55</v>
      </c>
      <c r="Z1235" s="253">
        <v>63</v>
      </c>
      <c r="AA1235" s="253"/>
      <c r="AB1235" s="253"/>
      <c r="AC1235" s="253"/>
      <c r="AD1235" s="253"/>
      <c r="AE1235" s="253"/>
    </row>
    <row r="1236" spans="1:31">
      <c r="A1236" s="33">
        <v>1235</v>
      </c>
      <c r="B1236" s="69" t="s">
        <v>1672</v>
      </c>
      <c r="C1236" s="69" t="s">
        <v>740</v>
      </c>
      <c r="D1236" s="56">
        <v>42620</v>
      </c>
      <c r="G1236" s="69" t="str">
        <f t="shared" si="19"/>
        <v>E-Commerce</v>
      </c>
      <c r="H1236" s="69" t="s">
        <v>1672</v>
      </c>
      <c r="J1236" s="69" t="s">
        <v>1673</v>
      </c>
      <c r="K1236" s="69" t="s">
        <v>1677</v>
      </c>
      <c r="L1236" s="253">
        <v>64</v>
      </c>
      <c r="M1236" s="253">
        <v>58</v>
      </c>
      <c r="N1236" s="253">
        <v>53</v>
      </c>
      <c r="O1236" s="253">
        <v>58</v>
      </c>
      <c r="P1236" s="253">
        <v>66</v>
      </c>
      <c r="Q1236" s="253">
        <v>59</v>
      </c>
      <c r="R1236" s="253">
        <v>56</v>
      </c>
      <c r="S1236" s="253">
        <v>66</v>
      </c>
      <c r="T1236" s="253">
        <v>58</v>
      </c>
      <c r="U1236" s="253">
        <v>55</v>
      </c>
      <c r="V1236" s="253">
        <v>55</v>
      </c>
      <c r="W1236" s="253"/>
      <c r="X1236" s="253"/>
      <c r="Y1236" s="253">
        <v>59</v>
      </c>
      <c r="Z1236" s="253">
        <v>54</v>
      </c>
      <c r="AA1236" s="253"/>
      <c r="AB1236" s="253"/>
      <c r="AC1236" s="253"/>
      <c r="AD1236" s="253"/>
      <c r="AE1236" s="253"/>
    </row>
    <row r="1237" spans="1:31">
      <c r="A1237" s="33">
        <v>1236</v>
      </c>
      <c r="B1237" s="69" t="s">
        <v>1672</v>
      </c>
      <c r="C1237" s="69" t="s">
        <v>740</v>
      </c>
      <c r="D1237" s="56">
        <v>42620</v>
      </c>
      <c r="G1237" s="69" t="str">
        <f t="shared" si="19"/>
        <v>E-Commerce</v>
      </c>
      <c r="H1237" s="69" t="s">
        <v>1672</v>
      </c>
      <c r="J1237" s="69" t="s">
        <v>1673</v>
      </c>
      <c r="K1237" s="69" t="s">
        <v>1678</v>
      </c>
      <c r="L1237" s="253">
        <v>62</v>
      </c>
      <c r="M1237" s="253">
        <v>57</v>
      </c>
      <c r="N1237" s="253">
        <v>61</v>
      </c>
      <c r="O1237" s="253">
        <v>55</v>
      </c>
      <c r="P1237" s="253">
        <v>65</v>
      </c>
      <c r="Q1237" s="253">
        <v>65</v>
      </c>
      <c r="R1237" s="253">
        <v>51</v>
      </c>
      <c r="S1237" s="253">
        <v>57</v>
      </c>
      <c r="T1237" s="253">
        <v>55</v>
      </c>
      <c r="U1237" s="253">
        <v>58</v>
      </c>
      <c r="V1237" s="253">
        <v>58</v>
      </c>
      <c r="W1237" s="253"/>
      <c r="X1237" s="253"/>
      <c r="Y1237" s="253">
        <v>57</v>
      </c>
      <c r="Z1237" s="253">
        <v>52</v>
      </c>
      <c r="AA1237" s="253"/>
      <c r="AB1237" s="253"/>
      <c r="AC1237" s="253"/>
      <c r="AD1237" s="253"/>
      <c r="AE1237" s="253"/>
    </row>
    <row r="1238" spans="1:31">
      <c r="A1238" s="33">
        <v>1237</v>
      </c>
      <c r="B1238" s="69" t="s">
        <v>1672</v>
      </c>
      <c r="C1238" s="69" t="s">
        <v>740</v>
      </c>
      <c r="D1238" s="56">
        <v>42620</v>
      </c>
      <c r="G1238" s="69" t="str">
        <f t="shared" si="19"/>
        <v>E-Commerce</v>
      </c>
      <c r="H1238" s="69" t="s">
        <v>1672</v>
      </c>
      <c r="J1238" s="69" t="s">
        <v>1673</v>
      </c>
      <c r="K1238" s="69" t="s">
        <v>1679</v>
      </c>
      <c r="L1238" s="253">
        <v>55</v>
      </c>
      <c r="M1238" s="253">
        <v>55</v>
      </c>
      <c r="N1238" s="253">
        <v>50</v>
      </c>
      <c r="O1238" s="253">
        <v>53</v>
      </c>
      <c r="P1238" s="253">
        <v>52</v>
      </c>
      <c r="Q1238" s="253">
        <v>66</v>
      </c>
      <c r="R1238" s="253">
        <v>53</v>
      </c>
      <c r="S1238" s="253">
        <v>50</v>
      </c>
      <c r="T1238" s="253">
        <v>53</v>
      </c>
      <c r="U1238" s="253">
        <v>54</v>
      </c>
      <c r="V1238" s="253">
        <v>50</v>
      </c>
      <c r="W1238" s="253"/>
      <c r="X1238" s="253"/>
      <c r="Y1238" s="253">
        <v>45</v>
      </c>
      <c r="Z1238" s="253">
        <v>66</v>
      </c>
      <c r="AA1238" s="253"/>
      <c r="AB1238" s="253"/>
      <c r="AC1238" s="253"/>
      <c r="AD1238" s="253"/>
      <c r="AE1238" s="253"/>
    </row>
    <row r="1239" spans="1:31">
      <c r="A1239" s="33">
        <v>1238</v>
      </c>
      <c r="B1239" s="69" t="s">
        <v>1667</v>
      </c>
      <c r="C1239" s="69" t="s">
        <v>1232</v>
      </c>
      <c r="D1239" s="56">
        <v>42628</v>
      </c>
      <c r="G1239" s="69" t="str">
        <f t="shared" si="19"/>
        <v>User Registration</v>
      </c>
      <c r="H1239" s="69" t="s">
        <v>494</v>
      </c>
      <c r="J1239" s="69" t="s">
        <v>1667</v>
      </c>
      <c r="K1239" s="69" t="s">
        <v>1668</v>
      </c>
      <c r="L1239" s="253">
        <v>63</v>
      </c>
      <c r="M1239" s="253">
        <v>61</v>
      </c>
      <c r="N1239" s="253">
        <v>62</v>
      </c>
      <c r="O1239" s="253">
        <v>55</v>
      </c>
      <c r="P1239" s="253">
        <v>65</v>
      </c>
      <c r="Q1239" s="253">
        <v>67</v>
      </c>
      <c r="R1239" s="253">
        <v>56</v>
      </c>
      <c r="S1239" s="253">
        <v>67</v>
      </c>
      <c r="T1239" s="253">
        <v>57</v>
      </c>
      <c r="U1239" s="253">
        <v>63</v>
      </c>
      <c r="V1239" s="253"/>
      <c r="W1239" s="253">
        <v>63</v>
      </c>
      <c r="X1239" s="253"/>
      <c r="Y1239" s="253">
        <v>53</v>
      </c>
      <c r="Z1239" s="253">
        <v>54</v>
      </c>
      <c r="AA1239" s="253"/>
      <c r="AB1239" s="253"/>
      <c r="AC1239" s="253"/>
      <c r="AD1239" s="253"/>
      <c r="AE1239" s="253"/>
    </row>
    <row r="1240" spans="1:31">
      <c r="A1240" s="33">
        <v>1239</v>
      </c>
      <c r="B1240" s="69" t="s">
        <v>1667</v>
      </c>
      <c r="C1240" s="69" t="s">
        <v>1232</v>
      </c>
      <c r="D1240" s="56">
        <v>42628</v>
      </c>
      <c r="G1240" s="69" t="str">
        <f t="shared" si="19"/>
        <v>User Registration</v>
      </c>
      <c r="H1240" s="69" t="s">
        <v>494</v>
      </c>
      <c r="J1240" s="69" t="s">
        <v>1667</v>
      </c>
      <c r="K1240" s="69" t="s">
        <v>1669</v>
      </c>
      <c r="L1240" s="253">
        <v>60</v>
      </c>
      <c r="M1240" s="253">
        <v>64</v>
      </c>
      <c r="N1240" s="253">
        <v>56</v>
      </c>
      <c r="O1240" s="253">
        <v>57</v>
      </c>
      <c r="P1240" s="253">
        <v>61</v>
      </c>
      <c r="Q1240" s="253">
        <v>66</v>
      </c>
      <c r="R1240" s="253">
        <v>63</v>
      </c>
      <c r="S1240" s="253">
        <v>61</v>
      </c>
      <c r="T1240" s="253">
        <v>62</v>
      </c>
      <c r="U1240" s="253">
        <v>69</v>
      </c>
      <c r="V1240" s="253"/>
      <c r="W1240" s="253">
        <v>52</v>
      </c>
      <c r="X1240" s="253"/>
      <c r="Y1240" s="253">
        <v>54</v>
      </c>
      <c r="Z1240" s="253">
        <v>57</v>
      </c>
      <c r="AA1240" s="253"/>
      <c r="AB1240" s="253"/>
      <c r="AC1240" s="253"/>
      <c r="AD1240" s="253"/>
      <c r="AE1240" s="253"/>
    </row>
    <row r="1241" spans="1:31">
      <c r="A1241" s="33">
        <v>1240</v>
      </c>
      <c r="B1241" s="69" t="s">
        <v>1667</v>
      </c>
      <c r="C1241" s="69" t="s">
        <v>1232</v>
      </c>
      <c r="D1241" s="56">
        <v>42628</v>
      </c>
      <c r="G1241" s="69" t="str">
        <f t="shared" si="19"/>
        <v>User Registration</v>
      </c>
      <c r="H1241" s="69" t="s">
        <v>494</v>
      </c>
      <c r="J1241" s="69" t="s">
        <v>1667</v>
      </c>
      <c r="K1241" s="69" t="s">
        <v>1667</v>
      </c>
      <c r="L1241" s="253">
        <v>64</v>
      </c>
      <c r="M1241" s="253">
        <v>64</v>
      </c>
      <c r="N1241" s="253">
        <v>61</v>
      </c>
      <c r="O1241" s="253">
        <v>57</v>
      </c>
      <c r="P1241" s="253">
        <v>67</v>
      </c>
      <c r="Q1241" s="253">
        <v>64</v>
      </c>
      <c r="R1241" s="253">
        <v>64</v>
      </c>
      <c r="S1241" s="253">
        <v>65</v>
      </c>
      <c r="T1241" s="253">
        <v>66</v>
      </c>
      <c r="U1241" s="253">
        <v>65</v>
      </c>
      <c r="V1241" s="253"/>
      <c r="W1241" s="253">
        <v>60</v>
      </c>
      <c r="X1241" s="253"/>
      <c r="Y1241" s="253">
        <v>57</v>
      </c>
      <c r="Z1241" s="253">
        <v>53</v>
      </c>
      <c r="AA1241" s="253"/>
      <c r="AB1241" s="253"/>
      <c r="AC1241" s="253"/>
      <c r="AD1241" s="253"/>
      <c r="AE1241" s="253"/>
    </row>
    <row r="1242" spans="1:31">
      <c r="A1242" s="33">
        <v>1241</v>
      </c>
      <c r="B1242" s="69" t="s">
        <v>1667</v>
      </c>
      <c r="C1242" s="69" t="s">
        <v>1232</v>
      </c>
      <c r="D1242" s="56">
        <v>42628</v>
      </c>
      <c r="G1242" s="69" t="str">
        <f t="shared" si="19"/>
        <v>User Registration</v>
      </c>
      <c r="H1242" s="69" t="s">
        <v>494</v>
      </c>
      <c r="J1242" s="69" t="s">
        <v>1667</v>
      </c>
      <c r="K1242" s="69" t="s">
        <v>1670</v>
      </c>
      <c r="L1242" s="253">
        <v>65</v>
      </c>
      <c r="M1242" s="253">
        <v>60</v>
      </c>
      <c r="N1242" s="253">
        <v>56</v>
      </c>
      <c r="O1242" s="253">
        <v>63</v>
      </c>
      <c r="P1242" s="253">
        <v>64</v>
      </c>
      <c r="Q1242" s="253">
        <v>62</v>
      </c>
      <c r="R1242" s="253">
        <v>52</v>
      </c>
      <c r="S1242" s="253">
        <v>64</v>
      </c>
      <c r="T1242" s="253">
        <v>52</v>
      </c>
      <c r="U1242" s="253">
        <v>63</v>
      </c>
      <c r="V1242" s="253"/>
      <c r="W1242" s="253">
        <v>56</v>
      </c>
      <c r="X1242" s="253"/>
      <c r="Y1242" s="253">
        <v>63</v>
      </c>
      <c r="Z1242" s="253">
        <v>67</v>
      </c>
      <c r="AA1242" s="253"/>
      <c r="AB1242" s="253"/>
      <c r="AC1242" s="253"/>
      <c r="AD1242" s="253"/>
      <c r="AE1242" s="253"/>
    </row>
    <row r="1243" spans="1:31">
      <c r="A1243" s="33">
        <v>1242</v>
      </c>
      <c r="B1243" s="69" t="s">
        <v>1667</v>
      </c>
      <c r="C1243" s="69" t="s">
        <v>1232</v>
      </c>
      <c r="D1243" s="56">
        <v>42628</v>
      </c>
      <c r="F1243" s="56"/>
      <c r="G1243" s="69" t="str">
        <f t="shared" si="19"/>
        <v>User Registration</v>
      </c>
      <c r="H1243" s="69" t="s">
        <v>494</v>
      </c>
      <c r="J1243" s="69" t="s">
        <v>1667</v>
      </c>
      <c r="K1243" s="13" t="s">
        <v>1671</v>
      </c>
      <c r="L1243" s="253">
        <v>62</v>
      </c>
      <c r="M1243" s="253">
        <v>57</v>
      </c>
      <c r="N1243" s="253">
        <v>61</v>
      </c>
      <c r="O1243" s="253">
        <v>56</v>
      </c>
      <c r="P1243" s="253">
        <v>63</v>
      </c>
      <c r="Q1243" s="253">
        <v>54</v>
      </c>
      <c r="R1243" s="253">
        <v>54</v>
      </c>
      <c r="S1243" s="253">
        <v>63</v>
      </c>
      <c r="T1243" s="253">
        <v>55</v>
      </c>
      <c r="U1243" s="253">
        <v>61</v>
      </c>
      <c r="V1243" s="253"/>
      <c r="W1243" s="253">
        <v>64</v>
      </c>
      <c r="X1243" s="253"/>
      <c r="Y1243" s="253">
        <v>55</v>
      </c>
      <c r="Z1243" s="253">
        <v>56</v>
      </c>
      <c r="AA1243" s="253"/>
      <c r="AB1243" s="253"/>
      <c r="AC1243" s="253"/>
      <c r="AD1243" s="253"/>
      <c r="AE1243" s="253"/>
    </row>
    <row r="1244" spans="1:31">
      <c r="A1244" s="33">
        <v>1243</v>
      </c>
      <c r="B1244" s="69" t="s">
        <v>1655</v>
      </c>
      <c r="C1244" s="69" t="s">
        <v>740</v>
      </c>
      <c r="D1244" s="56">
        <v>42633</v>
      </c>
      <c r="G1244" s="69" t="str">
        <f t="shared" si="19"/>
        <v>User Registration</v>
      </c>
      <c r="H1244" s="69" t="s">
        <v>922</v>
      </c>
      <c r="J1244" s="69" t="s">
        <v>1655</v>
      </c>
      <c r="K1244" s="69" t="s">
        <v>1656</v>
      </c>
      <c r="L1244" s="253">
        <v>65</v>
      </c>
      <c r="M1244" s="253">
        <v>61</v>
      </c>
      <c r="N1244" s="253">
        <v>62</v>
      </c>
      <c r="O1244" s="253">
        <v>59</v>
      </c>
      <c r="P1244" s="253">
        <v>65</v>
      </c>
      <c r="Q1244" s="253">
        <v>64</v>
      </c>
      <c r="R1244" s="253">
        <v>56</v>
      </c>
      <c r="S1244" s="253">
        <v>62</v>
      </c>
      <c r="T1244" s="253">
        <v>55</v>
      </c>
      <c r="U1244" s="253">
        <v>66</v>
      </c>
      <c r="V1244" s="253"/>
      <c r="W1244" s="253">
        <v>64</v>
      </c>
      <c r="X1244" s="253">
        <v>62</v>
      </c>
      <c r="Y1244" s="253">
        <v>56</v>
      </c>
      <c r="Z1244" s="253">
        <v>65</v>
      </c>
      <c r="AA1244" s="253"/>
      <c r="AB1244" s="253"/>
      <c r="AC1244" s="253"/>
      <c r="AD1244" s="253"/>
      <c r="AE1244" s="253"/>
    </row>
    <row r="1245" spans="1:31">
      <c r="A1245" s="33">
        <v>1244</v>
      </c>
      <c r="B1245" s="69" t="s">
        <v>1657</v>
      </c>
      <c r="C1245" s="69" t="s">
        <v>740</v>
      </c>
      <c r="D1245" s="56">
        <v>42633</v>
      </c>
      <c r="G1245" s="69" t="str">
        <f t="shared" si="19"/>
        <v>E-Commerce</v>
      </c>
      <c r="H1245" s="69" t="s">
        <v>1658</v>
      </c>
      <c r="J1245" s="69" t="s">
        <v>1657</v>
      </c>
      <c r="K1245" s="69" t="s">
        <v>1657</v>
      </c>
      <c r="L1245" s="253">
        <v>65</v>
      </c>
      <c r="M1245" s="253">
        <v>58</v>
      </c>
      <c r="N1245" s="253">
        <v>49</v>
      </c>
      <c r="O1245" s="253">
        <v>54</v>
      </c>
      <c r="P1245" s="253">
        <v>65</v>
      </c>
      <c r="Q1245" s="253">
        <v>55</v>
      </c>
      <c r="R1245" s="253">
        <v>57</v>
      </c>
      <c r="S1245" s="253">
        <v>65</v>
      </c>
      <c r="T1245" s="253">
        <v>55</v>
      </c>
      <c r="U1245" s="253">
        <v>55</v>
      </c>
      <c r="V1245" s="253">
        <v>58</v>
      </c>
      <c r="W1245" s="253"/>
      <c r="X1245" s="253">
        <v>47</v>
      </c>
      <c r="Y1245" s="253">
        <v>47</v>
      </c>
      <c r="Z1245" s="253">
        <v>65</v>
      </c>
      <c r="AA1245" s="253"/>
      <c r="AB1245" s="253"/>
      <c r="AC1245" s="253"/>
      <c r="AD1245" s="253"/>
      <c r="AE1245" s="253"/>
    </row>
    <row r="1246" spans="1:31">
      <c r="A1246" s="33">
        <v>1245</v>
      </c>
      <c r="B1246" s="69" t="s">
        <v>1657</v>
      </c>
      <c r="C1246" s="69" t="s">
        <v>740</v>
      </c>
      <c r="D1246" s="56">
        <v>42633</v>
      </c>
      <c r="G1246" s="69" t="str">
        <f t="shared" si="19"/>
        <v>E-Commerce</v>
      </c>
      <c r="H1246" s="69" t="s">
        <v>1658</v>
      </c>
      <c r="J1246" s="69" t="s">
        <v>1657</v>
      </c>
      <c r="K1246" s="69" t="s">
        <v>1659</v>
      </c>
      <c r="L1246" s="253">
        <v>55</v>
      </c>
      <c r="M1246" s="253">
        <v>57</v>
      </c>
      <c r="N1246" s="253">
        <v>54</v>
      </c>
      <c r="O1246" s="253">
        <v>52</v>
      </c>
      <c r="P1246" s="253">
        <v>54</v>
      </c>
      <c r="Q1246" s="253">
        <v>61</v>
      </c>
      <c r="R1246" s="253">
        <v>63</v>
      </c>
      <c r="S1246" s="253">
        <v>54</v>
      </c>
      <c r="T1246" s="253">
        <v>59</v>
      </c>
      <c r="U1246" s="253">
        <v>48</v>
      </c>
      <c r="V1246" s="253">
        <v>49</v>
      </c>
      <c r="W1246" s="253"/>
      <c r="X1246" s="253">
        <v>55</v>
      </c>
      <c r="Y1246" s="253">
        <v>46</v>
      </c>
      <c r="Z1246" s="253">
        <v>59</v>
      </c>
      <c r="AA1246" s="253"/>
      <c r="AB1246" s="253"/>
      <c r="AC1246" s="253"/>
      <c r="AD1246" s="253"/>
      <c r="AE1246" s="253"/>
    </row>
    <row r="1247" spans="1:31">
      <c r="A1247" s="33">
        <v>1246</v>
      </c>
      <c r="B1247" s="69" t="s">
        <v>1657</v>
      </c>
      <c r="C1247" s="69" t="s">
        <v>740</v>
      </c>
      <c r="D1247" s="56">
        <v>42633</v>
      </c>
      <c r="G1247" s="69" t="str">
        <f t="shared" si="19"/>
        <v>E-Commerce</v>
      </c>
      <c r="H1247" s="69" t="s">
        <v>1658</v>
      </c>
      <c r="J1247" s="69" t="s">
        <v>1657</v>
      </c>
      <c r="K1247" s="69" t="s">
        <v>1660</v>
      </c>
      <c r="L1247" s="253">
        <v>57</v>
      </c>
      <c r="M1247" s="253">
        <v>55</v>
      </c>
      <c r="N1247" s="253">
        <v>53</v>
      </c>
      <c r="O1247" s="253">
        <v>52</v>
      </c>
      <c r="P1247" s="253">
        <v>56</v>
      </c>
      <c r="Q1247" s="253">
        <v>61</v>
      </c>
      <c r="R1247" s="253">
        <v>55</v>
      </c>
      <c r="S1247" s="253">
        <v>54</v>
      </c>
      <c r="T1247" s="253">
        <v>52</v>
      </c>
      <c r="U1247" s="253">
        <v>51</v>
      </c>
      <c r="V1247" s="253">
        <v>52</v>
      </c>
      <c r="W1247" s="253"/>
      <c r="X1247" s="253">
        <v>43</v>
      </c>
      <c r="Y1247" s="253">
        <v>45</v>
      </c>
      <c r="Z1247" s="253">
        <v>63</v>
      </c>
      <c r="AA1247" s="253"/>
      <c r="AB1247" s="253"/>
      <c r="AC1247" s="253"/>
      <c r="AD1247" s="253"/>
      <c r="AE1247" s="253"/>
    </row>
    <row r="1248" spans="1:31">
      <c r="A1248" s="33">
        <v>1247</v>
      </c>
      <c r="B1248" s="69" t="s">
        <v>1657</v>
      </c>
      <c r="C1248" s="69" t="s">
        <v>740</v>
      </c>
      <c r="D1248" s="56">
        <v>42633</v>
      </c>
      <c r="G1248" s="69" t="str">
        <f t="shared" si="19"/>
        <v>E-Commerce</v>
      </c>
      <c r="H1248" s="69" t="s">
        <v>1658</v>
      </c>
      <c r="J1248" s="69" t="s">
        <v>1657</v>
      </c>
      <c r="K1248" s="69" t="s">
        <v>1661</v>
      </c>
      <c r="L1248" s="253">
        <v>60</v>
      </c>
      <c r="M1248" s="253">
        <v>57</v>
      </c>
      <c r="N1248" s="253">
        <v>52</v>
      </c>
      <c r="O1248" s="253">
        <v>52</v>
      </c>
      <c r="P1248" s="253">
        <v>60</v>
      </c>
      <c r="Q1248" s="253">
        <v>66</v>
      </c>
      <c r="R1248" s="253">
        <v>57</v>
      </c>
      <c r="S1248" s="253">
        <v>53</v>
      </c>
      <c r="T1248" s="253">
        <v>55</v>
      </c>
      <c r="U1248" s="253">
        <v>53</v>
      </c>
      <c r="V1248" s="253">
        <v>39</v>
      </c>
      <c r="W1248" s="253"/>
      <c r="X1248" s="253">
        <v>46</v>
      </c>
      <c r="Y1248" s="253">
        <v>45</v>
      </c>
      <c r="Z1248" s="253">
        <v>61</v>
      </c>
      <c r="AA1248" s="253"/>
      <c r="AB1248" s="253"/>
      <c r="AC1248" s="253"/>
      <c r="AD1248" s="253"/>
      <c r="AE1248" s="253"/>
    </row>
    <row r="1249" spans="1:31">
      <c r="A1249" s="33">
        <v>1248</v>
      </c>
      <c r="B1249" s="69" t="s">
        <v>1657</v>
      </c>
      <c r="C1249" s="69" t="s">
        <v>740</v>
      </c>
      <c r="D1249" s="56">
        <v>42633</v>
      </c>
      <c r="G1249" s="69" t="str">
        <f t="shared" si="19"/>
        <v>E-Commerce</v>
      </c>
      <c r="H1249" s="69" t="s">
        <v>1658</v>
      </c>
      <c r="J1249" s="69" t="s">
        <v>1657</v>
      </c>
      <c r="K1249" s="69" t="s">
        <v>1662</v>
      </c>
      <c r="L1249" s="253">
        <v>66</v>
      </c>
      <c r="M1249" s="253">
        <v>61</v>
      </c>
      <c r="N1249" s="253">
        <v>53</v>
      </c>
      <c r="O1249" s="253">
        <v>55</v>
      </c>
      <c r="P1249" s="253">
        <v>67</v>
      </c>
      <c r="Q1249" s="253">
        <v>65</v>
      </c>
      <c r="R1249" s="253">
        <v>62</v>
      </c>
      <c r="S1249" s="253">
        <v>66</v>
      </c>
      <c r="T1249" s="253">
        <v>56</v>
      </c>
      <c r="U1249" s="253">
        <v>56</v>
      </c>
      <c r="V1249" s="253">
        <v>44</v>
      </c>
      <c r="W1249" s="253"/>
      <c r="X1249" s="253">
        <v>45</v>
      </c>
      <c r="Y1249" s="253">
        <v>47</v>
      </c>
      <c r="Z1249" s="253">
        <v>64</v>
      </c>
      <c r="AA1249" s="253"/>
      <c r="AB1249" s="253"/>
      <c r="AC1249" s="253"/>
      <c r="AD1249" s="253"/>
      <c r="AE1249" s="253"/>
    </row>
    <row r="1250" spans="1:31">
      <c r="A1250" s="33">
        <v>1249</v>
      </c>
      <c r="B1250" s="69" t="s">
        <v>1657</v>
      </c>
      <c r="C1250" s="69" t="s">
        <v>740</v>
      </c>
      <c r="D1250" s="56">
        <v>42633</v>
      </c>
      <c r="G1250" s="69" t="str">
        <f t="shared" si="19"/>
        <v>E-Commerce</v>
      </c>
      <c r="H1250" s="69" t="s">
        <v>1658</v>
      </c>
      <c r="J1250" s="69" t="s">
        <v>1657</v>
      </c>
      <c r="K1250" s="69" t="s">
        <v>1663</v>
      </c>
      <c r="L1250" s="253">
        <v>61</v>
      </c>
      <c r="M1250" s="253">
        <v>58</v>
      </c>
      <c r="N1250" s="253">
        <v>55</v>
      </c>
      <c r="O1250" s="253">
        <v>53</v>
      </c>
      <c r="P1250" s="253">
        <v>62</v>
      </c>
      <c r="Q1250" s="253">
        <v>64</v>
      </c>
      <c r="R1250" s="253">
        <v>60</v>
      </c>
      <c r="S1250" s="253">
        <v>52</v>
      </c>
      <c r="T1250" s="253">
        <v>54</v>
      </c>
      <c r="U1250" s="253">
        <v>59</v>
      </c>
      <c r="V1250" s="253">
        <v>44</v>
      </c>
      <c r="W1250" s="253"/>
      <c r="X1250" s="253">
        <v>50</v>
      </c>
      <c r="Y1250" s="253">
        <v>50</v>
      </c>
      <c r="Z1250" s="253">
        <v>56</v>
      </c>
      <c r="AA1250" s="253"/>
      <c r="AB1250" s="253"/>
      <c r="AC1250" s="253"/>
      <c r="AD1250" s="253"/>
      <c r="AE1250" s="253"/>
    </row>
    <row r="1251" spans="1:31">
      <c r="A1251" s="33">
        <v>1250</v>
      </c>
      <c r="B1251" s="69" t="s">
        <v>1655</v>
      </c>
      <c r="C1251" s="69" t="s">
        <v>740</v>
      </c>
      <c r="D1251" s="56">
        <v>42633</v>
      </c>
      <c r="F1251" s="56"/>
      <c r="G1251" s="69" t="str">
        <f t="shared" si="19"/>
        <v>User Registration</v>
      </c>
      <c r="H1251" s="69" t="s">
        <v>922</v>
      </c>
      <c r="J1251" s="69" t="s">
        <v>1655</v>
      </c>
      <c r="K1251" s="13" t="s">
        <v>1664</v>
      </c>
      <c r="L1251" s="253">
        <v>53</v>
      </c>
      <c r="M1251" s="253">
        <v>56</v>
      </c>
      <c r="N1251" s="253">
        <v>61</v>
      </c>
      <c r="O1251" s="253">
        <v>52</v>
      </c>
      <c r="P1251" s="253">
        <v>50</v>
      </c>
      <c r="Q1251" s="253">
        <v>57</v>
      </c>
      <c r="R1251" s="253">
        <v>55</v>
      </c>
      <c r="S1251" s="253">
        <v>50</v>
      </c>
      <c r="T1251" s="253">
        <v>54</v>
      </c>
      <c r="U1251" s="253">
        <v>61</v>
      </c>
      <c r="V1251" s="253"/>
      <c r="W1251" s="253">
        <v>66</v>
      </c>
      <c r="X1251" s="253">
        <v>55</v>
      </c>
      <c r="Y1251" s="253">
        <v>45</v>
      </c>
      <c r="Z1251" s="253">
        <v>63</v>
      </c>
      <c r="AA1251" s="253"/>
      <c r="AB1251" s="253"/>
      <c r="AC1251" s="253"/>
      <c r="AD1251" s="253"/>
      <c r="AE1251" s="253"/>
    </row>
    <row r="1252" spans="1:31">
      <c r="A1252" s="33">
        <v>1251</v>
      </c>
      <c r="B1252" s="69" t="s">
        <v>1655</v>
      </c>
      <c r="C1252" s="69" t="s">
        <v>740</v>
      </c>
      <c r="D1252" s="56">
        <v>42633</v>
      </c>
      <c r="F1252" s="56"/>
      <c r="G1252" s="69" t="str">
        <f t="shared" si="19"/>
        <v>User Registration</v>
      </c>
      <c r="H1252" s="69" t="s">
        <v>922</v>
      </c>
      <c r="J1252" s="69" t="s">
        <v>1655</v>
      </c>
      <c r="K1252" s="13" t="s">
        <v>1665</v>
      </c>
      <c r="L1252" s="253">
        <v>56</v>
      </c>
      <c r="M1252" s="253">
        <v>57</v>
      </c>
      <c r="N1252" s="253">
        <v>58</v>
      </c>
      <c r="O1252" s="253">
        <v>56</v>
      </c>
      <c r="P1252" s="253">
        <v>55</v>
      </c>
      <c r="Q1252" s="253">
        <v>56</v>
      </c>
      <c r="R1252" s="253">
        <v>57</v>
      </c>
      <c r="S1252" s="253">
        <v>52</v>
      </c>
      <c r="T1252" s="253">
        <v>56</v>
      </c>
      <c r="U1252" s="253">
        <v>62</v>
      </c>
      <c r="V1252" s="253"/>
      <c r="W1252" s="253">
        <v>59</v>
      </c>
      <c r="X1252" s="253">
        <v>57</v>
      </c>
      <c r="Y1252" s="253">
        <v>54</v>
      </c>
      <c r="Z1252" s="253">
        <v>61</v>
      </c>
      <c r="AA1252" s="253"/>
      <c r="AB1252" s="253"/>
      <c r="AC1252" s="253"/>
      <c r="AD1252" s="253"/>
      <c r="AE1252" s="253"/>
    </row>
    <row r="1253" spans="1:31">
      <c r="A1253" s="33">
        <v>1252</v>
      </c>
      <c r="B1253" s="69" t="s">
        <v>1655</v>
      </c>
      <c r="C1253" s="69" t="s">
        <v>740</v>
      </c>
      <c r="D1253" s="56">
        <v>42633</v>
      </c>
      <c r="F1253" s="56"/>
      <c r="G1253" s="69" t="str">
        <f t="shared" si="19"/>
        <v>User Registration</v>
      </c>
      <c r="H1253" s="69" t="s">
        <v>922</v>
      </c>
      <c r="J1253" s="69" t="s">
        <v>1655</v>
      </c>
      <c r="K1253" s="13" t="s">
        <v>1666</v>
      </c>
      <c r="L1253" s="253">
        <v>53</v>
      </c>
      <c r="M1253" s="253">
        <v>49</v>
      </c>
      <c r="N1253" s="253">
        <v>56</v>
      </c>
      <c r="O1253" s="253">
        <v>49</v>
      </c>
      <c r="P1253" s="253">
        <v>52</v>
      </c>
      <c r="Q1253" s="253">
        <v>53</v>
      </c>
      <c r="R1253" s="253">
        <v>45</v>
      </c>
      <c r="S1253" s="253">
        <v>52</v>
      </c>
      <c r="T1253" s="253">
        <v>40</v>
      </c>
      <c r="U1253" s="253">
        <v>52</v>
      </c>
      <c r="V1253" s="253"/>
      <c r="W1253" s="253">
        <v>60</v>
      </c>
      <c r="X1253" s="253">
        <v>55</v>
      </c>
      <c r="Y1253" s="253">
        <v>46</v>
      </c>
      <c r="Z1253" s="253">
        <v>55</v>
      </c>
      <c r="AA1253" s="253"/>
      <c r="AB1253" s="253"/>
      <c r="AC1253" s="253"/>
      <c r="AD1253" s="253"/>
      <c r="AE1253" s="253"/>
    </row>
    <row r="1254" spans="1:31">
      <c r="A1254" s="33">
        <v>1253</v>
      </c>
      <c r="B1254" s="69" t="s">
        <v>1655</v>
      </c>
      <c r="C1254" s="69" t="s">
        <v>740</v>
      </c>
      <c r="D1254" s="56">
        <v>42633</v>
      </c>
      <c r="F1254" s="56"/>
      <c r="G1254" s="69" t="str">
        <f t="shared" si="19"/>
        <v>User Registration</v>
      </c>
      <c r="H1254" s="69" t="s">
        <v>922</v>
      </c>
      <c r="J1254" s="69" t="s">
        <v>1655</v>
      </c>
      <c r="K1254" s="69" t="s">
        <v>1655</v>
      </c>
      <c r="L1254" s="253">
        <v>60</v>
      </c>
      <c r="M1254" s="253">
        <v>55</v>
      </c>
      <c r="N1254" s="253">
        <v>56</v>
      </c>
      <c r="O1254" s="253">
        <v>56</v>
      </c>
      <c r="P1254" s="253">
        <v>62</v>
      </c>
      <c r="Q1254" s="253">
        <v>43</v>
      </c>
      <c r="R1254" s="253">
        <v>54</v>
      </c>
      <c r="S1254" s="253">
        <v>65</v>
      </c>
      <c r="T1254" s="253">
        <v>50</v>
      </c>
      <c r="U1254" s="253">
        <v>62</v>
      </c>
      <c r="V1254" s="253"/>
      <c r="W1254" s="253">
        <v>60</v>
      </c>
      <c r="X1254" s="253">
        <v>53</v>
      </c>
      <c r="Y1254" s="253">
        <v>60</v>
      </c>
      <c r="Z1254" s="253">
        <v>50</v>
      </c>
      <c r="AA1254" s="253"/>
      <c r="AB1254" s="253"/>
      <c r="AC1254" s="253"/>
      <c r="AD1254" s="253"/>
      <c r="AE1254" s="253"/>
    </row>
    <row r="1255" spans="1:31">
      <c r="A1255" s="33">
        <v>1254</v>
      </c>
      <c r="B1255" s="69" t="s">
        <v>1542</v>
      </c>
      <c r="C1255" s="69" t="s">
        <v>740</v>
      </c>
      <c r="D1255" s="56">
        <v>42634</v>
      </c>
      <c r="G1255" s="69" t="str">
        <f t="shared" si="19"/>
        <v>ERROR</v>
      </c>
      <c r="H1255" s="69" t="s">
        <v>1624</v>
      </c>
      <c r="J1255" s="69" t="s">
        <v>1542</v>
      </c>
      <c r="K1255" s="69" t="s">
        <v>1542</v>
      </c>
      <c r="L1255" s="253">
        <v>56</v>
      </c>
      <c r="M1255" s="253">
        <v>61</v>
      </c>
      <c r="N1255" s="253">
        <v>60</v>
      </c>
      <c r="O1255" s="253">
        <v>60</v>
      </c>
      <c r="P1255" s="253">
        <v>54</v>
      </c>
      <c r="Q1255" s="253">
        <v>60</v>
      </c>
      <c r="R1255" s="253">
        <v>61</v>
      </c>
      <c r="S1255" s="253">
        <v>49</v>
      </c>
      <c r="T1255" s="253">
        <v>64</v>
      </c>
      <c r="U1255" s="253">
        <v>67</v>
      </c>
      <c r="V1255" s="253"/>
      <c r="W1255" s="253"/>
      <c r="X1255" s="253">
        <v>52</v>
      </c>
      <c r="Y1255" s="253">
        <v>58</v>
      </c>
      <c r="Z1255" s="253">
        <v>65</v>
      </c>
      <c r="AA1255" s="253"/>
      <c r="AB1255" s="253"/>
      <c r="AC1255" s="253"/>
      <c r="AD1255" s="253"/>
      <c r="AE1255" s="253"/>
    </row>
    <row r="1256" spans="1:31">
      <c r="A1256" s="33">
        <v>1255</v>
      </c>
      <c r="B1256" s="69" t="s">
        <v>1542</v>
      </c>
      <c r="C1256" s="69" t="s">
        <v>740</v>
      </c>
      <c r="D1256" s="56">
        <v>42634</v>
      </c>
      <c r="G1256" s="69" t="str">
        <f t="shared" si="19"/>
        <v>ERROR</v>
      </c>
      <c r="H1256" s="69" t="s">
        <v>1624</v>
      </c>
      <c r="J1256" s="69" t="s">
        <v>1542</v>
      </c>
      <c r="K1256" s="69" t="s">
        <v>727</v>
      </c>
      <c r="L1256" s="253">
        <v>64</v>
      </c>
      <c r="M1256" s="253">
        <v>59</v>
      </c>
      <c r="N1256" s="253">
        <v>63</v>
      </c>
      <c r="O1256" s="253">
        <v>59</v>
      </c>
      <c r="P1256" s="253">
        <v>64</v>
      </c>
      <c r="Q1256" s="253">
        <v>58</v>
      </c>
      <c r="R1256" s="253">
        <v>58</v>
      </c>
      <c r="S1256" s="253">
        <v>55</v>
      </c>
      <c r="T1256" s="253">
        <v>57</v>
      </c>
      <c r="U1256" s="253">
        <v>64</v>
      </c>
      <c r="V1256" s="253"/>
      <c r="W1256" s="253"/>
      <c r="X1256" s="253">
        <v>58</v>
      </c>
      <c r="Y1256" s="253">
        <v>59</v>
      </c>
      <c r="Z1256" s="253">
        <v>62</v>
      </c>
      <c r="AA1256" s="253"/>
      <c r="AB1256" s="253"/>
      <c r="AC1256" s="253"/>
      <c r="AD1256" s="253"/>
      <c r="AE1256" s="253"/>
    </row>
    <row r="1257" spans="1:31">
      <c r="A1257" s="33">
        <v>1256</v>
      </c>
      <c r="B1257" s="69" t="s">
        <v>1542</v>
      </c>
      <c r="C1257" s="69" t="s">
        <v>740</v>
      </c>
      <c r="D1257" s="56">
        <v>42634</v>
      </c>
      <c r="G1257" s="69" t="str">
        <f t="shared" si="19"/>
        <v>ERROR</v>
      </c>
      <c r="H1257" s="69" t="s">
        <v>1624</v>
      </c>
      <c r="J1257" s="69" t="s">
        <v>1542</v>
      </c>
      <c r="K1257" s="69" t="s">
        <v>1653</v>
      </c>
      <c r="L1257" s="253">
        <v>56</v>
      </c>
      <c r="M1257" s="253">
        <v>60</v>
      </c>
      <c r="N1257" s="253">
        <v>64</v>
      </c>
      <c r="O1257" s="253">
        <v>58</v>
      </c>
      <c r="P1257" s="253">
        <v>57</v>
      </c>
      <c r="Q1257" s="253">
        <v>62</v>
      </c>
      <c r="R1257" s="253">
        <v>56</v>
      </c>
      <c r="S1257" s="253">
        <v>62</v>
      </c>
      <c r="T1257" s="253">
        <v>56</v>
      </c>
      <c r="U1257" s="253">
        <v>63</v>
      </c>
      <c r="V1257" s="253"/>
      <c r="W1257" s="253"/>
      <c r="X1257" s="253">
        <v>60</v>
      </c>
      <c r="Y1257" s="253">
        <v>60</v>
      </c>
      <c r="Z1257" s="253">
        <v>54</v>
      </c>
      <c r="AA1257" s="253"/>
      <c r="AB1257" s="253"/>
      <c r="AC1257" s="253"/>
      <c r="AD1257" s="253"/>
      <c r="AE1257" s="253"/>
    </row>
    <row r="1258" spans="1:31">
      <c r="A1258" s="33">
        <v>1257</v>
      </c>
      <c r="B1258" s="69" t="s">
        <v>1542</v>
      </c>
      <c r="C1258" s="69" t="s">
        <v>740</v>
      </c>
      <c r="D1258" s="56">
        <v>42634</v>
      </c>
      <c r="G1258" s="69" t="str">
        <f t="shared" si="19"/>
        <v>ERROR</v>
      </c>
      <c r="H1258" s="69" t="s">
        <v>1624</v>
      </c>
      <c r="J1258" s="69" t="s">
        <v>1542</v>
      </c>
      <c r="K1258" s="69" t="s">
        <v>669</v>
      </c>
      <c r="L1258" s="253">
        <v>63</v>
      </c>
      <c r="M1258" s="253">
        <v>65</v>
      </c>
      <c r="N1258" s="253">
        <v>67</v>
      </c>
      <c r="O1258" s="253">
        <v>64</v>
      </c>
      <c r="P1258" s="253">
        <v>62</v>
      </c>
      <c r="Q1258" s="253">
        <v>65</v>
      </c>
      <c r="R1258" s="253">
        <v>65</v>
      </c>
      <c r="S1258" s="253">
        <v>62</v>
      </c>
      <c r="T1258" s="253">
        <v>63</v>
      </c>
      <c r="U1258" s="253">
        <v>66</v>
      </c>
      <c r="V1258" s="253"/>
      <c r="W1258" s="253"/>
      <c r="X1258" s="253">
        <v>59</v>
      </c>
      <c r="Y1258" s="253">
        <v>63</v>
      </c>
      <c r="Z1258" s="253">
        <v>66</v>
      </c>
      <c r="AA1258" s="253"/>
      <c r="AB1258" s="253"/>
      <c r="AC1258" s="253"/>
      <c r="AD1258" s="253"/>
      <c r="AE1258" s="253"/>
    </row>
    <row r="1259" spans="1:31">
      <c r="A1259" s="33">
        <v>1258</v>
      </c>
      <c r="B1259" s="69" t="s">
        <v>1542</v>
      </c>
      <c r="C1259" s="69" t="s">
        <v>740</v>
      </c>
      <c r="D1259" s="56">
        <v>42634</v>
      </c>
      <c r="G1259" s="69" t="str">
        <f t="shared" si="19"/>
        <v>ERROR</v>
      </c>
      <c r="H1259" s="69" t="s">
        <v>1624</v>
      </c>
      <c r="J1259" s="69" t="s">
        <v>1542</v>
      </c>
      <c r="K1259" s="69" t="s">
        <v>1654</v>
      </c>
      <c r="L1259" s="253">
        <v>61</v>
      </c>
      <c r="M1259" s="253">
        <v>58</v>
      </c>
      <c r="N1259" s="253">
        <v>55</v>
      </c>
      <c r="O1259" s="253">
        <v>61</v>
      </c>
      <c r="P1259" s="253">
        <v>59</v>
      </c>
      <c r="Q1259" s="253">
        <v>63</v>
      </c>
      <c r="R1259" s="253">
        <v>54</v>
      </c>
      <c r="S1259" s="253">
        <v>61</v>
      </c>
      <c r="T1259" s="253">
        <v>53</v>
      </c>
      <c r="U1259" s="253">
        <v>57</v>
      </c>
      <c r="V1259" s="253"/>
      <c r="W1259" s="253"/>
      <c r="X1259" s="253">
        <v>53</v>
      </c>
      <c r="Y1259" s="253">
        <v>60</v>
      </c>
      <c r="Z1259" s="253">
        <v>67</v>
      </c>
      <c r="AA1259" s="253"/>
      <c r="AB1259" s="253"/>
      <c r="AC1259" s="253"/>
      <c r="AD1259" s="253"/>
      <c r="AE1259" s="253"/>
    </row>
    <row r="1260" spans="1:31">
      <c r="A1260" s="33">
        <v>1259</v>
      </c>
      <c r="B1260" s="69" t="s">
        <v>1649</v>
      </c>
      <c r="C1260" s="69" t="s">
        <v>740</v>
      </c>
      <c r="D1260" s="56">
        <v>42635</v>
      </c>
      <c r="G1260" s="69" t="str">
        <f t="shared" si="19"/>
        <v>User Registration</v>
      </c>
      <c r="H1260" s="69" t="s">
        <v>1650</v>
      </c>
      <c r="J1260" s="69" t="s">
        <v>1649</v>
      </c>
      <c r="K1260" s="69" t="s">
        <v>390</v>
      </c>
      <c r="L1260" s="253">
        <v>61</v>
      </c>
      <c r="M1260" s="253">
        <v>60</v>
      </c>
      <c r="N1260" s="253">
        <v>58</v>
      </c>
      <c r="O1260" s="253">
        <v>58</v>
      </c>
      <c r="P1260" s="253">
        <v>61</v>
      </c>
      <c r="Q1260" s="253">
        <v>66</v>
      </c>
      <c r="R1260" s="253">
        <v>59</v>
      </c>
      <c r="S1260" s="253">
        <v>56</v>
      </c>
      <c r="T1260" s="253">
        <v>56</v>
      </c>
      <c r="U1260" s="253">
        <v>62</v>
      </c>
      <c r="V1260" s="253"/>
      <c r="W1260" s="253">
        <v>64</v>
      </c>
      <c r="X1260" s="253">
        <v>45</v>
      </c>
      <c r="Y1260" s="253">
        <v>55</v>
      </c>
      <c r="Z1260" s="253">
        <v>63</v>
      </c>
      <c r="AA1260" s="253"/>
      <c r="AB1260" s="253"/>
      <c r="AC1260" s="253"/>
      <c r="AD1260" s="253"/>
      <c r="AE1260" s="253"/>
    </row>
    <row r="1261" spans="1:31">
      <c r="A1261" s="33">
        <v>1260</v>
      </c>
      <c r="B1261" s="69" t="s">
        <v>1649</v>
      </c>
      <c r="C1261" s="69" t="s">
        <v>740</v>
      </c>
      <c r="D1261" s="56">
        <v>42635</v>
      </c>
      <c r="G1261" s="69" t="str">
        <f t="shared" si="19"/>
        <v>User Registration</v>
      </c>
      <c r="H1261" s="69" t="s">
        <v>1650</v>
      </c>
      <c r="J1261" s="69" t="s">
        <v>1649</v>
      </c>
      <c r="K1261" s="69" t="s">
        <v>1649</v>
      </c>
      <c r="L1261" s="253">
        <v>65</v>
      </c>
      <c r="M1261" s="253">
        <v>58</v>
      </c>
      <c r="N1261" s="253">
        <v>62</v>
      </c>
      <c r="O1261" s="253">
        <v>59</v>
      </c>
      <c r="P1261" s="253">
        <v>65</v>
      </c>
      <c r="Q1261" s="253">
        <v>64</v>
      </c>
      <c r="R1261" s="253">
        <v>53</v>
      </c>
      <c r="S1261" s="253">
        <v>62</v>
      </c>
      <c r="T1261" s="253">
        <v>52</v>
      </c>
      <c r="U1261" s="253">
        <v>55</v>
      </c>
      <c r="V1261" s="253"/>
      <c r="W1261" s="253">
        <v>62</v>
      </c>
      <c r="X1261" s="253">
        <v>65</v>
      </c>
      <c r="Y1261" s="253">
        <v>56</v>
      </c>
      <c r="Z1261" s="253">
        <v>64</v>
      </c>
      <c r="AA1261" s="253"/>
      <c r="AB1261" s="253"/>
      <c r="AC1261" s="253"/>
      <c r="AD1261" s="253"/>
      <c r="AE1261" s="253"/>
    </row>
    <row r="1262" spans="1:31">
      <c r="A1262" s="33">
        <v>1261</v>
      </c>
      <c r="B1262" s="69" t="s">
        <v>1649</v>
      </c>
      <c r="C1262" s="69" t="s">
        <v>740</v>
      </c>
      <c r="D1262" s="56">
        <v>42635</v>
      </c>
      <c r="G1262" s="69" t="str">
        <f t="shared" si="19"/>
        <v>User Registration</v>
      </c>
      <c r="H1262" s="69" t="s">
        <v>1650</v>
      </c>
      <c r="J1262" s="69" t="s">
        <v>1649</v>
      </c>
      <c r="K1262" s="69" t="s">
        <v>1651</v>
      </c>
      <c r="L1262" s="253">
        <v>63</v>
      </c>
      <c r="M1262" s="253">
        <v>56</v>
      </c>
      <c r="N1262" s="253">
        <v>58</v>
      </c>
      <c r="O1262" s="253">
        <v>54</v>
      </c>
      <c r="P1262" s="253">
        <v>64</v>
      </c>
      <c r="Q1262" s="253">
        <v>64</v>
      </c>
      <c r="R1262" s="253">
        <v>54</v>
      </c>
      <c r="S1262" s="253">
        <v>50</v>
      </c>
      <c r="T1262" s="253">
        <v>55</v>
      </c>
      <c r="U1262" s="253">
        <v>55</v>
      </c>
      <c r="V1262" s="253"/>
      <c r="W1262" s="253">
        <v>66</v>
      </c>
      <c r="X1262" s="253">
        <v>45</v>
      </c>
      <c r="Y1262" s="253">
        <v>49</v>
      </c>
      <c r="Z1262" s="253">
        <v>61</v>
      </c>
      <c r="AA1262" s="253"/>
      <c r="AB1262" s="253"/>
      <c r="AC1262" s="253"/>
      <c r="AD1262" s="253"/>
      <c r="AE1262" s="253"/>
    </row>
    <row r="1263" spans="1:31">
      <c r="A1263" s="33">
        <v>1262</v>
      </c>
      <c r="B1263" s="69" t="s">
        <v>1649</v>
      </c>
      <c r="C1263" s="69" t="s">
        <v>740</v>
      </c>
      <c r="D1263" s="56">
        <v>42635</v>
      </c>
      <c r="F1263" s="56"/>
      <c r="G1263" s="69" t="str">
        <f t="shared" si="19"/>
        <v>User Registration</v>
      </c>
      <c r="H1263" s="69" t="s">
        <v>1650</v>
      </c>
      <c r="J1263" s="69" t="s">
        <v>1649</v>
      </c>
      <c r="K1263" s="13" t="s">
        <v>1652</v>
      </c>
      <c r="L1263" s="253">
        <v>56</v>
      </c>
      <c r="M1263" s="253">
        <v>52</v>
      </c>
      <c r="N1263" s="253">
        <v>47</v>
      </c>
      <c r="O1263" s="253">
        <v>52</v>
      </c>
      <c r="P1263" s="253">
        <v>53</v>
      </c>
      <c r="Q1263" s="253">
        <v>54</v>
      </c>
      <c r="R1263" s="253">
        <v>52</v>
      </c>
      <c r="S1263" s="253">
        <v>45</v>
      </c>
      <c r="T1263" s="253">
        <v>50</v>
      </c>
      <c r="U1263" s="253">
        <v>52</v>
      </c>
      <c r="V1263" s="253"/>
      <c r="W1263" s="253">
        <v>45</v>
      </c>
      <c r="X1263" s="253">
        <v>45</v>
      </c>
      <c r="Y1263" s="253">
        <v>45</v>
      </c>
      <c r="Z1263" s="253">
        <v>66</v>
      </c>
      <c r="AA1263" s="253"/>
      <c r="AB1263" s="253"/>
      <c r="AC1263" s="253"/>
      <c r="AD1263" s="253"/>
      <c r="AE1263" s="253"/>
    </row>
    <row r="1264" spans="1:31">
      <c r="A1264" s="33">
        <v>1263</v>
      </c>
      <c r="B1264" s="69" t="s">
        <v>1645</v>
      </c>
      <c r="C1264" s="69" t="s">
        <v>740</v>
      </c>
      <c r="D1264" s="56">
        <v>42636</v>
      </c>
      <c r="G1264" s="69" t="str">
        <f t="shared" si="19"/>
        <v>E-Commerce</v>
      </c>
      <c r="H1264" s="69" t="s">
        <v>1577</v>
      </c>
      <c r="J1264" s="69" t="s">
        <v>1645</v>
      </c>
      <c r="K1264" s="69" t="s">
        <v>1645</v>
      </c>
      <c r="L1264" s="253">
        <v>60</v>
      </c>
      <c r="M1264" s="253">
        <v>66</v>
      </c>
      <c r="N1264" s="253">
        <v>61</v>
      </c>
      <c r="O1264" s="253">
        <v>65</v>
      </c>
      <c r="P1264" s="253">
        <v>59</v>
      </c>
      <c r="Q1264" s="253">
        <v>66</v>
      </c>
      <c r="R1264" s="253">
        <v>63</v>
      </c>
      <c r="S1264" s="253">
        <v>66</v>
      </c>
      <c r="T1264" s="253">
        <v>59</v>
      </c>
      <c r="U1264" s="253">
        <v>75</v>
      </c>
      <c r="V1264" s="253">
        <v>65</v>
      </c>
      <c r="W1264" s="253"/>
      <c r="X1264" s="253"/>
      <c r="Y1264" s="253">
        <v>66</v>
      </c>
      <c r="Z1264" s="253">
        <v>64</v>
      </c>
      <c r="AA1264" s="253"/>
      <c r="AB1264" s="253"/>
      <c r="AC1264" s="253"/>
      <c r="AD1264" s="253"/>
      <c r="AE1264" s="253"/>
    </row>
    <row r="1265" spans="1:31">
      <c r="A1265" s="33">
        <v>1264</v>
      </c>
      <c r="B1265" s="69" t="s">
        <v>1645</v>
      </c>
      <c r="C1265" s="69" t="s">
        <v>740</v>
      </c>
      <c r="D1265" s="56">
        <v>42636</v>
      </c>
      <c r="G1265" s="69" t="str">
        <f t="shared" si="19"/>
        <v>E-Commerce</v>
      </c>
      <c r="H1265" s="69" t="s">
        <v>1577</v>
      </c>
      <c r="J1265" s="69" t="s">
        <v>1645</v>
      </c>
      <c r="K1265" s="69" t="s">
        <v>1646</v>
      </c>
      <c r="L1265" s="253">
        <v>57</v>
      </c>
      <c r="M1265" s="253">
        <v>64</v>
      </c>
      <c r="N1265" s="253">
        <v>60</v>
      </c>
      <c r="O1265" s="253">
        <v>69</v>
      </c>
      <c r="P1265" s="253">
        <v>57</v>
      </c>
      <c r="Q1265" s="253">
        <v>63</v>
      </c>
      <c r="R1265" s="253">
        <v>65</v>
      </c>
      <c r="S1265" s="253">
        <v>68</v>
      </c>
      <c r="T1265" s="253">
        <v>61</v>
      </c>
      <c r="U1265" s="253">
        <v>67</v>
      </c>
      <c r="V1265" s="253">
        <v>62</v>
      </c>
      <c r="W1265" s="253"/>
      <c r="X1265" s="253"/>
      <c r="Y1265" s="253">
        <v>76</v>
      </c>
      <c r="Z1265" s="253">
        <v>59</v>
      </c>
      <c r="AA1265" s="253"/>
      <c r="AB1265" s="253"/>
      <c r="AC1265" s="253"/>
      <c r="AD1265" s="253"/>
      <c r="AE1265" s="253"/>
    </row>
    <row r="1266" spans="1:31">
      <c r="A1266" s="33">
        <v>1265</v>
      </c>
      <c r="B1266" s="69" t="s">
        <v>1645</v>
      </c>
      <c r="C1266" s="69" t="s">
        <v>740</v>
      </c>
      <c r="D1266" s="56">
        <v>42636</v>
      </c>
      <c r="G1266" s="69" t="str">
        <f t="shared" si="19"/>
        <v>E-Commerce</v>
      </c>
      <c r="H1266" s="69" t="s">
        <v>1577</v>
      </c>
      <c r="J1266" s="69" t="s">
        <v>1645</v>
      </c>
      <c r="K1266" s="69" t="s">
        <v>389</v>
      </c>
      <c r="L1266" s="253">
        <v>65</v>
      </c>
      <c r="M1266" s="253">
        <v>71</v>
      </c>
      <c r="N1266" s="253">
        <v>68</v>
      </c>
      <c r="O1266" s="253">
        <v>74</v>
      </c>
      <c r="P1266" s="253">
        <v>66</v>
      </c>
      <c r="Q1266" s="253">
        <v>67</v>
      </c>
      <c r="R1266" s="253">
        <v>72</v>
      </c>
      <c r="S1266" s="253">
        <v>69</v>
      </c>
      <c r="T1266" s="253">
        <v>65</v>
      </c>
      <c r="U1266" s="253">
        <v>79</v>
      </c>
      <c r="V1266" s="253">
        <v>72</v>
      </c>
      <c r="W1266" s="253"/>
      <c r="X1266" s="253"/>
      <c r="Y1266" s="253">
        <v>81</v>
      </c>
      <c r="Z1266" s="253">
        <v>63</v>
      </c>
      <c r="AA1266" s="253"/>
      <c r="AB1266" s="253"/>
      <c r="AC1266" s="253"/>
      <c r="AD1266" s="253"/>
      <c r="AE1266" s="253"/>
    </row>
    <row r="1267" spans="1:31">
      <c r="A1267" s="33">
        <v>1266</v>
      </c>
      <c r="B1267" s="69" t="s">
        <v>1645</v>
      </c>
      <c r="C1267" s="69" t="s">
        <v>740</v>
      </c>
      <c r="D1267" s="56">
        <v>42636</v>
      </c>
      <c r="G1267" s="69" t="str">
        <f t="shared" si="19"/>
        <v>E-Commerce</v>
      </c>
      <c r="H1267" s="69" t="s">
        <v>1577</v>
      </c>
      <c r="J1267" s="69" t="s">
        <v>1645</v>
      </c>
      <c r="K1267" s="69" t="s">
        <v>1647</v>
      </c>
      <c r="L1267" s="253">
        <v>63</v>
      </c>
      <c r="M1267" s="253">
        <v>61</v>
      </c>
      <c r="N1267" s="253">
        <v>61</v>
      </c>
      <c r="O1267" s="253">
        <v>64</v>
      </c>
      <c r="P1267" s="253">
        <v>64</v>
      </c>
      <c r="Q1267" s="253">
        <v>65</v>
      </c>
      <c r="R1267" s="253">
        <v>60</v>
      </c>
      <c r="S1267" s="253">
        <v>65</v>
      </c>
      <c r="T1267" s="253">
        <v>54</v>
      </c>
      <c r="U1267" s="253">
        <v>62</v>
      </c>
      <c r="V1267" s="253">
        <v>59</v>
      </c>
      <c r="W1267" s="253"/>
      <c r="X1267" s="253"/>
      <c r="Y1267" s="253">
        <v>66</v>
      </c>
      <c r="Z1267" s="253">
        <v>60</v>
      </c>
      <c r="AA1267" s="253"/>
      <c r="AB1267" s="253"/>
      <c r="AC1267" s="253"/>
      <c r="AD1267" s="253"/>
      <c r="AE1267" s="253"/>
    </row>
    <row r="1268" spans="1:31">
      <c r="A1268" s="33">
        <v>1267</v>
      </c>
      <c r="B1268" s="69" t="s">
        <v>1645</v>
      </c>
      <c r="C1268" s="69" t="s">
        <v>740</v>
      </c>
      <c r="D1268" s="56">
        <v>42636</v>
      </c>
      <c r="G1268" s="69" t="str">
        <f t="shared" si="19"/>
        <v>E-Commerce</v>
      </c>
      <c r="H1268" s="69" t="s">
        <v>1577</v>
      </c>
      <c r="J1268" s="69" t="s">
        <v>1645</v>
      </c>
      <c r="K1268" s="69" t="s">
        <v>1648</v>
      </c>
      <c r="L1268" s="253">
        <v>67</v>
      </c>
      <c r="M1268" s="253">
        <v>65</v>
      </c>
      <c r="N1268" s="253">
        <v>68</v>
      </c>
      <c r="O1268" s="253">
        <v>66</v>
      </c>
      <c r="P1268" s="253">
        <v>68</v>
      </c>
      <c r="Q1268" s="253">
        <v>68</v>
      </c>
      <c r="R1268" s="253">
        <v>61</v>
      </c>
      <c r="S1268" s="253">
        <v>62</v>
      </c>
      <c r="T1268" s="253">
        <v>56</v>
      </c>
      <c r="U1268" s="253">
        <v>72</v>
      </c>
      <c r="V1268" s="253">
        <v>66</v>
      </c>
      <c r="W1268" s="253"/>
      <c r="X1268" s="253"/>
      <c r="Y1268" s="253">
        <v>68</v>
      </c>
      <c r="Z1268" s="253">
        <v>64</v>
      </c>
      <c r="AA1268" s="253"/>
      <c r="AB1268" s="253"/>
      <c r="AC1268" s="253"/>
      <c r="AD1268" s="253"/>
      <c r="AE1268" s="253"/>
    </row>
    <row r="1269" spans="1:31">
      <c r="A1269" s="33">
        <v>1268</v>
      </c>
      <c r="B1269" s="69" t="s">
        <v>1638</v>
      </c>
      <c r="C1269" s="69" t="s">
        <v>1639</v>
      </c>
      <c r="D1269" s="56">
        <v>42640</v>
      </c>
      <c r="G1269" s="69" t="str">
        <f t="shared" si="19"/>
        <v>User Registration</v>
      </c>
      <c r="H1269" s="69" t="s">
        <v>1640</v>
      </c>
      <c r="J1269" s="69" t="s">
        <v>1638</v>
      </c>
      <c r="K1269" s="69" t="s">
        <v>1641</v>
      </c>
      <c r="L1269" s="253">
        <v>63</v>
      </c>
      <c r="M1269" s="253">
        <v>59</v>
      </c>
      <c r="N1269" s="253">
        <v>51</v>
      </c>
      <c r="O1269" s="253">
        <v>60</v>
      </c>
      <c r="P1269" s="253">
        <v>63</v>
      </c>
      <c r="Q1269" s="253">
        <v>65</v>
      </c>
      <c r="R1269" s="253">
        <v>51</v>
      </c>
      <c r="S1269" s="253">
        <v>72</v>
      </c>
      <c r="T1269" s="253">
        <v>51</v>
      </c>
      <c r="U1269" s="253">
        <v>55</v>
      </c>
      <c r="V1269" s="253"/>
      <c r="W1269" s="253">
        <v>50</v>
      </c>
      <c r="X1269" s="253">
        <v>48</v>
      </c>
      <c r="Y1269" s="253">
        <v>60</v>
      </c>
      <c r="Z1269" s="253">
        <v>61</v>
      </c>
      <c r="AA1269" s="253"/>
      <c r="AB1269" s="253"/>
      <c r="AC1269" s="253"/>
      <c r="AD1269" s="253"/>
      <c r="AE1269" s="253"/>
    </row>
    <row r="1270" spans="1:31">
      <c r="A1270" s="33">
        <v>1269</v>
      </c>
      <c r="B1270" s="69" t="s">
        <v>1638</v>
      </c>
      <c r="C1270" s="69" t="s">
        <v>1639</v>
      </c>
      <c r="D1270" s="56">
        <v>42640</v>
      </c>
      <c r="G1270" s="69" t="str">
        <f t="shared" si="19"/>
        <v>User Registration</v>
      </c>
      <c r="H1270" s="69" t="s">
        <v>1640</v>
      </c>
      <c r="J1270" s="69" t="s">
        <v>1638</v>
      </c>
      <c r="K1270" s="69" t="s">
        <v>1642</v>
      </c>
      <c r="L1270" s="253">
        <v>66</v>
      </c>
      <c r="M1270" s="253">
        <v>66</v>
      </c>
      <c r="N1270" s="253">
        <v>58</v>
      </c>
      <c r="O1270" s="253">
        <v>64</v>
      </c>
      <c r="P1270" s="253">
        <v>67</v>
      </c>
      <c r="Q1270" s="253">
        <v>64</v>
      </c>
      <c r="R1270" s="253">
        <v>66</v>
      </c>
      <c r="S1270" s="253">
        <v>75</v>
      </c>
      <c r="T1270" s="253">
        <v>64</v>
      </c>
      <c r="U1270" s="253">
        <v>65</v>
      </c>
      <c r="V1270" s="253"/>
      <c r="W1270" s="253">
        <v>55</v>
      </c>
      <c r="X1270" s="253">
        <v>56</v>
      </c>
      <c r="Y1270" s="253">
        <v>64</v>
      </c>
      <c r="Z1270" s="253">
        <v>60</v>
      </c>
      <c r="AA1270" s="253"/>
      <c r="AB1270" s="253"/>
      <c r="AC1270" s="253"/>
      <c r="AD1270" s="253"/>
      <c r="AE1270" s="253"/>
    </row>
    <row r="1271" spans="1:31">
      <c r="A1271" s="33">
        <v>1270</v>
      </c>
      <c r="B1271" s="69" t="s">
        <v>1638</v>
      </c>
      <c r="C1271" s="69" t="s">
        <v>1639</v>
      </c>
      <c r="D1271" s="56">
        <v>42640</v>
      </c>
      <c r="G1271" s="69" t="str">
        <f t="shared" si="19"/>
        <v>User Registration</v>
      </c>
      <c r="H1271" s="69" t="s">
        <v>1640</v>
      </c>
      <c r="J1271" s="69" t="s">
        <v>1638</v>
      </c>
      <c r="K1271" s="69" t="s">
        <v>1643</v>
      </c>
      <c r="L1271" s="253">
        <v>64</v>
      </c>
      <c r="M1271" s="253">
        <v>59</v>
      </c>
      <c r="N1271" s="253">
        <v>55</v>
      </c>
      <c r="O1271" s="253">
        <v>55</v>
      </c>
      <c r="P1271" s="253">
        <v>66</v>
      </c>
      <c r="Q1271" s="253">
        <v>60</v>
      </c>
      <c r="R1271" s="253">
        <v>57</v>
      </c>
      <c r="S1271" s="253">
        <v>65</v>
      </c>
      <c r="T1271" s="253">
        <v>56</v>
      </c>
      <c r="U1271" s="253">
        <v>60</v>
      </c>
      <c r="V1271" s="253"/>
      <c r="W1271" s="253">
        <v>56</v>
      </c>
      <c r="X1271" s="253">
        <v>50</v>
      </c>
      <c r="Y1271" s="253">
        <v>54</v>
      </c>
      <c r="Z1271" s="253">
        <v>55</v>
      </c>
      <c r="AA1271" s="253"/>
      <c r="AB1271" s="253"/>
      <c r="AC1271" s="253"/>
      <c r="AD1271" s="253"/>
      <c r="AE1271" s="253"/>
    </row>
    <row r="1272" spans="1:31">
      <c r="A1272" s="33">
        <v>1271</v>
      </c>
      <c r="B1272" s="69" t="s">
        <v>1638</v>
      </c>
      <c r="C1272" s="69" t="s">
        <v>1639</v>
      </c>
      <c r="D1272" s="56">
        <v>42640</v>
      </c>
      <c r="F1272" s="56"/>
      <c r="G1272" s="69" t="str">
        <f t="shared" si="19"/>
        <v>User Registration</v>
      </c>
      <c r="H1272" s="69" t="s">
        <v>1640</v>
      </c>
      <c r="J1272" s="69" t="s">
        <v>1638</v>
      </c>
      <c r="K1272" s="13" t="s">
        <v>1644</v>
      </c>
      <c r="L1272" s="253">
        <v>58</v>
      </c>
      <c r="M1272" s="253">
        <v>59</v>
      </c>
      <c r="N1272" s="253">
        <v>52</v>
      </c>
      <c r="O1272" s="253">
        <v>57</v>
      </c>
      <c r="P1272" s="253">
        <v>56</v>
      </c>
      <c r="Q1272" s="253">
        <v>57</v>
      </c>
      <c r="R1272" s="253">
        <v>58</v>
      </c>
      <c r="S1272" s="253">
        <v>60</v>
      </c>
      <c r="T1272" s="253">
        <v>57</v>
      </c>
      <c r="U1272" s="253">
        <v>58</v>
      </c>
      <c r="V1272" s="253"/>
      <c r="W1272" s="253">
        <v>49</v>
      </c>
      <c r="X1272" s="253">
        <v>52</v>
      </c>
      <c r="Y1272" s="253">
        <v>53</v>
      </c>
      <c r="Z1272" s="253">
        <v>65</v>
      </c>
      <c r="AA1272" s="253"/>
      <c r="AB1272" s="253"/>
      <c r="AC1272" s="253"/>
      <c r="AD1272" s="253"/>
      <c r="AE1272" s="253"/>
    </row>
    <row r="1273" spans="1:31">
      <c r="A1273" s="33">
        <v>1272</v>
      </c>
      <c r="B1273" s="69" t="s">
        <v>1638</v>
      </c>
      <c r="C1273" s="69" t="s">
        <v>1639</v>
      </c>
      <c r="D1273" s="56">
        <v>42640</v>
      </c>
      <c r="F1273" s="56"/>
      <c r="G1273" s="69" t="str">
        <f t="shared" si="19"/>
        <v>User Registration</v>
      </c>
      <c r="H1273" s="69" t="s">
        <v>1640</v>
      </c>
      <c r="J1273" s="69" t="s">
        <v>1638</v>
      </c>
      <c r="K1273" s="69" t="s">
        <v>1638</v>
      </c>
      <c r="L1273" s="253">
        <v>55</v>
      </c>
      <c r="M1273" s="253">
        <v>56</v>
      </c>
      <c r="N1273" s="253">
        <v>51</v>
      </c>
      <c r="O1273" s="253">
        <v>56</v>
      </c>
      <c r="P1273" s="253">
        <v>53</v>
      </c>
      <c r="Q1273" s="253">
        <v>53</v>
      </c>
      <c r="R1273" s="253">
        <v>54</v>
      </c>
      <c r="S1273" s="253">
        <v>62</v>
      </c>
      <c r="T1273" s="253">
        <v>53</v>
      </c>
      <c r="U1273" s="253">
        <v>53</v>
      </c>
      <c r="V1273" s="253"/>
      <c r="W1273" s="253">
        <v>50</v>
      </c>
      <c r="X1273" s="253">
        <v>49</v>
      </c>
      <c r="Y1273" s="253">
        <v>54</v>
      </c>
      <c r="Z1273" s="253">
        <v>62</v>
      </c>
      <c r="AA1273" s="253"/>
      <c r="AB1273" s="253"/>
      <c r="AC1273" s="253"/>
      <c r="AD1273" s="253"/>
      <c r="AE1273" s="253"/>
    </row>
    <row r="1274" spans="1:31">
      <c r="A1274" s="33">
        <v>1273</v>
      </c>
      <c r="B1274" s="69" t="s">
        <v>551</v>
      </c>
      <c r="C1274" s="69" t="s">
        <v>740</v>
      </c>
      <c r="D1274" s="56">
        <v>42641</v>
      </c>
      <c r="G1274" s="69" t="str">
        <f t="shared" si="19"/>
        <v>User Registration</v>
      </c>
      <c r="H1274" s="69" t="s">
        <v>494</v>
      </c>
      <c r="J1274" s="69" t="s">
        <v>551</v>
      </c>
      <c r="K1274" s="69" t="s">
        <v>1184</v>
      </c>
      <c r="L1274" s="253">
        <v>64</v>
      </c>
      <c r="M1274" s="253">
        <v>62</v>
      </c>
      <c r="N1274" s="253">
        <v>64</v>
      </c>
      <c r="O1274" s="253">
        <v>57</v>
      </c>
      <c r="P1274" s="253">
        <v>67</v>
      </c>
      <c r="Q1274" s="253">
        <v>63</v>
      </c>
      <c r="R1274" s="253">
        <v>63</v>
      </c>
      <c r="S1274" s="253">
        <v>65</v>
      </c>
      <c r="T1274" s="253">
        <v>57</v>
      </c>
      <c r="U1274" s="253">
        <v>64</v>
      </c>
      <c r="V1274" s="253"/>
      <c r="W1274" s="253">
        <v>64</v>
      </c>
      <c r="X1274" s="253"/>
      <c r="Y1274" s="253">
        <v>57</v>
      </c>
      <c r="Z1274" s="253">
        <v>53</v>
      </c>
      <c r="AA1274" s="253"/>
      <c r="AB1274" s="253"/>
      <c r="AC1274" s="253"/>
      <c r="AD1274" s="253"/>
      <c r="AE1274" s="253"/>
    </row>
    <row r="1275" spans="1:31">
      <c r="A1275" s="33">
        <v>1274</v>
      </c>
      <c r="B1275" s="69" t="s">
        <v>551</v>
      </c>
      <c r="C1275" s="69" t="s">
        <v>740</v>
      </c>
      <c r="D1275" s="56">
        <v>42641</v>
      </c>
      <c r="F1275" s="56"/>
      <c r="G1275" s="69" t="str">
        <f t="shared" si="19"/>
        <v>User Registration</v>
      </c>
      <c r="H1275" s="69" t="s">
        <v>494</v>
      </c>
      <c r="J1275" s="69" t="s">
        <v>551</v>
      </c>
      <c r="K1275" s="13" t="s">
        <v>1635</v>
      </c>
      <c r="L1275" s="253">
        <v>62</v>
      </c>
      <c r="M1275" s="253">
        <v>59</v>
      </c>
      <c r="N1275" s="253">
        <v>55</v>
      </c>
      <c r="O1275" s="253">
        <v>52</v>
      </c>
      <c r="P1275" s="253">
        <v>62</v>
      </c>
      <c r="Q1275" s="253">
        <v>58</v>
      </c>
      <c r="R1275" s="253">
        <v>56</v>
      </c>
      <c r="S1275" s="253">
        <v>62</v>
      </c>
      <c r="T1275" s="253">
        <v>54</v>
      </c>
      <c r="U1275" s="253">
        <v>62</v>
      </c>
      <c r="V1275" s="253"/>
      <c r="W1275" s="253">
        <v>54</v>
      </c>
      <c r="X1275" s="253"/>
      <c r="Y1275" s="253">
        <v>45</v>
      </c>
      <c r="Z1275" s="253">
        <v>63</v>
      </c>
      <c r="AA1275" s="253"/>
      <c r="AB1275" s="253"/>
      <c r="AC1275" s="253"/>
      <c r="AD1275" s="253"/>
      <c r="AE1275" s="253"/>
    </row>
    <row r="1276" spans="1:31">
      <c r="A1276" s="33">
        <v>1275</v>
      </c>
      <c r="B1276" s="69" t="s">
        <v>551</v>
      </c>
      <c r="C1276" s="69" t="s">
        <v>740</v>
      </c>
      <c r="D1276" s="56">
        <v>42641</v>
      </c>
      <c r="F1276" s="56"/>
      <c r="G1276" s="69" t="str">
        <f t="shared" si="19"/>
        <v>User Registration</v>
      </c>
      <c r="H1276" s="69" t="s">
        <v>494</v>
      </c>
      <c r="J1276" s="69" t="s">
        <v>551</v>
      </c>
      <c r="K1276" s="13" t="s">
        <v>551</v>
      </c>
      <c r="L1276" s="253">
        <v>57</v>
      </c>
      <c r="M1276" s="253">
        <v>53</v>
      </c>
      <c r="N1276" s="253">
        <v>60</v>
      </c>
      <c r="O1276" s="253">
        <v>52</v>
      </c>
      <c r="P1276" s="253">
        <v>62</v>
      </c>
      <c r="Q1276" s="253">
        <v>57</v>
      </c>
      <c r="R1276" s="253">
        <v>53</v>
      </c>
      <c r="S1276" s="253">
        <v>58</v>
      </c>
      <c r="T1276" s="253">
        <v>49</v>
      </c>
      <c r="U1276" s="253">
        <v>55</v>
      </c>
      <c r="V1276" s="253"/>
      <c r="W1276" s="253">
        <v>63</v>
      </c>
      <c r="X1276" s="253"/>
      <c r="Y1276" s="253">
        <v>60</v>
      </c>
      <c r="Z1276" s="253">
        <v>35</v>
      </c>
      <c r="AA1276" s="253"/>
      <c r="AB1276" s="253"/>
      <c r="AC1276" s="253"/>
      <c r="AD1276" s="253"/>
      <c r="AE1276" s="253"/>
    </row>
    <row r="1277" spans="1:31">
      <c r="A1277" s="33">
        <v>1276</v>
      </c>
      <c r="B1277" s="69" t="s">
        <v>551</v>
      </c>
      <c r="C1277" s="69" t="s">
        <v>740</v>
      </c>
      <c r="D1277" s="56">
        <v>42641</v>
      </c>
      <c r="F1277" s="56"/>
      <c r="G1277" s="69" t="str">
        <f t="shared" si="19"/>
        <v>User Registration</v>
      </c>
      <c r="H1277" s="69" t="s">
        <v>494</v>
      </c>
      <c r="J1277" s="69" t="s">
        <v>551</v>
      </c>
      <c r="K1277" s="13" t="s">
        <v>1636</v>
      </c>
      <c r="L1277" s="253">
        <v>60</v>
      </c>
      <c r="M1277" s="253">
        <v>54</v>
      </c>
      <c r="N1277" s="253">
        <v>58</v>
      </c>
      <c r="O1277" s="253">
        <v>50</v>
      </c>
      <c r="P1277" s="253">
        <v>61</v>
      </c>
      <c r="Q1277" s="253">
        <v>52</v>
      </c>
      <c r="R1277" s="253">
        <v>54</v>
      </c>
      <c r="S1277" s="253">
        <v>56</v>
      </c>
      <c r="T1277" s="253">
        <v>51</v>
      </c>
      <c r="U1277" s="253">
        <v>56</v>
      </c>
      <c r="V1277" s="253"/>
      <c r="W1277" s="253">
        <v>60</v>
      </c>
      <c r="X1277" s="253"/>
      <c r="Y1277" s="253">
        <v>47</v>
      </c>
      <c r="Z1277" s="253">
        <v>54</v>
      </c>
      <c r="AA1277" s="253"/>
      <c r="AB1277" s="253"/>
      <c r="AC1277" s="253"/>
      <c r="AD1277" s="253"/>
      <c r="AE1277" s="253"/>
    </row>
    <row r="1278" spans="1:31">
      <c r="A1278" s="33">
        <v>1277</v>
      </c>
      <c r="B1278" s="69" t="s">
        <v>551</v>
      </c>
      <c r="C1278" s="69" t="s">
        <v>740</v>
      </c>
      <c r="D1278" s="56">
        <v>42641</v>
      </c>
      <c r="F1278" s="56"/>
      <c r="G1278" s="69" t="str">
        <f t="shared" si="19"/>
        <v>User Registration</v>
      </c>
      <c r="H1278" s="69" t="s">
        <v>494</v>
      </c>
      <c r="J1278" s="69" t="s">
        <v>551</v>
      </c>
      <c r="K1278" s="13" t="s">
        <v>1637</v>
      </c>
      <c r="L1278" s="253">
        <v>55</v>
      </c>
      <c r="M1278" s="253">
        <v>53</v>
      </c>
      <c r="N1278" s="253">
        <v>59</v>
      </c>
      <c r="O1278" s="253">
        <v>51</v>
      </c>
      <c r="P1278" s="253">
        <v>55</v>
      </c>
      <c r="Q1278" s="253">
        <v>44</v>
      </c>
      <c r="R1278" s="253">
        <v>55</v>
      </c>
      <c r="S1278" s="253">
        <v>52</v>
      </c>
      <c r="T1278" s="253">
        <v>52</v>
      </c>
      <c r="U1278" s="253">
        <v>57</v>
      </c>
      <c r="V1278" s="253"/>
      <c r="W1278" s="253">
        <v>62</v>
      </c>
      <c r="X1278" s="253"/>
      <c r="Y1278" s="253">
        <v>48</v>
      </c>
      <c r="Z1278" s="253">
        <v>55</v>
      </c>
      <c r="AA1278" s="253"/>
      <c r="AB1278" s="253"/>
      <c r="AC1278" s="253"/>
      <c r="AD1278" s="253"/>
      <c r="AE1278" s="253"/>
    </row>
    <row r="1279" spans="1:31">
      <c r="A1279" s="33">
        <v>1278</v>
      </c>
      <c r="B1279" s="69" t="s">
        <v>1630</v>
      </c>
      <c r="C1279" s="69" t="s">
        <v>740</v>
      </c>
      <c r="D1279" s="56">
        <v>42643</v>
      </c>
      <c r="G1279" s="69" t="str">
        <f t="shared" si="19"/>
        <v>User Registration</v>
      </c>
      <c r="H1279" s="69" t="s">
        <v>974</v>
      </c>
      <c r="J1279" s="69" t="s">
        <v>1630</v>
      </c>
      <c r="K1279" s="69" t="s">
        <v>1631</v>
      </c>
      <c r="L1279" s="253">
        <v>63</v>
      </c>
      <c r="M1279" s="253">
        <v>62</v>
      </c>
      <c r="N1279" s="253">
        <v>54</v>
      </c>
      <c r="O1279" s="253">
        <v>52</v>
      </c>
      <c r="P1279" s="253">
        <v>65</v>
      </c>
      <c r="Q1279" s="253">
        <v>65</v>
      </c>
      <c r="R1279" s="253">
        <v>62</v>
      </c>
      <c r="S1279" s="253">
        <v>64</v>
      </c>
      <c r="T1279" s="253">
        <v>61</v>
      </c>
      <c r="U1279" s="253">
        <v>60</v>
      </c>
      <c r="V1279" s="253"/>
      <c r="W1279" s="253">
        <v>50</v>
      </c>
      <c r="X1279" s="253"/>
      <c r="Y1279" s="253">
        <v>45</v>
      </c>
      <c r="Z1279" s="253">
        <v>56</v>
      </c>
      <c r="AA1279" s="253"/>
      <c r="AB1279" s="253"/>
      <c r="AC1279" s="253"/>
      <c r="AD1279" s="253"/>
      <c r="AE1279" s="253"/>
    </row>
    <row r="1280" spans="1:31">
      <c r="A1280" s="33">
        <v>1279</v>
      </c>
      <c r="B1280" s="69" t="s">
        <v>1630</v>
      </c>
      <c r="C1280" s="69" t="s">
        <v>740</v>
      </c>
      <c r="D1280" s="56">
        <v>42643</v>
      </c>
      <c r="G1280" s="69" t="str">
        <f t="shared" si="19"/>
        <v>User Registration</v>
      </c>
      <c r="H1280" s="69" t="s">
        <v>974</v>
      </c>
      <c r="J1280" s="69" t="s">
        <v>1630</v>
      </c>
      <c r="K1280" s="69" t="s">
        <v>1630</v>
      </c>
      <c r="L1280" s="253">
        <v>60</v>
      </c>
      <c r="M1280" s="253">
        <v>56</v>
      </c>
      <c r="N1280" s="253">
        <v>55</v>
      </c>
      <c r="O1280" s="253">
        <v>51</v>
      </c>
      <c r="P1280" s="253">
        <v>61</v>
      </c>
      <c r="Q1280" s="253">
        <v>63</v>
      </c>
      <c r="R1280" s="253">
        <v>54</v>
      </c>
      <c r="S1280" s="253">
        <v>60</v>
      </c>
      <c r="T1280" s="253">
        <v>53</v>
      </c>
      <c r="U1280" s="253">
        <v>51</v>
      </c>
      <c r="V1280" s="253"/>
      <c r="W1280" s="253">
        <v>54</v>
      </c>
      <c r="X1280" s="253"/>
      <c r="Y1280" s="253">
        <v>45</v>
      </c>
      <c r="Z1280" s="253">
        <v>57</v>
      </c>
      <c r="AA1280" s="253"/>
      <c r="AB1280" s="253"/>
      <c r="AC1280" s="253"/>
      <c r="AD1280" s="253"/>
      <c r="AE1280" s="253"/>
    </row>
    <row r="1281" spans="1:31">
      <c r="A1281" s="33">
        <v>1280</v>
      </c>
      <c r="B1281" s="69" t="s">
        <v>1630</v>
      </c>
      <c r="C1281" s="69" t="s">
        <v>740</v>
      </c>
      <c r="D1281" s="56">
        <v>42643</v>
      </c>
      <c r="G1281" s="69" t="str">
        <f t="shared" si="19"/>
        <v>User Registration</v>
      </c>
      <c r="H1281" s="69" t="s">
        <v>974</v>
      </c>
      <c r="J1281" s="69" t="s">
        <v>1630</v>
      </c>
      <c r="K1281" s="69" t="s">
        <v>1632</v>
      </c>
      <c r="L1281" s="253">
        <v>59</v>
      </c>
      <c r="M1281" s="253">
        <v>58</v>
      </c>
      <c r="N1281" s="253">
        <v>57</v>
      </c>
      <c r="O1281" s="253">
        <v>52</v>
      </c>
      <c r="P1281" s="253">
        <v>60</v>
      </c>
      <c r="Q1281" s="253">
        <v>63</v>
      </c>
      <c r="R1281" s="253">
        <v>57</v>
      </c>
      <c r="S1281" s="253">
        <v>57</v>
      </c>
      <c r="T1281" s="253">
        <v>56</v>
      </c>
      <c r="U1281" s="253">
        <v>58</v>
      </c>
      <c r="V1281" s="253"/>
      <c r="W1281" s="253">
        <v>56</v>
      </c>
      <c r="X1281" s="253"/>
      <c r="Y1281" s="253">
        <v>48</v>
      </c>
      <c r="Z1281" s="253">
        <v>55</v>
      </c>
      <c r="AA1281" s="253"/>
      <c r="AB1281" s="253"/>
      <c r="AC1281" s="253"/>
      <c r="AD1281" s="253"/>
      <c r="AE1281" s="253"/>
    </row>
    <row r="1282" spans="1:31">
      <c r="A1282" s="33">
        <v>1281</v>
      </c>
      <c r="B1282" s="69" t="s">
        <v>1630</v>
      </c>
      <c r="C1282" s="69" t="s">
        <v>740</v>
      </c>
      <c r="D1282" s="56">
        <v>42643</v>
      </c>
      <c r="G1282" s="69" t="str">
        <f t="shared" ref="G1282:G1345" si="20">IF(V1282&gt;0,IF(W1282&gt;0,"Both","E-Commerce"),IF(W1282=0, "ERROR","User Registration"))</f>
        <v>User Registration</v>
      </c>
      <c r="H1282" s="69" t="s">
        <v>974</v>
      </c>
      <c r="J1282" s="69" t="s">
        <v>1630</v>
      </c>
      <c r="K1282" s="69" t="s">
        <v>1633</v>
      </c>
      <c r="L1282" s="253">
        <v>51</v>
      </c>
      <c r="M1282" s="253">
        <v>52</v>
      </c>
      <c r="N1282" s="253">
        <v>49</v>
      </c>
      <c r="O1282" s="253">
        <v>47</v>
      </c>
      <c r="P1282" s="253">
        <v>51</v>
      </c>
      <c r="Q1282" s="253">
        <v>61</v>
      </c>
      <c r="R1282" s="253">
        <v>51</v>
      </c>
      <c r="S1282" s="253">
        <v>48</v>
      </c>
      <c r="T1282" s="253">
        <v>50</v>
      </c>
      <c r="U1282" s="253">
        <v>49</v>
      </c>
      <c r="V1282" s="253"/>
      <c r="W1282" s="253">
        <v>47</v>
      </c>
      <c r="X1282" s="253"/>
      <c r="Y1282" s="253">
        <v>43</v>
      </c>
      <c r="Z1282" s="253">
        <v>52</v>
      </c>
      <c r="AA1282" s="253"/>
      <c r="AB1282" s="253"/>
      <c r="AC1282" s="253"/>
      <c r="AD1282" s="253"/>
      <c r="AE1282" s="253"/>
    </row>
    <row r="1283" spans="1:31">
      <c r="A1283" s="33">
        <v>1282</v>
      </c>
      <c r="B1283" s="69" t="s">
        <v>1630</v>
      </c>
      <c r="C1283" s="69" t="s">
        <v>740</v>
      </c>
      <c r="D1283" s="56">
        <v>42643</v>
      </c>
      <c r="F1283" s="56"/>
      <c r="G1283" s="69" t="str">
        <f t="shared" si="20"/>
        <v>User Registration</v>
      </c>
      <c r="H1283" s="69" t="s">
        <v>974</v>
      </c>
      <c r="J1283" s="69" t="s">
        <v>1630</v>
      </c>
      <c r="K1283" s="13" t="s">
        <v>1634</v>
      </c>
      <c r="L1283" s="253">
        <v>57</v>
      </c>
      <c r="M1283" s="253">
        <v>52</v>
      </c>
      <c r="N1283" s="253">
        <v>44</v>
      </c>
      <c r="O1283" s="253">
        <v>46</v>
      </c>
      <c r="P1283" s="253">
        <v>63</v>
      </c>
      <c r="Q1283" s="253">
        <v>46</v>
      </c>
      <c r="R1283" s="253">
        <v>56</v>
      </c>
      <c r="S1283" s="253">
        <v>56</v>
      </c>
      <c r="T1283" s="253">
        <v>55</v>
      </c>
      <c r="U1283" s="253">
        <v>55</v>
      </c>
      <c r="V1283" s="253"/>
      <c r="W1283" s="253">
        <v>40</v>
      </c>
      <c r="X1283" s="253"/>
      <c r="Y1283" s="253">
        <v>48</v>
      </c>
      <c r="Z1283" s="253">
        <v>35</v>
      </c>
      <c r="AA1283" s="253"/>
      <c r="AB1283" s="253"/>
      <c r="AC1283" s="253"/>
      <c r="AD1283" s="253"/>
      <c r="AE1283" s="253"/>
    </row>
    <row r="1284" spans="1:31">
      <c r="A1284" s="33">
        <v>1283</v>
      </c>
      <c r="B1284" s="69" t="s">
        <v>731</v>
      </c>
      <c r="C1284" s="69" t="s">
        <v>740</v>
      </c>
      <c r="D1284" s="56">
        <v>42650</v>
      </c>
      <c r="G1284" s="69" t="str">
        <f t="shared" si="20"/>
        <v>E-Commerce</v>
      </c>
      <c r="H1284" s="69" t="s">
        <v>1624</v>
      </c>
      <c r="J1284" s="69" t="s">
        <v>731</v>
      </c>
      <c r="K1284" s="69" t="s">
        <v>731</v>
      </c>
      <c r="L1284" s="253">
        <v>61</v>
      </c>
      <c r="M1284" s="253">
        <v>63</v>
      </c>
      <c r="N1284" s="253">
        <v>63</v>
      </c>
      <c r="O1284" s="253">
        <v>59</v>
      </c>
      <c r="P1284" s="253">
        <v>60</v>
      </c>
      <c r="Q1284" s="253">
        <v>61</v>
      </c>
      <c r="R1284" s="253">
        <v>62</v>
      </c>
      <c r="S1284" s="253">
        <v>60</v>
      </c>
      <c r="T1284" s="253">
        <v>62</v>
      </c>
      <c r="U1284" s="253">
        <v>65</v>
      </c>
      <c r="V1284" s="253">
        <v>63</v>
      </c>
      <c r="W1284" s="253"/>
      <c r="X1284" s="253">
        <v>62</v>
      </c>
      <c r="Y1284" s="253">
        <v>55</v>
      </c>
      <c r="Z1284" s="253">
        <v>65</v>
      </c>
      <c r="AA1284" s="253"/>
      <c r="AB1284" s="253"/>
      <c r="AC1284" s="253"/>
      <c r="AD1284" s="253"/>
      <c r="AE1284" s="253"/>
    </row>
    <row r="1285" spans="1:31">
      <c r="A1285" s="33">
        <v>1284</v>
      </c>
      <c r="B1285" s="69" t="s">
        <v>731</v>
      </c>
      <c r="C1285" s="69" t="s">
        <v>740</v>
      </c>
      <c r="D1285" s="56">
        <v>42650</v>
      </c>
      <c r="G1285" s="69" t="str">
        <f t="shared" si="20"/>
        <v>E-Commerce</v>
      </c>
      <c r="H1285" s="69" t="s">
        <v>1624</v>
      </c>
      <c r="J1285" s="69" t="s">
        <v>731</v>
      </c>
      <c r="K1285" s="69" t="s">
        <v>1541</v>
      </c>
      <c r="L1285" s="253">
        <v>58</v>
      </c>
      <c r="M1285" s="253">
        <v>61</v>
      </c>
      <c r="N1285" s="253">
        <v>60</v>
      </c>
      <c r="O1285" s="253">
        <v>58</v>
      </c>
      <c r="P1285" s="253">
        <v>56</v>
      </c>
      <c r="Q1285" s="253">
        <v>60</v>
      </c>
      <c r="R1285" s="253">
        <v>62</v>
      </c>
      <c r="S1285" s="253">
        <v>53</v>
      </c>
      <c r="T1285" s="253">
        <v>62</v>
      </c>
      <c r="U1285" s="253">
        <v>64</v>
      </c>
      <c r="V1285" s="253">
        <v>62</v>
      </c>
      <c r="W1285" s="253"/>
      <c r="X1285" s="253">
        <v>54</v>
      </c>
      <c r="Y1285" s="253">
        <v>53</v>
      </c>
      <c r="Z1285" s="253">
        <v>66</v>
      </c>
      <c r="AA1285" s="253"/>
      <c r="AB1285" s="253"/>
      <c r="AC1285" s="253"/>
      <c r="AD1285" s="253"/>
      <c r="AE1285" s="253"/>
    </row>
    <row r="1286" spans="1:31">
      <c r="A1286" s="33">
        <v>1285</v>
      </c>
      <c r="B1286" s="69" t="s">
        <v>731</v>
      </c>
      <c r="C1286" s="69" t="s">
        <v>740</v>
      </c>
      <c r="D1286" s="56">
        <v>42650</v>
      </c>
      <c r="G1286" s="69" t="str">
        <f t="shared" si="20"/>
        <v>E-Commerce</v>
      </c>
      <c r="H1286" s="69" t="s">
        <v>1624</v>
      </c>
      <c r="J1286" s="69" t="s">
        <v>731</v>
      </c>
      <c r="K1286" s="69" t="s">
        <v>728</v>
      </c>
      <c r="L1286" s="253">
        <v>56</v>
      </c>
      <c r="M1286" s="253">
        <v>62</v>
      </c>
      <c r="N1286" s="253">
        <v>61</v>
      </c>
      <c r="O1286" s="253">
        <v>55</v>
      </c>
      <c r="P1286" s="253">
        <v>55</v>
      </c>
      <c r="Q1286" s="253">
        <v>62</v>
      </c>
      <c r="R1286" s="253">
        <v>64</v>
      </c>
      <c r="S1286" s="253">
        <v>52</v>
      </c>
      <c r="T1286" s="253">
        <v>63</v>
      </c>
      <c r="U1286" s="253">
        <v>67</v>
      </c>
      <c r="V1286" s="253">
        <v>64</v>
      </c>
      <c r="W1286" s="253"/>
      <c r="X1286" s="253">
        <v>62</v>
      </c>
      <c r="Y1286" s="253">
        <v>51</v>
      </c>
      <c r="Z1286" s="253">
        <v>60</v>
      </c>
      <c r="AA1286" s="253"/>
      <c r="AB1286" s="253"/>
      <c r="AC1286" s="253"/>
      <c r="AD1286" s="253"/>
      <c r="AE1286" s="253"/>
    </row>
    <row r="1287" spans="1:31">
      <c r="A1287" s="33">
        <v>1286</v>
      </c>
      <c r="B1287" s="69" t="s">
        <v>1625</v>
      </c>
      <c r="C1287" s="69" t="s">
        <v>740</v>
      </c>
      <c r="D1287" s="56">
        <v>42650</v>
      </c>
      <c r="G1287" s="69" t="str">
        <f t="shared" si="20"/>
        <v>User Registration</v>
      </c>
      <c r="H1287" s="69" t="s">
        <v>922</v>
      </c>
      <c r="J1287" s="69" t="s">
        <v>1625</v>
      </c>
      <c r="K1287" s="69" t="s">
        <v>1626</v>
      </c>
      <c r="L1287" s="253">
        <v>60</v>
      </c>
      <c r="M1287" s="253">
        <v>55</v>
      </c>
      <c r="N1287" s="253">
        <v>57</v>
      </c>
      <c r="O1287" s="253">
        <v>52</v>
      </c>
      <c r="P1287" s="253">
        <v>60</v>
      </c>
      <c r="Q1287" s="253">
        <v>60</v>
      </c>
      <c r="R1287" s="253">
        <v>59</v>
      </c>
      <c r="S1287" s="253">
        <v>47</v>
      </c>
      <c r="T1287" s="253">
        <v>59</v>
      </c>
      <c r="U1287" s="253">
        <v>52</v>
      </c>
      <c r="V1287" s="253"/>
      <c r="W1287" s="253">
        <v>57</v>
      </c>
      <c r="X1287" s="253">
        <v>56</v>
      </c>
      <c r="Y1287" s="253">
        <v>47</v>
      </c>
      <c r="Z1287" s="253">
        <v>58</v>
      </c>
      <c r="AA1287" s="253"/>
      <c r="AB1287" s="253"/>
      <c r="AC1287" s="253"/>
      <c r="AD1287" s="253"/>
      <c r="AE1287" s="253"/>
    </row>
    <row r="1288" spans="1:31">
      <c r="A1288" s="33">
        <v>1287</v>
      </c>
      <c r="B1288" s="151" t="s">
        <v>1625</v>
      </c>
      <c r="C1288" s="69" t="s">
        <v>740</v>
      </c>
      <c r="D1288" s="56">
        <v>42650</v>
      </c>
      <c r="F1288" s="56"/>
      <c r="G1288" s="69" t="str">
        <f t="shared" si="20"/>
        <v>User Registration</v>
      </c>
      <c r="H1288" s="69" t="s">
        <v>922</v>
      </c>
      <c r="J1288" s="151" t="s">
        <v>1625</v>
      </c>
      <c r="K1288" s="195" t="s">
        <v>1627</v>
      </c>
      <c r="L1288" s="253">
        <v>55</v>
      </c>
      <c r="M1288" s="253">
        <v>51</v>
      </c>
      <c r="N1288" s="253">
        <v>52</v>
      </c>
      <c r="O1288" s="253">
        <v>48</v>
      </c>
      <c r="P1288" s="253">
        <v>58</v>
      </c>
      <c r="Q1288" s="253">
        <v>57</v>
      </c>
      <c r="R1288" s="253">
        <v>54</v>
      </c>
      <c r="S1288" s="253">
        <v>48</v>
      </c>
      <c r="T1288" s="253">
        <v>52</v>
      </c>
      <c r="U1288" s="253">
        <v>50</v>
      </c>
      <c r="V1288" s="253"/>
      <c r="W1288" s="253">
        <v>50</v>
      </c>
      <c r="X1288" s="253">
        <v>53</v>
      </c>
      <c r="Y1288" s="253">
        <v>49</v>
      </c>
      <c r="Z1288" s="253">
        <v>42</v>
      </c>
      <c r="AA1288" s="253"/>
      <c r="AB1288" s="253"/>
      <c r="AC1288" s="253"/>
      <c r="AD1288" s="253"/>
      <c r="AE1288" s="253"/>
    </row>
    <row r="1289" spans="1:31">
      <c r="A1289" s="33">
        <v>1288</v>
      </c>
      <c r="B1289" s="151" t="s">
        <v>1625</v>
      </c>
      <c r="C1289" s="69" t="s">
        <v>740</v>
      </c>
      <c r="D1289" s="56">
        <v>42650</v>
      </c>
      <c r="F1289" s="56"/>
      <c r="G1289" s="69" t="str">
        <f t="shared" si="20"/>
        <v>User Registration</v>
      </c>
      <c r="H1289" s="69" t="s">
        <v>922</v>
      </c>
      <c r="J1289" s="151" t="s">
        <v>1625</v>
      </c>
      <c r="K1289" s="151" t="s">
        <v>1625</v>
      </c>
      <c r="L1289" s="253">
        <v>50</v>
      </c>
      <c r="M1289" s="253">
        <v>48</v>
      </c>
      <c r="N1289" s="253">
        <v>48</v>
      </c>
      <c r="O1289" s="253">
        <v>48</v>
      </c>
      <c r="P1289" s="253">
        <v>52</v>
      </c>
      <c r="Q1289" s="253">
        <v>50</v>
      </c>
      <c r="R1289" s="253">
        <v>50</v>
      </c>
      <c r="S1289" s="253">
        <v>50</v>
      </c>
      <c r="T1289" s="253">
        <v>49</v>
      </c>
      <c r="U1289" s="253">
        <v>47</v>
      </c>
      <c r="V1289" s="253"/>
      <c r="W1289" s="253">
        <v>44</v>
      </c>
      <c r="X1289" s="253">
        <v>52</v>
      </c>
      <c r="Y1289" s="253">
        <v>51</v>
      </c>
      <c r="Z1289" s="253">
        <v>40</v>
      </c>
      <c r="AA1289" s="253"/>
      <c r="AB1289" s="253"/>
      <c r="AC1289" s="253"/>
      <c r="AD1289" s="253"/>
      <c r="AE1289" s="253"/>
    </row>
    <row r="1290" spans="1:31">
      <c r="A1290" s="33">
        <v>1289</v>
      </c>
      <c r="B1290" s="69" t="s">
        <v>1625</v>
      </c>
      <c r="C1290" s="69" t="s">
        <v>740</v>
      </c>
      <c r="D1290" s="56">
        <v>42650</v>
      </c>
      <c r="F1290" s="56"/>
      <c r="G1290" s="69" t="str">
        <f t="shared" si="20"/>
        <v>User Registration</v>
      </c>
      <c r="H1290" s="69" t="s">
        <v>922</v>
      </c>
      <c r="J1290" s="69" t="s">
        <v>1625</v>
      </c>
      <c r="K1290" s="13" t="s">
        <v>1628</v>
      </c>
      <c r="L1290" s="253">
        <v>60</v>
      </c>
      <c r="M1290" s="253">
        <v>53</v>
      </c>
      <c r="N1290" s="253">
        <v>52</v>
      </c>
      <c r="O1290" s="253">
        <v>58</v>
      </c>
      <c r="P1290" s="253">
        <v>59</v>
      </c>
      <c r="Q1290" s="253">
        <v>44</v>
      </c>
      <c r="R1290" s="253">
        <v>57</v>
      </c>
      <c r="S1290" s="253">
        <v>52</v>
      </c>
      <c r="T1290" s="253">
        <v>57</v>
      </c>
      <c r="U1290" s="253">
        <v>50</v>
      </c>
      <c r="V1290" s="253"/>
      <c r="W1290" s="253">
        <v>52</v>
      </c>
      <c r="X1290" s="253">
        <v>52</v>
      </c>
      <c r="Y1290" s="253">
        <v>56</v>
      </c>
      <c r="Z1290" s="253">
        <v>65</v>
      </c>
      <c r="AA1290" s="253"/>
      <c r="AB1290" s="253"/>
      <c r="AC1290" s="253"/>
      <c r="AD1290" s="253"/>
      <c r="AE1290" s="253"/>
    </row>
    <row r="1291" spans="1:31">
      <c r="A1291" s="33">
        <v>1290</v>
      </c>
      <c r="B1291" s="151" t="s">
        <v>1625</v>
      </c>
      <c r="C1291" s="69" t="s">
        <v>740</v>
      </c>
      <c r="D1291" s="56">
        <v>42650</v>
      </c>
      <c r="F1291" s="56"/>
      <c r="G1291" s="69" t="str">
        <f t="shared" si="20"/>
        <v>User Registration</v>
      </c>
      <c r="H1291" s="69" t="s">
        <v>922</v>
      </c>
      <c r="J1291" s="151" t="s">
        <v>1625</v>
      </c>
      <c r="K1291" s="195" t="s">
        <v>1629</v>
      </c>
      <c r="L1291" s="253">
        <v>50</v>
      </c>
      <c r="M1291" s="253">
        <v>46</v>
      </c>
      <c r="N1291" s="253">
        <v>47</v>
      </c>
      <c r="O1291" s="253">
        <v>48</v>
      </c>
      <c r="P1291" s="253">
        <v>52</v>
      </c>
      <c r="Q1291" s="253">
        <v>41</v>
      </c>
      <c r="R1291" s="253">
        <v>47</v>
      </c>
      <c r="S1291" s="253">
        <v>49</v>
      </c>
      <c r="T1291" s="253">
        <v>47</v>
      </c>
      <c r="U1291" s="253">
        <v>47</v>
      </c>
      <c r="V1291" s="253"/>
      <c r="W1291" s="253">
        <v>47</v>
      </c>
      <c r="X1291" s="253">
        <v>48</v>
      </c>
      <c r="Y1291" s="253">
        <v>52</v>
      </c>
      <c r="Z1291" s="253">
        <v>41</v>
      </c>
      <c r="AA1291" s="253"/>
      <c r="AB1291" s="253"/>
      <c r="AC1291" s="253"/>
      <c r="AD1291" s="253"/>
      <c r="AE1291" s="253"/>
    </row>
    <row r="1292" spans="1:31">
      <c r="A1292" s="33">
        <v>1291</v>
      </c>
      <c r="B1292" s="69" t="s">
        <v>1618</v>
      </c>
      <c r="C1292" s="69" t="s">
        <v>740</v>
      </c>
      <c r="D1292" s="56">
        <v>42656</v>
      </c>
      <c r="G1292" s="69" t="str">
        <f t="shared" si="20"/>
        <v>User Registration</v>
      </c>
      <c r="H1292" s="69" t="s">
        <v>922</v>
      </c>
      <c r="J1292" s="69" t="s">
        <v>1618</v>
      </c>
      <c r="K1292" s="69" t="s">
        <v>1619</v>
      </c>
      <c r="L1292" s="253">
        <v>59</v>
      </c>
      <c r="M1292" s="253">
        <v>64</v>
      </c>
      <c r="N1292" s="253">
        <v>56</v>
      </c>
      <c r="O1292" s="253">
        <v>57</v>
      </c>
      <c r="P1292" s="253">
        <v>59</v>
      </c>
      <c r="Q1292" s="253">
        <v>67</v>
      </c>
      <c r="R1292" s="253">
        <v>65</v>
      </c>
      <c r="S1292" s="253">
        <v>55</v>
      </c>
      <c r="T1292" s="253">
        <v>65</v>
      </c>
      <c r="U1292" s="253">
        <v>68</v>
      </c>
      <c r="V1292" s="253"/>
      <c r="W1292" s="253">
        <v>51</v>
      </c>
      <c r="X1292" s="253"/>
      <c r="Y1292" s="253">
        <v>54</v>
      </c>
      <c r="Z1292" s="253">
        <v>60</v>
      </c>
      <c r="AA1292" s="253"/>
      <c r="AB1292" s="253"/>
      <c r="AC1292" s="253"/>
      <c r="AD1292" s="253"/>
      <c r="AE1292" s="253"/>
    </row>
    <row r="1293" spans="1:31">
      <c r="A1293" s="33">
        <v>1292</v>
      </c>
      <c r="B1293" s="69" t="s">
        <v>1618</v>
      </c>
      <c r="C1293" s="69" t="s">
        <v>740</v>
      </c>
      <c r="D1293" s="56">
        <v>42656</v>
      </c>
      <c r="G1293" s="69" t="str">
        <f t="shared" si="20"/>
        <v>User Registration</v>
      </c>
      <c r="H1293" s="69" t="s">
        <v>922</v>
      </c>
      <c r="J1293" s="69" t="s">
        <v>1618</v>
      </c>
      <c r="K1293" s="69" t="s">
        <v>1620</v>
      </c>
      <c r="L1293" s="253">
        <v>61</v>
      </c>
      <c r="M1293" s="253">
        <v>60</v>
      </c>
      <c r="N1293" s="253">
        <v>58</v>
      </c>
      <c r="O1293" s="253">
        <v>55</v>
      </c>
      <c r="P1293" s="253">
        <v>60</v>
      </c>
      <c r="Q1293" s="253">
        <v>66</v>
      </c>
      <c r="R1293" s="253">
        <v>59</v>
      </c>
      <c r="S1293" s="253">
        <v>50</v>
      </c>
      <c r="T1293" s="253">
        <v>59</v>
      </c>
      <c r="U1293" s="253">
        <v>62</v>
      </c>
      <c r="V1293" s="253"/>
      <c r="W1293" s="253">
        <v>56</v>
      </c>
      <c r="X1293" s="253"/>
      <c r="Y1293" s="253">
        <v>50</v>
      </c>
      <c r="Z1293" s="253">
        <v>64</v>
      </c>
      <c r="AA1293" s="253"/>
      <c r="AB1293" s="253"/>
      <c r="AC1293" s="253"/>
      <c r="AD1293" s="253"/>
      <c r="AE1293" s="253"/>
    </row>
    <row r="1294" spans="1:31">
      <c r="A1294" s="33">
        <v>1293</v>
      </c>
      <c r="B1294" s="69" t="s">
        <v>1618</v>
      </c>
      <c r="C1294" s="69" t="s">
        <v>740</v>
      </c>
      <c r="D1294" s="56">
        <v>42656</v>
      </c>
      <c r="G1294" s="69" t="str">
        <f t="shared" si="20"/>
        <v>User Registration</v>
      </c>
      <c r="H1294" s="69" t="s">
        <v>922</v>
      </c>
      <c r="J1294" s="69" t="s">
        <v>1618</v>
      </c>
      <c r="K1294" s="69" t="s">
        <v>1618</v>
      </c>
      <c r="L1294" s="253">
        <v>63</v>
      </c>
      <c r="M1294" s="253">
        <v>62</v>
      </c>
      <c r="N1294" s="253">
        <v>58</v>
      </c>
      <c r="O1294" s="253">
        <v>64</v>
      </c>
      <c r="P1294" s="253">
        <v>63</v>
      </c>
      <c r="Q1294" s="253">
        <v>64</v>
      </c>
      <c r="R1294" s="253">
        <v>60</v>
      </c>
      <c r="S1294" s="253">
        <v>64</v>
      </c>
      <c r="T1294" s="253">
        <v>57</v>
      </c>
      <c r="U1294" s="253">
        <v>64</v>
      </c>
      <c r="V1294" s="253"/>
      <c r="W1294" s="253">
        <v>57</v>
      </c>
      <c r="X1294" s="253"/>
      <c r="Y1294" s="253">
        <v>64</v>
      </c>
      <c r="Z1294" s="253">
        <v>65</v>
      </c>
      <c r="AA1294" s="253"/>
      <c r="AB1294" s="253"/>
      <c r="AC1294" s="253"/>
      <c r="AD1294" s="253"/>
      <c r="AE1294" s="253"/>
    </row>
    <row r="1295" spans="1:31">
      <c r="A1295" s="33">
        <v>1294</v>
      </c>
      <c r="B1295" s="69" t="s">
        <v>1618</v>
      </c>
      <c r="C1295" s="69" t="s">
        <v>740</v>
      </c>
      <c r="D1295" s="56">
        <v>42656</v>
      </c>
      <c r="G1295" s="69" t="str">
        <f t="shared" si="20"/>
        <v>User Registration</v>
      </c>
      <c r="H1295" s="69" t="s">
        <v>922</v>
      </c>
      <c r="J1295" s="69" t="s">
        <v>1618</v>
      </c>
      <c r="K1295" s="69" t="s">
        <v>1621</v>
      </c>
      <c r="L1295" s="253">
        <v>55</v>
      </c>
      <c r="M1295" s="253">
        <v>56</v>
      </c>
      <c r="N1295" s="253">
        <v>56</v>
      </c>
      <c r="O1295" s="253">
        <v>53</v>
      </c>
      <c r="P1295" s="253">
        <v>54</v>
      </c>
      <c r="Q1295" s="253">
        <v>64</v>
      </c>
      <c r="R1295" s="253">
        <v>57</v>
      </c>
      <c r="S1295" s="253">
        <v>49</v>
      </c>
      <c r="T1295" s="253">
        <v>57</v>
      </c>
      <c r="U1295" s="253">
        <v>50</v>
      </c>
      <c r="V1295" s="253"/>
      <c r="W1295" s="253">
        <v>55</v>
      </c>
      <c r="X1295" s="253"/>
      <c r="Y1295" s="253">
        <v>47</v>
      </c>
      <c r="Z1295" s="253">
        <v>61</v>
      </c>
      <c r="AA1295" s="253"/>
      <c r="AB1295" s="253"/>
      <c r="AC1295" s="253"/>
      <c r="AD1295" s="253"/>
      <c r="AE1295" s="253"/>
    </row>
    <row r="1296" spans="1:31">
      <c r="A1296" s="33">
        <v>1295</v>
      </c>
      <c r="B1296" s="69" t="s">
        <v>1618</v>
      </c>
      <c r="C1296" s="69" t="s">
        <v>740</v>
      </c>
      <c r="D1296" s="56">
        <v>42656</v>
      </c>
      <c r="G1296" s="69" t="str">
        <f t="shared" si="20"/>
        <v>User Registration</v>
      </c>
      <c r="H1296" s="69" t="s">
        <v>922</v>
      </c>
      <c r="J1296" s="69" t="s">
        <v>1618</v>
      </c>
      <c r="K1296" s="69" t="s">
        <v>1622</v>
      </c>
      <c r="L1296" s="253">
        <v>66</v>
      </c>
      <c r="M1296" s="253">
        <v>59</v>
      </c>
      <c r="N1296" s="253">
        <v>53</v>
      </c>
      <c r="O1296" s="253">
        <v>63</v>
      </c>
      <c r="P1296" s="253">
        <v>66</v>
      </c>
      <c r="Q1296" s="253">
        <v>60</v>
      </c>
      <c r="R1296" s="253">
        <v>54</v>
      </c>
      <c r="S1296" s="253">
        <v>64</v>
      </c>
      <c r="T1296" s="253">
        <v>54</v>
      </c>
      <c r="U1296" s="253">
        <v>60</v>
      </c>
      <c r="V1296" s="253"/>
      <c r="W1296" s="253">
        <v>52</v>
      </c>
      <c r="X1296" s="253"/>
      <c r="Y1296" s="253">
        <v>63</v>
      </c>
      <c r="Z1296" s="253">
        <v>66</v>
      </c>
      <c r="AA1296" s="253"/>
      <c r="AB1296" s="253"/>
      <c r="AC1296" s="253"/>
      <c r="AD1296" s="253"/>
      <c r="AE1296" s="253"/>
    </row>
    <row r="1297" spans="1:31">
      <c r="A1297" s="33">
        <v>1296</v>
      </c>
      <c r="B1297" s="69" t="s">
        <v>1618</v>
      </c>
      <c r="C1297" s="69" t="s">
        <v>740</v>
      </c>
      <c r="D1297" s="56">
        <v>42656</v>
      </c>
      <c r="F1297" s="56"/>
      <c r="G1297" s="69" t="str">
        <f t="shared" si="20"/>
        <v>User Registration</v>
      </c>
      <c r="H1297" s="69" t="s">
        <v>922</v>
      </c>
      <c r="J1297" s="69" t="s">
        <v>1618</v>
      </c>
      <c r="K1297" s="13" t="s">
        <v>1623</v>
      </c>
      <c r="L1297" s="253">
        <v>54</v>
      </c>
      <c r="M1297" s="253">
        <v>47</v>
      </c>
      <c r="N1297" s="253">
        <v>54</v>
      </c>
      <c r="O1297" s="253">
        <v>46</v>
      </c>
      <c r="P1297" s="253">
        <v>56</v>
      </c>
      <c r="Q1297" s="253">
        <v>44</v>
      </c>
      <c r="R1297" s="253">
        <v>48</v>
      </c>
      <c r="S1297" s="253">
        <v>48</v>
      </c>
      <c r="T1297" s="253">
        <v>48</v>
      </c>
      <c r="U1297" s="253">
        <v>48</v>
      </c>
      <c r="V1297" s="253"/>
      <c r="W1297" s="253">
        <v>58</v>
      </c>
      <c r="X1297" s="253"/>
      <c r="Y1297" s="253">
        <v>47</v>
      </c>
      <c r="Z1297" s="253">
        <v>45</v>
      </c>
      <c r="AA1297" s="253"/>
      <c r="AB1297" s="253"/>
      <c r="AC1297" s="253"/>
      <c r="AD1297" s="253"/>
      <c r="AE1297" s="253"/>
    </row>
    <row r="1298" spans="1:31">
      <c r="A1298" s="33">
        <v>1297</v>
      </c>
      <c r="B1298" s="69" t="s">
        <v>1603</v>
      </c>
      <c r="C1298" s="69" t="s">
        <v>740</v>
      </c>
      <c r="D1298" s="56">
        <v>42657</v>
      </c>
      <c r="G1298" s="69" t="str">
        <f t="shared" si="20"/>
        <v>E-Commerce</v>
      </c>
      <c r="H1298" s="69" t="s">
        <v>1604</v>
      </c>
      <c r="J1298" s="69" t="s">
        <v>1603</v>
      </c>
      <c r="K1298" s="69" t="s">
        <v>1603</v>
      </c>
      <c r="L1298" s="253">
        <v>57</v>
      </c>
      <c r="M1298" s="253">
        <v>59</v>
      </c>
      <c r="N1298" s="253">
        <v>55</v>
      </c>
      <c r="O1298" s="253">
        <v>61</v>
      </c>
      <c r="P1298" s="253">
        <v>56</v>
      </c>
      <c r="Q1298" s="253">
        <v>55</v>
      </c>
      <c r="R1298" s="253">
        <v>60</v>
      </c>
      <c r="S1298" s="253">
        <v>64</v>
      </c>
      <c r="T1298" s="253">
        <v>60</v>
      </c>
      <c r="U1298" s="253">
        <v>57</v>
      </c>
      <c r="V1298" s="253">
        <v>57</v>
      </c>
      <c r="W1298" s="253"/>
      <c r="X1298" s="253"/>
      <c r="Y1298" s="253">
        <v>60</v>
      </c>
      <c r="Z1298" s="253">
        <v>63</v>
      </c>
      <c r="AA1298" s="253"/>
      <c r="AB1298" s="253"/>
      <c r="AC1298" s="253"/>
      <c r="AD1298" s="253"/>
      <c r="AE1298" s="253"/>
    </row>
    <row r="1299" spans="1:31">
      <c r="A1299" s="33">
        <v>1298</v>
      </c>
      <c r="B1299" s="69" t="s">
        <v>1603</v>
      </c>
      <c r="C1299" s="69" t="s">
        <v>740</v>
      </c>
      <c r="D1299" s="56">
        <v>42657</v>
      </c>
      <c r="G1299" s="69" t="str">
        <f t="shared" si="20"/>
        <v>E-Commerce</v>
      </c>
      <c r="H1299" s="69" t="s">
        <v>1604</v>
      </c>
      <c r="J1299" s="69" t="s">
        <v>1603</v>
      </c>
      <c r="K1299" s="69" t="s">
        <v>1605</v>
      </c>
      <c r="L1299" s="253">
        <v>58</v>
      </c>
      <c r="M1299" s="253">
        <v>53</v>
      </c>
      <c r="N1299" s="253">
        <v>50</v>
      </c>
      <c r="O1299" s="253">
        <v>53</v>
      </c>
      <c r="P1299" s="253">
        <v>57</v>
      </c>
      <c r="Q1299" s="253">
        <v>47</v>
      </c>
      <c r="R1299" s="253">
        <v>54</v>
      </c>
      <c r="S1299" s="253">
        <v>53</v>
      </c>
      <c r="T1299" s="253">
        <v>53</v>
      </c>
      <c r="U1299" s="253">
        <v>55</v>
      </c>
      <c r="V1299" s="253">
        <v>53</v>
      </c>
      <c r="W1299" s="253"/>
      <c r="X1299" s="253"/>
      <c r="Y1299" s="253">
        <v>48</v>
      </c>
      <c r="Z1299" s="253">
        <v>62</v>
      </c>
      <c r="AA1299" s="253"/>
      <c r="AB1299" s="253"/>
      <c r="AC1299" s="253"/>
      <c r="AD1299" s="253"/>
      <c r="AE1299" s="253"/>
    </row>
    <row r="1300" spans="1:31">
      <c r="A1300" s="33">
        <v>1299</v>
      </c>
      <c r="B1300" s="69" t="s">
        <v>1603</v>
      </c>
      <c r="C1300" s="69" t="s">
        <v>740</v>
      </c>
      <c r="D1300" s="56">
        <v>42657</v>
      </c>
      <c r="G1300" s="69" t="str">
        <f t="shared" si="20"/>
        <v>E-Commerce</v>
      </c>
      <c r="H1300" s="69" t="s">
        <v>1604</v>
      </c>
      <c r="J1300" s="69" t="s">
        <v>1603</v>
      </c>
      <c r="K1300" s="69" t="s">
        <v>1606</v>
      </c>
      <c r="L1300" s="253">
        <v>59</v>
      </c>
      <c r="M1300" s="253">
        <v>54</v>
      </c>
      <c r="N1300" s="253">
        <v>49</v>
      </c>
      <c r="O1300" s="253">
        <v>54</v>
      </c>
      <c r="P1300" s="253">
        <v>59</v>
      </c>
      <c r="Q1300" s="253">
        <v>66</v>
      </c>
      <c r="R1300" s="253">
        <v>52</v>
      </c>
      <c r="S1300" s="253">
        <v>54</v>
      </c>
      <c r="T1300" s="253">
        <v>52</v>
      </c>
      <c r="U1300" s="253">
        <v>50</v>
      </c>
      <c r="V1300" s="253">
        <v>50</v>
      </c>
      <c r="W1300" s="253"/>
      <c r="X1300" s="253"/>
      <c r="Y1300" s="253">
        <v>50</v>
      </c>
      <c r="Z1300" s="253">
        <v>61</v>
      </c>
      <c r="AA1300" s="253"/>
      <c r="AB1300" s="253"/>
      <c r="AC1300" s="253"/>
      <c r="AD1300" s="253"/>
      <c r="AE1300" s="253"/>
    </row>
    <row r="1301" spans="1:31">
      <c r="A1301" s="33">
        <v>1300</v>
      </c>
      <c r="B1301" s="69" t="s">
        <v>1603</v>
      </c>
      <c r="C1301" s="69" t="s">
        <v>740</v>
      </c>
      <c r="D1301" s="56">
        <v>42657</v>
      </c>
      <c r="G1301" s="69" t="str">
        <f t="shared" si="20"/>
        <v>E-Commerce</v>
      </c>
      <c r="H1301" s="69" t="s">
        <v>1604</v>
      </c>
      <c r="J1301" s="69" t="s">
        <v>1603</v>
      </c>
      <c r="K1301" s="69" t="s">
        <v>1607</v>
      </c>
      <c r="L1301" s="253">
        <v>56</v>
      </c>
      <c r="M1301" s="253">
        <v>60</v>
      </c>
      <c r="N1301" s="253">
        <v>47</v>
      </c>
      <c r="O1301" s="253">
        <v>60</v>
      </c>
      <c r="P1301" s="253">
        <v>56</v>
      </c>
      <c r="Q1301" s="253">
        <v>58</v>
      </c>
      <c r="R1301" s="253">
        <v>62</v>
      </c>
      <c r="S1301" s="253">
        <v>64</v>
      </c>
      <c r="T1301" s="253">
        <v>60</v>
      </c>
      <c r="U1301" s="253">
        <v>63</v>
      </c>
      <c r="V1301" s="253">
        <v>57</v>
      </c>
      <c r="W1301" s="253"/>
      <c r="X1301" s="253"/>
      <c r="Y1301" s="253">
        <v>61</v>
      </c>
      <c r="Z1301" s="253">
        <v>58</v>
      </c>
      <c r="AA1301" s="253"/>
      <c r="AB1301" s="253"/>
      <c r="AC1301" s="253"/>
      <c r="AD1301" s="253"/>
      <c r="AE1301" s="253"/>
    </row>
    <row r="1302" spans="1:31">
      <c r="A1302" s="33">
        <v>1301</v>
      </c>
      <c r="B1302" s="69" t="s">
        <v>1603</v>
      </c>
      <c r="C1302" s="69" t="s">
        <v>740</v>
      </c>
      <c r="D1302" s="56">
        <v>42657</v>
      </c>
      <c r="G1302" s="69" t="str">
        <f t="shared" si="20"/>
        <v>E-Commerce</v>
      </c>
      <c r="H1302" s="69" t="s">
        <v>1604</v>
      </c>
      <c r="J1302" s="69" t="s">
        <v>1603</v>
      </c>
      <c r="K1302" s="69" t="s">
        <v>1406</v>
      </c>
      <c r="L1302" s="253">
        <v>63</v>
      </c>
      <c r="M1302" s="253">
        <v>60</v>
      </c>
      <c r="N1302" s="253">
        <v>58</v>
      </c>
      <c r="O1302" s="253">
        <v>63</v>
      </c>
      <c r="P1302" s="253">
        <v>61</v>
      </c>
      <c r="Q1302" s="253">
        <v>64</v>
      </c>
      <c r="R1302" s="253">
        <v>58</v>
      </c>
      <c r="S1302" s="253">
        <v>61</v>
      </c>
      <c r="T1302" s="253">
        <v>56</v>
      </c>
      <c r="U1302" s="253">
        <v>59</v>
      </c>
      <c r="V1302" s="253">
        <v>58</v>
      </c>
      <c r="W1302" s="253"/>
      <c r="X1302" s="253"/>
      <c r="Y1302" s="253">
        <v>61</v>
      </c>
      <c r="Z1302" s="253">
        <v>69</v>
      </c>
      <c r="AA1302" s="253"/>
      <c r="AB1302" s="253"/>
      <c r="AC1302" s="253"/>
      <c r="AD1302" s="253"/>
      <c r="AE1302" s="253"/>
    </row>
    <row r="1303" spans="1:31">
      <c r="A1303" s="33">
        <v>1302</v>
      </c>
      <c r="B1303" s="69" t="s">
        <v>1603</v>
      </c>
      <c r="C1303" s="69" t="s">
        <v>740</v>
      </c>
      <c r="D1303" s="56">
        <v>42657</v>
      </c>
      <c r="G1303" s="69" t="str">
        <f t="shared" si="20"/>
        <v>E-Commerce</v>
      </c>
      <c r="H1303" s="69" t="s">
        <v>1604</v>
      </c>
      <c r="J1303" s="69" t="s">
        <v>1603</v>
      </c>
      <c r="K1303" s="69" t="s">
        <v>1608</v>
      </c>
      <c r="L1303" s="253">
        <v>56</v>
      </c>
      <c r="M1303" s="253">
        <v>57</v>
      </c>
      <c r="N1303" s="253">
        <v>61</v>
      </c>
      <c r="O1303" s="253">
        <v>58</v>
      </c>
      <c r="P1303" s="253">
        <v>56</v>
      </c>
      <c r="Q1303" s="253">
        <v>66</v>
      </c>
      <c r="R1303" s="253">
        <v>55</v>
      </c>
      <c r="S1303" s="253">
        <v>57</v>
      </c>
      <c r="T1303" s="253">
        <v>53</v>
      </c>
      <c r="U1303" s="253">
        <v>55</v>
      </c>
      <c r="V1303" s="253">
        <v>56</v>
      </c>
      <c r="W1303" s="253"/>
      <c r="X1303" s="253"/>
      <c r="Y1303" s="253">
        <v>57</v>
      </c>
      <c r="Z1303" s="253">
        <v>58</v>
      </c>
      <c r="AA1303" s="253"/>
      <c r="AB1303" s="253"/>
      <c r="AC1303" s="253"/>
      <c r="AD1303" s="253"/>
      <c r="AE1303" s="253"/>
    </row>
    <row r="1304" spans="1:31">
      <c r="A1304" s="33">
        <v>1303</v>
      </c>
      <c r="B1304" s="69" t="s">
        <v>1603</v>
      </c>
      <c r="C1304" s="69" t="s">
        <v>740</v>
      </c>
      <c r="D1304" s="56">
        <v>42657</v>
      </c>
      <c r="G1304" s="69" t="str">
        <f t="shared" si="20"/>
        <v>E-Commerce</v>
      </c>
      <c r="H1304" s="69" t="s">
        <v>1604</v>
      </c>
      <c r="J1304" s="69" t="s">
        <v>1603</v>
      </c>
      <c r="K1304" s="69" t="s">
        <v>1609</v>
      </c>
      <c r="L1304" s="253">
        <v>61</v>
      </c>
      <c r="M1304" s="253">
        <v>61</v>
      </c>
      <c r="N1304" s="253">
        <v>64</v>
      </c>
      <c r="O1304" s="253">
        <v>59</v>
      </c>
      <c r="P1304" s="253">
        <v>60</v>
      </c>
      <c r="Q1304" s="253">
        <v>65</v>
      </c>
      <c r="R1304" s="253">
        <v>60</v>
      </c>
      <c r="S1304" s="253">
        <v>56</v>
      </c>
      <c r="T1304" s="253">
        <v>59</v>
      </c>
      <c r="U1304" s="253">
        <v>61</v>
      </c>
      <c r="V1304" s="253">
        <v>61</v>
      </c>
      <c r="W1304" s="253"/>
      <c r="X1304" s="253"/>
      <c r="Y1304" s="253">
        <v>55</v>
      </c>
      <c r="Z1304" s="253">
        <v>67</v>
      </c>
      <c r="AA1304" s="253"/>
      <c r="AB1304" s="253"/>
      <c r="AC1304" s="253"/>
      <c r="AD1304" s="253"/>
      <c r="AE1304" s="253"/>
    </row>
    <row r="1305" spans="1:31">
      <c r="A1305" s="33">
        <v>1304</v>
      </c>
      <c r="B1305" s="69" t="s">
        <v>1603</v>
      </c>
      <c r="C1305" s="69" t="s">
        <v>740</v>
      </c>
      <c r="D1305" s="56">
        <v>42657</v>
      </c>
      <c r="G1305" s="69" t="str">
        <f t="shared" si="20"/>
        <v>E-Commerce</v>
      </c>
      <c r="H1305" s="69" t="s">
        <v>1604</v>
      </c>
      <c r="J1305" s="69" t="s">
        <v>1603</v>
      </c>
      <c r="K1305" s="69" t="s">
        <v>1610</v>
      </c>
      <c r="L1305" s="253">
        <v>57</v>
      </c>
      <c r="M1305" s="253">
        <v>58</v>
      </c>
      <c r="N1305" s="253">
        <v>51</v>
      </c>
      <c r="O1305" s="253">
        <v>53</v>
      </c>
      <c r="P1305" s="253">
        <v>56</v>
      </c>
      <c r="Q1305" s="253">
        <v>64</v>
      </c>
      <c r="R1305" s="253">
        <v>61</v>
      </c>
      <c r="S1305" s="253">
        <v>50</v>
      </c>
      <c r="T1305" s="253">
        <v>59</v>
      </c>
      <c r="U1305" s="253">
        <v>59</v>
      </c>
      <c r="V1305" s="253">
        <v>57</v>
      </c>
      <c r="W1305" s="253"/>
      <c r="X1305" s="253"/>
      <c r="Y1305" s="253">
        <v>48</v>
      </c>
      <c r="Z1305" s="253">
        <v>59</v>
      </c>
      <c r="AA1305" s="253"/>
      <c r="AB1305" s="253"/>
      <c r="AC1305" s="253"/>
      <c r="AD1305" s="253"/>
      <c r="AE1305" s="253"/>
    </row>
    <row r="1306" spans="1:31">
      <c r="A1306" s="33">
        <v>1305</v>
      </c>
      <c r="B1306" s="69" t="s">
        <v>1611</v>
      </c>
      <c r="C1306" s="69" t="s">
        <v>740</v>
      </c>
      <c r="D1306" s="56">
        <v>42657</v>
      </c>
      <c r="G1306" s="69" t="str">
        <f t="shared" si="20"/>
        <v>E-Commerce</v>
      </c>
      <c r="H1306" s="69" t="s">
        <v>517</v>
      </c>
      <c r="J1306" s="69" t="s">
        <v>1611</v>
      </c>
      <c r="K1306" s="69" t="s">
        <v>1611</v>
      </c>
      <c r="L1306" s="253">
        <v>54</v>
      </c>
      <c r="M1306" s="253">
        <v>58</v>
      </c>
      <c r="N1306" s="253">
        <v>57</v>
      </c>
      <c r="O1306" s="253">
        <v>51</v>
      </c>
      <c r="P1306" s="253">
        <v>54</v>
      </c>
      <c r="Q1306" s="253">
        <v>60</v>
      </c>
      <c r="R1306" s="253">
        <v>55</v>
      </c>
      <c r="S1306" s="253">
        <v>57</v>
      </c>
      <c r="T1306" s="253">
        <v>55</v>
      </c>
      <c r="U1306" s="253">
        <v>64</v>
      </c>
      <c r="V1306" s="253">
        <v>59</v>
      </c>
      <c r="W1306" s="253"/>
      <c r="X1306" s="253"/>
      <c r="Y1306" s="253">
        <v>47</v>
      </c>
      <c r="Z1306" s="253">
        <v>53</v>
      </c>
      <c r="AA1306" s="253"/>
      <c r="AB1306" s="253"/>
      <c r="AC1306" s="253"/>
      <c r="AD1306" s="253"/>
      <c r="AE1306" s="253"/>
    </row>
    <row r="1307" spans="1:31">
      <c r="A1307" s="33">
        <v>1306</v>
      </c>
      <c r="B1307" s="69" t="s">
        <v>1611</v>
      </c>
      <c r="C1307" s="69" t="s">
        <v>740</v>
      </c>
      <c r="D1307" s="56">
        <v>42657</v>
      </c>
      <c r="G1307" s="69" t="str">
        <f t="shared" si="20"/>
        <v>E-Commerce</v>
      </c>
      <c r="H1307" s="69" t="s">
        <v>517</v>
      </c>
      <c r="J1307" s="69" t="s">
        <v>1611</v>
      </c>
      <c r="K1307" s="69" t="s">
        <v>1612</v>
      </c>
      <c r="L1307" s="253">
        <v>65</v>
      </c>
      <c r="M1307" s="253">
        <v>61</v>
      </c>
      <c r="N1307" s="253">
        <v>65</v>
      </c>
      <c r="O1307" s="253">
        <v>55</v>
      </c>
      <c r="P1307" s="253">
        <v>64</v>
      </c>
      <c r="Q1307" s="253">
        <v>60</v>
      </c>
      <c r="R1307" s="253">
        <v>59</v>
      </c>
      <c r="S1307" s="253">
        <v>57</v>
      </c>
      <c r="T1307" s="253">
        <v>56</v>
      </c>
      <c r="U1307" s="253">
        <v>64</v>
      </c>
      <c r="V1307" s="253">
        <v>62</v>
      </c>
      <c r="W1307" s="253"/>
      <c r="X1307" s="253"/>
      <c r="Y1307" s="253">
        <v>47</v>
      </c>
      <c r="Z1307" s="253">
        <v>67</v>
      </c>
      <c r="AA1307" s="253"/>
      <c r="AB1307" s="253"/>
      <c r="AC1307" s="253"/>
      <c r="AD1307" s="253"/>
      <c r="AE1307" s="253"/>
    </row>
    <row r="1308" spans="1:31">
      <c r="A1308" s="33">
        <v>1307</v>
      </c>
      <c r="B1308" s="69" t="s">
        <v>1611</v>
      </c>
      <c r="C1308" s="69" t="s">
        <v>740</v>
      </c>
      <c r="D1308" s="56">
        <v>42657</v>
      </c>
      <c r="G1308" s="69" t="str">
        <f t="shared" si="20"/>
        <v>E-Commerce</v>
      </c>
      <c r="H1308" s="69" t="s">
        <v>517</v>
      </c>
      <c r="J1308" s="69" t="s">
        <v>1611</v>
      </c>
      <c r="K1308" s="69" t="s">
        <v>1613</v>
      </c>
      <c r="L1308" s="253">
        <v>65</v>
      </c>
      <c r="M1308" s="253">
        <v>64</v>
      </c>
      <c r="N1308" s="253">
        <v>58</v>
      </c>
      <c r="O1308" s="253">
        <v>58</v>
      </c>
      <c r="P1308" s="253">
        <v>65</v>
      </c>
      <c r="Q1308" s="253">
        <v>51</v>
      </c>
      <c r="R1308" s="253">
        <v>66</v>
      </c>
      <c r="S1308" s="253">
        <v>65</v>
      </c>
      <c r="T1308" s="253">
        <v>65</v>
      </c>
      <c r="U1308" s="253">
        <v>70</v>
      </c>
      <c r="V1308" s="253">
        <v>64</v>
      </c>
      <c r="W1308" s="253"/>
      <c r="X1308" s="253"/>
      <c r="Y1308" s="253">
        <v>54</v>
      </c>
      <c r="Z1308" s="253">
        <v>63</v>
      </c>
      <c r="AA1308" s="253"/>
      <c r="AB1308" s="253"/>
      <c r="AC1308" s="253"/>
      <c r="AD1308" s="253"/>
      <c r="AE1308" s="253"/>
    </row>
    <row r="1309" spans="1:31">
      <c r="A1309" s="33">
        <v>1308</v>
      </c>
      <c r="B1309" s="69" t="s">
        <v>1611</v>
      </c>
      <c r="C1309" s="69" t="s">
        <v>740</v>
      </c>
      <c r="D1309" s="56">
        <v>42657</v>
      </c>
      <c r="G1309" s="69" t="str">
        <f t="shared" si="20"/>
        <v>E-Commerce</v>
      </c>
      <c r="H1309" s="69" t="s">
        <v>517</v>
      </c>
      <c r="J1309" s="69" t="s">
        <v>1611</v>
      </c>
      <c r="K1309" s="69" t="s">
        <v>1614</v>
      </c>
      <c r="L1309" s="253">
        <v>60</v>
      </c>
      <c r="M1309" s="253">
        <v>57</v>
      </c>
      <c r="N1309" s="253">
        <v>59</v>
      </c>
      <c r="O1309" s="253">
        <v>59</v>
      </c>
      <c r="P1309" s="253">
        <v>58</v>
      </c>
      <c r="Q1309" s="253">
        <v>64</v>
      </c>
      <c r="R1309" s="253">
        <v>54</v>
      </c>
      <c r="S1309" s="253">
        <v>56</v>
      </c>
      <c r="T1309" s="253">
        <v>53</v>
      </c>
      <c r="U1309" s="253">
        <v>57</v>
      </c>
      <c r="V1309" s="253">
        <v>56</v>
      </c>
      <c r="W1309" s="253"/>
      <c r="X1309" s="253"/>
      <c r="Y1309" s="253">
        <v>56</v>
      </c>
      <c r="Z1309" s="253">
        <v>66</v>
      </c>
      <c r="AA1309" s="253"/>
      <c r="AB1309" s="253"/>
      <c r="AC1309" s="253"/>
      <c r="AD1309" s="253"/>
      <c r="AE1309" s="253"/>
    </row>
    <row r="1310" spans="1:31">
      <c r="A1310" s="33">
        <v>1309</v>
      </c>
      <c r="B1310" s="69" t="s">
        <v>1611</v>
      </c>
      <c r="C1310" s="69" t="s">
        <v>740</v>
      </c>
      <c r="D1310" s="56">
        <v>42657</v>
      </c>
      <c r="G1310" s="69" t="str">
        <f t="shared" si="20"/>
        <v>E-Commerce</v>
      </c>
      <c r="H1310" s="69" t="s">
        <v>517</v>
      </c>
      <c r="J1310" s="69" t="s">
        <v>1611</v>
      </c>
      <c r="K1310" s="69" t="s">
        <v>1615</v>
      </c>
      <c r="L1310" s="253">
        <v>56</v>
      </c>
      <c r="M1310" s="253">
        <v>61</v>
      </c>
      <c r="N1310" s="253">
        <v>61</v>
      </c>
      <c r="O1310" s="253">
        <v>53</v>
      </c>
      <c r="P1310" s="253">
        <v>54</v>
      </c>
      <c r="Q1310" s="253">
        <v>65</v>
      </c>
      <c r="R1310" s="253">
        <v>57</v>
      </c>
      <c r="S1310" s="253">
        <v>57</v>
      </c>
      <c r="T1310" s="253">
        <v>57</v>
      </c>
      <c r="U1310" s="253">
        <v>65</v>
      </c>
      <c r="V1310" s="253">
        <v>61</v>
      </c>
      <c r="W1310" s="253"/>
      <c r="X1310" s="253"/>
      <c r="Y1310" s="253">
        <v>47</v>
      </c>
      <c r="Z1310" s="253">
        <v>62</v>
      </c>
      <c r="AA1310" s="253"/>
      <c r="AB1310" s="253"/>
      <c r="AC1310" s="253"/>
      <c r="AD1310" s="253"/>
      <c r="AE1310" s="253"/>
    </row>
    <row r="1311" spans="1:31">
      <c r="A1311" s="33">
        <v>1310</v>
      </c>
      <c r="B1311" s="69" t="s">
        <v>1611</v>
      </c>
      <c r="C1311" s="69" t="s">
        <v>740</v>
      </c>
      <c r="D1311" s="56">
        <v>42657</v>
      </c>
      <c r="G1311" s="69" t="str">
        <f t="shared" si="20"/>
        <v>E-Commerce</v>
      </c>
      <c r="H1311" s="69" t="s">
        <v>517</v>
      </c>
      <c r="J1311" s="69" t="s">
        <v>1611</v>
      </c>
      <c r="K1311" s="69" t="s">
        <v>1616</v>
      </c>
      <c r="L1311" s="253">
        <v>53</v>
      </c>
      <c r="M1311" s="253">
        <v>54</v>
      </c>
      <c r="N1311" s="253">
        <v>59</v>
      </c>
      <c r="O1311" s="253">
        <v>51</v>
      </c>
      <c r="P1311" s="253">
        <v>52</v>
      </c>
      <c r="Q1311" s="253">
        <v>46</v>
      </c>
      <c r="R1311" s="253">
        <v>52</v>
      </c>
      <c r="S1311" s="253">
        <v>47</v>
      </c>
      <c r="T1311" s="253">
        <v>52</v>
      </c>
      <c r="U1311" s="253">
        <v>63</v>
      </c>
      <c r="V1311" s="253">
        <v>58</v>
      </c>
      <c r="W1311" s="253"/>
      <c r="X1311" s="253"/>
      <c r="Y1311" s="253">
        <v>47</v>
      </c>
      <c r="Z1311" s="253">
        <v>59</v>
      </c>
      <c r="AA1311" s="253"/>
      <c r="AB1311" s="253"/>
      <c r="AC1311" s="253"/>
      <c r="AD1311" s="253"/>
      <c r="AE1311" s="253"/>
    </row>
    <row r="1312" spans="1:31">
      <c r="A1312" s="33">
        <v>1311</v>
      </c>
      <c r="B1312" s="69" t="s">
        <v>1611</v>
      </c>
      <c r="C1312" s="69" t="s">
        <v>740</v>
      </c>
      <c r="D1312" s="56">
        <v>42657</v>
      </c>
      <c r="G1312" s="69" t="str">
        <f t="shared" si="20"/>
        <v>E-Commerce</v>
      </c>
      <c r="H1312" s="69" t="s">
        <v>517</v>
      </c>
      <c r="J1312" s="69" t="s">
        <v>1611</v>
      </c>
      <c r="K1312" s="69" t="s">
        <v>1617</v>
      </c>
      <c r="L1312" s="253">
        <v>61</v>
      </c>
      <c r="M1312" s="253">
        <v>62</v>
      </c>
      <c r="N1312" s="253">
        <v>64</v>
      </c>
      <c r="O1312" s="253">
        <v>61</v>
      </c>
      <c r="P1312" s="253">
        <v>59</v>
      </c>
      <c r="Q1312" s="253">
        <v>64</v>
      </c>
      <c r="R1312" s="253">
        <v>60</v>
      </c>
      <c r="S1312" s="253">
        <v>58</v>
      </c>
      <c r="T1312" s="253">
        <v>57</v>
      </c>
      <c r="U1312" s="253">
        <v>66</v>
      </c>
      <c r="V1312" s="253">
        <v>62</v>
      </c>
      <c r="W1312" s="253"/>
      <c r="X1312" s="253"/>
      <c r="Y1312" s="253">
        <v>56</v>
      </c>
      <c r="Z1312" s="253">
        <v>70</v>
      </c>
      <c r="AA1312" s="253"/>
      <c r="AB1312" s="253"/>
      <c r="AC1312" s="253"/>
      <c r="AD1312" s="253"/>
      <c r="AE1312" s="253"/>
    </row>
    <row r="1313" spans="1:31">
      <c r="A1313" s="33">
        <v>1312</v>
      </c>
      <c r="B1313" s="69" t="s">
        <v>1590</v>
      </c>
      <c r="C1313" s="69" t="s">
        <v>740</v>
      </c>
      <c r="D1313" s="56">
        <v>42663</v>
      </c>
      <c r="G1313" s="69" t="str">
        <f t="shared" si="20"/>
        <v>E-Commerce</v>
      </c>
      <c r="H1313" s="69" t="s">
        <v>922</v>
      </c>
      <c r="J1313" s="69" t="s">
        <v>1590</v>
      </c>
      <c r="K1313" s="69" t="s">
        <v>1590</v>
      </c>
      <c r="L1313" s="253">
        <v>55</v>
      </c>
      <c r="M1313" s="253">
        <v>56</v>
      </c>
      <c r="N1313" s="253">
        <v>53</v>
      </c>
      <c r="O1313" s="253">
        <v>61</v>
      </c>
      <c r="P1313" s="253">
        <v>53</v>
      </c>
      <c r="Q1313" s="253">
        <v>57</v>
      </c>
      <c r="R1313" s="253">
        <v>52</v>
      </c>
      <c r="S1313" s="253">
        <v>58</v>
      </c>
      <c r="T1313" s="253">
        <v>51</v>
      </c>
      <c r="U1313" s="253">
        <v>62</v>
      </c>
      <c r="V1313" s="253">
        <v>55</v>
      </c>
      <c r="W1313" s="253"/>
      <c r="X1313" s="253"/>
      <c r="Y1313" s="253">
        <v>63</v>
      </c>
      <c r="Z1313" s="253">
        <v>61</v>
      </c>
      <c r="AA1313" s="253"/>
      <c r="AB1313" s="253"/>
      <c r="AC1313" s="253"/>
      <c r="AD1313" s="253"/>
      <c r="AE1313" s="253"/>
    </row>
    <row r="1314" spans="1:31">
      <c r="A1314" s="33">
        <v>1313</v>
      </c>
      <c r="B1314" s="69" t="s">
        <v>1590</v>
      </c>
      <c r="C1314" s="69" t="s">
        <v>740</v>
      </c>
      <c r="D1314" s="56">
        <v>42663</v>
      </c>
      <c r="G1314" s="69" t="str">
        <f t="shared" si="20"/>
        <v>E-Commerce</v>
      </c>
      <c r="H1314" s="69" t="s">
        <v>922</v>
      </c>
      <c r="J1314" s="69" t="s">
        <v>1590</v>
      </c>
      <c r="K1314" s="69" t="s">
        <v>1053</v>
      </c>
      <c r="L1314" s="253">
        <v>63</v>
      </c>
      <c r="M1314" s="253">
        <v>62</v>
      </c>
      <c r="N1314" s="253">
        <v>61</v>
      </c>
      <c r="O1314" s="253">
        <v>65</v>
      </c>
      <c r="P1314" s="253">
        <v>64</v>
      </c>
      <c r="Q1314" s="253">
        <v>62</v>
      </c>
      <c r="R1314" s="253">
        <v>62</v>
      </c>
      <c r="S1314" s="253">
        <v>66</v>
      </c>
      <c r="T1314" s="253">
        <v>57</v>
      </c>
      <c r="U1314" s="253">
        <v>63</v>
      </c>
      <c r="V1314" s="253">
        <v>60</v>
      </c>
      <c r="W1314" s="253"/>
      <c r="X1314" s="253"/>
      <c r="Y1314" s="253">
        <v>68</v>
      </c>
      <c r="Z1314" s="253">
        <v>60</v>
      </c>
      <c r="AA1314" s="253"/>
      <c r="AB1314" s="253"/>
      <c r="AC1314" s="253"/>
      <c r="AD1314" s="253"/>
      <c r="AE1314" s="253"/>
    </row>
    <row r="1315" spans="1:31">
      <c r="A1315" s="33">
        <v>1314</v>
      </c>
      <c r="B1315" s="69" t="s">
        <v>1590</v>
      </c>
      <c r="C1315" s="69" t="s">
        <v>740</v>
      </c>
      <c r="D1315" s="56">
        <v>42663</v>
      </c>
      <c r="G1315" s="69" t="str">
        <f t="shared" si="20"/>
        <v>E-Commerce</v>
      </c>
      <c r="H1315" s="69" t="s">
        <v>922</v>
      </c>
      <c r="J1315" s="69" t="s">
        <v>1590</v>
      </c>
      <c r="K1315" s="69" t="s">
        <v>1591</v>
      </c>
      <c r="L1315" s="253">
        <v>56</v>
      </c>
      <c r="M1315" s="253">
        <v>57</v>
      </c>
      <c r="N1315" s="253">
        <v>56</v>
      </c>
      <c r="O1315" s="253">
        <v>60</v>
      </c>
      <c r="P1315" s="253">
        <v>55</v>
      </c>
      <c r="Q1315" s="253">
        <v>58</v>
      </c>
      <c r="R1315" s="253">
        <v>55</v>
      </c>
      <c r="S1315" s="253">
        <v>59</v>
      </c>
      <c r="T1315" s="253">
        <v>57</v>
      </c>
      <c r="U1315" s="253">
        <v>58</v>
      </c>
      <c r="V1315" s="253">
        <v>57</v>
      </c>
      <c r="W1315" s="253"/>
      <c r="X1315" s="253"/>
      <c r="Y1315" s="253">
        <v>62</v>
      </c>
      <c r="Z1315" s="253">
        <v>58</v>
      </c>
      <c r="AA1315" s="253"/>
      <c r="AB1315" s="253"/>
      <c r="AC1315" s="253"/>
      <c r="AD1315" s="253"/>
      <c r="AE1315" s="253"/>
    </row>
    <row r="1316" spans="1:31">
      <c r="A1316" s="33">
        <v>1315</v>
      </c>
      <c r="B1316" s="69" t="s">
        <v>1590</v>
      </c>
      <c r="C1316" s="69" t="s">
        <v>740</v>
      </c>
      <c r="D1316" s="56">
        <v>42663</v>
      </c>
      <c r="G1316" s="69" t="str">
        <f t="shared" si="20"/>
        <v>E-Commerce</v>
      </c>
      <c r="H1316" s="69" t="s">
        <v>922</v>
      </c>
      <c r="J1316" s="69" t="s">
        <v>1590</v>
      </c>
      <c r="K1316" s="69" t="s">
        <v>1592</v>
      </c>
      <c r="L1316" s="253">
        <v>54</v>
      </c>
      <c r="M1316" s="253">
        <v>53</v>
      </c>
      <c r="N1316" s="253">
        <v>54</v>
      </c>
      <c r="O1316" s="253">
        <v>57</v>
      </c>
      <c r="P1316" s="253">
        <v>51</v>
      </c>
      <c r="Q1316" s="253">
        <v>52</v>
      </c>
      <c r="R1316" s="253">
        <v>51</v>
      </c>
      <c r="S1316" s="253">
        <v>51</v>
      </c>
      <c r="T1316" s="253">
        <v>51</v>
      </c>
      <c r="U1316" s="253">
        <v>56</v>
      </c>
      <c r="V1316" s="253">
        <v>54</v>
      </c>
      <c r="W1316" s="253"/>
      <c r="X1316" s="253"/>
      <c r="Y1316" s="253">
        <v>56</v>
      </c>
      <c r="Z1316" s="253">
        <v>64</v>
      </c>
      <c r="AA1316" s="253"/>
      <c r="AB1316" s="253"/>
      <c r="AC1316" s="253"/>
      <c r="AD1316" s="253"/>
      <c r="AE1316" s="253"/>
    </row>
    <row r="1317" spans="1:31">
      <c r="A1317" s="33">
        <v>1316</v>
      </c>
      <c r="B1317" s="69" t="s">
        <v>1590</v>
      </c>
      <c r="C1317" s="69" t="s">
        <v>740</v>
      </c>
      <c r="D1317" s="56">
        <v>42663</v>
      </c>
      <c r="G1317" s="69" t="str">
        <f t="shared" si="20"/>
        <v>E-Commerce</v>
      </c>
      <c r="H1317" s="69" t="s">
        <v>922</v>
      </c>
      <c r="J1317" s="69" t="s">
        <v>1590</v>
      </c>
      <c r="K1317" s="69" t="s">
        <v>1593</v>
      </c>
      <c r="L1317" s="253">
        <v>55</v>
      </c>
      <c r="M1317" s="253">
        <v>53</v>
      </c>
      <c r="N1317" s="253">
        <v>48</v>
      </c>
      <c r="O1317" s="253">
        <v>59</v>
      </c>
      <c r="P1317" s="253">
        <v>52</v>
      </c>
      <c r="Q1317" s="253">
        <v>55</v>
      </c>
      <c r="R1317" s="253">
        <v>51</v>
      </c>
      <c r="S1317" s="253">
        <v>52</v>
      </c>
      <c r="T1317" s="253">
        <v>51</v>
      </c>
      <c r="U1317" s="253">
        <v>54</v>
      </c>
      <c r="V1317" s="253">
        <v>51</v>
      </c>
      <c r="W1317" s="253"/>
      <c r="X1317" s="253"/>
      <c r="Y1317" s="253">
        <v>57</v>
      </c>
      <c r="Z1317" s="253">
        <v>67</v>
      </c>
      <c r="AA1317" s="253"/>
      <c r="AB1317" s="253"/>
      <c r="AC1317" s="253"/>
      <c r="AD1317" s="253"/>
      <c r="AE1317" s="253"/>
    </row>
    <row r="1318" spans="1:31">
      <c r="A1318" s="33">
        <v>1317</v>
      </c>
      <c r="B1318" s="69" t="s">
        <v>1590</v>
      </c>
      <c r="C1318" s="69" t="s">
        <v>740</v>
      </c>
      <c r="D1318" s="56">
        <v>42663</v>
      </c>
      <c r="G1318" s="69" t="str">
        <f t="shared" si="20"/>
        <v>E-Commerce</v>
      </c>
      <c r="H1318" s="69" t="s">
        <v>922</v>
      </c>
      <c r="J1318" s="69" t="s">
        <v>1590</v>
      </c>
      <c r="K1318" s="69" t="s">
        <v>1594</v>
      </c>
      <c r="L1318" s="253">
        <v>53</v>
      </c>
      <c r="M1318" s="253">
        <v>55</v>
      </c>
      <c r="N1318" s="253">
        <v>48</v>
      </c>
      <c r="O1318" s="253">
        <v>53</v>
      </c>
      <c r="P1318" s="253">
        <v>53</v>
      </c>
      <c r="Q1318" s="253">
        <v>56</v>
      </c>
      <c r="R1318" s="253">
        <v>50</v>
      </c>
      <c r="S1318" s="253">
        <v>50</v>
      </c>
      <c r="T1318" s="253">
        <v>52</v>
      </c>
      <c r="U1318" s="253">
        <v>65</v>
      </c>
      <c r="V1318" s="253">
        <v>55</v>
      </c>
      <c r="W1318" s="253"/>
      <c r="X1318" s="253"/>
      <c r="Y1318" s="253">
        <v>54</v>
      </c>
      <c r="Z1318" s="253">
        <v>53</v>
      </c>
      <c r="AA1318" s="253"/>
      <c r="AB1318" s="253"/>
      <c r="AC1318" s="253"/>
      <c r="AD1318" s="253"/>
      <c r="AE1318" s="253"/>
    </row>
    <row r="1319" spans="1:31">
      <c r="A1319" s="33">
        <v>1318</v>
      </c>
      <c r="B1319" s="69" t="s">
        <v>1590</v>
      </c>
      <c r="C1319" s="69" t="s">
        <v>740</v>
      </c>
      <c r="D1319" s="56">
        <v>42663</v>
      </c>
      <c r="G1319" s="69" t="str">
        <f t="shared" si="20"/>
        <v>E-Commerce</v>
      </c>
      <c r="H1319" s="69" t="s">
        <v>922</v>
      </c>
      <c r="J1319" s="69" t="s">
        <v>1590</v>
      </c>
      <c r="K1319" s="69" t="s">
        <v>1595</v>
      </c>
      <c r="L1319" s="253">
        <v>53</v>
      </c>
      <c r="M1319" s="253">
        <v>50</v>
      </c>
      <c r="N1319" s="253">
        <v>50</v>
      </c>
      <c r="O1319" s="253">
        <v>52</v>
      </c>
      <c r="P1319" s="253">
        <v>53</v>
      </c>
      <c r="Q1319" s="253">
        <v>43</v>
      </c>
      <c r="R1319" s="253">
        <v>52</v>
      </c>
      <c r="S1319" s="253">
        <v>49</v>
      </c>
      <c r="T1319" s="253">
        <v>49</v>
      </c>
      <c r="U1319" s="253">
        <v>52</v>
      </c>
      <c r="V1319" s="253">
        <v>51</v>
      </c>
      <c r="W1319" s="253"/>
      <c r="X1319" s="253"/>
      <c r="Y1319" s="253">
        <v>53</v>
      </c>
      <c r="Z1319" s="253">
        <v>53</v>
      </c>
      <c r="AA1319" s="253"/>
      <c r="AB1319" s="253"/>
      <c r="AC1319" s="253"/>
      <c r="AD1319" s="253"/>
      <c r="AE1319" s="253"/>
    </row>
    <row r="1320" spans="1:31">
      <c r="A1320" s="33">
        <v>1319</v>
      </c>
      <c r="B1320" s="69" t="s">
        <v>1590</v>
      </c>
      <c r="C1320" s="69" t="s">
        <v>740</v>
      </c>
      <c r="D1320" s="56">
        <v>42663</v>
      </c>
      <c r="G1320" s="69" t="str">
        <f t="shared" si="20"/>
        <v>E-Commerce</v>
      </c>
      <c r="H1320" s="69" t="s">
        <v>922</v>
      </c>
      <c r="J1320" s="69" t="s">
        <v>1590</v>
      </c>
      <c r="K1320" s="69" t="s">
        <v>1596</v>
      </c>
      <c r="L1320" s="253">
        <v>53</v>
      </c>
      <c r="M1320" s="253">
        <v>54</v>
      </c>
      <c r="N1320" s="253">
        <v>48</v>
      </c>
      <c r="O1320" s="253">
        <v>53</v>
      </c>
      <c r="P1320" s="253">
        <v>54</v>
      </c>
      <c r="Q1320" s="253">
        <v>53</v>
      </c>
      <c r="R1320" s="253">
        <v>50</v>
      </c>
      <c r="S1320" s="253">
        <v>51</v>
      </c>
      <c r="T1320" s="253">
        <v>51</v>
      </c>
      <c r="U1320" s="253">
        <v>63</v>
      </c>
      <c r="V1320" s="253">
        <v>54</v>
      </c>
      <c r="W1320" s="253"/>
      <c r="X1320" s="253"/>
      <c r="Y1320" s="253">
        <v>55</v>
      </c>
      <c r="Z1320" s="253">
        <v>49</v>
      </c>
      <c r="AA1320" s="253"/>
      <c r="AB1320" s="253"/>
      <c r="AC1320" s="253"/>
      <c r="AD1320" s="253"/>
      <c r="AE1320" s="253"/>
    </row>
    <row r="1321" spans="1:31">
      <c r="A1321" s="33">
        <v>1320</v>
      </c>
      <c r="B1321" s="69" t="s">
        <v>1597</v>
      </c>
      <c r="C1321" s="69" t="s">
        <v>740</v>
      </c>
      <c r="D1321" s="56">
        <v>42663</v>
      </c>
      <c r="G1321" s="69" t="str">
        <f t="shared" si="20"/>
        <v>E-Commerce</v>
      </c>
      <c r="H1321" s="69" t="s">
        <v>1585</v>
      </c>
      <c r="J1321" s="69" t="s">
        <v>1597</v>
      </c>
      <c r="K1321" s="69" t="s">
        <v>1597</v>
      </c>
      <c r="L1321" s="253">
        <v>63</v>
      </c>
      <c r="M1321" s="253">
        <v>64</v>
      </c>
      <c r="N1321" s="253">
        <v>59</v>
      </c>
      <c r="O1321" s="253">
        <v>66</v>
      </c>
      <c r="P1321" s="253">
        <v>62</v>
      </c>
      <c r="Q1321" s="253">
        <v>65</v>
      </c>
      <c r="R1321" s="253">
        <v>60</v>
      </c>
      <c r="S1321" s="253">
        <v>67</v>
      </c>
      <c r="T1321" s="253">
        <v>59</v>
      </c>
      <c r="U1321" s="253">
        <v>67</v>
      </c>
      <c r="V1321" s="253">
        <v>62</v>
      </c>
      <c r="W1321" s="253"/>
      <c r="X1321" s="253"/>
      <c r="Y1321" s="253">
        <v>68</v>
      </c>
      <c r="Z1321" s="253">
        <v>66</v>
      </c>
      <c r="AA1321" s="253"/>
      <c r="AB1321" s="253"/>
      <c r="AC1321" s="253"/>
      <c r="AD1321" s="253"/>
      <c r="AE1321" s="253"/>
    </row>
    <row r="1322" spans="1:31">
      <c r="A1322" s="33">
        <v>1321</v>
      </c>
      <c r="B1322" s="69" t="s">
        <v>1597</v>
      </c>
      <c r="C1322" s="69" t="s">
        <v>740</v>
      </c>
      <c r="D1322" s="56">
        <v>42663</v>
      </c>
      <c r="G1322" s="69" t="str">
        <f t="shared" si="20"/>
        <v>E-Commerce</v>
      </c>
      <c r="H1322" s="69" t="s">
        <v>1585</v>
      </c>
      <c r="J1322" s="69" t="s">
        <v>1597</v>
      </c>
      <c r="K1322" s="69" t="s">
        <v>1598</v>
      </c>
      <c r="L1322" s="253">
        <v>65</v>
      </c>
      <c r="M1322" s="253">
        <v>63</v>
      </c>
      <c r="N1322" s="253">
        <v>57</v>
      </c>
      <c r="O1322" s="253">
        <v>63</v>
      </c>
      <c r="P1322" s="253">
        <v>65</v>
      </c>
      <c r="Q1322" s="253">
        <v>62</v>
      </c>
      <c r="R1322" s="253">
        <v>61</v>
      </c>
      <c r="S1322" s="253">
        <v>64</v>
      </c>
      <c r="T1322" s="253">
        <v>60</v>
      </c>
      <c r="U1322" s="253">
        <v>67</v>
      </c>
      <c r="V1322" s="253">
        <v>61</v>
      </c>
      <c r="W1322" s="253"/>
      <c r="X1322" s="253"/>
      <c r="Y1322" s="253">
        <v>63</v>
      </c>
      <c r="Z1322" s="253">
        <v>64</v>
      </c>
      <c r="AA1322" s="253"/>
      <c r="AB1322" s="253"/>
      <c r="AC1322" s="253"/>
      <c r="AD1322" s="253"/>
      <c r="AE1322" s="253"/>
    </row>
    <row r="1323" spans="1:31">
      <c r="A1323" s="33">
        <v>1322</v>
      </c>
      <c r="B1323" s="69" t="s">
        <v>1597</v>
      </c>
      <c r="C1323" s="69" t="s">
        <v>740</v>
      </c>
      <c r="D1323" s="56">
        <v>42663</v>
      </c>
      <c r="G1323" s="69" t="str">
        <f t="shared" si="20"/>
        <v>E-Commerce</v>
      </c>
      <c r="H1323" s="69" t="s">
        <v>1585</v>
      </c>
      <c r="J1323" s="69" t="s">
        <v>1597</v>
      </c>
      <c r="K1323" s="69" t="s">
        <v>368</v>
      </c>
      <c r="L1323" s="253">
        <v>67</v>
      </c>
      <c r="M1323" s="253">
        <v>67</v>
      </c>
      <c r="N1323" s="253">
        <v>60</v>
      </c>
      <c r="O1323" s="253">
        <v>70</v>
      </c>
      <c r="P1323" s="253">
        <v>67</v>
      </c>
      <c r="Q1323" s="253">
        <v>65</v>
      </c>
      <c r="R1323" s="253">
        <v>66</v>
      </c>
      <c r="S1323" s="253">
        <v>70</v>
      </c>
      <c r="T1323" s="253">
        <v>66</v>
      </c>
      <c r="U1323" s="253">
        <v>71</v>
      </c>
      <c r="V1323" s="253">
        <v>66</v>
      </c>
      <c r="W1323" s="253"/>
      <c r="X1323" s="253"/>
      <c r="Y1323" s="253">
        <v>74</v>
      </c>
      <c r="Z1323" s="253">
        <v>66</v>
      </c>
      <c r="AA1323" s="253"/>
      <c r="AB1323" s="253"/>
      <c r="AC1323" s="253"/>
      <c r="AD1323" s="253"/>
      <c r="AE1323" s="253"/>
    </row>
    <row r="1324" spans="1:31">
      <c r="A1324" s="33">
        <v>1323</v>
      </c>
      <c r="B1324" s="69" t="s">
        <v>1597</v>
      </c>
      <c r="C1324" s="69" t="s">
        <v>740</v>
      </c>
      <c r="D1324" s="56">
        <v>42663</v>
      </c>
      <c r="G1324" s="69" t="str">
        <f t="shared" si="20"/>
        <v>E-Commerce</v>
      </c>
      <c r="H1324" s="69" t="s">
        <v>1585</v>
      </c>
      <c r="J1324" s="69" t="s">
        <v>1597</v>
      </c>
      <c r="K1324" s="69" t="s">
        <v>1599</v>
      </c>
      <c r="L1324" s="253">
        <v>60</v>
      </c>
      <c r="M1324" s="253">
        <v>55</v>
      </c>
      <c r="N1324" s="253">
        <v>58</v>
      </c>
      <c r="O1324" s="253">
        <v>63</v>
      </c>
      <c r="P1324" s="253">
        <v>58</v>
      </c>
      <c r="Q1324" s="253">
        <v>43</v>
      </c>
      <c r="R1324" s="253">
        <v>57</v>
      </c>
      <c r="S1324" s="253">
        <v>62</v>
      </c>
      <c r="T1324" s="253">
        <v>55</v>
      </c>
      <c r="U1324" s="253">
        <v>54</v>
      </c>
      <c r="V1324" s="253">
        <v>56</v>
      </c>
      <c r="W1324" s="253"/>
      <c r="X1324" s="253"/>
      <c r="Y1324" s="253">
        <v>64</v>
      </c>
      <c r="Z1324" s="253">
        <v>67</v>
      </c>
      <c r="AA1324" s="253"/>
      <c r="AB1324" s="253"/>
      <c r="AC1324" s="253"/>
      <c r="AD1324" s="253"/>
      <c r="AE1324" s="253"/>
    </row>
    <row r="1325" spans="1:31">
      <c r="A1325" s="33">
        <v>1324</v>
      </c>
      <c r="B1325" s="69" t="s">
        <v>1597</v>
      </c>
      <c r="C1325" s="69" t="s">
        <v>740</v>
      </c>
      <c r="D1325" s="56">
        <v>42663</v>
      </c>
      <c r="G1325" s="69" t="str">
        <f t="shared" si="20"/>
        <v>E-Commerce</v>
      </c>
      <c r="H1325" s="69" t="s">
        <v>1585</v>
      </c>
      <c r="J1325" s="69" t="s">
        <v>1597</v>
      </c>
      <c r="K1325" s="69" t="s">
        <v>1600</v>
      </c>
      <c r="L1325" s="253">
        <v>63</v>
      </c>
      <c r="M1325" s="253">
        <v>61</v>
      </c>
      <c r="N1325" s="253">
        <v>57</v>
      </c>
      <c r="O1325" s="253">
        <v>62</v>
      </c>
      <c r="P1325" s="253">
        <v>64</v>
      </c>
      <c r="Q1325" s="253">
        <v>62</v>
      </c>
      <c r="R1325" s="253">
        <v>60</v>
      </c>
      <c r="S1325" s="253">
        <v>63</v>
      </c>
      <c r="T1325" s="253">
        <v>58</v>
      </c>
      <c r="U1325" s="253">
        <v>66</v>
      </c>
      <c r="V1325" s="253">
        <v>61</v>
      </c>
      <c r="W1325" s="253"/>
      <c r="X1325" s="253"/>
      <c r="Y1325" s="253">
        <v>65</v>
      </c>
      <c r="Z1325" s="253">
        <v>57</v>
      </c>
      <c r="AA1325" s="253"/>
      <c r="AB1325" s="253"/>
      <c r="AC1325" s="253"/>
      <c r="AD1325" s="253"/>
      <c r="AE1325" s="253"/>
    </row>
    <row r="1326" spans="1:31">
      <c r="A1326" s="33">
        <v>1325</v>
      </c>
      <c r="B1326" s="69" t="s">
        <v>1597</v>
      </c>
      <c r="C1326" s="69" t="s">
        <v>740</v>
      </c>
      <c r="D1326" s="56">
        <v>42663</v>
      </c>
      <c r="G1326" s="69" t="str">
        <f t="shared" si="20"/>
        <v>E-Commerce</v>
      </c>
      <c r="H1326" s="69" t="s">
        <v>1585</v>
      </c>
      <c r="J1326" s="69" t="s">
        <v>1597</v>
      </c>
      <c r="K1326" s="69" t="s">
        <v>1601</v>
      </c>
      <c r="L1326" s="253">
        <v>62</v>
      </c>
      <c r="M1326" s="253">
        <v>62</v>
      </c>
      <c r="N1326" s="253">
        <v>60</v>
      </c>
      <c r="O1326" s="253">
        <v>65</v>
      </c>
      <c r="P1326" s="253">
        <v>62</v>
      </c>
      <c r="Q1326" s="253">
        <v>65</v>
      </c>
      <c r="R1326" s="253">
        <v>58</v>
      </c>
      <c r="S1326" s="253">
        <v>66</v>
      </c>
      <c r="T1326" s="253">
        <v>55</v>
      </c>
      <c r="U1326" s="253">
        <v>66</v>
      </c>
      <c r="V1326" s="253">
        <v>60</v>
      </c>
      <c r="W1326" s="253"/>
      <c r="X1326" s="253"/>
      <c r="Y1326" s="253">
        <v>68</v>
      </c>
      <c r="Z1326" s="253">
        <v>63</v>
      </c>
      <c r="AA1326" s="253"/>
      <c r="AB1326" s="253"/>
      <c r="AC1326" s="253"/>
      <c r="AD1326" s="253"/>
      <c r="AE1326" s="253"/>
    </row>
    <row r="1327" spans="1:31">
      <c r="A1327" s="33">
        <v>1326</v>
      </c>
      <c r="B1327" s="69" t="s">
        <v>1597</v>
      </c>
      <c r="C1327" s="69" t="s">
        <v>740</v>
      </c>
      <c r="D1327" s="56">
        <v>42663</v>
      </c>
      <c r="G1327" s="69" t="str">
        <f t="shared" si="20"/>
        <v>E-Commerce</v>
      </c>
      <c r="H1327" s="69" t="s">
        <v>1585</v>
      </c>
      <c r="J1327" s="69" t="s">
        <v>1597</v>
      </c>
      <c r="K1327" s="69" t="s">
        <v>1602</v>
      </c>
      <c r="L1327" s="253">
        <v>61</v>
      </c>
      <c r="M1327" s="253">
        <v>57</v>
      </c>
      <c r="N1327" s="253">
        <v>51</v>
      </c>
      <c r="O1327" s="253">
        <v>63</v>
      </c>
      <c r="P1327" s="253">
        <v>59</v>
      </c>
      <c r="Q1327" s="253">
        <v>59</v>
      </c>
      <c r="R1327" s="253">
        <v>58</v>
      </c>
      <c r="S1327" s="253">
        <v>60</v>
      </c>
      <c r="T1327" s="253">
        <v>57</v>
      </c>
      <c r="U1327" s="253">
        <v>52</v>
      </c>
      <c r="V1327" s="253">
        <v>53</v>
      </c>
      <c r="W1327" s="253"/>
      <c r="X1327" s="253"/>
      <c r="Y1327" s="253">
        <v>63</v>
      </c>
      <c r="Z1327" s="253">
        <v>67</v>
      </c>
      <c r="AA1327" s="253"/>
      <c r="AB1327" s="253"/>
      <c r="AC1327" s="253"/>
      <c r="AD1327" s="253"/>
      <c r="AE1327" s="253"/>
    </row>
    <row r="1328" spans="1:31">
      <c r="A1328" s="33">
        <v>1327</v>
      </c>
      <c r="B1328" s="69" t="s">
        <v>1584</v>
      </c>
      <c r="C1328" s="69" t="s">
        <v>740</v>
      </c>
      <c r="D1328" s="56">
        <v>42664</v>
      </c>
      <c r="G1328" s="69" t="str">
        <f t="shared" si="20"/>
        <v>User Registration</v>
      </c>
      <c r="H1328" s="69" t="s">
        <v>1585</v>
      </c>
      <c r="J1328" s="69" t="s">
        <v>1584</v>
      </c>
      <c r="K1328" s="69" t="s">
        <v>1586</v>
      </c>
      <c r="L1328" s="253">
        <v>67</v>
      </c>
      <c r="M1328" s="253">
        <v>66</v>
      </c>
      <c r="N1328" s="253">
        <v>61</v>
      </c>
      <c r="O1328" s="253">
        <v>65</v>
      </c>
      <c r="P1328" s="253">
        <v>68</v>
      </c>
      <c r="Q1328" s="253">
        <v>66</v>
      </c>
      <c r="R1328" s="253">
        <v>65</v>
      </c>
      <c r="S1328" s="253">
        <v>67</v>
      </c>
      <c r="T1328" s="253">
        <v>63</v>
      </c>
      <c r="U1328" s="253">
        <v>67</v>
      </c>
      <c r="V1328" s="253"/>
      <c r="W1328" s="253">
        <v>59</v>
      </c>
      <c r="X1328" s="253">
        <v>55</v>
      </c>
      <c r="Y1328" s="253">
        <v>66</v>
      </c>
      <c r="Z1328" s="253">
        <v>64</v>
      </c>
      <c r="AA1328" s="253"/>
      <c r="AB1328" s="253"/>
      <c r="AC1328" s="253"/>
      <c r="AD1328" s="253"/>
      <c r="AE1328" s="253"/>
    </row>
    <row r="1329" spans="1:31">
      <c r="A1329" s="33">
        <v>1328</v>
      </c>
      <c r="B1329" s="69" t="s">
        <v>1584</v>
      </c>
      <c r="C1329" s="69" t="s">
        <v>740</v>
      </c>
      <c r="D1329" s="56">
        <v>42664</v>
      </c>
      <c r="G1329" s="69" t="str">
        <f t="shared" si="20"/>
        <v>User Registration</v>
      </c>
      <c r="H1329" s="69" t="s">
        <v>1585</v>
      </c>
      <c r="J1329" s="69" t="s">
        <v>1584</v>
      </c>
      <c r="K1329" s="69" t="s">
        <v>1360</v>
      </c>
      <c r="L1329" s="253">
        <v>66</v>
      </c>
      <c r="M1329" s="253">
        <v>64</v>
      </c>
      <c r="N1329" s="253">
        <v>61</v>
      </c>
      <c r="O1329" s="253">
        <v>66</v>
      </c>
      <c r="P1329" s="253">
        <v>66</v>
      </c>
      <c r="Q1329" s="253">
        <v>64</v>
      </c>
      <c r="R1329" s="253">
        <v>64</v>
      </c>
      <c r="S1329" s="253">
        <v>66</v>
      </c>
      <c r="T1329" s="253">
        <v>64</v>
      </c>
      <c r="U1329" s="253">
        <v>63</v>
      </c>
      <c r="V1329" s="253"/>
      <c r="W1329" s="253">
        <v>60</v>
      </c>
      <c r="X1329" s="253">
        <v>62</v>
      </c>
      <c r="Y1329" s="253">
        <v>68</v>
      </c>
      <c r="Z1329" s="253">
        <v>64</v>
      </c>
      <c r="AA1329" s="253"/>
      <c r="AB1329" s="253"/>
      <c r="AC1329" s="253"/>
      <c r="AD1329" s="253"/>
      <c r="AE1329" s="253"/>
    </row>
    <row r="1330" spans="1:31">
      <c r="A1330" s="33">
        <v>1329</v>
      </c>
      <c r="B1330" s="69" t="s">
        <v>1584</v>
      </c>
      <c r="C1330" s="69" t="s">
        <v>740</v>
      </c>
      <c r="D1330" s="56">
        <v>42664</v>
      </c>
      <c r="G1330" s="69" t="str">
        <f t="shared" si="20"/>
        <v>User Registration</v>
      </c>
      <c r="H1330" s="69" t="s">
        <v>1585</v>
      </c>
      <c r="J1330" s="69" t="s">
        <v>1584</v>
      </c>
      <c r="K1330" s="69" t="s">
        <v>1587</v>
      </c>
      <c r="L1330" s="253">
        <v>62</v>
      </c>
      <c r="M1330" s="253">
        <v>62</v>
      </c>
      <c r="N1330" s="253">
        <v>55</v>
      </c>
      <c r="O1330" s="253">
        <v>64</v>
      </c>
      <c r="P1330" s="253">
        <v>61</v>
      </c>
      <c r="Q1330" s="253">
        <v>61</v>
      </c>
      <c r="R1330" s="253">
        <v>61</v>
      </c>
      <c r="S1330" s="253">
        <v>65</v>
      </c>
      <c r="T1330" s="253">
        <v>61</v>
      </c>
      <c r="U1330" s="253">
        <v>59</v>
      </c>
      <c r="V1330" s="253"/>
      <c r="W1330" s="253">
        <v>52</v>
      </c>
      <c r="X1330" s="253">
        <v>57</v>
      </c>
      <c r="Y1330" s="253">
        <v>64</v>
      </c>
      <c r="Z1330" s="253">
        <v>65</v>
      </c>
      <c r="AA1330" s="253"/>
      <c r="AB1330" s="253"/>
      <c r="AC1330" s="253"/>
      <c r="AD1330" s="253"/>
      <c r="AE1330" s="253"/>
    </row>
    <row r="1331" spans="1:31">
      <c r="A1331" s="33">
        <v>1330</v>
      </c>
      <c r="B1331" s="69" t="s">
        <v>1584</v>
      </c>
      <c r="C1331" s="69" t="s">
        <v>740</v>
      </c>
      <c r="D1331" s="56">
        <v>42664</v>
      </c>
      <c r="G1331" s="69" t="str">
        <f t="shared" si="20"/>
        <v>User Registration</v>
      </c>
      <c r="H1331" s="69" t="s">
        <v>1585</v>
      </c>
      <c r="J1331" s="69" t="s">
        <v>1584</v>
      </c>
      <c r="K1331" s="69" t="s">
        <v>1588</v>
      </c>
      <c r="L1331" s="253">
        <v>64</v>
      </c>
      <c r="M1331" s="253">
        <v>59</v>
      </c>
      <c r="N1331" s="253">
        <v>55</v>
      </c>
      <c r="O1331" s="253">
        <v>58</v>
      </c>
      <c r="P1331" s="253">
        <v>64</v>
      </c>
      <c r="Q1331" s="253">
        <v>60</v>
      </c>
      <c r="R1331" s="253">
        <v>57</v>
      </c>
      <c r="S1331" s="253">
        <v>63</v>
      </c>
      <c r="T1331" s="253">
        <v>56</v>
      </c>
      <c r="U1331" s="253">
        <v>57</v>
      </c>
      <c r="V1331" s="253"/>
      <c r="W1331" s="253">
        <v>54</v>
      </c>
      <c r="X1331" s="253"/>
      <c r="Y1331" s="253">
        <v>54</v>
      </c>
      <c r="Z1331" s="253">
        <v>66</v>
      </c>
      <c r="AA1331" s="253"/>
      <c r="AB1331" s="253"/>
      <c r="AC1331" s="253"/>
      <c r="AD1331" s="253"/>
      <c r="AE1331" s="253"/>
    </row>
    <row r="1332" spans="1:31">
      <c r="A1332" s="33">
        <v>1331</v>
      </c>
      <c r="B1332" s="69" t="s">
        <v>1584</v>
      </c>
      <c r="C1332" s="69" t="s">
        <v>740</v>
      </c>
      <c r="D1332" s="56">
        <v>42664</v>
      </c>
      <c r="F1332" s="56"/>
      <c r="G1332" s="69" t="str">
        <f t="shared" si="20"/>
        <v>User Registration</v>
      </c>
      <c r="H1332" s="69" t="s">
        <v>1585</v>
      </c>
      <c r="J1332" s="69" t="s">
        <v>1584</v>
      </c>
      <c r="K1332" s="69" t="s">
        <v>1584</v>
      </c>
      <c r="L1332" s="253">
        <v>60</v>
      </c>
      <c r="M1332" s="253">
        <v>55</v>
      </c>
      <c r="N1332" s="253">
        <v>58</v>
      </c>
      <c r="O1332" s="253">
        <v>50</v>
      </c>
      <c r="P1332" s="253">
        <v>63</v>
      </c>
      <c r="Q1332" s="253">
        <v>58</v>
      </c>
      <c r="R1332" s="253">
        <v>54</v>
      </c>
      <c r="S1332" s="253">
        <v>58</v>
      </c>
      <c r="T1332" s="253">
        <v>51</v>
      </c>
      <c r="U1332" s="253">
        <v>57</v>
      </c>
      <c r="V1332" s="253"/>
      <c r="W1332" s="253">
        <v>59</v>
      </c>
      <c r="X1332" s="253">
        <v>53</v>
      </c>
      <c r="Y1332" s="253">
        <v>48</v>
      </c>
      <c r="Z1332" s="253">
        <v>50</v>
      </c>
      <c r="AA1332" s="253"/>
      <c r="AB1332" s="253"/>
      <c r="AC1332" s="253"/>
      <c r="AD1332" s="253"/>
      <c r="AE1332" s="253"/>
    </row>
    <row r="1333" spans="1:31">
      <c r="A1333" s="33">
        <v>1332</v>
      </c>
      <c r="B1333" s="69" t="s">
        <v>1584</v>
      </c>
      <c r="C1333" s="69" t="s">
        <v>740</v>
      </c>
      <c r="D1333" s="56">
        <v>42664</v>
      </c>
      <c r="F1333" s="56"/>
      <c r="G1333" s="69" t="str">
        <f t="shared" si="20"/>
        <v>User Registration</v>
      </c>
      <c r="H1333" s="69" t="s">
        <v>1585</v>
      </c>
      <c r="J1333" s="69" t="s">
        <v>1584</v>
      </c>
      <c r="K1333" s="13" t="s">
        <v>1589</v>
      </c>
      <c r="L1333" s="253">
        <v>63</v>
      </c>
      <c r="M1333" s="253">
        <v>57</v>
      </c>
      <c r="N1333" s="253">
        <v>58</v>
      </c>
      <c r="O1333" s="253">
        <v>55</v>
      </c>
      <c r="P1333" s="253">
        <v>63</v>
      </c>
      <c r="Q1333" s="253">
        <v>56</v>
      </c>
      <c r="R1333" s="253">
        <v>52</v>
      </c>
      <c r="S1333" s="253">
        <v>64</v>
      </c>
      <c r="T1333" s="253">
        <v>51</v>
      </c>
      <c r="U1333" s="253">
        <v>59</v>
      </c>
      <c r="V1333" s="253"/>
      <c r="W1333" s="253">
        <v>60</v>
      </c>
      <c r="X1333" s="253">
        <v>55</v>
      </c>
      <c r="Y1333" s="253">
        <v>50</v>
      </c>
      <c r="Z1333" s="253">
        <v>65</v>
      </c>
      <c r="AA1333" s="253"/>
      <c r="AB1333" s="253"/>
      <c r="AC1333" s="253"/>
      <c r="AD1333" s="253"/>
      <c r="AE1333" s="253"/>
    </row>
    <row r="1334" spans="1:31">
      <c r="A1334" s="33">
        <v>1333</v>
      </c>
      <c r="B1334" s="69" t="s">
        <v>1583</v>
      </c>
      <c r="C1334" s="69" t="s">
        <v>740</v>
      </c>
      <c r="D1334" s="56">
        <v>42668</v>
      </c>
      <c r="F1334" s="56"/>
      <c r="G1334" s="69" t="str">
        <f t="shared" si="20"/>
        <v>User Registration</v>
      </c>
      <c r="H1334" s="69" t="s">
        <v>922</v>
      </c>
      <c r="J1334" s="69" t="s">
        <v>1583</v>
      </c>
      <c r="K1334" s="69" t="s">
        <v>1583</v>
      </c>
      <c r="L1334" s="253">
        <v>55</v>
      </c>
      <c r="M1334" s="253">
        <v>52</v>
      </c>
      <c r="N1334" s="253">
        <v>52</v>
      </c>
      <c r="O1334" s="253">
        <v>54</v>
      </c>
      <c r="P1334" s="253">
        <v>57</v>
      </c>
      <c r="Q1334" s="253">
        <v>52</v>
      </c>
      <c r="R1334" s="253">
        <v>55</v>
      </c>
      <c r="S1334" s="253">
        <v>56</v>
      </c>
      <c r="T1334" s="253">
        <v>53</v>
      </c>
      <c r="U1334" s="253">
        <v>49</v>
      </c>
      <c r="V1334" s="253"/>
      <c r="W1334" s="253">
        <v>54</v>
      </c>
      <c r="X1334" s="253">
        <v>48</v>
      </c>
      <c r="Y1334" s="253">
        <v>57</v>
      </c>
      <c r="Z1334" s="253">
        <v>46</v>
      </c>
      <c r="AA1334" s="253"/>
      <c r="AB1334" s="253"/>
      <c r="AC1334" s="253"/>
      <c r="AD1334" s="253"/>
      <c r="AE1334" s="253"/>
    </row>
    <row r="1335" spans="1:31">
      <c r="A1335" s="33">
        <v>1334</v>
      </c>
      <c r="B1335" s="69" t="s">
        <v>1576</v>
      </c>
      <c r="C1335" s="69" t="s">
        <v>740</v>
      </c>
      <c r="D1335" s="56">
        <v>42669</v>
      </c>
      <c r="G1335" s="69" t="str">
        <f t="shared" si="20"/>
        <v>E-Commerce</v>
      </c>
      <c r="H1335" s="69" t="s">
        <v>1577</v>
      </c>
      <c r="J1335" s="69" t="s">
        <v>1576</v>
      </c>
      <c r="K1335" s="69" t="s">
        <v>1576</v>
      </c>
      <c r="L1335" s="253">
        <v>55</v>
      </c>
      <c r="M1335" s="253">
        <v>56</v>
      </c>
      <c r="N1335" s="253">
        <v>56</v>
      </c>
      <c r="O1335" s="253">
        <v>54</v>
      </c>
      <c r="P1335" s="253">
        <v>58</v>
      </c>
      <c r="Q1335" s="253">
        <v>59</v>
      </c>
      <c r="R1335" s="253">
        <v>57</v>
      </c>
      <c r="S1335" s="253">
        <v>55</v>
      </c>
      <c r="T1335" s="253">
        <v>55</v>
      </c>
      <c r="U1335" s="253">
        <v>58</v>
      </c>
      <c r="V1335" s="253">
        <v>56</v>
      </c>
      <c r="W1335" s="253"/>
      <c r="X1335" s="253">
        <v>57</v>
      </c>
      <c r="Y1335" s="253">
        <v>57</v>
      </c>
      <c r="Z1335" s="253">
        <v>45</v>
      </c>
      <c r="AA1335" s="253"/>
      <c r="AB1335" s="253"/>
      <c r="AC1335" s="253"/>
      <c r="AD1335" s="253"/>
      <c r="AE1335" s="253"/>
    </row>
    <row r="1336" spans="1:31">
      <c r="A1336" s="33">
        <v>1335</v>
      </c>
      <c r="B1336" s="69" t="s">
        <v>1576</v>
      </c>
      <c r="C1336" s="69" t="s">
        <v>740</v>
      </c>
      <c r="D1336" s="56">
        <v>42669</v>
      </c>
      <c r="G1336" s="69" t="str">
        <f t="shared" si="20"/>
        <v>E-Commerce</v>
      </c>
      <c r="H1336" s="69" t="s">
        <v>1577</v>
      </c>
      <c r="J1336" s="69" t="s">
        <v>1576</v>
      </c>
      <c r="K1336" s="69" t="s">
        <v>1578</v>
      </c>
      <c r="L1336" s="253">
        <v>63</v>
      </c>
      <c r="M1336" s="253">
        <v>59</v>
      </c>
      <c r="N1336" s="253">
        <v>58</v>
      </c>
      <c r="O1336" s="253">
        <v>58</v>
      </c>
      <c r="P1336" s="253">
        <v>64</v>
      </c>
      <c r="Q1336" s="253">
        <v>63</v>
      </c>
      <c r="R1336" s="253">
        <v>62</v>
      </c>
      <c r="S1336" s="253">
        <v>60</v>
      </c>
      <c r="T1336" s="253">
        <v>57</v>
      </c>
      <c r="U1336" s="253">
        <v>57</v>
      </c>
      <c r="V1336" s="253">
        <v>57</v>
      </c>
      <c r="W1336" s="253"/>
      <c r="X1336" s="253">
        <v>58</v>
      </c>
      <c r="Y1336" s="253">
        <v>55</v>
      </c>
      <c r="Z1336" s="253">
        <v>60</v>
      </c>
      <c r="AA1336" s="253"/>
      <c r="AB1336" s="253"/>
      <c r="AC1336" s="253"/>
      <c r="AD1336" s="253"/>
      <c r="AE1336" s="253"/>
    </row>
    <row r="1337" spans="1:31">
      <c r="A1337" s="33">
        <v>1336</v>
      </c>
      <c r="B1337" s="69" t="s">
        <v>1576</v>
      </c>
      <c r="C1337" s="69" t="s">
        <v>740</v>
      </c>
      <c r="D1337" s="56">
        <v>42669</v>
      </c>
      <c r="G1337" s="69" t="str">
        <f t="shared" si="20"/>
        <v>E-Commerce</v>
      </c>
      <c r="H1337" s="69" t="s">
        <v>1577</v>
      </c>
      <c r="J1337" s="69" t="s">
        <v>1576</v>
      </c>
      <c r="K1337" s="69" t="s">
        <v>1579</v>
      </c>
      <c r="L1337" s="253">
        <v>54</v>
      </c>
      <c r="M1337" s="253">
        <v>56</v>
      </c>
      <c r="N1337" s="253">
        <v>52</v>
      </c>
      <c r="O1337" s="253">
        <v>55</v>
      </c>
      <c r="P1337" s="253">
        <v>57</v>
      </c>
      <c r="Q1337" s="253">
        <v>51</v>
      </c>
      <c r="R1337" s="253">
        <v>57</v>
      </c>
      <c r="S1337" s="253">
        <v>62</v>
      </c>
      <c r="T1337" s="253">
        <v>58</v>
      </c>
      <c r="U1337" s="253">
        <v>65</v>
      </c>
      <c r="V1337" s="253">
        <v>52</v>
      </c>
      <c r="W1337" s="253"/>
      <c r="X1337" s="253">
        <v>52</v>
      </c>
      <c r="Y1337" s="253">
        <v>62</v>
      </c>
      <c r="Z1337" s="253">
        <v>40</v>
      </c>
      <c r="AA1337" s="253"/>
      <c r="AB1337" s="253"/>
      <c r="AC1337" s="253"/>
      <c r="AD1337" s="253"/>
      <c r="AE1337" s="253"/>
    </row>
    <row r="1338" spans="1:31">
      <c r="A1338" s="33">
        <v>1337</v>
      </c>
      <c r="B1338" s="69" t="s">
        <v>1576</v>
      </c>
      <c r="C1338" s="69" t="s">
        <v>740</v>
      </c>
      <c r="D1338" s="56">
        <v>42669</v>
      </c>
      <c r="G1338" s="69" t="str">
        <f t="shared" si="20"/>
        <v>E-Commerce</v>
      </c>
      <c r="H1338" s="69" t="s">
        <v>1577</v>
      </c>
      <c r="J1338" s="69" t="s">
        <v>1576</v>
      </c>
      <c r="K1338" s="69" t="s">
        <v>1580</v>
      </c>
      <c r="L1338" s="253">
        <v>59</v>
      </c>
      <c r="M1338" s="253">
        <v>57</v>
      </c>
      <c r="N1338" s="253">
        <v>57</v>
      </c>
      <c r="O1338" s="253">
        <v>55</v>
      </c>
      <c r="P1338" s="253">
        <v>58</v>
      </c>
      <c r="Q1338" s="253">
        <v>61</v>
      </c>
      <c r="R1338" s="253">
        <v>61</v>
      </c>
      <c r="S1338" s="253">
        <v>47</v>
      </c>
      <c r="T1338" s="253">
        <v>55</v>
      </c>
      <c r="U1338" s="253">
        <v>54</v>
      </c>
      <c r="V1338" s="253">
        <v>57</v>
      </c>
      <c r="W1338" s="253"/>
      <c r="X1338" s="253">
        <v>57</v>
      </c>
      <c r="Y1338" s="253">
        <v>50</v>
      </c>
      <c r="Z1338" s="253">
        <v>63</v>
      </c>
      <c r="AA1338" s="253"/>
      <c r="AB1338" s="253"/>
      <c r="AC1338" s="253"/>
      <c r="AD1338" s="253"/>
      <c r="AE1338" s="253"/>
    </row>
    <row r="1339" spans="1:31">
      <c r="A1339" s="33">
        <v>1338</v>
      </c>
      <c r="B1339" s="69" t="s">
        <v>1576</v>
      </c>
      <c r="C1339" s="69" t="s">
        <v>740</v>
      </c>
      <c r="D1339" s="56">
        <v>42669</v>
      </c>
      <c r="G1339" s="69" t="str">
        <f t="shared" si="20"/>
        <v>E-Commerce</v>
      </c>
      <c r="H1339" s="69" t="s">
        <v>1577</v>
      </c>
      <c r="J1339" s="69" t="s">
        <v>1576</v>
      </c>
      <c r="K1339" s="69" t="s">
        <v>1581</v>
      </c>
      <c r="L1339" s="253">
        <v>56</v>
      </c>
      <c r="M1339" s="253">
        <v>56</v>
      </c>
      <c r="N1339" s="253">
        <v>52</v>
      </c>
      <c r="O1339" s="253">
        <v>56</v>
      </c>
      <c r="P1339" s="253">
        <v>57</v>
      </c>
      <c r="Q1339" s="253">
        <v>55</v>
      </c>
      <c r="R1339" s="253">
        <v>55</v>
      </c>
      <c r="S1339" s="253">
        <v>59</v>
      </c>
      <c r="T1339" s="253">
        <v>56</v>
      </c>
      <c r="U1339" s="253">
        <v>58</v>
      </c>
      <c r="V1339" s="253">
        <v>52</v>
      </c>
      <c r="W1339" s="253"/>
      <c r="X1339" s="253">
        <v>52</v>
      </c>
      <c r="Y1339" s="253">
        <v>57</v>
      </c>
      <c r="Z1339" s="253">
        <v>54</v>
      </c>
      <c r="AA1339" s="253"/>
      <c r="AB1339" s="253"/>
      <c r="AC1339" s="253"/>
      <c r="AD1339" s="253"/>
      <c r="AE1339" s="253"/>
    </row>
    <row r="1340" spans="1:31">
      <c r="A1340" s="33">
        <v>1339</v>
      </c>
      <c r="B1340" s="69" t="s">
        <v>1576</v>
      </c>
      <c r="C1340" s="69" t="s">
        <v>740</v>
      </c>
      <c r="D1340" s="56">
        <v>42669</v>
      </c>
      <c r="G1340" s="69" t="str">
        <f t="shared" si="20"/>
        <v>E-Commerce</v>
      </c>
      <c r="H1340" s="69" t="s">
        <v>1577</v>
      </c>
      <c r="J1340" s="69" t="s">
        <v>1576</v>
      </c>
      <c r="K1340" s="69" t="s">
        <v>1582</v>
      </c>
      <c r="L1340" s="253">
        <v>53</v>
      </c>
      <c r="M1340" s="253">
        <v>56</v>
      </c>
      <c r="N1340" s="253">
        <v>52</v>
      </c>
      <c r="O1340" s="253">
        <v>53</v>
      </c>
      <c r="P1340" s="253">
        <v>56</v>
      </c>
      <c r="Q1340" s="253">
        <v>55</v>
      </c>
      <c r="R1340" s="253">
        <v>58</v>
      </c>
      <c r="S1340" s="253">
        <v>55</v>
      </c>
      <c r="T1340" s="253">
        <v>59</v>
      </c>
      <c r="U1340" s="253">
        <v>62</v>
      </c>
      <c r="V1340" s="253">
        <v>52</v>
      </c>
      <c r="W1340" s="253"/>
      <c r="X1340" s="253">
        <v>52</v>
      </c>
      <c r="Y1340" s="253">
        <v>59</v>
      </c>
      <c r="Z1340" s="253">
        <v>40</v>
      </c>
      <c r="AA1340" s="253"/>
      <c r="AB1340" s="253"/>
      <c r="AC1340" s="253"/>
      <c r="AD1340" s="253"/>
      <c r="AE1340" s="253"/>
    </row>
    <row r="1341" spans="1:31">
      <c r="A1341" s="33">
        <v>1340</v>
      </c>
      <c r="B1341" s="69" t="s">
        <v>1570</v>
      </c>
      <c r="C1341" s="69" t="s">
        <v>740</v>
      </c>
      <c r="D1341" s="56">
        <v>42670</v>
      </c>
      <c r="G1341" s="69" t="str">
        <f t="shared" si="20"/>
        <v>User Registration</v>
      </c>
      <c r="H1341" s="69" t="s">
        <v>1088</v>
      </c>
      <c r="J1341" s="69" t="s">
        <v>1570</v>
      </c>
      <c r="K1341" s="69" t="s">
        <v>1571</v>
      </c>
      <c r="L1341" s="253">
        <v>65</v>
      </c>
      <c r="M1341" s="253">
        <v>65</v>
      </c>
      <c r="N1341" s="253">
        <v>58</v>
      </c>
      <c r="O1341" s="253">
        <v>63</v>
      </c>
      <c r="P1341" s="253">
        <v>67</v>
      </c>
      <c r="Q1341" s="253">
        <v>66</v>
      </c>
      <c r="R1341" s="253">
        <v>65</v>
      </c>
      <c r="S1341" s="253">
        <v>65</v>
      </c>
      <c r="T1341" s="253">
        <v>65</v>
      </c>
      <c r="U1341" s="253">
        <v>66</v>
      </c>
      <c r="V1341" s="253"/>
      <c r="W1341" s="253">
        <v>57</v>
      </c>
      <c r="X1341" s="253">
        <v>58</v>
      </c>
      <c r="Y1341" s="253">
        <v>65</v>
      </c>
      <c r="Z1341" s="253">
        <v>58</v>
      </c>
      <c r="AA1341" s="253"/>
      <c r="AB1341" s="253"/>
      <c r="AC1341" s="253"/>
      <c r="AD1341" s="253"/>
      <c r="AE1341" s="253"/>
    </row>
    <row r="1342" spans="1:31">
      <c r="A1342" s="33">
        <v>1341</v>
      </c>
      <c r="B1342" s="69" t="s">
        <v>1570</v>
      </c>
      <c r="C1342" s="69" t="s">
        <v>740</v>
      </c>
      <c r="D1342" s="56">
        <v>42670</v>
      </c>
      <c r="G1342" s="69" t="str">
        <f t="shared" si="20"/>
        <v>User Registration</v>
      </c>
      <c r="H1342" s="69" t="s">
        <v>1088</v>
      </c>
      <c r="J1342" s="69" t="s">
        <v>1570</v>
      </c>
      <c r="K1342" s="69" t="s">
        <v>1320</v>
      </c>
      <c r="L1342" s="253">
        <v>66</v>
      </c>
      <c r="M1342" s="253">
        <v>62</v>
      </c>
      <c r="N1342" s="253">
        <v>64</v>
      </c>
      <c r="O1342" s="253">
        <v>58</v>
      </c>
      <c r="P1342" s="253">
        <v>68</v>
      </c>
      <c r="Q1342" s="253">
        <v>65</v>
      </c>
      <c r="R1342" s="253">
        <v>58</v>
      </c>
      <c r="S1342" s="253">
        <v>66</v>
      </c>
      <c r="T1342" s="253">
        <v>63</v>
      </c>
      <c r="U1342" s="253">
        <v>62</v>
      </c>
      <c r="V1342" s="253"/>
      <c r="W1342" s="253">
        <v>65</v>
      </c>
      <c r="X1342" s="253">
        <v>59</v>
      </c>
      <c r="Y1342" s="253">
        <v>56</v>
      </c>
      <c r="Z1342" s="253">
        <v>60</v>
      </c>
      <c r="AA1342" s="253"/>
      <c r="AB1342" s="253"/>
      <c r="AC1342" s="253"/>
      <c r="AD1342" s="253"/>
      <c r="AE1342" s="253"/>
    </row>
    <row r="1343" spans="1:31">
      <c r="A1343" s="33">
        <v>1342</v>
      </c>
      <c r="B1343" s="69" t="s">
        <v>1570</v>
      </c>
      <c r="C1343" s="69" t="s">
        <v>740</v>
      </c>
      <c r="D1343" s="56">
        <v>42670</v>
      </c>
      <c r="G1343" s="69" t="str">
        <f t="shared" si="20"/>
        <v>User Registration</v>
      </c>
      <c r="H1343" s="69" t="s">
        <v>1088</v>
      </c>
      <c r="J1343" s="69" t="s">
        <v>1570</v>
      </c>
      <c r="K1343" s="69" t="s">
        <v>1570</v>
      </c>
      <c r="L1343" s="253">
        <v>67</v>
      </c>
      <c r="M1343" s="253">
        <v>64</v>
      </c>
      <c r="N1343" s="253">
        <v>60</v>
      </c>
      <c r="O1343" s="253">
        <v>66</v>
      </c>
      <c r="P1343" s="253">
        <v>66</v>
      </c>
      <c r="Q1343" s="253">
        <v>63</v>
      </c>
      <c r="R1343" s="253">
        <v>64</v>
      </c>
      <c r="S1343" s="253">
        <v>65</v>
      </c>
      <c r="T1343" s="253">
        <v>62</v>
      </c>
      <c r="U1343" s="253">
        <v>63</v>
      </c>
      <c r="V1343" s="253"/>
      <c r="W1343" s="253">
        <v>56</v>
      </c>
      <c r="X1343" s="253">
        <v>69</v>
      </c>
      <c r="Y1343" s="253">
        <v>64</v>
      </c>
      <c r="Z1343" s="253">
        <v>72</v>
      </c>
      <c r="AA1343" s="253"/>
      <c r="AB1343" s="253"/>
      <c r="AC1343" s="253"/>
      <c r="AD1343" s="253"/>
      <c r="AE1343" s="253"/>
    </row>
    <row r="1344" spans="1:31">
      <c r="A1344" s="33">
        <v>1343</v>
      </c>
      <c r="B1344" s="69" t="s">
        <v>1572</v>
      </c>
      <c r="C1344" s="69" t="s">
        <v>740</v>
      </c>
      <c r="D1344" s="56">
        <v>42670</v>
      </c>
      <c r="G1344" s="69" t="str">
        <f t="shared" si="20"/>
        <v>E-Commerce</v>
      </c>
      <c r="H1344" s="69" t="s">
        <v>517</v>
      </c>
      <c r="J1344" s="69" t="s">
        <v>1572</v>
      </c>
      <c r="K1344" s="69" t="s">
        <v>1572</v>
      </c>
      <c r="L1344" s="253">
        <v>63</v>
      </c>
      <c r="M1344" s="253">
        <v>60</v>
      </c>
      <c r="N1344" s="253">
        <v>59</v>
      </c>
      <c r="O1344" s="253">
        <v>59</v>
      </c>
      <c r="P1344" s="253">
        <v>64</v>
      </c>
      <c r="Q1344" s="253">
        <v>56</v>
      </c>
      <c r="R1344" s="253">
        <v>60</v>
      </c>
      <c r="S1344" s="253">
        <v>64</v>
      </c>
      <c r="T1344" s="253">
        <v>60</v>
      </c>
      <c r="U1344" s="253">
        <v>60</v>
      </c>
      <c r="V1344" s="253">
        <v>60</v>
      </c>
      <c r="W1344" s="253"/>
      <c r="X1344" s="253">
        <v>59</v>
      </c>
      <c r="Y1344" s="253"/>
      <c r="Z1344" s="253">
        <v>60</v>
      </c>
      <c r="AA1344" s="253"/>
      <c r="AB1344" s="253"/>
      <c r="AC1344" s="253"/>
      <c r="AD1344" s="253"/>
      <c r="AE1344" s="253"/>
    </row>
    <row r="1345" spans="1:31">
      <c r="A1345" s="33">
        <v>1344</v>
      </c>
      <c r="B1345" s="69" t="s">
        <v>1572</v>
      </c>
      <c r="C1345" s="69" t="s">
        <v>740</v>
      </c>
      <c r="D1345" s="56">
        <v>42670</v>
      </c>
      <c r="G1345" s="69" t="str">
        <f t="shared" si="20"/>
        <v>E-Commerce</v>
      </c>
      <c r="H1345" s="69" t="s">
        <v>517</v>
      </c>
      <c r="J1345" s="69" t="s">
        <v>1572</v>
      </c>
      <c r="K1345" s="69" t="s">
        <v>1573</v>
      </c>
      <c r="L1345" s="253">
        <v>65</v>
      </c>
      <c r="M1345" s="253">
        <v>61</v>
      </c>
      <c r="N1345" s="253">
        <v>60</v>
      </c>
      <c r="O1345" s="253">
        <v>64</v>
      </c>
      <c r="P1345" s="253">
        <v>66</v>
      </c>
      <c r="Q1345" s="253">
        <v>60</v>
      </c>
      <c r="R1345" s="253">
        <v>63</v>
      </c>
      <c r="S1345" s="253">
        <v>63</v>
      </c>
      <c r="T1345" s="253">
        <v>63</v>
      </c>
      <c r="U1345" s="253">
        <v>57</v>
      </c>
      <c r="V1345" s="253">
        <v>60</v>
      </c>
      <c r="W1345" s="253"/>
      <c r="X1345" s="253">
        <v>66</v>
      </c>
      <c r="Y1345" s="253"/>
      <c r="Z1345" s="253">
        <v>63</v>
      </c>
      <c r="AA1345" s="253"/>
      <c r="AB1345" s="253"/>
      <c r="AC1345" s="253"/>
      <c r="AD1345" s="253"/>
      <c r="AE1345" s="253"/>
    </row>
    <row r="1346" spans="1:31">
      <c r="A1346" s="33">
        <v>1345</v>
      </c>
      <c r="B1346" s="69" t="s">
        <v>1572</v>
      </c>
      <c r="C1346" s="69" t="s">
        <v>740</v>
      </c>
      <c r="D1346" s="56">
        <v>42670</v>
      </c>
      <c r="G1346" s="69" t="str">
        <f t="shared" ref="G1346:G1409" si="21">IF(V1346&gt;0,IF(W1346&gt;0,"Both","E-Commerce"),IF(W1346=0, "ERROR","User Registration"))</f>
        <v>E-Commerce</v>
      </c>
      <c r="H1346" s="69" t="s">
        <v>517</v>
      </c>
      <c r="J1346" s="69" t="s">
        <v>1572</v>
      </c>
      <c r="K1346" s="69" t="s">
        <v>1574</v>
      </c>
      <c r="L1346" s="253">
        <v>59</v>
      </c>
      <c r="M1346" s="253">
        <v>56</v>
      </c>
      <c r="N1346" s="253">
        <v>56</v>
      </c>
      <c r="O1346" s="253">
        <v>57</v>
      </c>
      <c r="P1346" s="253">
        <v>59</v>
      </c>
      <c r="Q1346" s="253">
        <v>55</v>
      </c>
      <c r="R1346" s="253">
        <v>56</v>
      </c>
      <c r="S1346" s="253">
        <v>57</v>
      </c>
      <c r="T1346" s="253">
        <v>56</v>
      </c>
      <c r="U1346" s="253">
        <v>55</v>
      </c>
      <c r="V1346" s="253">
        <v>56</v>
      </c>
      <c r="W1346" s="253"/>
      <c r="X1346" s="253">
        <v>57</v>
      </c>
      <c r="Y1346" s="253"/>
      <c r="Z1346" s="253">
        <v>58</v>
      </c>
      <c r="AA1346" s="253"/>
      <c r="AB1346" s="253"/>
      <c r="AC1346" s="253"/>
      <c r="AD1346" s="253"/>
      <c r="AE1346" s="253"/>
    </row>
    <row r="1347" spans="1:31">
      <c r="A1347" s="33">
        <v>1346</v>
      </c>
      <c r="B1347" s="69" t="s">
        <v>1572</v>
      </c>
      <c r="C1347" s="69" t="s">
        <v>740</v>
      </c>
      <c r="D1347" s="56">
        <v>42670</v>
      </c>
      <c r="G1347" s="69" t="str">
        <f t="shared" si="21"/>
        <v>E-Commerce</v>
      </c>
      <c r="H1347" s="69" t="s">
        <v>517</v>
      </c>
      <c r="J1347" s="69" t="s">
        <v>1572</v>
      </c>
      <c r="K1347" s="69" t="s">
        <v>1575</v>
      </c>
      <c r="L1347" s="253">
        <v>58</v>
      </c>
      <c r="M1347" s="253">
        <v>57</v>
      </c>
      <c r="N1347" s="253">
        <v>55</v>
      </c>
      <c r="O1347" s="253">
        <v>58</v>
      </c>
      <c r="P1347" s="253">
        <v>57</v>
      </c>
      <c r="Q1347" s="253">
        <v>59</v>
      </c>
      <c r="R1347" s="253">
        <v>57</v>
      </c>
      <c r="S1347" s="253">
        <v>55</v>
      </c>
      <c r="T1347" s="253">
        <v>57</v>
      </c>
      <c r="U1347" s="253">
        <v>57</v>
      </c>
      <c r="V1347" s="253">
        <v>55</v>
      </c>
      <c r="W1347" s="253"/>
      <c r="X1347" s="253">
        <v>56</v>
      </c>
      <c r="Y1347" s="253"/>
      <c r="Z1347" s="253">
        <v>64</v>
      </c>
      <c r="AA1347" s="253"/>
      <c r="AB1347" s="253"/>
      <c r="AC1347" s="253"/>
      <c r="AD1347" s="253"/>
      <c r="AE1347" s="253"/>
    </row>
    <row r="1348" spans="1:31">
      <c r="A1348" s="33">
        <v>1347</v>
      </c>
      <c r="B1348" s="69" t="s">
        <v>1570</v>
      </c>
      <c r="C1348" s="69" t="s">
        <v>740</v>
      </c>
      <c r="D1348" s="56">
        <v>42670</v>
      </c>
      <c r="F1348" s="56"/>
      <c r="G1348" s="69" t="str">
        <f t="shared" si="21"/>
        <v>User Registration</v>
      </c>
      <c r="H1348" s="69" t="s">
        <v>1088</v>
      </c>
      <c r="J1348" s="69" t="s">
        <v>1570</v>
      </c>
      <c r="K1348" s="13" t="s">
        <v>1084</v>
      </c>
      <c r="L1348" s="253">
        <v>61</v>
      </c>
      <c r="M1348" s="253">
        <v>59</v>
      </c>
      <c r="N1348" s="253">
        <v>58</v>
      </c>
      <c r="O1348" s="253">
        <v>62</v>
      </c>
      <c r="P1348" s="253">
        <v>61</v>
      </c>
      <c r="Q1348" s="253">
        <v>57</v>
      </c>
      <c r="R1348" s="253">
        <v>58</v>
      </c>
      <c r="S1348" s="253">
        <v>64</v>
      </c>
      <c r="T1348" s="253">
        <v>59</v>
      </c>
      <c r="U1348" s="253">
        <v>57</v>
      </c>
      <c r="V1348" s="253"/>
      <c r="W1348" s="253">
        <v>59</v>
      </c>
      <c r="X1348" s="253">
        <v>55</v>
      </c>
      <c r="Y1348" s="253">
        <v>64</v>
      </c>
      <c r="Z1348" s="253">
        <v>60</v>
      </c>
      <c r="AA1348" s="253"/>
      <c r="AB1348" s="253"/>
      <c r="AC1348" s="253"/>
      <c r="AD1348" s="253"/>
      <c r="AE1348" s="253"/>
    </row>
    <row r="1349" spans="1:31">
      <c r="A1349" s="33">
        <v>1348</v>
      </c>
      <c r="B1349" s="69" t="s">
        <v>1570</v>
      </c>
      <c r="C1349" s="69" t="s">
        <v>740</v>
      </c>
      <c r="D1349" s="56">
        <v>42670</v>
      </c>
      <c r="F1349" s="56"/>
      <c r="G1349" s="69" t="str">
        <f t="shared" si="21"/>
        <v>User Registration</v>
      </c>
      <c r="H1349" s="69" t="s">
        <v>1088</v>
      </c>
      <c r="J1349" s="69" t="s">
        <v>1570</v>
      </c>
      <c r="K1349" s="13" t="s">
        <v>1082</v>
      </c>
      <c r="L1349" s="253">
        <v>59</v>
      </c>
      <c r="M1349" s="253">
        <v>56</v>
      </c>
      <c r="N1349" s="253">
        <v>57</v>
      </c>
      <c r="O1349" s="253">
        <v>55</v>
      </c>
      <c r="P1349" s="253">
        <v>58</v>
      </c>
      <c r="Q1349" s="253">
        <v>57</v>
      </c>
      <c r="R1349" s="253">
        <v>55</v>
      </c>
      <c r="S1349" s="253">
        <v>56</v>
      </c>
      <c r="T1349" s="253">
        <v>55</v>
      </c>
      <c r="U1349" s="253">
        <v>55</v>
      </c>
      <c r="V1349" s="253"/>
      <c r="W1349" s="253">
        <v>57</v>
      </c>
      <c r="X1349" s="253">
        <v>57</v>
      </c>
      <c r="Y1349" s="253">
        <v>51</v>
      </c>
      <c r="Z1349" s="253">
        <v>64</v>
      </c>
      <c r="AA1349" s="253"/>
      <c r="AB1349" s="253"/>
      <c r="AC1349" s="253"/>
      <c r="AD1349" s="253"/>
      <c r="AE1349" s="253"/>
    </row>
    <row r="1350" spans="1:31">
      <c r="A1350" s="33">
        <v>1349</v>
      </c>
      <c r="B1350" s="69" t="s">
        <v>1559</v>
      </c>
      <c r="C1350" s="69" t="s">
        <v>1232</v>
      </c>
      <c r="D1350" s="56">
        <v>42671</v>
      </c>
      <c r="G1350" s="69" t="str">
        <f t="shared" si="21"/>
        <v>User Registration</v>
      </c>
      <c r="H1350" s="69" t="s">
        <v>1560</v>
      </c>
      <c r="J1350" s="69" t="s">
        <v>1559</v>
      </c>
      <c r="K1350" s="69" t="s">
        <v>1561</v>
      </c>
      <c r="L1350" s="253">
        <v>65</v>
      </c>
      <c r="M1350" s="253">
        <v>63</v>
      </c>
      <c r="N1350" s="253">
        <v>58</v>
      </c>
      <c r="O1350" s="253">
        <v>56</v>
      </c>
      <c r="P1350" s="253">
        <v>67</v>
      </c>
      <c r="Q1350" s="253">
        <v>66</v>
      </c>
      <c r="R1350" s="253">
        <v>65</v>
      </c>
      <c r="S1350" s="253">
        <v>60</v>
      </c>
      <c r="T1350" s="253">
        <v>62</v>
      </c>
      <c r="U1350" s="253">
        <v>63</v>
      </c>
      <c r="V1350" s="253"/>
      <c r="W1350" s="253">
        <v>56</v>
      </c>
      <c r="X1350" s="253">
        <v>59</v>
      </c>
      <c r="Y1350" s="253">
        <v>52</v>
      </c>
      <c r="Z1350" s="253">
        <v>57</v>
      </c>
      <c r="AA1350" s="253"/>
      <c r="AB1350" s="253"/>
      <c r="AC1350" s="253"/>
      <c r="AD1350" s="253"/>
      <c r="AE1350" s="253"/>
    </row>
    <row r="1351" spans="1:31">
      <c r="A1351" s="33">
        <v>1350</v>
      </c>
      <c r="B1351" s="69" t="s">
        <v>1562</v>
      </c>
      <c r="C1351" s="69" t="s">
        <v>1232</v>
      </c>
      <c r="D1351" s="56">
        <v>42671</v>
      </c>
      <c r="G1351" s="69" t="str">
        <f t="shared" si="21"/>
        <v>User Registration</v>
      </c>
      <c r="H1351" s="69" t="s">
        <v>974</v>
      </c>
      <c r="J1351" s="69" t="s">
        <v>1562</v>
      </c>
      <c r="K1351" s="69" t="s">
        <v>1563</v>
      </c>
      <c r="L1351" s="253">
        <v>62</v>
      </c>
      <c r="M1351" s="253">
        <v>60</v>
      </c>
      <c r="N1351" s="253">
        <v>63</v>
      </c>
      <c r="O1351" s="253">
        <v>51</v>
      </c>
      <c r="P1351" s="253">
        <v>64</v>
      </c>
      <c r="Q1351" s="253">
        <v>65</v>
      </c>
      <c r="R1351" s="253">
        <v>59</v>
      </c>
      <c r="S1351" s="253">
        <v>52</v>
      </c>
      <c r="T1351" s="253">
        <v>57</v>
      </c>
      <c r="U1351" s="253">
        <v>66</v>
      </c>
      <c r="V1351" s="253"/>
      <c r="W1351" s="253">
        <v>65</v>
      </c>
      <c r="X1351" s="253">
        <v>58</v>
      </c>
      <c r="Y1351" s="253">
        <v>47</v>
      </c>
      <c r="Z1351" s="253">
        <v>53</v>
      </c>
      <c r="AA1351" s="253"/>
      <c r="AB1351" s="253"/>
      <c r="AC1351" s="253"/>
      <c r="AD1351" s="253"/>
      <c r="AE1351" s="253"/>
    </row>
    <row r="1352" spans="1:31">
      <c r="A1352" s="33">
        <v>1351</v>
      </c>
      <c r="B1352" s="69" t="s">
        <v>1559</v>
      </c>
      <c r="C1352" s="69" t="s">
        <v>1232</v>
      </c>
      <c r="D1352" s="56">
        <v>42671</v>
      </c>
      <c r="G1352" s="69" t="str">
        <f t="shared" si="21"/>
        <v>User Registration</v>
      </c>
      <c r="H1352" s="69" t="s">
        <v>1560</v>
      </c>
      <c r="J1352" s="69" t="s">
        <v>1559</v>
      </c>
      <c r="K1352" s="69" t="s">
        <v>1564</v>
      </c>
      <c r="L1352" s="253">
        <v>62</v>
      </c>
      <c r="M1352" s="253">
        <v>57</v>
      </c>
      <c r="N1352" s="253">
        <v>60</v>
      </c>
      <c r="O1352" s="253">
        <v>54</v>
      </c>
      <c r="P1352" s="253">
        <v>65</v>
      </c>
      <c r="Q1352" s="253">
        <v>64</v>
      </c>
      <c r="R1352" s="253">
        <v>64</v>
      </c>
      <c r="S1352" s="253">
        <v>56</v>
      </c>
      <c r="T1352" s="253">
        <v>60</v>
      </c>
      <c r="U1352" s="253">
        <v>47</v>
      </c>
      <c r="V1352" s="253"/>
      <c r="W1352" s="253">
        <v>58</v>
      </c>
      <c r="X1352" s="253">
        <v>63</v>
      </c>
      <c r="Y1352" s="253">
        <v>53</v>
      </c>
      <c r="Z1352" s="253">
        <v>50</v>
      </c>
      <c r="AA1352" s="253"/>
      <c r="AB1352" s="253"/>
      <c r="AC1352" s="253"/>
      <c r="AD1352" s="253"/>
      <c r="AE1352" s="253"/>
    </row>
    <row r="1353" spans="1:31">
      <c r="A1353" s="33">
        <v>1352</v>
      </c>
      <c r="B1353" s="69" t="s">
        <v>1562</v>
      </c>
      <c r="C1353" s="69" t="s">
        <v>1232</v>
      </c>
      <c r="D1353" s="56">
        <v>42671</v>
      </c>
      <c r="G1353" s="69" t="str">
        <f t="shared" si="21"/>
        <v>User Registration</v>
      </c>
      <c r="H1353" s="69" t="s">
        <v>974</v>
      </c>
      <c r="J1353" s="69" t="s">
        <v>1562</v>
      </c>
      <c r="K1353" s="69" t="s">
        <v>1565</v>
      </c>
      <c r="L1353" s="253">
        <v>66</v>
      </c>
      <c r="M1353" s="253">
        <v>63</v>
      </c>
      <c r="N1353" s="253">
        <v>63</v>
      </c>
      <c r="O1353" s="253">
        <v>63</v>
      </c>
      <c r="P1353" s="253">
        <v>67</v>
      </c>
      <c r="Q1353" s="253">
        <v>63</v>
      </c>
      <c r="R1353" s="253">
        <v>64</v>
      </c>
      <c r="S1353" s="253">
        <v>65</v>
      </c>
      <c r="T1353" s="253">
        <v>62</v>
      </c>
      <c r="U1353" s="253">
        <v>63</v>
      </c>
      <c r="V1353" s="253"/>
      <c r="W1353" s="253">
        <v>66</v>
      </c>
      <c r="X1353" s="253">
        <v>55</v>
      </c>
      <c r="Y1353" s="253">
        <v>62</v>
      </c>
      <c r="Z1353" s="253">
        <v>64</v>
      </c>
      <c r="AA1353" s="253"/>
      <c r="AB1353" s="253"/>
      <c r="AC1353" s="253"/>
      <c r="AD1353" s="253"/>
      <c r="AE1353" s="253"/>
    </row>
    <row r="1354" spans="1:31">
      <c r="A1354" s="33">
        <v>1353</v>
      </c>
      <c r="B1354" s="69" t="s">
        <v>1562</v>
      </c>
      <c r="C1354" s="69" t="s">
        <v>1232</v>
      </c>
      <c r="D1354" s="56">
        <v>42671</v>
      </c>
      <c r="G1354" s="69" t="str">
        <f t="shared" si="21"/>
        <v>User Registration</v>
      </c>
      <c r="H1354" s="69" t="s">
        <v>974</v>
      </c>
      <c r="J1354" s="69" t="s">
        <v>1562</v>
      </c>
      <c r="K1354" s="69" t="s">
        <v>1566</v>
      </c>
      <c r="L1354" s="253">
        <v>58</v>
      </c>
      <c r="M1354" s="253">
        <v>60</v>
      </c>
      <c r="N1354" s="253">
        <v>62</v>
      </c>
      <c r="O1354" s="253">
        <v>56</v>
      </c>
      <c r="P1354" s="253">
        <v>57</v>
      </c>
      <c r="Q1354" s="253">
        <v>62</v>
      </c>
      <c r="R1354" s="253">
        <v>62</v>
      </c>
      <c r="S1354" s="253">
        <v>50</v>
      </c>
      <c r="T1354" s="253">
        <v>60</v>
      </c>
      <c r="U1354" s="253">
        <v>65</v>
      </c>
      <c r="V1354" s="253"/>
      <c r="W1354" s="253">
        <v>63</v>
      </c>
      <c r="X1354" s="253">
        <v>60</v>
      </c>
      <c r="Y1354" s="253">
        <v>52</v>
      </c>
      <c r="Z1354" s="253">
        <v>63</v>
      </c>
      <c r="AA1354" s="253"/>
      <c r="AB1354" s="253"/>
      <c r="AC1354" s="253"/>
      <c r="AD1354" s="253"/>
      <c r="AE1354" s="253"/>
    </row>
    <row r="1355" spans="1:31">
      <c r="A1355" s="33">
        <v>1354</v>
      </c>
      <c r="B1355" s="69" t="s">
        <v>1562</v>
      </c>
      <c r="C1355" s="69" t="s">
        <v>1232</v>
      </c>
      <c r="D1355" s="56">
        <v>42671</v>
      </c>
      <c r="G1355" s="69" t="str">
        <f t="shared" si="21"/>
        <v>User Registration</v>
      </c>
      <c r="H1355" s="69" t="s">
        <v>974</v>
      </c>
      <c r="J1355" s="69" t="s">
        <v>1562</v>
      </c>
      <c r="K1355" s="69" t="s">
        <v>1562</v>
      </c>
      <c r="L1355" s="253">
        <v>64</v>
      </c>
      <c r="M1355" s="253">
        <v>59</v>
      </c>
      <c r="N1355" s="253">
        <v>62</v>
      </c>
      <c r="O1355" s="253">
        <v>60</v>
      </c>
      <c r="P1355" s="253">
        <v>63</v>
      </c>
      <c r="Q1355" s="253">
        <v>60</v>
      </c>
      <c r="R1355" s="253">
        <v>59</v>
      </c>
      <c r="S1355" s="253">
        <v>55</v>
      </c>
      <c r="T1355" s="253">
        <v>56</v>
      </c>
      <c r="U1355" s="253">
        <v>62</v>
      </c>
      <c r="V1355" s="253"/>
      <c r="W1355" s="253">
        <v>63</v>
      </c>
      <c r="X1355" s="253">
        <v>58</v>
      </c>
      <c r="Y1355" s="253">
        <v>57</v>
      </c>
      <c r="Z1355" s="253">
        <v>67</v>
      </c>
      <c r="AA1355" s="253"/>
      <c r="AB1355" s="253"/>
      <c r="AC1355" s="253"/>
      <c r="AD1355" s="253"/>
      <c r="AE1355" s="253"/>
    </row>
    <row r="1356" spans="1:31">
      <c r="A1356" s="33">
        <v>1355</v>
      </c>
      <c r="B1356" s="69" t="s">
        <v>1562</v>
      </c>
      <c r="C1356" s="69" t="s">
        <v>1232</v>
      </c>
      <c r="D1356" s="56">
        <v>42671</v>
      </c>
      <c r="F1356" s="56"/>
      <c r="G1356" s="69" t="str">
        <f t="shared" si="21"/>
        <v>User Registration</v>
      </c>
      <c r="H1356" s="69" t="s">
        <v>974</v>
      </c>
      <c r="J1356" s="69" t="s">
        <v>1562</v>
      </c>
      <c r="K1356" s="195" t="s">
        <v>1567</v>
      </c>
      <c r="L1356" s="253">
        <v>59</v>
      </c>
      <c r="M1356" s="253">
        <v>59</v>
      </c>
      <c r="N1356" s="253">
        <v>59</v>
      </c>
      <c r="O1356" s="253">
        <v>58</v>
      </c>
      <c r="P1356" s="253">
        <v>57</v>
      </c>
      <c r="Q1356" s="253">
        <v>58</v>
      </c>
      <c r="R1356" s="253">
        <v>61</v>
      </c>
      <c r="S1356" s="253">
        <v>54</v>
      </c>
      <c r="T1356" s="253">
        <v>60</v>
      </c>
      <c r="U1356" s="253">
        <v>61</v>
      </c>
      <c r="V1356" s="253"/>
      <c r="W1356" s="253">
        <v>60</v>
      </c>
      <c r="X1356" s="253">
        <v>55</v>
      </c>
      <c r="Y1356" s="253">
        <v>55</v>
      </c>
      <c r="Z1356" s="253">
        <v>65</v>
      </c>
      <c r="AA1356" s="253"/>
      <c r="AB1356" s="253"/>
      <c r="AC1356" s="253"/>
      <c r="AD1356" s="253"/>
      <c r="AE1356" s="253"/>
    </row>
    <row r="1357" spans="1:31">
      <c r="A1357" s="33">
        <v>1356</v>
      </c>
      <c r="B1357" s="69" t="s">
        <v>1559</v>
      </c>
      <c r="C1357" s="69" t="s">
        <v>1232</v>
      </c>
      <c r="D1357" s="56">
        <v>42671</v>
      </c>
      <c r="F1357" s="56"/>
      <c r="G1357" s="69" t="str">
        <f t="shared" si="21"/>
        <v>User Registration</v>
      </c>
      <c r="H1357" s="69" t="s">
        <v>1560</v>
      </c>
      <c r="J1357" s="69" t="s">
        <v>1559</v>
      </c>
      <c r="K1357" s="13" t="s">
        <v>1568</v>
      </c>
      <c r="L1357" s="253">
        <v>60</v>
      </c>
      <c r="M1357" s="253">
        <v>54</v>
      </c>
      <c r="N1357" s="253">
        <v>56</v>
      </c>
      <c r="O1357" s="253">
        <v>51</v>
      </c>
      <c r="P1357" s="253">
        <v>61</v>
      </c>
      <c r="Q1357" s="253">
        <v>58</v>
      </c>
      <c r="R1357" s="253">
        <v>58</v>
      </c>
      <c r="S1357" s="253">
        <v>50</v>
      </c>
      <c r="T1357" s="253">
        <v>57</v>
      </c>
      <c r="U1357" s="253">
        <v>49</v>
      </c>
      <c r="V1357" s="253"/>
      <c r="W1357" s="253">
        <v>54</v>
      </c>
      <c r="X1357" s="253">
        <v>60</v>
      </c>
      <c r="Y1357" s="253">
        <v>47</v>
      </c>
      <c r="Z1357" s="253">
        <v>55</v>
      </c>
      <c r="AA1357" s="253"/>
      <c r="AB1357" s="253"/>
      <c r="AC1357" s="253"/>
      <c r="AD1357" s="253"/>
      <c r="AE1357" s="253"/>
    </row>
    <row r="1358" spans="1:31">
      <c r="A1358" s="33">
        <v>1357</v>
      </c>
      <c r="B1358" s="69" t="s">
        <v>1559</v>
      </c>
      <c r="C1358" s="69" t="s">
        <v>1232</v>
      </c>
      <c r="D1358" s="56">
        <v>42671</v>
      </c>
      <c r="F1358" s="56"/>
      <c r="G1358" s="69" t="str">
        <f t="shared" si="21"/>
        <v>User Registration</v>
      </c>
      <c r="H1358" s="69" t="s">
        <v>1560</v>
      </c>
      <c r="J1358" s="69" t="s">
        <v>1559</v>
      </c>
      <c r="K1358" s="69" t="s">
        <v>1559</v>
      </c>
      <c r="L1358" s="253">
        <v>55</v>
      </c>
      <c r="M1358" s="253">
        <v>54</v>
      </c>
      <c r="N1358" s="253">
        <v>55</v>
      </c>
      <c r="O1358" s="253">
        <v>51</v>
      </c>
      <c r="P1358" s="253">
        <v>56</v>
      </c>
      <c r="Q1358" s="253">
        <v>55</v>
      </c>
      <c r="R1358" s="253">
        <v>58</v>
      </c>
      <c r="S1358" s="253">
        <v>45</v>
      </c>
      <c r="T1358" s="253">
        <v>59</v>
      </c>
      <c r="U1358" s="253">
        <v>52</v>
      </c>
      <c r="V1358" s="253"/>
      <c r="W1358" s="253">
        <v>52</v>
      </c>
      <c r="X1358" s="253">
        <v>65</v>
      </c>
      <c r="Y1358" s="253">
        <v>48</v>
      </c>
      <c r="Z1358" s="253">
        <v>53</v>
      </c>
      <c r="AA1358" s="253"/>
      <c r="AB1358" s="253"/>
      <c r="AC1358" s="253"/>
      <c r="AD1358" s="253"/>
      <c r="AE1358" s="253"/>
    </row>
    <row r="1359" spans="1:31">
      <c r="A1359" s="33">
        <v>1358</v>
      </c>
      <c r="B1359" s="69" t="s">
        <v>1559</v>
      </c>
      <c r="C1359" s="69" t="s">
        <v>1232</v>
      </c>
      <c r="D1359" s="56">
        <v>42671</v>
      </c>
      <c r="F1359" s="56"/>
      <c r="G1359" s="69" t="str">
        <f t="shared" si="21"/>
        <v>User Registration</v>
      </c>
      <c r="H1359" s="69" t="s">
        <v>1560</v>
      </c>
      <c r="J1359" s="69" t="s">
        <v>1559</v>
      </c>
      <c r="K1359" s="13" t="s">
        <v>1569</v>
      </c>
      <c r="L1359" s="253">
        <v>54</v>
      </c>
      <c r="M1359" s="253">
        <v>49</v>
      </c>
      <c r="N1359" s="253">
        <v>54</v>
      </c>
      <c r="O1359" s="253">
        <v>48</v>
      </c>
      <c r="P1359" s="253">
        <v>54</v>
      </c>
      <c r="Q1359" s="253">
        <v>42</v>
      </c>
      <c r="R1359" s="253">
        <v>53</v>
      </c>
      <c r="S1359" s="253">
        <v>45</v>
      </c>
      <c r="T1359" s="253">
        <v>58</v>
      </c>
      <c r="U1359" s="253">
        <v>47</v>
      </c>
      <c r="V1359" s="253"/>
      <c r="W1359" s="253">
        <v>54</v>
      </c>
      <c r="X1359" s="253">
        <v>62</v>
      </c>
      <c r="Y1359" s="253">
        <v>46</v>
      </c>
      <c r="Z1359" s="253">
        <v>53</v>
      </c>
      <c r="AA1359" s="253"/>
      <c r="AB1359" s="253"/>
      <c r="AC1359" s="253"/>
      <c r="AD1359" s="253"/>
      <c r="AE1359" s="253"/>
    </row>
    <row r="1360" spans="1:31">
      <c r="A1360" s="33">
        <v>1359</v>
      </c>
      <c r="B1360" s="69" t="s">
        <v>1558</v>
      </c>
      <c r="C1360" s="69" t="s">
        <v>740</v>
      </c>
      <c r="D1360" s="56">
        <v>42684</v>
      </c>
      <c r="E1360" s="33" t="s">
        <v>724</v>
      </c>
      <c r="F1360" s="69" t="s">
        <v>532</v>
      </c>
      <c r="G1360" s="69" t="str">
        <f t="shared" si="21"/>
        <v>User Registration</v>
      </c>
      <c r="H1360" s="69" t="s">
        <v>508</v>
      </c>
      <c r="I1360" s="69" t="s">
        <v>962</v>
      </c>
      <c r="J1360" s="69" t="s">
        <v>1558</v>
      </c>
      <c r="K1360" s="69" t="s">
        <v>1558</v>
      </c>
      <c r="L1360" s="253">
        <v>0.63</v>
      </c>
      <c r="M1360" s="253">
        <v>0.60043478260869565</v>
      </c>
      <c r="N1360" s="253">
        <v>0.57833333333333337</v>
      </c>
      <c r="O1360" s="253">
        <v>0.55368421052631578</v>
      </c>
      <c r="P1360" s="253">
        <v>0.63</v>
      </c>
      <c r="Q1360" s="253">
        <v>0.6</v>
      </c>
      <c r="R1360" s="253">
        <v>0.6</v>
      </c>
      <c r="S1360" s="253">
        <v>0.56999999999999995</v>
      </c>
      <c r="T1360" s="253">
        <v>0.59</v>
      </c>
      <c r="U1360" s="253">
        <v>0.62</v>
      </c>
      <c r="V1360" s="253"/>
      <c r="W1360" s="253">
        <v>0.59</v>
      </c>
      <c r="X1360" s="253">
        <v>0.54</v>
      </c>
      <c r="Y1360" s="253">
        <v>0.5</v>
      </c>
      <c r="Z1360" s="253">
        <v>0.63</v>
      </c>
      <c r="AA1360" s="253"/>
      <c r="AB1360" s="253"/>
      <c r="AC1360" s="253"/>
      <c r="AD1360" s="253"/>
      <c r="AE1360" s="253"/>
    </row>
    <row r="1361" spans="1:31">
      <c r="A1361" s="33">
        <v>1360</v>
      </c>
      <c r="B1361" s="69" t="s">
        <v>1558</v>
      </c>
      <c r="C1361" s="69" t="s">
        <v>740</v>
      </c>
      <c r="D1361" s="56">
        <v>42684</v>
      </c>
      <c r="E1361" s="33" t="s">
        <v>724</v>
      </c>
      <c r="F1361" s="69" t="s">
        <v>532</v>
      </c>
      <c r="G1361" s="69" t="str">
        <f t="shared" si="21"/>
        <v>User Registration</v>
      </c>
      <c r="H1361" s="69" t="s">
        <v>508</v>
      </c>
      <c r="I1361" s="69" t="s">
        <v>962</v>
      </c>
      <c r="J1361" s="69" t="s">
        <v>1558</v>
      </c>
      <c r="K1361" s="69" t="s">
        <v>1447</v>
      </c>
      <c r="L1361" s="253">
        <v>0.64400000000000002</v>
      </c>
      <c r="M1361" s="253">
        <v>0.58173913043478265</v>
      </c>
      <c r="N1361" s="253">
        <v>0.69499999999999995</v>
      </c>
      <c r="O1361" s="253">
        <v>0.5642105263157895</v>
      </c>
      <c r="P1361" s="253">
        <v>0.66</v>
      </c>
      <c r="Q1361" s="253">
        <v>0.66</v>
      </c>
      <c r="R1361" s="253">
        <v>0.55000000000000004</v>
      </c>
      <c r="S1361" s="253">
        <v>0.56000000000000005</v>
      </c>
      <c r="T1361" s="253">
        <v>0.53</v>
      </c>
      <c r="U1361" s="253">
        <v>0.6</v>
      </c>
      <c r="V1361" s="253"/>
      <c r="W1361" s="253">
        <v>0.75</v>
      </c>
      <c r="X1361" s="253">
        <v>0.56000000000000005</v>
      </c>
      <c r="Y1361" s="253">
        <v>0.55000000000000004</v>
      </c>
      <c r="Z1361" s="253">
        <v>0.57999999999999996</v>
      </c>
      <c r="AA1361" s="253"/>
      <c r="AB1361" s="253"/>
      <c r="AC1361" s="253"/>
      <c r="AD1361" s="253"/>
      <c r="AE1361" s="253"/>
    </row>
    <row r="1362" spans="1:31">
      <c r="A1362" s="33">
        <v>1361</v>
      </c>
      <c r="B1362" s="69" t="s">
        <v>1558</v>
      </c>
      <c r="C1362" s="69" t="s">
        <v>740</v>
      </c>
      <c r="D1362" s="56">
        <v>42684</v>
      </c>
      <c r="E1362" s="33" t="s">
        <v>724</v>
      </c>
      <c r="F1362" s="69" t="s">
        <v>532</v>
      </c>
      <c r="G1362" s="69" t="str">
        <f t="shared" si="21"/>
        <v>User Registration</v>
      </c>
      <c r="H1362" s="69" t="s">
        <v>508</v>
      </c>
      <c r="I1362" s="69" t="s">
        <v>962</v>
      </c>
      <c r="J1362" s="69" t="s">
        <v>1558</v>
      </c>
      <c r="K1362" s="69" t="s">
        <v>391</v>
      </c>
      <c r="L1362" s="253">
        <v>0.68200000000000005</v>
      </c>
      <c r="M1362" s="253">
        <v>0.65347826086956529</v>
      </c>
      <c r="N1362" s="253">
        <v>0.61083333333333334</v>
      </c>
      <c r="O1362" s="253">
        <v>0.68473684210526309</v>
      </c>
      <c r="P1362" s="253">
        <v>0.68</v>
      </c>
      <c r="Q1362" s="253">
        <v>0.6</v>
      </c>
      <c r="R1362" s="253">
        <v>0.69</v>
      </c>
      <c r="S1362" s="253">
        <v>0.68</v>
      </c>
      <c r="T1362" s="253">
        <v>0.66</v>
      </c>
      <c r="U1362" s="253">
        <v>0.62</v>
      </c>
      <c r="V1362" s="253"/>
      <c r="W1362" s="253">
        <v>0.62</v>
      </c>
      <c r="X1362" s="253">
        <v>0.59</v>
      </c>
      <c r="Y1362" s="253">
        <v>0.69</v>
      </c>
      <c r="Z1362" s="253">
        <v>0.69</v>
      </c>
      <c r="AA1362" s="253"/>
      <c r="AB1362" s="253"/>
      <c r="AC1362" s="253"/>
      <c r="AD1362" s="253"/>
      <c r="AE1362" s="253"/>
    </row>
    <row r="1363" spans="1:31">
      <c r="A1363" s="33">
        <v>1362</v>
      </c>
      <c r="B1363" s="69" t="s">
        <v>1558</v>
      </c>
      <c r="C1363" s="69" t="s">
        <v>740</v>
      </c>
      <c r="D1363" s="56">
        <v>42684</v>
      </c>
      <c r="E1363" s="33" t="s">
        <v>724</v>
      </c>
      <c r="F1363" s="69" t="s">
        <v>532</v>
      </c>
      <c r="G1363" s="69" t="str">
        <f t="shared" si="21"/>
        <v>User Registration</v>
      </c>
      <c r="H1363" s="69" t="s">
        <v>508</v>
      </c>
      <c r="I1363" s="69" t="s">
        <v>962</v>
      </c>
      <c r="J1363" s="69" t="s">
        <v>1558</v>
      </c>
      <c r="K1363" s="69" t="s">
        <v>1363</v>
      </c>
      <c r="L1363" s="253">
        <v>0.65</v>
      </c>
      <c r="M1363" s="253">
        <v>0.61347826086956514</v>
      </c>
      <c r="N1363" s="253">
        <v>0.55249999999999999</v>
      </c>
      <c r="O1363" s="253">
        <v>0.61</v>
      </c>
      <c r="P1363" s="253">
        <v>0.67</v>
      </c>
      <c r="Q1363" s="253">
        <v>0.65</v>
      </c>
      <c r="R1363" s="253">
        <v>0.62</v>
      </c>
      <c r="S1363" s="253">
        <v>0.65</v>
      </c>
      <c r="T1363" s="253">
        <v>0.59</v>
      </c>
      <c r="U1363" s="253">
        <v>0.57999999999999996</v>
      </c>
      <c r="V1363" s="253"/>
      <c r="W1363" s="253">
        <v>0.59</v>
      </c>
      <c r="X1363" s="253">
        <v>0.42</v>
      </c>
      <c r="Y1363" s="253">
        <v>0.62</v>
      </c>
      <c r="Z1363" s="253">
        <v>0.56999999999999995</v>
      </c>
      <c r="AA1363" s="253"/>
      <c r="AB1363" s="253"/>
      <c r="AC1363" s="253"/>
      <c r="AD1363" s="253"/>
      <c r="AE1363" s="253"/>
    </row>
    <row r="1364" spans="1:31">
      <c r="A1364" s="33">
        <v>1363</v>
      </c>
      <c r="B1364" s="69" t="s">
        <v>1558</v>
      </c>
      <c r="C1364" s="69" t="s">
        <v>740</v>
      </c>
      <c r="D1364" s="56">
        <v>42684</v>
      </c>
      <c r="E1364" s="33" t="s">
        <v>724</v>
      </c>
      <c r="F1364" s="69" t="s">
        <v>532</v>
      </c>
      <c r="G1364" s="69" t="str">
        <f t="shared" si="21"/>
        <v>User Registration</v>
      </c>
      <c r="H1364" s="69" t="s">
        <v>508</v>
      </c>
      <c r="I1364" s="69" t="s">
        <v>962</v>
      </c>
      <c r="J1364" s="69" t="s">
        <v>1558</v>
      </c>
      <c r="K1364" s="69" t="s">
        <v>923</v>
      </c>
      <c r="L1364" s="253">
        <v>0.59</v>
      </c>
      <c r="M1364" s="253">
        <v>0.59130434782608698</v>
      </c>
      <c r="N1364" s="253">
        <v>0.59</v>
      </c>
      <c r="O1364" s="253">
        <v>0.5752631578947367</v>
      </c>
      <c r="P1364" s="253">
        <v>0.6</v>
      </c>
      <c r="Q1364" s="253">
        <v>0.55000000000000004</v>
      </c>
      <c r="R1364" s="253">
        <v>0.6</v>
      </c>
      <c r="S1364" s="253">
        <v>0.63</v>
      </c>
      <c r="T1364" s="253">
        <v>0.61</v>
      </c>
      <c r="U1364" s="253">
        <v>0.59</v>
      </c>
      <c r="V1364" s="253"/>
      <c r="W1364" s="253">
        <v>0.57999999999999996</v>
      </c>
      <c r="X1364" s="253">
        <v>0.63</v>
      </c>
      <c r="Y1364" s="253">
        <v>0.57999999999999996</v>
      </c>
      <c r="Z1364" s="253">
        <v>0.55000000000000004</v>
      </c>
      <c r="AA1364" s="253"/>
      <c r="AB1364" s="253"/>
      <c r="AC1364" s="253"/>
      <c r="AD1364" s="253"/>
      <c r="AE1364" s="253"/>
    </row>
    <row r="1365" spans="1:31">
      <c r="A1365" s="33">
        <v>1364</v>
      </c>
      <c r="B1365" s="69" t="s">
        <v>1553</v>
      </c>
      <c r="C1365" s="69" t="s">
        <v>1203</v>
      </c>
      <c r="D1365" s="56">
        <v>42689</v>
      </c>
      <c r="E1365" s="33" t="s">
        <v>724</v>
      </c>
      <c r="F1365" s="69" t="s">
        <v>725</v>
      </c>
      <c r="G1365" s="69" t="str">
        <f t="shared" si="21"/>
        <v>User Registration</v>
      </c>
      <c r="H1365" s="69" t="s">
        <v>808</v>
      </c>
      <c r="I1365" s="69" t="s">
        <v>1554</v>
      </c>
      <c r="J1365" s="69" t="s">
        <v>1553</v>
      </c>
      <c r="K1365" s="69" t="s">
        <v>1553</v>
      </c>
      <c r="L1365" s="253">
        <v>0.60799999999999998</v>
      </c>
      <c r="M1365" s="253">
        <v>0.57305354691075516</v>
      </c>
      <c r="N1365" s="253">
        <v>0.54382222222222221</v>
      </c>
      <c r="O1365" s="253">
        <v>0.54759999999999998</v>
      </c>
      <c r="P1365" s="253">
        <v>0.6</v>
      </c>
      <c r="Q1365" s="253">
        <v>0.49440000000000001</v>
      </c>
      <c r="R1365" s="253">
        <v>0.59</v>
      </c>
      <c r="S1365" s="253">
        <v>0.53</v>
      </c>
      <c r="T1365" s="253">
        <v>0.5842105263157894</v>
      </c>
      <c r="U1365" s="253">
        <v>0.62</v>
      </c>
      <c r="V1365" s="253"/>
      <c r="W1365" s="253">
        <v>0.55000000000000004</v>
      </c>
      <c r="X1365" s="253">
        <v>0.51071428571428579</v>
      </c>
      <c r="Y1365" s="253">
        <v>0.5</v>
      </c>
      <c r="Z1365" s="253">
        <v>0.64</v>
      </c>
      <c r="AA1365" s="253"/>
      <c r="AB1365" s="253"/>
      <c r="AC1365" s="253"/>
      <c r="AD1365" s="253"/>
      <c r="AE1365" s="253"/>
    </row>
    <row r="1366" spans="1:31">
      <c r="A1366" s="33">
        <v>1365</v>
      </c>
      <c r="B1366" s="69" t="s">
        <v>1553</v>
      </c>
      <c r="C1366" s="69" t="s">
        <v>1203</v>
      </c>
      <c r="D1366" s="56">
        <v>42689</v>
      </c>
      <c r="E1366" s="33" t="s">
        <v>724</v>
      </c>
      <c r="F1366" s="69" t="s">
        <v>725</v>
      </c>
      <c r="G1366" s="69" t="str">
        <f t="shared" si="21"/>
        <v>User Registration</v>
      </c>
      <c r="H1366" s="69" t="s">
        <v>808</v>
      </c>
      <c r="I1366" s="69" t="s">
        <v>1554</v>
      </c>
      <c r="J1366" s="69" t="s">
        <v>1553</v>
      </c>
      <c r="K1366" s="69" t="s">
        <v>1530</v>
      </c>
      <c r="L1366" s="253">
        <v>0.61199999999999999</v>
      </c>
      <c r="M1366" s="253">
        <v>0.59510114416475979</v>
      </c>
      <c r="N1366" s="253">
        <v>0.54380000000000006</v>
      </c>
      <c r="O1366" s="253">
        <v>0.60232631578947371</v>
      </c>
      <c r="P1366" s="253">
        <v>0.63</v>
      </c>
      <c r="Q1366" s="253">
        <v>0.57420000000000004</v>
      </c>
      <c r="R1366" s="253">
        <v>0.56000000000000005</v>
      </c>
      <c r="S1366" s="253">
        <v>0.65</v>
      </c>
      <c r="T1366" s="253">
        <v>0.58684210526315794</v>
      </c>
      <c r="U1366" s="253">
        <v>0.63</v>
      </c>
      <c r="V1366" s="253"/>
      <c r="W1366" s="253">
        <v>0.54</v>
      </c>
      <c r="X1366" s="253">
        <v>0.54910714285714279</v>
      </c>
      <c r="Y1366" s="253">
        <v>0.64</v>
      </c>
      <c r="Z1366" s="253">
        <v>0.54</v>
      </c>
      <c r="AA1366" s="253"/>
      <c r="AB1366" s="253"/>
      <c r="AC1366" s="253"/>
      <c r="AD1366" s="253"/>
      <c r="AE1366" s="253"/>
    </row>
    <row r="1367" spans="1:31">
      <c r="A1367" s="33">
        <v>1366</v>
      </c>
      <c r="B1367" s="69" t="s">
        <v>1553</v>
      </c>
      <c r="C1367" s="69" t="s">
        <v>1203</v>
      </c>
      <c r="D1367" s="56">
        <v>42689</v>
      </c>
      <c r="E1367" s="33" t="s">
        <v>724</v>
      </c>
      <c r="F1367" s="69" t="s">
        <v>725</v>
      </c>
      <c r="G1367" s="69" t="str">
        <f t="shared" si="21"/>
        <v>User Registration</v>
      </c>
      <c r="H1367" s="69" t="s">
        <v>808</v>
      </c>
      <c r="I1367" s="69" t="s">
        <v>1554</v>
      </c>
      <c r="J1367" s="69" t="s">
        <v>1553</v>
      </c>
      <c r="K1367" s="69" t="s">
        <v>1532</v>
      </c>
      <c r="L1367" s="253">
        <v>0.64400000000000002</v>
      </c>
      <c r="M1367" s="253">
        <v>0.61681922196796335</v>
      </c>
      <c r="N1367" s="253">
        <v>0.54222222222222227</v>
      </c>
      <c r="O1367" s="253">
        <v>0.64947368421052631</v>
      </c>
      <c r="P1367" s="253">
        <v>0.64</v>
      </c>
      <c r="Q1367" s="253">
        <v>0.64</v>
      </c>
      <c r="R1367" s="253">
        <v>0.56999999999999995</v>
      </c>
      <c r="S1367" s="253">
        <v>0.66</v>
      </c>
      <c r="T1367" s="253">
        <v>0.58894736842105255</v>
      </c>
      <c r="U1367" s="253">
        <v>0.61</v>
      </c>
      <c r="V1367" s="253"/>
      <c r="W1367" s="253">
        <v>0.53</v>
      </c>
      <c r="X1367" s="253">
        <v>0.50535714285714295</v>
      </c>
      <c r="Y1367" s="253">
        <v>0.66</v>
      </c>
      <c r="Z1367" s="253">
        <v>0.66</v>
      </c>
      <c r="AA1367" s="253"/>
      <c r="AB1367" s="253"/>
      <c r="AC1367" s="253"/>
      <c r="AD1367" s="253"/>
      <c r="AE1367" s="253"/>
    </row>
    <row r="1368" spans="1:31">
      <c r="A1368" s="33">
        <v>1367</v>
      </c>
      <c r="B1368" s="69" t="s">
        <v>1553</v>
      </c>
      <c r="C1368" s="69" t="s">
        <v>1203</v>
      </c>
      <c r="D1368" s="56">
        <v>42689</v>
      </c>
      <c r="E1368" s="33" t="s">
        <v>724</v>
      </c>
      <c r="F1368" s="69" t="s">
        <v>725</v>
      </c>
      <c r="G1368" s="69" t="str">
        <f t="shared" si="21"/>
        <v>User Registration</v>
      </c>
      <c r="H1368" s="69" t="s">
        <v>808</v>
      </c>
      <c r="I1368" s="69" t="s">
        <v>1554</v>
      </c>
      <c r="J1368" s="69" t="s">
        <v>1553</v>
      </c>
      <c r="K1368" s="69" t="s">
        <v>1555</v>
      </c>
      <c r="L1368" s="253">
        <v>0.64599999999999991</v>
      </c>
      <c r="M1368" s="253">
        <v>0.63605499169363844</v>
      </c>
      <c r="N1368" s="253">
        <v>0.55035969498555559</v>
      </c>
      <c r="O1368" s="253">
        <v>0.63174932920368432</v>
      </c>
      <c r="P1368" s="253">
        <v>0.67</v>
      </c>
      <c r="Q1368" s="253">
        <v>0.63323725487000004</v>
      </c>
      <c r="R1368" s="253">
        <v>0.62</v>
      </c>
      <c r="S1368" s="253">
        <v>0.68</v>
      </c>
      <c r="T1368" s="253">
        <v>0.64210526315789462</v>
      </c>
      <c r="U1368" s="253">
        <v>0.65</v>
      </c>
      <c r="V1368" s="253"/>
      <c r="W1368" s="253">
        <v>0.54</v>
      </c>
      <c r="X1368" s="253">
        <v>0.56785714285714284</v>
      </c>
      <c r="Y1368" s="253">
        <v>0.67</v>
      </c>
      <c r="Z1368" s="253">
        <v>0.55000000000000004</v>
      </c>
      <c r="AA1368" s="253"/>
      <c r="AB1368" s="253"/>
      <c r="AC1368" s="253"/>
      <c r="AD1368" s="253"/>
      <c r="AE1368" s="253"/>
    </row>
    <row r="1369" spans="1:31">
      <c r="A1369" s="33">
        <v>1368</v>
      </c>
      <c r="B1369" s="69" t="s">
        <v>1553</v>
      </c>
      <c r="C1369" s="69" t="s">
        <v>1203</v>
      </c>
      <c r="D1369" s="56">
        <v>42689</v>
      </c>
      <c r="E1369" s="33" t="s">
        <v>724</v>
      </c>
      <c r="F1369" s="69" t="s">
        <v>725</v>
      </c>
      <c r="G1369" s="69" t="str">
        <f t="shared" si="21"/>
        <v>User Registration</v>
      </c>
      <c r="H1369" s="69" t="s">
        <v>808</v>
      </c>
      <c r="I1369" s="69" t="s">
        <v>1554</v>
      </c>
      <c r="J1369" s="69" t="s">
        <v>1553</v>
      </c>
      <c r="K1369" s="69" t="s">
        <v>1556</v>
      </c>
      <c r="L1369" s="253">
        <v>0.59200000000000008</v>
      </c>
      <c r="M1369" s="253">
        <v>0.61529702517162466</v>
      </c>
      <c r="N1369" s="253">
        <v>0.50164444444444445</v>
      </c>
      <c r="O1369" s="253">
        <v>0.63709473684210527</v>
      </c>
      <c r="P1369" s="253">
        <v>0.6</v>
      </c>
      <c r="Q1369" s="253">
        <v>0.67479999999999996</v>
      </c>
      <c r="R1369" s="253">
        <v>0.57999999999999996</v>
      </c>
      <c r="S1369" s="253">
        <v>0.67</v>
      </c>
      <c r="T1369" s="253">
        <v>0.53421052631578947</v>
      </c>
      <c r="U1369" s="253">
        <v>0.63</v>
      </c>
      <c r="V1369" s="253"/>
      <c r="W1369" s="253">
        <v>0.48</v>
      </c>
      <c r="X1369" s="253">
        <v>0.61160714285714279</v>
      </c>
      <c r="Y1369" s="253">
        <v>0.68</v>
      </c>
      <c r="Z1369" s="253">
        <v>0.56000000000000005</v>
      </c>
      <c r="AA1369" s="253"/>
      <c r="AB1369" s="253"/>
      <c r="AC1369" s="253"/>
      <c r="AD1369" s="253"/>
      <c r="AE1369" s="253"/>
    </row>
    <row r="1370" spans="1:31">
      <c r="A1370" s="33">
        <v>1369</v>
      </c>
      <c r="B1370" s="69" t="s">
        <v>1553</v>
      </c>
      <c r="C1370" s="69" t="s">
        <v>1203</v>
      </c>
      <c r="D1370" s="56">
        <v>42689</v>
      </c>
      <c r="E1370" s="33" t="s">
        <v>724</v>
      </c>
      <c r="F1370" s="69" t="s">
        <v>725</v>
      </c>
      <c r="G1370" s="69" t="str">
        <f t="shared" si="21"/>
        <v>User Registration</v>
      </c>
      <c r="H1370" s="69" t="s">
        <v>808</v>
      </c>
      <c r="I1370" s="69" t="s">
        <v>1554</v>
      </c>
      <c r="J1370" s="69" t="s">
        <v>1553</v>
      </c>
      <c r="K1370" s="69" t="s">
        <v>1557</v>
      </c>
      <c r="L1370" s="253">
        <v>0.64400000000000002</v>
      </c>
      <c r="M1370" s="253">
        <v>0.61786077983157905</v>
      </c>
      <c r="N1370" s="253">
        <v>0.57936427015555547</v>
      </c>
      <c r="O1370" s="253">
        <v>0.60654097007368424</v>
      </c>
      <c r="P1370" s="253">
        <v>0.65</v>
      </c>
      <c r="Q1370" s="253">
        <v>0.65427843139999997</v>
      </c>
      <c r="R1370" s="253">
        <v>0.61</v>
      </c>
      <c r="S1370" s="253">
        <v>0.55000000000000004</v>
      </c>
      <c r="T1370" s="253">
        <v>0.56789473684210523</v>
      </c>
      <c r="U1370" s="253">
        <v>0.68</v>
      </c>
      <c r="V1370" s="253"/>
      <c r="W1370" s="253">
        <v>0.56999999999999995</v>
      </c>
      <c r="X1370" s="253">
        <v>0</v>
      </c>
      <c r="Y1370" s="253">
        <v>0.6</v>
      </c>
      <c r="Z1370" s="253">
        <v>0.62</v>
      </c>
      <c r="AA1370" s="253"/>
      <c r="AB1370" s="253"/>
      <c r="AC1370" s="253"/>
      <c r="AD1370" s="253"/>
      <c r="AE1370" s="253"/>
    </row>
    <row r="1371" spans="1:31">
      <c r="A1371" s="33">
        <v>1370</v>
      </c>
      <c r="B1371" s="69" t="s">
        <v>1434</v>
      </c>
      <c r="C1371" s="69" t="s">
        <v>1203</v>
      </c>
      <c r="D1371" s="56">
        <v>42706</v>
      </c>
      <c r="E1371" s="33" t="s">
        <v>781</v>
      </c>
      <c r="F1371" s="69" t="s">
        <v>755</v>
      </c>
      <c r="G1371" s="69" t="str">
        <f t="shared" si="21"/>
        <v>User Registration</v>
      </c>
      <c r="H1371" s="69" t="s">
        <v>508</v>
      </c>
      <c r="I1371" s="69" t="s">
        <v>962</v>
      </c>
      <c r="J1371" s="69" t="s">
        <v>1434</v>
      </c>
      <c r="K1371" s="69" t="s">
        <v>1434</v>
      </c>
      <c r="L1371" s="253">
        <v>0.55000000000000004</v>
      </c>
      <c r="M1371" s="253">
        <v>0.52911195282500001</v>
      </c>
      <c r="N1371" s="253">
        <v>0.56837187482439022</v>
      </c>
      <c r="O1371" s="253">
        <v>0.55865345382105258</v>
      </c>
      <c r="P1371" s="253">
        <v>0.56000000000000005</v>
      </c>
      <c r="Q1371" s="253">
        <v>0.52080000000000004</v>
      </c>
      <c r="R1371" s="253">
        <v>0.53180781129999999</v>
      </c>
      <c r="S1371" s="253">
        <v>0.57999999999999996</v>
      </c>
      <c r="T1371" s="253"/>
      <c r="U1371" s="253">
        <v>0.5</v>
      </c>
      <c r="V1371" s="253"/>
      <c r="W1371" s="253">
        <v>0.62</v>
      </c>
      <c r="X1371" s="253">
        <v>0.51249999999999996</v>
      </c>
      <c r="Y1371" s="253">
        <v>0.59</v>
      </c>
      <c r="Z1371" s="253">
        <v>0.51</v>
      </c>
      <c r="AA1371" s="253"/>
      <c r="AB1371" s="253"/>
      <c r="AC1371" s="253"/>
      <c r="AD1371" s="253"/>
      <c r="AE1371" s="253"/>
    </row>
    <row r="1372" spans="1:31">
      <c r="A1372" s="33">
        <v>1371</v>
      </c>
      <c r="B1372" s="69" t="s">
        <v>1434</v>
      </c>
      <c r="C1372" s="69" t="s">
        <v>1203</v>
      </c>
      <c r="D1372" s="56">
        <v>42706</v>
      </c>
      <c r="E1372" s="33" t="s">
        <v>781</v>
      </c>
      <c r="F1372" s="69" t="s">
        <v>755</v>
      </c>
      <c r="G1372" s="69" t="str">
        <f t="shared" si="21"/>
        <v>User Registration</v>
      </c>
      <c r="H1372" s="69" t="s">
        <v>508</v>
      </c>
      <c r="I1372" s="69" t="s">
        <v>962</v>
      </c>
      <c r="J1372" s="69" t="s">
        <v>1434</v>
      </c>
      <c r="K1372" s="69" t="s">
        <v>930</v>
      </c>
      <c r="L1372" s="253">
        <v>0.66400000000000003</v>
      </c>
      <c r="M1372" s="253">
        <v>0.68006</v>
      </c>
      <c r="N1372" s="253">
        <v>0.69105853658536587</v>
      </c>
      <c r="O1372" s="253">
        <v>0.66935789473684204</v>
      </c>
      <c r="P1372" s="253">
        <v>0.68</v>
      </c>
      <c r="Q1372" s="253">
        <v>0.59779999999999989</v>
      </c>
      <c r="R1372" s="253">
        <v>0.69</v>
      </c>
      <c r="S1372" s="253">
        <v>0.74</v>
      </c>
      <c r="T1372" s="253"/>
      <c r="U1372" s="253">
        <v>0.72</v>
      </c>
      <c r="V1372" s="253"/>
      <c r="W1372" s="253">
        <v>0.79</v>
      </c>
      <c r="X1372" s="253">
        <v>0.55000000000000004</v>
      </c>
      <c r="Y1372" s="253">
        <v>0.7</v>
      </c>
      <c r="Z1372" s="253">
        <v>0.6</v>
      </c>
      <c r="AA1372" s="253"/>
      <c r="AB1372" s="253"/>
      <c r="AC1372" s="253"/>
      <c r="AD1372" s="253"/>
      <c r="AE1372" s="253"/>
    </row>
    <row r="1373" spans="1:31">
      <c r="A1373" s="33">
        <v>1372</v>
      </c>
      <c r="B1373" s="69" t="s">
        <v>1434</v>
      </c>
      <c r="C1373" s="69" t="s">
        <v>1203</v>
      </c>
      <c r="D1373" s="56">
        <v>42706</v>
      </c>
      <c r="E1373" s="33" t="s">
        <v>781</v>
      </c>
      <c r="F1373" s="69" t="s">
        <v>755</v>
      </c>
      <c r="G1373" s="69" t="str">
        <f t="shared" si="21"/>
        <v>User Registration</v>
      </c>
      <c r="H1373" s="69" t="s">
        <v>508</v>
      </c>
      <c r="I1373" s="69" t="s">
        <v>962</v>
      </c>
      <c r="J1373" s="69" t="s">
        <v>1434</v>
      </c>
      <c r="K1373" s="69" t="s">
        <v>1435</v>
      </c>
      <c r="L1373" s="253">
        <v>0.69</v>
      </c>
      <c r="M1373" s="253">
        <v>0.64817999999999998</v>
      </c>
      <c r="N1373" s="253">
        <v>0.70488292682926834</v>
      </c>
      <c r="O1373" s="253">
        <v>0.6807052631578947</v>
      </c>
      <c r="P1373" s="253">
        <v>0.72</v>
      </c>
      <c r="Q1373" s="253">
        <v>0.61339999999999995</v>
      </c>
      <c r="R1373" s="253">
        <v>0.67</v>
      </c>
      <c r="S1373" s="253">
        <v>0.73</v>
      </c>
      <c r="T1373" s="253"/>
      <c r="U1373" s="253">
        <v>0.62</v>
      </c>
      <c r="V1373" s="253"/>
      <c r="W1373" s="253">
        <v>0.76800000000000002</v>
      </c>
      <c r="X1373" s="253">
        <v>0.64</v>
      </c>
      <c r="Y1373" s="253">
        <v>0.74</v>
      </c>
      <c r="Z1373" s="253">
        <v>0.56999999999999995</v>
      </c>
      <c r="AA1373" s="253"/>
      <c r="AB1373" s="253"/>
      <c r="AC1373" s="253"/>
      <c r="AD1373" s="253"/>
      <c r="AE1373" s="253"/>
    </row>
    <row r="1374" spans="1:31">
      <c r="A1374" s="33">
        <v>1373</v>
      </c>
      <c r="B1374" s="69" t="s">
        <v>1434</v>
      </c>
      <c r="C1374" s="69" t="s">
        <v>1203</v>
      </c>
      <c r="D1374" s="56">
        <v>42706</v>
      </c>
      <c r="E1374" s="33" t="s">
        <v>781</v>
      </c>
      <c r="F1374" s="69" t="s">
        <v>755</v>
      </c>
      <c r="G1374" s="69" t="str">
        <f t="shared" si="21"/>
        <v>User Registration</v>
      </c>
      <c r="H1374" s="69" t="s">
        <v>508</v>
      </c>
      <c r="I1374" s="69" t="s">
        <v>962</v>
      </c>
      <c r="J1374" s="69" t="s">
        <v>1434</v>
      </c>
      <c r="K1374" s="69" t="s">
        <v>1436</v>
      </c>
      <c r="L1374" s="253">
        <v>0.50324038462000009</v>
      </c>
      <c r="M1374" s="253">
        <v>0.57032019231000008</v>
      </c>
      <c r="N1374" s="253">
        <v>0.55970731707317078</v>
      </c>
      <c r="O1374" s="253">
        <v>0.56951180450000005</v>
      </c>
      <c r="P1374" s="253">
        <v>0.5</v>
      </c>
      <c r="Q1374" s="253">
        <v>0.61599999999999999</v>
      </c>
      <c r="R1374" s="253">
        <v>0.6</v>
      </c>
      <c r="S1374" s="253">
        <v>0.54</v>
      </c>
      <c r="T1374" s="253"/>
      <c r="U1374" s="253">
        <v>0.55000000000000004</v>
      </c>
      <c r="V1374" s="253"/>
      <c r="W1374" s="253">
        <v>0.59</v>
      </c>
      <c r="X1374" s="253">
        <v>0.47499999999999998</v>
      </c>
      <c r="Y1374" s="253">
        <v>0.58837146699999998</v>
      </c>
      <c r="Z1374" s="253">
        <v>0.51620192310000002</v>
      </c>
      <c r="AA1374" s="253"/>
      <c r="AB1374" s="253"/>
      <c r="AC1374" s="253"/>
      <c r="AD1374" s="253"/>
      <c r="AE1374" s="253"/>
    </row>
    <row r="1375" spans="1:31">
      <c r="A1375" s="33">
        <v>1374</v>
      </c>
      <c r="B1375" s="69" t="s">
        <v>1434</v>
      </c>
      <c r="C1375" s="69" t="s">
        <v>1203</v>
      </c>
      <c r="D1375" s="56">
        <v>42706</v>
      </c>
      <c r="E1375" s="33" t="s">
        <v>781</v>
      </c>
      <c r="F1375" s="69" t="s">
        <v>755</v>
      </c>
      <c r="G1375" s="69" t="str">
        <f t="shared" si="21"/>
        <v>User Registration</v>
      </c>
      <c r="H1375" s="69" t="s">
        <v>508</v>
      </c>
      <c r="I1375" s="69" t="s">
        <v>962</v>
      </c>
      <c r="J1375" s="69" t="s">
        <v>1434</v>
      </c>
      <c r="K1375" s="69" t="s">
        <v>1226</v>
      </c>
      <c r="L1375" s="253">
        <v>0.55921951215999999</v>
      </c>
      <c r="M1375" s="253">
        <v>0.58123999999999998</v>
      </c>
      <c r="N1375" s="253">
        <v>0.52520975609756104</v>
      </c>
      <c r="O1375" s="253">
        <v>0.59769473684210528</v>
      </c>
      <c r="P1375" s="253">
        <v>0.55402439020000005</v>
      </c>
      <c r="Q1375" s="253">
        <v>0.54619999999999991</v>
      </c>
      <c r="R1375" s="253">
        <v>0.62</v>
      </c>
      <c r="S1375" s="253">
        <v>0.56999999999999995</v>
      </c>
      <c r="T1375" s="253"/>
      <c r="U1375" s="253">
        <v>0.57999999999999996</v>
      </c>
      <c r="V1375" s="253"/>
      <c r="W1375" s="253">
        <v>0.52</v>
      </c>
      <c r="X1375" s="253">
        <v>0.48125000000000007</v>
      </c>
      <c r="Y1375" s="253">
        <v>0.61</v>
      </c>
      <c r="Z1375" s="253">
        <v>0.57999999999999996</v>
      </c>
      <c r="AA1375" s="253"/>
      <c r="AB1375" s="253"/>
      <c r="AC1375" s="253"/>
      <c r="AD1375" s="253"/>
      <c r="AE1375" s="253"/>
    </row>
    <row r="1376" spans="1:31">
      <c r="A1376" s="33">
        <v>1375</v>
      </c>
      <c r="B1376" s="69" t="s">
        <v>1434</v>
      </c>
      <c r="C1376" s="69" t="s">
        <v>1203</v>
      </c>
      <c r="D1376" s="56">
        <v>42706</v>
      </c>
      <c r="E1376" s="33" t="s">
        <v>781</v>
      </c>
      <c r="F1376" s="69" t="s">
        <v>755</v>
      </c>
      <c r="G1376" s="69" t="str">
        <f t="shared" si="21"/>
        <v>User Registration</v>
      </c>
      <c r="H1376" s="69" t="s">
        <v>508</v>
      </c>
      <c r="I1376" s="69" t="s">
        <v>962</v>
      </c>
      <c r="J1376" s="69" t="s">
        <v>1434</v>
      </c>
      <c r="K1376" s="69" t="s">
        <v>1437</v>
      </c>
      <c r="L1376" s="253">
        <v>0.54075471697999999</v>
      </c>
      <c r="M1376" s="253">
        <v>0.60637460189000003</v>
      </c>
      <c r="N1376" s="253">
        <v>0.57352424003902436</v>
      </c>
      <c r="O1376" s="253">
        <v>0.61159820377368423</v>
      </c>
      <c r="P1376" s="253">
        <v>0.56000000000000005</v>
      </c>
      <c r="Q1376" s="253">
        <v>0.61080000000000001</v>
      </c>
      <c r="R1376" s="253">
        <v>0.63534897359999998</v>
      </c>
      <c r="S1376" s="253">
        <v>0.62</v>
      </c>
      <c r="T1376" s="253"/>
      <c r="U1376" s="253">
        <v>0.62</v>
      </c>
      <c r="V1376" s="253"/>
      <c r="W1376" s="253">
        <v>0.57999999999999996</v>
      </c>
      <c r="X1376" s="253">
        <v>0.52249999999999996</v>
      </c>
      <c r="Y1376" s="253">
        <v>0.68</v>
      </c>
      <c r="Z1376" s="253">
        <v>0.46377358489999998</v>
      </c>
      <c r="AA1376" s="253"/>
      <c r="AB1376" s="253"/>
      <c r="AC1376" s="253"/>
      <c r="AD1376" s="253"/>
      <c r="AE1376" s="253"/>
    </row>
    <row r="1377" spans="1:31">
      <c r="A1377" s="33">
        <v>1376</v>
      </c>
      <c r="B1377" s="69" t="s">
        <v>1434</v>
      </c>
      <c r="C1377" s="69" t="s">
        <v>1203</v>
      </c>
      <c r="D1377" s="56">
        <v>42706</v>
      </c>
      <c r="E1377" s="33" t="s">
        <v>781</v>
      </c>
      <c r="F1377" s="69" t="s">
        <v>755</v>
      </c>
      <c r="G1377" s="69" t="str">
        <f t="shared" si="21"/>
        <v>User Registration</v>
      </c>
      <c r="H1377" s="69" t="s">
        <v>508</v>
      </c>
      <c r="I1377" s="69" t="s">
        <v>962</v>
      </c>
      <c r="J1377" s="69" t="s">
        <v>1434</v>
      </c>
      <c r="K1377" s="69" t="s">
        <v>1224</v>
      </c>
      <c r="L1377" s="253">
        <v>0.59957603688000005</v>
      </c>
      <c r="M1377" s="253">
        <v>0.56921999999999995</v>
      </c>
      <c r="N1377" s="253">
        <v>0.5479463414634147</v>
      </c>
      <c r="O1377" s="253">
        <v>0.56887368421052642</v>
      </c>
      <c r="P1377" s="253">
        <v>0.6094700461</v>
      </c>
      <c r="Q1377" s="253">
        <v>0.55859999999999999</v>
      </c>
      <c r="R1377" s="253">
        <v>0.54</v>
      </c>
      <c r="S1377" s="253">
        <v>0.56999999999999995</v>
      </c>
      <c r="T1377" s="253"/>
      <c r="U1377" s="253">
        <v>0.61</v>
      </c>
      <c r="V1377" s="253"/>
      <c r="W1377" s="253">
        <v>0.54</v>
      </c>
      <c r="X1377" s="253">
        <v>0.5625</v>
      </c>
      <c r="Y1377" s="253">
        <v>0.57999999999999996</v>
      </c>
      <c r="Z1377" s="253">
        <v>0.56000000000000005</v>
      </c>
      <c r="AA1377" s="253"/>
      <c r="AB1377" s="253"/>
      <c r="AC1377" s="253"/>
      <c r="AD1377" s="253"/>
      <c r="AE1377" s="253"/>
    </row>
    <row r="1378" spans="1:31">
      <c r="A1378" s="33">
        <v>1377</v>
      </c>
      <c r="B1378" s="69" t="s">
        <v>1434</v>
      </c>
      <c r="C1378" s="69" t="s">
        <v>1203</v>
      </c>
      <c r="D1378" s="56">
        <v>42706</v>
      </c>
      <c r="E1378" s="33" t="s">
        <v>781</v>
      </c>
      <c r="F1378" s="69" t="s">
        <v>755</v>
      </c>
      <c r="G1378" s="69" t="str">
        <f t="shared" si="21"/>
        <v>User Registration</v>
      </c>
      <c r="H1378" s="69" t="s">
        <v>508</v>
      </c>
      <c r="I1378" s="69" t="s">
        <v>962</v>
      </c>
      <c r="J1378" s="69" t="s">
        <v>1434</v>
      </c>
      <c r="K1378" s="69" t="s">
        <v>1438</v>
      </c>
      <c r="L1378" s="253">
        <v>0.51560000000000006</v>
      </c>
      <c r="M1378" s="253">
        <v>0.55409040580000002</v>
      </c>
      <c r="N1378" s="253">
        <v>0.49428023754146339</v>
      </c>
      <c r="O1378" s="253">
        <v>0.53974543402105268</v>
      </c>
      <c r="P1378" s="253">
        <v>0.51700000000000002</v>
      </c>
      <c r="Q1378" s="253">
        <v>0.61260000000000003</v>
      </c>
      <c r="R1378" s="253">
        <v>0.58628162319999999</v>
      </c>
      <c r="S1378" s="253">
        <v>0.52</v>
      </c>
      <c r="T1378" s="253"/>
      <c r="U1378" s="253">
        <v>0.52</v>
      </c>
      <c r="V1378" s="253"/>
      <c r="W1378" s="253">
        <v>0.45</v>
      </c>
      <c r="X1378" s="253">
        <v>0.49249999999999999</v>
      </c>
      <c r="Y1378" s="253">
        <v>0.54</v>
      </c>
      <c r="Z1378" s="253">
        <v>0.51</v>
      </c>
      <c r="AA1378" s="253"/>
      <c r="AB1378" s="253"/>
      <c r="AC1378" s="253"/>
      <c r="AD1378" s="253"/>
      <c r="AE1378" s="253"/>
    </row>
    <row r="1379" spans="1:31">
      <c r="A1379" s="33">
        <v>1378</v>
      </c>
      <c r="B1379" s="69" t="s">
        <v>1434</v>
      </c>
      <c r="C1379" s="69" t="s">
        <v>1203</v>
      </c>
      <c r="D1379" s="56">
        <v>42706</v>
      </c>
      <c r="E1379" s="33" t="s">
        <v>781</v>
      </c>
      <c r="F1379" s="69" t="s">
        <v>755</v>
      </c>
      <c r="G1379" s="69" t="str">
        <f t="shared" si="21"/>
        <v>User Registration</v>
      </c>
      <c r="H1379" s="69" t="s">
        <v>508</v>
      </c>
      <c r="I1379" s="69" t="s">
        <v>962</v>
      </c>
      <c r="J1379" s="69" t="s">
        <v>1434</v>
      </c>
      <c r="K1379" s="69" t="s">
        <v>1439</v>
      </c>
      <c r="L1379" s="253">
        <v>0.56055609759999991</v>
      </c>
      <c r="M1379" s="253">
        <v>0.55738464152000011</v>
      </c>
      <c r="N1379" s="253">
        <v>0.48450345566829267</v>
      </c>
      <c r="O1379" s="253">
        <v>0.59347912725789476</v>
      </c>
      <c r="P1379" s="253">
        <v>0.56319512199999999</v>
      </c>
      <c r="Q1379" s="253">
        <v>0.60040000000000004</v>
      </c>
      <c r="R1379" s="253">
        <v>0.55224028039999995</v>
      </c>
      <c r="S1379" s="253">
        <v>0.52122285710000005</v>
      </c>
      <c r="T1379" s="253"/>
      <c r="U1379" s="253">
        <v>0.56000000000000005</v>
      </c>
      <c r="V1379" s="253"/>
      <c r="W1379" s="253">
        <v>0.46</v>
      </c>
      <c r="X1379" s="253">
        <v>0.46250000000000002</v>
      </c>
      <c r="Y1379" s="253">
        <v>0.63</v>
      </c>
      <c r="Z1379" s="253">
        <v>0.55000000000000004</v>
      </c>
      <c r="AA1379" s="253"/>
      <c r="AB1379" s="253"/>
      <c r="AC1379" s="253"/>
      <c r="AD1379" s="253"/>
      <c r="AE1379" s="253"/>
    </row>
    <row r="1380" spans="1:31">
      <c r="A1380" s="33">
        <v>1379</v>
      </c>
      <c r="B1380" s="69" t="s">
        <v>1550</v>
      </c>
      <c r="C1380" s="69" t="s">
        <v>740</v>
      </c>
      <c r="D1380" s="56">
        <v>42706</v>
      </c>
      <c r="E1380" s="33" t="s">
        <v>724</v>
      </c>
      <c r="F1380" s="69" t="s">
        <v>532</v>
      </c>
      <c r="G1380" s="69" t="str">
        <f t="shared" si="21"/>
        <v>E-Commerce</v>
      </c>
      <c r="H1380" s="69" t="s">
        <v>364</v>
      </c>
      <c r="I1380" s="69" t="s">
        <v>765</v>
      </c>
      <c r="J1380" s="69" t="s">
        <v>1550</v>
      </c>
      <c r="K1380" s="69" t="s">
        <v>1550</v>
      </c>
      <c r="L1380" s="253">
        <v>0.58799999999999997</v>
      </c>
      <c r="M1380" s="253">
        <v>0.59780426065162906</v>
      </c>
      <c r="N1380" s="253">
        <v>0.56192638888888879</v>
      </c>
      <c r="O1380" s="253">
        <v>0.55290526315789468</v>
      </c>
      <c r="P1380" s="253">
        <v>0.57999999999999996</v>
      </c>
      <c r="Q1380" s="253">
        <v>0.60520000000000007</v>
      </c>
      <c r="R1380" s="253">
        <v>0.62</v>
      </c>
      <c r="S1380" s="253">
        <v>0.56000000000000005</v>
      </c>
      <c r="T1380" s="253">
        <v>0.62368421052631573</v>
      </c>
      <c r="U1380" s="253">
        <v>0.61</v>
      </c>
      <c r="V1380" s="253">
        <v>0.56333333333333324</v>
      </c>
      <c r="W1380" s="253"/>
      <c r="X1380" s="253">
        <v>0.54374999999999996</v>
      </c>
      <c r="Y1380" s="253">
        <v>0.5</v>
      </c>
      <c r="Z1380" s="253">
        <v>0.62</v>
      </c>
      <c r="AA1380" s="253"/>
      <c r="AB1380" s="253"/>
      <c r="AC1380" s="253"/>
      <c r="AD1380" s="253"/>
      <c r="AE1380" s="253"/>
    </row>
    <row r="1381" spans="1:31">
      <c r="A1381" s="33">
        <v>1380</v>
      </c>
      <c r="B1381" s="69" t="s">
        <v>1550</v>
      </c>
      <c r="C1381" s="69" t="s">
        <v>740</v>
      </c>
      <c r="D1381" s="56">
        <v>42706</v>
      </c>
      <c r="E1381" s="33" t="s">
        <v>724</v>
      </c>
      <c r="F1381" s="69" t="s">
        <v>532</v>
      </c>
      <c r="G1381" s="69" t="str">
        <f t="shared" si="21"/>
        <v>E-Commerce</v>
      </c>
      <c r="H1381" s="69" t="s">
        <v>364</v>
      </c>
      <c r="I1381" s="69" t="s">
        <v>765</v>
      </c>
      <c r="J1381" s="69" t="s">
        <v>1550</v>
      </c>
      <c r="K1381" s="69" t="s">
        <v>1551</v>
      </c>
      <c r="L1381" s="253">
        <v>0.56200000000000006</v>
      </c>
      <c r="M1381" s="253">
        <v>0.58716485586539258</v>
      </c>
      <c r="N1381" s="253">
        <v>0.56378518518518517</v>
      </c>
      <c r="O1381" s="253">
        <v>0.58997962817894734</v>
      </c>
      <c r="P1381" s="253">
        <v>0.54</v>
      </c>
      <c r="Q1381" s="253">
        <v>0.57320000000000004</v>
      </c>
      <c r="R1381" s="253">
        <v>0.61820646769999998</v>
      </c>
      <c r="S1381" s="253">
        <v>0.55000000000000004</v>
      </c>
      <c r="T1381" s="253">
        <v>0.62263157894736842</v>
      </c>
      <c r="U1381" s="253">
        <v>0.56999999999999995</v>
      </c>
      <c r="V1381" s="253">
        <v>0.56777777777777771</v>
      </c>
      <c r="W1381" s="253"/>
      <c r="X1381" s="253">
        <v>0.55000000000000004</v>
      </c>
      <c r="Y1381" s="253">
        <v>0.56000000000000005</v>
      </c>
      <c r="Z1381" s="253">
        <v>0.65</v>
      </c>
      <c r="AA1381" s="253"/>
      <c r="AB1381" s="253"/>
      <c r="AC1381" s="253"/>
      <c r="AD1381" s="253"/>
      <c r="AE1381" s="253"/>
    </row>
    <row r="1382" spans="1:31">
      <c r="A1382" s="33">
        <v>1381</v>
      </c>
      <c r="B1382" s="69" t="s">
        <v>1550</v>
      </c>
      <c r="C1382" s="69" t="s">
        <v>740</v>
      </c>
      <c r="D1382" s="56">
        <v>42706</v>
      </c>
      <c r="E1382" s="33" t="s">
        <v>724</v>
      </c>
      <c r="F1382" s="69" t="s">
        <v>532</v>
      </c>
      <c r="G1382" s="69" t="str">
        <f t="shared" si="21"/>
        <v>E-Commerce</v>
      </c>
      <c r="H1382" s="69" t="s">
        <v>364</v>
      </c>
      <c r="I1382" s="69" t="s">
        <v>765</v>
      </c>
      <c r="J1382" s="69" t="s">
        <v>1550</v>
      </c>
      <c r="K1382" s="69" t="s">
        <v>669</v>
      </c>
      <c r="L1382" s="253">
        <v>0.628</v>
      </c>
      <c r="M1382" s="253">
        <v>0.64607142857142852</v>
      </c>
      <c r="N1382" s="253">
        <v>0.63500000000000001</v>
      </c>
      <c r="O1382" s="253">
        <v>0.64052631578947372</v>
      </c>
      <c r="P1382" s="253">
        <v>0.62</v>
      </c>
      <c r="Q1382" s="253">
        <v>0.65</v>
      </c>
      <c r="R1382" s="253">
        <v>0.65</v>
      </c>
      <c r="S1382" s="253">
        <v>0.62</v>
      </c>
      <c r="T1382" s="253">
        <v>0.63</v>
      </c>
      <c r="U1382" s="253">
        <v>0.66</v>
      </c>
      <c r="V1382" s="253">
        <v>0.65</v>
      </c>
      <c r="W1382" s="253"/>
      <c r="X1382" s="253">
        <v>0.59</v>
      </c>
      <c r="Y1382" s="253">
        <v>0.63</v>
      </c>
      <c r="Z1382" s="253">
        <v>0.66</v>
      </c>
      <c r="AA1382" s="253"/>
      <c r="AB1382" s="253"/>
      <c r="AC1382" s="253"/>
      <c r="AD1382" s="253"/>
      <c r="AE1382" s="253"/>
    </row>
    <row r="1383" spans="1:31">
      <c r="A1383" s="33">
        <v>1382</v>
      </c>
      <c r="B1383" s="69" t="s">
        <v>1550</v>
      </c>
      <c r="C1383" s="69" t="s">
        <v>740</v>
      </c>
      <c r="D1383" s="56">
        <v>42706</v>
      </c>
      <c r="E1383" s="33" t="s">
        <v>724</v>
      </c>
      <c r="F1383" s="69" t="s">
        <v>532</v>
      </c>
      <c r="G1383" s="69" t="str">
        <f t="shared" si="21"/>
        <v>E-Commerce</v>
      </c>
      <c r="H1383" s="69" t="s">
        <v>364</v>
      </c>
      <c r="I1383" s="69" t="s">
        <v>765</v>
      </c>
      <c r="J1383" s="69" t="s">
        <v>1550</v>
      </c>
      <c r="K1383" s="69" t="s">
        <v>770</v>
      </c>
      <c r="L1383" s="253">
        <v>0.55800000000000005</v>
      </c>
      <c r="M1383" s="253">
        <v>0.57321428571428568</v>
      </c>
      <c r="N1383" s="253">
        <v>0.56000000000000005</v>
      </c>
      <c r="O1383" s="253">
        <v>0.57421052631578939</v>
      </c>
      <c r="P1383" s="253">
        <v>0.54</v>
      </c>
      <c r="Q1383" s="253">
        <v>0.64</v>
      </c>
      <c r="R1383" s="253">
        <v>0.6</v>
      </c>
      <c r="S1383" s="253">
        <v>0.52</v>
      </c>
      <c r="T1383" s="253">
        <v>0.6</v>
      </c>
      <c r="U1383" s="253">
        <v>0.52</v>
      </c>
      <c r="V1383" s="253">
        <v>0.55000000000000004</v>
      </c>
      <c r="W1383" s="253"/>
      <c r="X1383" s="253">
        <v>0.56000000000000005</v>
      </c>
      <c r="Y1383" s="253">
        <v>0.54</v>
      </c>
      <c r="Z1383" s="253">
        <v>0.63</v>
      </c>
      <c r="AA1383" s="253"/>
      <c r="AB1383" s="253"/>
      <c r="AC1383" s="253"/>
      <c r="AD1383" s="253"/>
      <c r="AE1383" s="253"/>
    </row>
    <row r="1384" spans="1:31">
      <c r="A1384" s="33">
        <v>1383</v>
      </c>
      <c r="B1384" s="69" t="s">
        <v>1550</v>
      </c>
      <c r="C1384" s="69" t="s">
        <v>740</v>
      </c>
      <c r="D1384" s="56">
        <v>42706</v>
      </c>
      <c r="E1384" s="33" t="s">
        <v>724</v>
      </c>
      <c r="F1384" s="69" t="s">
        <v>532</v>
      </c>
      <c r="G1384" s="69" t="str">
        <f t="shared" si="21"/>
        <v>E-Commerce</v>
      </c>
      <c r="H1384" s="69" t="s">
        <v>364</v>
      </c>
      <c r="I1384" s="69" t="s">
        <v>765</v>
      </c>
      <c r="J1384" s="69" t="s">
        <v>1550</v>
      </c>
      <c r="K1384" s="69" t="s">
        <v>1552</v>
      </c>
      <c r="L1384" s="253">
        <v>0.52</v>
      </c>
      <c r="M1384" s="253">
        <v>0.57500041771094412</v>
      </c>
      <c r="N1384" s="253">
        <v>0.55040046296296297</v>
      </c>
      <c r="O1384" s="253">
        <v>0.59199999999999997</v>
      </c>
      <c r="P1384" s="253">
        <v>0.5</v>
      </c>
      <c r="Q1384" s="253">
        <v>0.57799999999999996</v>
      </c>
      <c r="R1384" s="253">
        <v>0.61</v>
      </c>
      <c r="S1384" s="253">
        <v>0.55000000000000004</v>
      </c>
      <c r="T1384" s="253">
        <v>0.60526315789473684</v>
      </c>
      <c r="U1384" s="253">
        <v>0.54</v>
      </c>
      <c r="V1384" s="253">
        <v>0.56444444444444442</v>
      </c>
      <c r="W1384" s="253"/>
      <c r="X1384" s="253">
        <v>0.50375000000000003</v>
      </c>
      <c r="Y1384" s="253">
        <v>0.59</v>
      </c>
      <c r="Z1384" s="253">
        <v>0.6</v>
      </c>
      <c r="AA1384" s="253"/>
      <c r="AB1384" s="253"/>
      <c r="AC1384" s="253"/>
      <c r="AD1384" s="253"/>
      <c r="AE1384" s="253"/>
    </row>
    <row r="1385" spans="1:31">
      <c r="A1385" s="33">
        <v>1384</v>
      </c>
      <c r="B1385" s="69" t="s">
        <v>1546</v>
      </c>
      <c r="C1385" s="69" t="s">
        <v>740</v>
      </c>
      <c r="D1385" s="56">
        <v>42706</v>
      </c>
      <c r="E1385" s="33" t="s">
        <v>724</v>
      </c>
      <c r="F1385" s="69" t="s">
        <v>532</v>
      </c>
      <c r="G1385" s="69" t="str">
        <f t="shared" si="21"/>
        <v>E-Commerce</v>
      </c>
      <c r="H1385" s="69" t="s">
        <v>364</v>
      </c>
      <c r="I1385" s="69" t="s">
        <v>1547</v>
      </c>
      <c r="J1385" s="69" t="s">
        <v>1546</v>
      </c>
      <c r="K1385" s="69" t="s">
        <v>1546</v>
      </c>
      <c r="L1385" s="253">
        <v>0.58799999999999997</v>
      </c>
      <c r="M1385" s="253">
        <v>0.5134324979114453</v>
      </c>
      <c r="N1385" s="253">
        <v>0.56307685185185175</v>
      </c>
      <c r="O1385" s="253">
        <v>0.53274736842105264</v>
      </c>
      <c r="P1385" s="253">
        <v>0.6</v>
      </c>
      <c r="Q1385" s="253">
        <v>0.43219999999999992</v>
      </c>
      <c r="R1385" s="253">
        <v>0.54</v>
      </c>
      <c r="S1385" s="253">
        <v>0.51</v>
      </c>
      <c r="T1385" s="253">
        <v>0.52947368421052632</v>
      </c>
      <c r="U1385" s="253">
        <v>0.47</v>
      </c>
      <c r="V1385" s="253">
        <v>0.57777777777777772</v>
      </c>
      <c r="W1385" s="253"/>
      <c r="X1385" s="253">
        <v>0.5675</v>
      </c>
      <c r="Y1385" s="253">
        <v>0.54</v>
      </c>
      <c r="Z1385" s="253">
        <v>0.54</v>
      </c>
      <c r="AA1385" s="253"/>
      <c r="AB1385" s="253"/>
      <c r="AC1385" s="253"/>
      <c r="AD1385" s="253"/>
      <c r="AE1385" s="253"/>
    </row>
    <row r="1386" spans="1:31">
      <c r="A1386" s="33">
        <v>1385</v>
      </c>
      <c r="B1386" s="69" t="s">
        <v>1546</v>
      </c>
      <c r="C1386" s="69" t="s">
        <v>740</v>
      </c>
      <c r="D1386" s="56">
        <v>42707</v>
      </c>
      <c r="E1386" s="33" t="s">
        <v>724</v>
      </c>
      <c r="F1386" s="69" t="s">
        <v>532</v>
      </c>
      <c r="G1386" s="69" t="str">
        <f t="shared" si="21"/>
        <v>E-Commerce</v>
      </c>
      <c r="H1386" s="69" t="s">
        <v>364</v>
      </c>
      <c r="I1386" s="69" t="s">
        <v>1547</v>
      </c>
      <c r="J1386" s="69" t="s">
        <v>1546</v>
      </c>
      <c r="K1386" s="69" t="s">
        <v>1095</v>
      </c>
      <c r="L1386" s="253">
        <v>0.61097889448000009</v>
      </c>
      <c r="M1386" s="253">
        <v>0.60501587301587301</v>
      </c>
      <c r="N1386" s="253">
        <v>0.60761342592592604</v>
      </c>
      <c r="O1386" s="253">
        <v>0.62836842105263158</v>
      </c>
      <c r="P1386" s="253">
        <v>0.60372361809999997</v>
      </c>
      <c r="Q1386" s="253">
        <v>0.65900000000000003</v>
      </c>
      <c r="R1386" s="253">
        <v>0.6</v>
      </c>
      <c r="S1386" s="253">
        <v>0.57999999999999996</v>
      </c>
      <c r="T1386" s="253">
        <v>0.62</v>
      </c>
      <c r="U1386" s="253">
        <v>0.54</v>
      </c>
      <c r="V1386" s="253">
        <v>0.62888888888888894</v>
      </c>
      <c r="W1386" s="253"/>
      <c r="X1386" s="253">
        <v>0.53374999999999995</v>
      </c>
      <c r="Y1386" s="253">
        <v>0.63</v>
      </c>
      <c r="Z1386" s="253">
        <v>0.64</v>
      </c>
      <c r="AA1386" s="253"/>
      <c r="AB1386" s="253"/>
      <c r="AC1386" s="253"/>
      <c r="AD1386" s="253"/>
      <c r="AE1386" s="253"/>
    </row>
    <row r="1387" spans="1:31">
      <c r="A1387" s="33">
        <v>1386</v>
      </c>
      <c r="B1387" s="69" t="s">
        <v>1546</v>
      </c>
      <c r="C1387" s="69" t="s">
        <v>740</v>
      </c>
      <c r="D1387" s="56">
        <v>42708</v>
      </c>
      <c r="E1387" s="33" t="s">
        <v>724</v>
      </c>
      <c r="F1387" s="69" t="s">
        <v>532</v>
      </c>
      <c r="G1387" s="69" t="str">
        <f t="shared" si="21"/>
        <v>E-Commerce</v>
      </c>
      <c r="H1387" s="69" t="s">
        <v>364</v>
      </c>
      <c r="I1387" s="69" t="s">
        <v>1547</v>
      </c>
      <c r="J1387" s="69" t="s">
        <v>1546</v>
      </c>
      <c r="K1387" s="69" t="s">
        <v>1098</v>
      </c>
      <c r="L1387" s="253">
        <v>0.64800000000000002</v>
      </c>
      <c r="M1387" s="253">
        <v>0.57129857978279042</v>
      </c>
      <c r="N1387" s="253">
        <v>0.56448009259259257</v>
      </c>
      <c r="O1387" s="253">
        <v>0.60744210526315778</v>
      </c>
      <c r="P1387" s="253">
        <v>0.65</v>
      </c>
      <c r="Q1387" s="253">
        <v>0.62139999999999995</v>
      </c>
      <c r="R1387" s="253">
        <v>0.59</v>
      </c>
      <c r="S1387" s="253">
        <v>0.54</v>
      </c>
      <c r="T1387" s="253">
        <v>0.59210526315789469</v>
      </c>
      <c r="U1387" s="253">
        <v>0.5</v>
      </c>
      <c r="V1387" s="253">
        <v>0.56888888888888889</v>
      </c>
      <c r="W1387" s="253"/>
      <c r="X1387" s="253">
        <v>0.53374999999999995</v>
      </c>
      <c r="Y1387" s="253">
        <v>0.6</v>
      </c>
      <c r="Z1387" s="253">
        <v>0.64</v>
      </c>
      <c r="AA1387" s="253"/>
      <c r="AB1387" s="253"/>
      <c r="AC1387" s="253"/>
      <c r="AD1387" s="253"/>
      <c r="AE1387" s="253"/>
    </row>
    <row r="1388" spans="1:31">
      <c r="A1388" s="33">
        <v>1387</v>
      </c>
      <c r="B1388" s="69" t="s">
        <v>1546</v>
      </c>
      <c r="C1388" s="69" t="s">
        <v>740</v>
      </c>
      <c r="D1388" s="56">
        <v>42709</v>
      </c>
      <c r="E1388" s="33" t="s">
        <v>724</v>
      </c>
      <c r="F1388" s="69" t="s">
        <v>532</v>
      </c>
      <c r="G1388" s="69" t="str">
        <f t="shared" si="21"/>
        <v>E-Commerce</v>
      </c>
      <c r="H1388" s="69" t="s">
        <v>364</v>
      </c>
      <c r="I1388" s="69" t="s">
        <v>1547</v>
      </c>
      <c r="J1388" s="69" t="s">
        <v>1546</v>
      </c>
      <c r="K1388" s="69" t="s">
        <v>1549</v>
      </c>
      <c r="L1388" s="253">
        <v>0.59</v>
      </c>
      <c r="M1388" s="253">
        <v>0.54249707602339181</v>
      </c>
      <c r="N1388" s="253">
        <v>0.51250925925925928</v>
      </c>
      <c r="O1388" s="253">
        <v>0.58626315789473682</v>
      </c>
      <c r="P1388" s="253">
        <v>0.59</v>
      </c>
      <c r="Q1388" s="253">
        <v>0.54899999999999993</v>
      </c>
      <c r="R1388" s="253">
        <v>0.55000000000000004</v>
      </c>
      <c r="S1388" s="253">
        <v>0.54</v>
      </c>
      <c r="T1388" s="253">
        <v>0.55315789473684218</v>
      </c>
      <c r="U1388" s="253">
        <v>0.54</v>
      </c>
      <c r="V1388" s="253">
        <v>0.50888888888888895</v>
      </c>
      <c r="W1388" s="253"/>
      <c r="X1388" s="253">
        <v>0.51</v>
      </c>
      <c r="Y1388" s="253">
        <v>0.6</v>
      </c>
      <c r="Z1388" s="253">
        <v>0.59</v>
      </c>
      <c r="AA1388" s="253"/>
      <c r="AB1388" s="253"/>
      <c r="AC1388" s="253"/>
      <c r="AD1388" s="253"/>
      <c r="AE1388" s="253"/>
    </row>
    <row r="1389" spans="1:31">
      <c r="A1389" s="33">
        <v>1388</v>
      </c>
      <c r="B1389" s="69" t="s">
        <v>1546</v>
      </c>
      <c r="C1389" s="69" t="s">
        <v>740</v>
      </c>
      <c r="D1389" s="56">
        <v>42710</v>
      </c>
      <c r="E1389" s="33" t="s">
        <v>724</v>
      </c>
      <c r="F1389" s="69" t="s">
        <v>532</v>
      </c>
      <c r="G1389" s="69" t="str">
        <f t="shared" si="21"/>
        <v>E-Commerce</v>
      </c>
      <c r="H1389" s="69" t="s">
        <v>364</v>
      </c>
      <c r="I1389" s="69" t="s">
        <v>1547</v>
      </c>
      <c r="J1389" s="69" t="s">
        <v>1546</v>
      </c>
      <c r="K1389" s="69" t="s">
        <v>1548</v>
      </c>
      <c r="L1389" s="253">
        <v>0.56999999999999995</v>
      </c>
      <c r="M1389" s="253">
        <v>0.56133308270676685</v>
      </c>
      <c r="N1389" s="253">
        <v>0.54899583333333335</v>
      </c>
      <c r="O1389" s="253">
        <v>0.58943157894736842</v>
      </c>
      <c r="P1389" s="253">
        <v>0.55000000000000004</v>
      </c>
      <c r="Q1389" s="253">
        <v>0.57919999999999994</v>
      </c>
      <c r="R1389" s="253">
        <v>0.53</v>
      </c>
      <c r="S1389" s="253">
        <v>0.61</v>
      </c>
      <c r="T1389" s="253">
        <v>0.5368421052631579</v>
      </c>
      <c r="U1389" s="253">
        <v>0.53</v>
      </c>
      <c r="V1389" s="253">
        <v>0.55000000000000004</v>
      </c>
      <c r="W1389" s="253"/>
      <c r="X1389" s="253">
        <v>0.53625</v>
      </c>
      <c r="Y1389" s="253">
        <v>0.56999999999999995</v>
      </c>
      <c r="Z1389" s="253">
        <v>0.65</v>
      </c>
      <c r="AA1389" s="253"/>
      <c r="AB1389" s="253"/>
      <c r="AC1389" s="253"/>
      <c r="AD1389" s="253"/>
      <c r="AE1389" s="253"/>
    </row>
    <row r="1390" spans="1:31">
      <c r="A1390" s="33">
        <v>1389</v>
      </c>
      <c r="B1390" s="69" t="s">
        <v>1543</v>
      </c>
      <c r="C1390" s="69" t="s">
        <v>1330</v>
      </c>
      <c r="D1390" s="56">
        <v>42712</v>
      </c>
      <c r="E1390" s="33" t="s">
        <v>724</v>
      </c>
      <c r="F1390" s="69" t="s">
        <v>755</v>
      </c>
      <c r="G1390" s="69" t="str">
        <f t="shared" si="21"/>
        <v>User Registration</v>
      </c>
      <c r="H1390" s="69" t="s">
        <v>508</v>
      </c>
      <c r="I1390" s="69" t="s">
        <v>962</v>
      </c>
      <c r="J1390" s="69" t="s">
        <v>1543</v>
      </c>
      <c r="K1390" s="69" t="s">
        <v>1543</v>
      </c>
      <c r="L1390" s="253">
        <v>0.63200000000000001</v>
      </c>
      <c r="M1390" s="253">
        <v>0.57632951945080091</v>
      </c>
      <c r="N1390" s="253">
        <v>0.53567857142857145</v>
      </c>
      <c r="O1390" s="253">
        <v>0.59505263157894739</v>
      </c>
      <c r="P1390" s="253">
        <v>0.63</v>
      </c>
      <c r="Q1390" s="253">
        <v>0.57599999999999996</v>
      </c>
      <c r="R1390" s="253">
        <v>0.56000000000000005</v>
      </c>
      <c r="S1390" s="253">
        <v>0.61</v>
      </c>
      <c r="T1390" s="253">
        <v>0.56052631578947365</v>
      </c>
      <c r="U1390" s="253">
        <v>0.55000000000000004</v>
      </c>
      <c r="V1390" s="253"/>
      <c r="W1390" s="253">
        <v>0.54</v>
      </c>
      <c r="X1390" s="253">
        <v>0.51071428571428579</v>
      </c>
      <c r="Y1390" s="253">
        <v>0.57999999999999996</v>
      </c>
      <c r="Z1390" s="253">
        <v>0.64</v>
      </c>
      <c r="AA1390" s="253"/>
      <c r="AB1390" s="253"/>
      <c r="AC1390" s="253"/>
      <c r="AD1390" s="253"/>
      <c r="AE1390" s="253"/>
    </row>
    <row r="1391" spans="1:31">
      <c r="A1391" s="33">
        <v>1390</v>
      </c>
      <c r="B1391" s="69" t="s">
        <v>1543</v>
      </c>
      <c r="C1391" s="69" t="s">
        <v>1330</v>
      </c>
      <c r="D1391" s="56">
        <v>42712</v>
      </c>
      <c r="E1391" s="33" t="s">
        <v>724</v>
      </c>
      <c r="F1391" s="69" t="s">
        <v>755</v>
      </c>
      <c r="G1391" s="69" t="str">
        <f t="shared" si="21"/>
        <v>User Registration</v>
      </c>
      <c r="H1391" s="69" t="s">
        <v>508</v>
      </c>
      <c r="I1391" s="69" t="s">
        <v>962</v>
      </c>
      <c r="J1391" s="69" t="s">
        <v>1543</v>
      </c>
      <c r="K1391" s="69" t="s">
        <v>932</v>
      </c>
      <c r="L1391" s="253">
        <v>0.65600000000000014</v>
      </c>
      <c r="M1391" s="253">
        <v>0.58498672768878723</v>
      </c>
      <c r="N1391" s="253">
        <v>0.57929345238095231</v>
      </c>
      <c r="O1391" s="253">
        <v>0.60653684210526315</v>
      </c>
      <c r="P1391" s="253">
        <v>0.66</v>
      </c>
      <c r="Q1391" s="253">
        <v>0.58420000000000005</v>
      </c>
      <c r="R1391" s="253">
        <v>0.55000000000000004</v>
      </c>
      <c r="S1391" s="253">
        <v>0.64</v>
      </c>
      <c r="T1391" s="253">
        <v>0.54263157894736846</v>
      </c>
      <c r="U1391" s="253">
        <v>0.57999999999999996</v>
      </c>
      <c r="V1391" s="253"/>
      <c r="W1391" s="253">
        <v>0.59</v>
      </c>
      <c r="X1391" s="253">
        <v>0.54910714285714279</v>
      </c>
      <c r="Y1391" s="253">
        <v>0.6</v>
      </c>
      <c r="Z1391" s="253">
        <v>0.64</v>
      </c>
      <c r="AA1391" s="253"/>
      <c r="AB1391" s="253"/>
      <c r="AC1391" s="253"/>
      <c r="AD1391" s="253"/>
      <c r="AE1391" s="253"/>
    </row>
    <row r="1392" spans="1:31">
      <c r="A1392" s="33">
        <v>1391</v>
      </c>
      <c r="B1392" s="69" t="s">
        <v>1543</v>
      </c>
      <c r="C1392" s="69" t="s">
        <v>1330</v>
      </c>
      <c r="D1392" s="56">
        <v>42712</v>
      </c>
      <c r="E1392" s="33" t="s">
        <v>724</v>
      </c>
      <c r="F1392" s="69" t="s">
        <v>755</v>
      </c>
      <c r="G1392" s="69" t="str">
        <f t="shared" si="21"/>
        <v>User Registration</v>
      </c>
      <c r="H1392" s="69" t="s">
        <v>508</v>
      </c>
      <c r="I1392" s="69" t="s">
        <v>962</v>
      </c>
      <c r="J1392" s="69" t="s">
        <v>1543</v>
      </c>
      <c r="K1392" s="69" t="s">
        <v>1544</v>
      </c>
      <c r="L1392" s="253">
        <v>0.61399999999999999</v>
      </c>
      <c r="M1392" s="253">
        <v>0.63517894736842107</v>
      </c>
      <c r="N1392" s="253">
        <v>0.5541059523809525</v>
      </c>
      <c r="O1392" s="253">
        <v>0.64174736842105262</v>
      </c>
      <c r="P1392" s="253">
        <v>0.62</v>
      </c>
      <c r="Q1392" s="253">
        <v>0.6532</v>
      </c>
      <c r="R1392" s="253">
        <v>0.61</v>
      </c>
      <c r="S1392" s="253">
        <v>0.67</v>
      </c>
      <c r="T1392" s="253">
        <v>0.56210526315789477</v>
      </c>
      <c r="U1392" s="253">
        <v>0.68</v>
      </c>
      <c r="V1392" s="253"/>
      <c r="W1392" s="253">
        <v>0.56000000000000005</v>
      </c>
      <c r="X1392" s="253">
        <v>0.50535714285714295</v>
      </c>
      <c r="Y1392" s="253">
        <v>0.67</v>
      </c>
      <c r="Z1392" s="253">
        <v>0.59</v>
      </c>
      <c r="AA1392" s="253"/>
      <c r="AB1392" s="253"/>
      <c r="AC1392" s="253"/>
      <c r="AD1392" s="253"/>
      <c r="AE1392" s="253"/>
    </row>
    <row r="1393" spans="1:31">
      <c r="A1393" s="33">
        <v>1392</v>
      </c>
      <c r="B1393" s="69" t="s">
        <v>1543</v>
      </c>
      <c r="C1393" s="69" t="s">
        <v>1330</v>
      </c>
      <c r="D1393" s="56">
        <v>42712</v>
      </c>
      <c r="E1393" s="33" t="s">
        <v>724</v>
      </c>
      <c r="F1393" s="69" t="s">
        <v>755</v>
      </c>
      <c r="G1393" s="69" t="str">
        <f t="shared" si="21"/>
        <v>User Registration</v>
      </c>
      <c r="H1393" s="69" t="s">
        <v>508</v>
      </c>
      <c r="I1393" s="69" t="s">
        <v>962</v>
      </c>
      <c r="J1393" s="69" t="s">
        <v>1543</v>
      </c>
      <c r="K1393" s="69" t="s">
        <v>1545</v>
      </c>
      <c r="L1393" s="253">
        <v>0.63400000000000001</v>
      </c>
      <c r="M1393" s="253">
        <v>0.62150846681922189</v>
      </c>
      <c r="N1393" s="253">
        <v>0.59606428571428571</v>
      </c>
      <c r="O1393" s="253">
        <v>0.58890526315789471</v>
      </c>
      <c r="P1393" s="253">
        <v>0.65</v>
      </c>
      <c r="Q1393" s="253">
        <v>0.64919999999999989</v>
      </c>
      <c r="R1393" s="253">
        <v>0.62</v>
      </c>
      <c r="S1393" s="253">
        <v>0.65</v>
      </c>
      <c r="T1393" s="253">
        <v>0.55263157894736836</v>
      </c>
      <c r="U1393" s="253">
        <v>0.64</v>
      </c>
      <c r="V1393" s="253"/>
      <c r="W1393" s="253">
        <v>0.6</v>
      </c>
      <c r="X1393" s="253">
        <v>0.56785714285714284</v>
      </c>
      <c r="Y1393" s="253">
        <v>0.57999999999999996</v>
      </c>
      <c r="Z1393" s="253">
        <v>0.56999999999999995</v>
      </c>
      <c r="AA1393" s="253"/>
      <c r="AB1393" s="253"/>
      <c r="AC1393" s="253"/>
      <c r="AD1393" s="253"/>
      <c r="AE1393" s="253"/>
    </row>
    <row r="1394" spans="1:31">
      <c r="A1394" s="33">
        <v>1393</v>
      </c>
      <c r="B1394" s="69" t="s">
        <v>1543</v>
      </c>
      <c r="C1394" s="69" t="s">
        <v>1330</v>
      </c>
      <c r="D1394" s="56">
        <v>42712</v>
      </c>
      <c r="E1394" s="33" t="s">
        <v>724</v>
      </c>
      <c r="F1394" s="69" t="s">
        <v>755</v>
      </c>
      <c r="G1394" s="69" t="str">
        <f t="shared" si="21"/>
        <v>User Registration</v>
      </c>
      <c r="H1394" s="69" t="s">
        <v>508</v>
      </c>
      <c r="I1394" s="69" t="s">
        <v>962</v>
      </c>
      <c r="J1394" s="69" t="s">
        <v>1543</v>
      </c>
      <c r="K1394" s="69" t="s">
        <v>386</v>
      </c>
      <c r="L1394" s="253">
        <v>0.63600000000000001</v>
      </c>
      <c r="M1394" s="253">
        <v>0.5931102974828375</v>
      </c>
      <c r="N1394" s="253">
        <v>0.52950178571428574</v>
      </c>
      <c r="O1394" s="253">
        <v>0.60522105263157888</v>
      </c>
      <c r="P1394" s="253">
        <v>0.64</v>
      </c>
      <c r="Q1394" s="253">
        <v>0.59919999999999995</v>
      </c>
      <c r="R1394" s="253">
        <v>0.57999999999999996</v>
      </c>
      <c r="S1394" s="253">
        <v>0.64</v>
      </c>
      <c r="T1394" s="253">
        <v>0.58157894736842097</v>
      </c>
      <c r="U1394" s="253">
        <v>0.56000000000000005</v>
      </c>
      <c r="V1394" s="253"/>
      <c r="W1394" s="253">
        <v>0.49</v>
      </c>
      <c r="X1394" s="253">
        <v>0.61160714285714279</v>
      </c>
      <c r="Y1394" s="253">
        <v>0.6</v>
      </c>
      <c r="Z1394" s="253">
        <v>0.62</v>
      </c>
      <c r="AA1394" s="253"/>
      <c r="AB1394" s="253"/>
      <c r="AC1394" s="253"/>
      <c r="AD1394" s="253"/>
      <c r="AE1394" s="253"/>
    </row>
    <row r="1395" spans="1:31">
      <c r="A1395" s="33">
        <v>1394</v>
      </c>
      <c r="B1395" s="69" t="s">
        <v>727</v>
      </c>
      <c r="C1395" s="69" t="s">
        <v>1330</v>
      </c>
      <c r="D1395" s="56">
        <v>42717</v>
      </c>
      <c r="E1395" s="33" t="s">
        <v>724</v>
      </c>
      <c r="F1395" s="69" t="s">
        <v>755</v>
      </c>
      <c r="G1395" s="69" t="str">
        <f t="shared" si="21"/>
        <v>E-Commerce</v>
      </c>
      <c r="H1395" s="69" t="s">
        <v>364</v>
      </c>
      <c r="I1395" s="69" t="s">
        <v>1331</v>
      </c>
      <c r="J1395" s="69" t="s">
        <v>727</v>
      </c>
      <c r="K1395" s="69" t="s">
        <v>727</v>
      </c>
      <c r="L1395" s="253">
        <v>0.63600000000000001</v>
      </c>
      <c r="M1395" s="253">
        <v>0.59208333333333329</v>
      </c>
      <c r="N1395" s="253">
        <v>0.59499093524940538</v>
      </c>
      <c r="O1395" s="253">
        <v>0.59421052631578952</v>
      </c>
      <c r="P1395" s="253">
        <v>0.64</v>
      </c>
      <c r="Q1395" s="253">
        <v>0.57999999999999996</v>
      </c>
      <c r="R1395" s="253">
        <v>0.57999999999999996</v>
      </c>
      <c r="S1395" s="253">
        <v>0.55000000000000004</v>
      </c>
      <c r="T1395" s="253">
        <v>0.56999999999999995</v>
      </c>
      <c r="U1395" s="253">
        <v>0.64</v>
      </c>
      <c r="V1395" s="253">
        <v>0.60166666666666668</v>
      </c>
      <c r="W1395" s="253"/>
      <c r="X1395" s="253">
        <v>0.57999999999999996</v>
      </c>
      <c r="Y1395" s="253">
        <v>0.59</v>
      </c>
      <c r="Z1395" s="253">
        <v>0.62</v>
      </c>
      <c r="AA1395" s="253"/>
      <c r="AB1395" s="253"/>
      <c r="AC1395" s="253"/>
      <c r="AD1395" s="253"/>
      <c r="AE1395" s="253"/>
    </row>
    <row r="1396" spans="1:31">
      <c r="A1396" s="33">
        <v>1395</v>
      </c>
      <c r="B1396" s="69" t="s">
        <v>727</v>
      </c>
      <c r="C1396" s="69" t="s">
        <v>1330</v>
      </c>
      <c r="D1396" s="56">
        <v>42717</v>
      </c>
      <c r="E1396" s="33" t="s">
        <v>724</v>
      </c>
      <c r="F1396" s="69" t="s">
        <v>755</v>
      </c>
      <c r="G1396" s="69" t="str">
        <f t="shared" si="21"/>
        <v>E-Commerce</v>
      </c>
      <c r="H1396" s="69" t="s">
        <v>364</v>
      </c>
      <c r="I1396" s="69" t="s">
        <v>1331</v>
      </c>
      <c r="J1396" s="69" t="s">
        <v>727</v>
      </c>
      <c r="K1396" s="69" t="s">
        <v>731</v>
      </c>
      <c r="L1396" s="253">
        <v>0.61</v>
      </c>
      <c r="M1396" s="253">
        <v>0.62572619047619038</v>
      </c>
      <c r="N1396" s="253">
        <v>0.62599866939440807</v>
      </c>
      <c r="O1396" s="253">
        <v>0.58957894736842109</v>
      </c>
      <c r="P1396" s="253">
        <v>0.6</v>
      </c>
      <c r="Q1396" s="253">
        <v>0.6120000000000001</v>
      </c>
      <c r="R1396" s="253">
        <v>0.62</v>
      </c>
      <c r="S1396" s="253">
        <v>0.6</v>
      </c>
      <c r="T1396" s="253">
        <v>0.62049999999999983</v>
      </c>
      <c r="U1396" s="253">
        <v>0.65</v>
      </c>
      <c r="V1396" s="253">
        <v>0.63216666666666654</v>
      </c>
      <c r="W1396" s="253"/>
      <c r="X1396" s="253">
        <v>0.62</v>
      </c>
      <c r="Y1396" s="253">
        <v>0.55000000000000004</v>
      </c>
      <c r="Z1396" s="253">
        <v>0.65</v>
      </c>
      <c r="AA1396" s="253"/>
      <c r="AB1396" s="253"/>
      <c r="AC1396" s="253"/>
      <c r="AD1396" s="253"/>
      <c r="AE1396" s="253"/>
    </row>
    <row r="1397" spans="1:31">
      <c r="A1397" s="33">
        <v>1396</v>
      </c>
      <c r="B1397" s="69" t="s">
        <v>727</v>
      </c>
      <c r="C1397" s="69" t="s">
        <v>1330</v>
      </c>
      <c r="D1397" s="56">
        <v>42717</v>
      </c>
      <c r="E1397" s="33" t="s">
        <v>724</v>
      </c>
      <c r="F1397" s="69" t="s">
        <v>755</v>
      </c>
      <c r="G1397" s="69" t="str">
        <f t="shared" si="21"/>
        <v>E-Commerce</v>
      </c>
      <c r="H1397" s="69" t="s">
        <v>364</v>
      </c>
      <c r="I1397" s="69" t="s">
        <v>1331</v>
      </c>
      <c r="J1397" s="69" t="s">
        <v>727</v>
      </c>
      <c r="K1397" s="69" t="s">
        <v>669</v>
      </c>
      <c r="L1397" s="253">
        <v>0.628</v>
      </c>
      <c r="M1397" s="253">
        <v>0.64980357142857137</v>
      </c>
      <c r="N1397" s="253">
        <v>0.60505613492340704</v>
      </c>
      <c r="O1397" s="253">
        <v>0.64052631578947405</v>
      </c>
      <c r="P1397" s="253">
        <v>0.62</v>
      </c>
      <c r="Q1397" s="253">
        <v>0.65</v>
      </c>
      <c r="R1397" s="253">
        <v>0.65</v>
      </c>
      <c r="S1397" s="253">
        <v>0.62</v>
      </c>
      <c r="T1397" s="253">
        <v>0.63150000000000006</v>
      </c>
      <c r="U1397" s="253">
        <v>0.68</v>
      </c>
      <c r="V1397" s="253">
        <v>0.65</v>
      </c>
      <c r="W1397" s="253"/>
      <c r="X1397" s="253">
        <v>0.59</v>
      </c>
      <c r="Y1397" s="253">
        <v>0.63</v>
      </c>
      <c r="Z1397" s="253">
        <v>0.66</v>
      </c>
      <c r="AA1397" s="253"/>
      <c r="AB1397" s="253"/>
      <c r="AC1397" s="253"/>
      <c r="AD1397" s="253"/>
      <c r="AE1397" s="253"/>
    </row>
    <row r="1398" spans="1:31">
      <c r="A1398" s="33">
        <v>1397</v>
      </c>
      <c r="B1398" s="69" t="s">
        <v>727</v>
      </c>
      <c r="C1398" s="69" t="s">
        <v>1330</v>
      </c>
      <c r="D1398" s="56">
        <v>42717</v>
      </c>
      <c r="E1398" s="33" t="s">
        <v>724</v>
      </c>
      <c r="F1398" s="69" t="s">
        <v>755</v>
      </c>
      <c r="G1398" s="69" t="str">
        <f t="shared" si="21"/>
        <v>E-Commerce</v>
      </c>
      <c r="H1398" s="69" t="s">
        <v>364</v>
      </c>
      <c r="I1398" s="69" t="s">
        <v>1331</v>
      </c>
      <c r="J1398" s="69" t="s">
        <v>727</v>
      </c>
      <c r="K1398" s="69" t="s">
        <v>1541</v>
      </c>
      <c r="L1398" s="253">
        <v>0.58000000000000007</v>
      </c>
      <c r="M1398" s="253">
        <v>0.6117880952380953</v>
      </c>
      <c r="N1398" s="253">
        <v>0.59999378607188603</v>
      </c>
      <c r="O1398" s="253">
        <v>0.57761052631578946</v>
      </c>
      <c r="P1398" s="253">
        <v>0.56000000000000005</v>
      </c>
      <c r="Q1398" s="253">
        <v>0.60459999999999992</v>
      </c>
      <c r="R1398" s="253">
        <v>0.62</v>
      </c>
      <c r="S1398" s="253">
        <v>0.53</v>
      </c>
      <c r="T1398" s="253">
        <v>0.62249999999999983</v>
      </c>
      <c r="U1398" s="253">
        <v>0.64</v>
      </c>
      <c r="V1398" s="253">
        <v>0.62083333333333324</v>
      </c>
      <c r="W1398" s="253"/>
      <c r="X1398" s="253">
        <v>0.54374999999999996</v>
      </c>
      <c r="Y1398" s="253">
        <v>0.53</v>
      </c>
      <c r="Z1398" s="253">
        <v>0.66</v>
      </c>
      <c r="AA1398" s="253"/>
      <c r="AB1398" s="253"/>
      <c r="AC1398" s="253"/>
      <c r="AD1398" s="253"/>
      <c r="AE1398" s="253"/>
    </row>
    <row r="1399" spans="1:31">
      <c r="A1399" s="33">
        <v>1398</v>
      </c>
      <c r="B1399" s="69" t="s">
        <v>727</v>
      </c>
      <c r="C1399" s="69" t="s">
        <v>1330</v>
      </c>
      <c r="D1399" s="56">
        <v>42717</v>
      </c>
      <c r="E1399" s="33" t="s">
        <v>724</v>
      </c>
      <c r="F1399" s="69" t="s">
        <v>755</v>
      </c>
      <c r="G1399" s="69" t="str">
        <f t="shared" si="21"/>
        <v>E-Commerce</v>
      </c>
      <c r="H1399" s="69" t="s">
        <v>364</v>
      </c>
      <c r="I1399" s="69" t="s">
        <v>1331</v>
      </c>
      <c r="J1399" s="69" t="s">
        <v>727</v>
      </c>
      <c r="K1399" s="69" t="s">
        <v>728</v>
      </c>
      <c r="L1399" s="253">
        <v>0.56000000000000005</v>
      </c>
      <c r="M1399" s="253">
        <v>0.61986190476190484</v>
      </c>
      <c r="N1399" s="253">
        <v>0.60804470502137287</v>
      </c>
      <c r="O1399" s="253">
        <v>0.55343157894736839</v>
      </c>
      <c r="P1399" s="253">
        <v>0.55000000000000004</v>
      </c>
      <c r="Q1399" s="253">
        <v>0.61519999999999997</v>
      </c>
      <c r="R1399" s="253">
        <v>0.64</v>
      </c>
      <c r="S1399" s="253">
        <v>0.52</v>
      </c>
      <c r="T1399" s="253">
        <v>0.629</v>
      </c>
      <c r="U1399" s="253">
        <v>0.67</v>
      </c>
      <c r="V1399" s="253">
        <v>0.63566666666666671</v>
      </c>
      <c r="W1399" s="253"/>
      <c r="X1399" s="253">
        <v>0.61875000000000002</v>
      </c>
      <c r="Y1399" s="253">
        <v>0.51</v>
      </c>
      <c r="Z1399" s="253">
        <v>0.6</v>
      </c>
      <c r="AA1399" s="253"/>
      <c r="AB1399" s="253"/>
      <c r="AC1399" s="253"/>
      <c r="AD1399" s="253"/>
      <c r="AE1399" s="253"/>
    </row>
    <row r="1400" spans="1:31">
      <c r="A1400" s="33">
        <v>1399</v>
      </c>
      <c r="B1400" s="69" t="s">
        <v>727</v>
      </c>
      <c r="C1400" s="69" t="s">
        <v>1330</v>
      </c>
      <c r="D1400" s="56">
        <v>42717</v>
      </c>
      <c r="E1400" s="33" t="s">
        <v>724</v>
      </c>
      <c r="F1400" s="69" t="s">
        <v>755</v>
      </c>
      <c r="G1400" s="69" t="str">
        <f t="shared" si="21"/>
        <v>E-Commerce</v>
      </c>
      <c r="H1400" s="69" t="s">
        <v>364</v>
      </c>
      <c r="I1400" s="69" t="s">
        <v>1331</v>
      </c>
      <c r="J1400" s="69" t="s">
        <v>727</v>
      </c>
      <c r="K1400" s="69" t="s">
        <v>1542</v>
      </c>
      <c r="L1400" s="253">
        <v>0.56200000000000006</v>
      </c>
      <c r="M1400" s="253">
        <v>0.61</v>
      </c>
      <c r="N1400" s="253">
        <v>0.59333333333333338</v>
      </c>
      <c r="O1400" s="253">
        <v>0.59789473684210526</v>
      </c>
      <c r="P1400" s="253">
        <v>0.54</v>
      </c>
      <c r="Q1400" s="253">
        <v>0.6</v>
      </c>
      <c r="R1400" s="253">
        <v>0.61</v>
      </c>
      <c r="S1400" s="253">
        <v>0.49</v>
      </c>
      <c r="T1400" s="253">
        <v>0.64</v>
      </c>
      <c r="U1400" s="253">
        <v>0.67</v>
      </c>
      <c r="V1400" s="253">
        <v>0.62</v>
      </c>
      <c r="W1400" s="253"/>
      <c r="X1400" s="253">
        <v>0.52</v>
      </c>
      <c r="Y1400" s="253">
        <v>0.57999999999999996</v>
      </c>
      <c r="Z1400" s="253">
        <v>0.65</v>
      </c>
      <c r="AA1400" s="253"/>
      <c r="AB1400" s="253"/>
      <c r="AC1400" s="253"/>
      <c r="AD1400" s="253"/>
      <c r="AE1400" s="253"/>
    </row>
    <row r="1401" spans="1:31">
      <c r="A1401" s="33">
        <v>1400</v>
      </c>
      <c r="B1401" s="69" t="s">
        <v>1528</v>
      </c>
      <c r="C1401" s="69" t="s">
        <v>1499</v>
      </c>
      <c r="D1401" s="56">
        <v>42723</v>
      </c>
      <c r="E1401" s="33" t="s">
        <v>724</v>
      </c>
      <c r="F1401" s="69" t="s">
        <v>725</v>
      </c>
      <c r="G1401" s="69" t="str">
        <f t="shared" si="21"/>
        <v>User Registration</v>
      </c>
      <c r="H1401" s="69" t="s">
        <v>808</v>
      </c>
      <c r="I1401" s="69" t="s">
        <v>1529</v>
      </c>
      <c r="J1401" s="69" t="s">
        <v>1528</v>
      </c>
      <c r="K1401" s="69" t="s">
        <v>1528</v>
      </c>
      <c r="L1401" s="253">
        <v>0.64200000000000002</v>
      </c>
      <c r="M1401" s="253">
        <v>0.63652173913043486</v>
      </c>
      <c r="N1401" s="253">
        <v>0.57333333333333325</v>
      </c>
      <c r="O1401" s="253">
        <v>0.59263157894736851</v>
      </c>
      <c r="P1401" s="253">
        <v>0.64</v>
      </c>
      <c r="Q1401" s="253">
        <v>0.6</v>
      </c>
      <c r="R1401" s="253">
        <v>0.63</v>
      </c>
      <c r="S1401" s="253">
        <v>0.65</v>
      </c>
      <c r="T1401" s="253">
        <v>0.63</v>
      </c>
      <c r="U1401" s="253">
        <v>0.66</v>
      </c>
      <c r="V1401" s="253"/>
      <c r="W1401" s="253">
        <v>0.56999999999999995</v>
      </c>
      <c r="X1401" s="253">
        <v>0.51071428571428579</v>
      </c>
      <c r="Y1401" s="253">
        <v>0.55000000000000004</v>
      </c>
      <c r="Z1401" s="253">
        <v>0.65</v>
      </c>
      <c r="AA1401" s="253"/>
      <c r="AB1401" s="253"/>
      <c r="AC1401" s="253"/>
      <c r="AD1401" s="253"/>
      <c r="AE1401" s="253"/>
    </row>
    <row r="1402" spans="1:31">
      <c r="A1402" s="33">
        <v>1401</v>
      </c>
      <c r="B1402" s="69" t="s">
        <v>1528</v>
      </c>
      <c r="C1402" s="69" t="s">
        <v>1499</v>
      </c>
      <c r="D1402" s="56">
        <v>42723</v>
      </c>
      <c r="E1402" s="33" t="s">
        <v>724</v>
      </c>
      <c r="F1402" s="69" t="s">
        <v>725</v>
      </c>
      <c r="G1402" s="69" t="str">
        <f t="shared" si="21"/>
        <v>User Registration</v>
      </c>
      <c r="H1402" s="69" t="s">
        <v>808</v>
      </c>
      <c r="I1402" s="69" t="s">
        <v>1529</v>
      </c>
      <c r="J1402" s="69" t="s">
        <v>1528</v>
      </c>
      <c r="K1402" s="69" t="s">
        <v>1530</v>
      </c>
      <c r="L1402" s="253">
        <v>0.58399999999999996</v>
      </c>
      <c r="M1402" s="253">
        <v>0.57695652173913048</v>
      </c>
      <c r="N1402" s="253">
        <v>0.46222222222222226</v>
      </c>
      <c r="O1402" s="253">
        <v>0.61842105263157898</v>
      </c>
      <c r="P1402" s="253">
        <v>0.59</v>
      </c>
      <c r="Q1402" s="253">
        <v>0.56000000000000005</v>
      </c>
      <c r="R1402" s="253">
        <v>0.57999999999999996</v>
      </c>
      <c r="S1402" s="253">
        <v>0.63</v>
      </c>
      <c r="T1402" s="253">
        <v>0.57999999999999996</v>
      </c>
      <c r="U1402" s="253">
        <v>0.55000000000000004</v>
      </c>
      <c r="V1402" s="253"/>
      <c r="W1402" s="253">
        <v>0.45</v>
      </c>
      <c r="X1402" s="253">
        <v>0.54910714285714279</v>
      </c>
      <c r="Y1402" s="253">
        <v>0.66</v>
      </c>
      <c r="Z1402" s="253">
        <v>0.56000000000000005</v>
      </c>
      <c r="AA1402" s="253"/>
      <c r="AB1402" s="253"/>
      <c r="AC1402" s="253"/>
      <c r="AD1402" s="253"/>
      <c r="AE1402" s="253"/>
    </row>
    <row r="1403" spans="1:31">
      <c r="A1403" s="33">
        <v>1402</v>
      </c>
      <c r="B1403" s="69" t="s">
        <v>1528</v>
      </c>
      <c r="C1403" s="69" t="s">
        <v>1499</v>
      </c>
      <c r="D1403" s="56">
        <v>42723</v>
      </c>
      <c r="E1403" s="33" t="s">
        <v>724</v>
      </c>
      <c r="F1403" s="69" t="s">
        <v>725</v>
      </c>
      <c r="G1403" s="69" t="str">
        <f t="shared" si="21"/>
        <v>User Registration</v>
      </c>
      <c r="H1403" s="69" t="s">
        <v>808</v>
      </c>
      <c r="I1403" s="69" t="s">
        <v>1529</v>
      </c>
      <c r="J1403" s="69" t="s">
        <v>1528</v>
      </c>
      <c r="K1403" s="69" t="s">
        <v>1531</v>
      </c>
      <c r="L1403" s="253">
        <v>0.64</v>
      </c>
      <c r="M1403" s="253">
        <v>0.64695652173913043</v>
      </c>
      <c r="N1403" s="253">
        <v>0.49888888888888888</v>
      </c>
      <c r="O1403" s="253">
        <v>0.61157894736842111</v>
      </c>
      <c r="P1403" s="253">
        <v>0.65</v>
      </c>
      <c r="Q1403" s="253">
        <v>0.65</v>
      </c>
      <c r="R1403" s="253">
        <v>0.65</v>
      </c>
      <c r="S1403" s="253">
        <v>0.67</v>
      </c>
      <c r="T1403" s="253">
        <v>0.65</v>
      </c>
      <c r="U1403" s="253">
        <v>0.64</v>
      </c>
      <c r="V1403" s="253"/>
      <c r="W1403" s="253">
        <v>0.48</v>
      </c>
      <c r="X1403" s="253">
        <v>0.50535714285714295</v>
      </c>
      <c r="Y1403" s="253">
        <v>0.6</v>
      </c>
      <c r="Z1403" s="253">
        <v>0.6</v>
      </c>
      <c r="AA1403" s="253"/>
      <c r="AB1403" s="253"/>
      <c r="AC1403" s="253"/>
      <c r="AD1403" s="253"/>
      <c r="AE1403" s="253"/>
    </row>
    <row r="1404" spans="1:31">
      <c r="A1404" s="33">
        <v>1403</v>
      </c>
      <c r="B1404" s="69" t="s">
        <v>1528</v>
      </c>
      <c r="C1404" s="69" t="s">
        <v>1499</v>
      </c>
      <c r="D1404" s="56">
        <v>42723</v>
      </c>
      <c r="E1404" s="33" t="s">
        <v>724</v>
      </c>
      <c r="F1404" s="69" t="s">
        <v>725</v>
      </c>
      <c r="G1404" s="69" t="str">
        <f t="shared" si="21"/>
        <v>User Registration</v>
      </c>
      <c r="H1404" s="69" t="s">
        <v>808</v>
      </c>
      <c r="I1404" s="69" t="s">
        <v>1529</v>
      </c>
      <c r="J1404" s="69" t="s">
        <v>1528</v>
      </c>
      <c r="K1404" s="69" t="s">
        <v>1532</v>
      </c>
      <c r="L1404" s="253">
        <v>0.65800000000000014</v>
      </c>
      <c r="M1404" s="253">
        <v>0.62086956521739134</v>
      </c>
      <c r="N1404" s="253">
        <v>0.50888888888888884</v>
      </c>
      <c r="O1404" s="253">
        <v>0.59052631578947368</v>
      </c>
      <c r="P1404" s="253">
        <v>0.66</v>
      </c>
      <c r="Q1404" s="253">
        <v>0.57999999999999996</v>
      </c>
      <c r="R1404" s="253">
        <v>0.63</v>
      </c>
      <c r="S1404" s="253">
        <v>0.63</v>
      </c>
      <c r="T1404" s="253">
        <v>0.63</v>
      </c>
      <c r="U1404" s="253">
        <v>0.62</v>
      </c>
      <c r="V1404" s="253"/>
      <c r="W1404" s="253">
        <v>0.5</v>
      </c>
      <c r="X1404" s="253">
        <v>0.61160714285714279</v>
      </c>
      <c r="Y1404" s="253">
        <v>0.55000000000000004</v>
      </c>
      <c r="Z1404" s="253">
        <v>0.65</v>
      </c>
      <c r="AA1404" s="253"/>
      <c r="AB1404" s="253"/>
      <c r="AC1404" s="253"/>
      <c r="AD1404" s="253"/>
      <c r="AE1404" s="253"/>
    </row>
    <row r="1405" spans="1:31">
      <c r="A1405" s="33">
        <v>1404</v>
      </c>
      <c r="B1405" s="69" t="s">
        <v>1528</v>
      </c>
      <c r="C1405" s="69" t="s">
        <v>1499</v>
      </c>
      <c r="D1405" s="56">
        <v>42723</v>
      </c>
      <c r="E1405" s="33" t="s">
        <v>724</v>
      </c>
      <c r="F1405" s="69" t="s">
        <v>725</v>
      </c>
      <c r="G1405" s="69" t="str">
        <f t="shared" si="21"/>
        <v>User Registration</v>
      </c>
      <c r="H1405" s="69" t="s">
        <v>808</v>
      </c>
      <c r="I1405" s="69" t="s">
        <v>1529</v>
      </c>
      <c r="J1405" s="69" t="s">
        <v>1528</v>
      </c>
      <c r="K1405" s="69" t="s">
        <v>1533</v>
      </c>
      <c r="L1405" s="253">
        <v>0.626</v>
      </c>
      <c r="M1405" s="253">
        <v>0.62999999999999989</v>
      </c>
      <c r="N1405" s="253">
        <v>0.47</v>
      </c>
      <c r="O1405" s="253">
        <v>0.5463157894736842</v>
      </c>
      <c r="P1405" s="253">
        <v>0.64</v>
      </c>
      <c r="Q1405" s="253">
        <v>0.63</v>
      </c>
      <c r="R1405" s="253">
        <v>0.64</v>
      </c>
      <c r="S1405" s="253">
        <v>0.62</v>
      </c>
      <c r="T1405" s="253">
        <v>0.65</v>
      </c>
      <c r="U1405" s="253">
        <v>0.64</v>
      </c>
      <c r="V1405" s="253"/>
      <c r="W1405" s="253">
        <v>0.45</v>
      </c>
      <c r="X1405" s="253"/>
      <c r="Y1405" s="253">
        <v>0.5</v>
      </c>
      <c r="Z1405" s="253">
        <v>0.56999999999999995</v>
      </c>
      <c r="AA1405" s="253"/>
      <c r="AB1405" s="253"/>
      <c r="AC1405" s="253"/>
      <c r="AD1405" s="253"/>
      <c r="AE1405" s="253"/>
    </row>
    <row r="1406" spans="1:31">
      <c r="A1406" s="33">
        <v>1405</v>
      </c>
      <c r="B1406" s="69" t="s">
        <v>1534</v>
      </c>
      <c r="C1406" s="69" t="s">
        <v>1038</v>
      </c>
      <c r="D1406" s="56">
        <v>42723</v>
      </c>
      <c r="E1406" s="33" t="s">
        <v>724</v>
      </c>
      <c r="F1406" s="69" t="s">
        <v>755</v>
      </c>
      <c r="G1406" s="69" t="str">
        <f t="shared" si="21"/>
        <v>E-Commerce</v>
      </c>
      <c r="H1406" s="69" t="s">
        <v>364</v>
      </c>
      <c r="I1406" s="69" t="s">
        <v>1535</v>
      </c>
      <c r="J1406" s="69" t="s">
        <v>1534</v>
      </c>
      <c r="K1406" s="69" t="s">
        <v>1534</v>
      </c>
      <c r="L1406" s="253">
        <v>0.63400000000000001</v>
      </c>
      <c r="M1406" s="253">
        <v>0.62641186299081042</v>
      </c>
      <c r="N1406" s="253">
        <v>0.60335648148148158</v>
      </c>
      <c r="O1406" s="253">
        <v>0.57999999999999996</v>
      </c>
      <c r="P1406" s="253">
        <v>0.63</v>
      </c>
      <c r="Q1406" s="253">
        <v>0.62</v>
      </c>
      <c r="R1406" s="253">
        <v>0.64</v>
      </c>
      <c r="S1406" s="253">
        <v>0.56999999999999995</v>
      </c>
      <c r="T1406" s="253">
        <v>0.63947368421052631</v>
      </c>
      <c r="U1406" s="253">
        <v>0.65</v>
      </c>
      <c r="V1406" s="253">
        <v>0.62222222222222223</v>
      </c>
      <c r="W1406" s="253"/>
      <c r="X1406" s="253">
        <v>0.54749999999999999</v>
      </c>
      <c r="Y1406" s="253">
        <v>0.53</v>
      </c>
      <c r="Z1406" s="253">
        <v>0.65</v>
      </c>
      <c r="AA1406" s="253"/>
      <c r="AB1406" s="253"/>
      <c r="AC1406" s="253"/>
      <c r="AD1406" s="253"/>
      <c r="AE1406" s="253"/>
    </row>
    <row r="1407" spans="1:31">
      <c r="A1407" s="33">
        <v>1406</v>
      </c>
      <c r="B1407" s="69" t="s">
        <v>1534</v>
      </c>
      <c r="C1407" s="69" t="s">
        <v>1038</v>
      </c>
      <c r="D1407" s="56">
        <v>42723</v>
      </c>
      <c r="E1407" s="33" t="s">
        <v>724</v>
      </c>
      <c r="F1407" s="69" t="s">
        <v>755</v>
      </c>
      <c r="G1407" s="69" t="str">
        <f t="shared" si="21"/>
        <v>E-Commerce</v>
      </c>
      <c r="H1407" s="69" t="s">
        <v>364</v>
      </c>
      <c r="I1407" s="69" t="s">
        <v>1535</v>
      </c>
      <c r="J1407" s="69" t="s">
        <v>1534</v>
      </c>
      <c r="K1407" s="69" t="s">
        <v>1536</v>
      </c>
      <c r="L1407" s="253">
        <v>0.66</v>
      </c>
      <c r="M1407" s="253">
        <v>0.65891812865497079</v>
      </c>
      <c r="N1407" s="253">
        <v>0.63507771164021176</v>
      </c>
      <c r="O1407" s="253">
        <v>0.61368421052631572</v>
      </c>
      <c r="P1407" s="253">
        <v>0.66</v>
      </c>
      <c r="Q1407" s="253">
        <v>0.67</v>
      </c>
      <c r="R1407" s="253">
        <v>0.67</v>
      </c>
      <c r="S1407" s="253">
        <v>0.65</v>
      </c>
      <c r="T1407" s="253">
        <v>0.66842105263157892</v>
      </c>
      <c r="U1407" s="253">
        <v>0.65</v>
      </c>
      <c r="V1407" s="253">
        <v>0.64888888888888896</v>
      </c>
      <c r="W1407" s="253"/>
      <c r="X1407" s="253">
        <v>0.58660714285714288</v>
      </c>
      <c r="Y1407" s="253">
        <v>0.56999999999999995</v>
      </c>
      <c r="Z1407" s="253">
        <v>0.66</v>
      </c>
      <c r="AA1407" s="253"/>
      <c r="AB1407" s="253"/>
      <c r="AC1407" s="253"/>
      <c r="AD1407" s="253"/>
      <c r="AE1407" s="253"/>
    </row>
    <row r="1408" spans="1:31">
      <c r="A1408" s="33">
        <v>1407</v>
      </c>
      <c r="B1408" s="69" t="s">
        <v>1534</v>
      </c>
      <c r="C1408" s="69" t="s">
        <v>1038</v>
      </c>
      <c r="D1408" s="56">
        <v>42723</v>
      </c>
      <c r="E1408" s="33" t="s">
        <v>724</v>
      </c>
      <c r="F1408" s="69" t="s">
        <v>755</v>
      </c>
      <c r="G1408" s="69" t="str">
        <f t="shared" si="21"/>
        <v>E-Commerce</v>
      </c>
      <c r="H1408" s="69" t="s">
        <v>364</v>
      </c>
      <c r="I1408" s="69" t="s">
        <v>1535</v>
      </c>
      <c r="J1408" s="69" t="s">
        <v>1534</v>
      </c>
      <c r="K1408" s="69" t="s">
        <v>1537</v>
      </c>
      <c r="L1408" s="253">
        <v>0.61599999999999999</v>
      </c>
      <c r="M1408" s="253">
        <v>0.56159774436090215</v>
      </c>
      <c r="N1408" s="253">
        <v>0.5194791666666666</v>
      </c>
      <c r="O1408" s="253">
        <v>0.54368421052631588</v>
      </c>
      <c r="P1408" s="253">
        <v>0.62</v>
      </c>
      <c r="Q1408" s="253">
        <v>0.56999999999999995</v>
      </c>
      <c r="R1408" s="253">
        <v>0.57999999999999996</v>
      </c>
      <c r="S1408" s="253">
        <v>0.6</v>
      </c>
      <c r="T1408" s="253">
        <v>0.58157894736842108</v>
      </c>
      <c r="U1408" s="253">
        <v>0.52</v>
      </c>
      <c r="V1408" s="253">
        <v>0.52</v>
      </c>
      <c r="W1408" s="253"/>
      <c r="X1408" s="253">
        <v>0.50124999999999997</v>
      </c>
      <c r="Y1408" s="253">
        <v>0.5</v>
      </c>
      <c r="Z1408" s="253">
        <v>0.6</v>
      </c>
      <c r="AA1408" s="253"/>
      <c r="AB1408" s="253"/>
      <c r="AC1408" s="253"/>
      <c r="AD1408" s="253"/>
      <c r="AE1408" s="253"/>
    </row>
    <row r="1409" spans="1:31">
      <c r="A1409" s="33">
        <v>1408</v>
      </c>
      <c r="B1409" s="69" t="s">
        <v>1534</v>
      </c>
      <c r="C1409" s="69" t="s">
        <v>1038</v>
      </c>
      <c r="D1409" s="56">
        <v>42723</v>
      </c>
      <c r="E1409" s="33" t="s">
        <v>724</v>
      </c>
      <c r="F1409" s="69" t="s">
        <v>755</v>
      </c>
      <c r="G1409" s="69" t="str">
        <f t="shared" si="21"/>
        <v>E-Commerce</v>
      </c>
      <c r="H1409" s="69" t="s">
        <v>364</v>
      </c>
      <c r="I1409" s="69" t="s">
        <v>1535</v>
      </c>
      <c r="J1409" s="69" t="s">
        <v>1534</v>
      </c>
      <c r="K1409" s="69" t="s">
        <v>1538</v>
      </c>
      <c r="L1409" s="253">
        <v>0.61199999999999999</v>
      </c>
      <c r="M1409" s="253">
        <v>0.56672932330827064</v>
      </c>
      <c r="N1409" s="253">
        <v>0.54114583333333333</v>
      </c>
      <c r="O1409" s="253">
        <v>0.58263157894736839</v>
      </c>
      <c r="P1409" s="253">
        <v>0.61</v>
      </c>
      <c r="Q1409" s="253">
        <v>0.57999999999999996</v>
      </c>
      <c r="R1409" s="253">
        <v>0.56000000000000005</v>
      </c>
      <c r="S1409" s="253">
        <v>0.56999999999999995</v>
      </c>
      <c r="T1409" s="253">
        <v>0.55947368421052635</v>
      </c>
      <c r="U1409" s="253">
        <v>0.56999999999999995</v>
      </c>
      <c r="V1409" s="253">
        <v>0.54</v>
      </c>
      <c r="W1409" s="253"/>
      <c r="X1409" s="253">
        <v>0.53125</v>
      </c>
      <c r="Y1409" s="253">
        <v>0.56999999999999995</v>
      </c>
      <c r="Z1409" s="253">
        <v>0.62</v>
      </c>
      <c r="AA1409" s="253"/>
      <c r="AB1409" s="253"/>
      <c r="AC1409" s="253"/>
      <c r="AD1409" s="253"/>
      <c r="AE1409" s="253"/>
    </row>
    <row r="1410" spans="1:31">
      <c r="A1410" s="33">
        <v>1409</v>
      </c>
      <c r="B1410" s="69" t="s">
        <v>1534</v>
      </c>
      <c r="C1410" s="69" t="s">
        <v>1038</v>
      </c>
      <c r="D1410" s="56">
        <v>42723</v>
      </c>
      <c r="E1410" s="33" t="s">
        <v>724</v>
      </c>
      <c r="F1410" s="69" t="s">
        <v>755</v>
      </c>
      <c r="G1410" s="69" t="str">
        <f t="shared" ref="G1410:G1473" si="22">IF(V1410&gt;0,IF(W1410&gt;0,"Both","E-Commerce"),IF(W1410=0, "ERROR","User Registration"))</f>
        <v>E-Commerce</v>
      </c>
      <c r="H1410" s="69" t="s">
        <v>364</v>
      </c>
      <c r="I1410" s="69" t="s">
        <v>1535</v>
      </c>
      <c r="J1410" s="69" t="s">
        <v>1534</v>
      </c>
      <c r="K1410" s="69" t="s">
        <v>1539</v>
      </c>
      <c r="L1410" s="253">
        <v>0.57999999999999996</v>
      </c>
      <c r="M1410" s="253">
        <v>0.54227443609022552</v>
      </c>
      <c r="N1410" s="253">
        <v>0.54135416666666669</v>
      </c>
      <c r="O1410" s="253">
        <v>0.49263157894736836</v>
      </c>
      <c r="P1410" s="253">
        <v>0.6</v>
      </c>
      <c r="Q1410" s="253">
        <v>0.59</v>
      </c>
      <c r="R1410" s="253">
        <v>0.56000000000000005</v>
      </c>
      <c r="S1410" s="253">
        <v>0.45</v>
      </c>
      <c r="T1410" s="253">
        <v>0.55789473684210522</v>
      </c>
      <c r="U1410" s="253">
        <v>0.56999999999999995</v>
      </c>
      <c r="V1410" s="253">
        <v>0.54</v>
      </c>
      <c r="W1410" s="253"/>
      <c r="X1410" s="253">
        <v>0.52874999999999994</v>
      </c>
      <c r="Y1410" s="253">
        <v>0.47</v>
      </c>
      <c r="Z1410" s="253">
        <v>0.5</v>
      </c>
      <c r="AA1410" s="253"/>
      <c r="AB1410" s="253"/>
      <c r="AC1410" s="253"/>
      <c r="AD1410" s="253"/>
      <c r="AE1410" s="253"/>
    </row>
    <row r="1411" spans="1:31">
      <c r="A1411" s="33">
        <v>1410</v>
      </c>
      <c r="B1411" s="69" t="s">
        <v>1534</v>
      </c>
      <c r="C1411" s="69" t="s">
        <v>1038</v>
      </c>
      <c r="D1411" s="56">
        <v>42723</v>
      </c>
      <c r="E1411" s="33" t="s">
        <v>724</v>
      </c>
      <c r="F1411" s="69" t="s">
        <v>755</v>
      </c>
      <c r="G1411" s="69" t="str">
        <f t="shared" si="22"/>
        <v>E-Commerce</v>
      </c>
      <c r="H1411" s="69" t="s">
        <v>364</v>
      </c>
      <c r="I1411" s="69" t="s">
        <v>1535</v>
      </c>
      <c r="J1411" s="69" t="s">
        <v>1534</v>
      </c>
      <c r="K1411" s="69" t="s">
        <v>1540</v>
      </c>
      <c r="L1411" s="253">
        <v>0.59399999999999997</v>
      </c>
      <c r="M1411" s="253">
        <v>0.49798245614035092</v>
      </c>
      <c r="N1411" s="253">
        <v>0.52555555555555555</v>
      </c>
      <c r="O1411" s="253">
        <v>0.46</v>
      </c>
      <c r="P1411" s="253">
        <v>0.6</v>
      </c>
      <c r="Q1411" s="253">
        <v>0.4</v>
      </c>
      <c r="R1411" s="253">
        <v>0.52</v>
      </c>
      <c r="S1411" s="253">
        <v>0.45</v>
      </c>
      <c r="T1411" s="253">
        <v>0.52894736842105261</v>
      </c>
      <c r="U1411" s="253">
        <v>0.5</v>
      </c>
      <c r="V1411" s="253">
        <v>0.54333333333333333</v>
      </c>
      <c r="W1411" s="253"/>
      <c r="X1411" s="253">
        <v>0.52</v>
      </c>
      <c r="Y1411" s="253">
        <v>0.4</v>
      </c>
      <c r="Z1411" s="253">
        <v>0.56999999999999995</v>
      </c>
      <c r="AA1411" s="253"/>
      <c r="AB1411" s="253"/>
      <c r="AC1411" s="253"/>
      <c r="AD1411" s="253"/>
      <c r="AE1411" s="253"/>
    </row>
    <row r="1412" spans="1:31">
      <c r="A1412" s="33">
        <v>1411</v>
      </c>
      <c r="B1412" s="69" t="s">
        <v>547</v>
      </c>
      <c r="C1412" s="69" t="s">
        <v>740</v>
      </c>
      <c r="D1412" s="56">
        <v>42724</v>
      </c>
      <c r="E1412" s="33" t="s">
        <v>724</v>
      </c>
      <c r="F1412" s="69" t="s">
        <v>532</v>
      </c>
      <c r="G1412" s="69" t="str">
        <f t="shared" si="22"/>
        <v>User Registration</v>
      </c>
      <c r="H1412" s="69" t="s">
        <v>493</v>
      </c>
      <c r="I1412" s="69" t="s">
        <v>974</v>
      </c>
      <c r="J1412" s="69" t="s">
        <v>547</v>
      </c>
      <c r="K1412" s="69" t="s">
        <v>547</v>
      </c>
      <c r="L1412" s="69">
        <v>0.59200000000000008</v>
      </c>
      <c r="M1412" s="69">
        <v>0.58565217391304347</v>
      </c>
      <c r="N1412" s="69">
        <v>0.53645833333333337</v>
      </c>
      <c r="O1412" s="69">
        <v>0.58842105263157896</v>
      </c>
      <c r="P1412" s="69">
        <v>0.57999999999999996</v>
      </c>
      <c r="Q1412" s="69">
        <v>0.6</v>
      </c>
      <c r="R1412" s="69">
        <v>0.61</v>
      </c>
      <c r="S1412" s="69">
        <v>0.56000000000000005</v>
      </c>
      <c r="T1412" s="69">
        <v>0.60000000000000009</v>
      </c>
      <c r="U1412" s="69">
        <v>0.54</v>
      </c>
      <c r="W1412" s="69">
        <v>0.5</v>
      </c>
      <c r="X1412" s="69">
        <v>0.61250000000000004</v>
      </c>
      <c r="Y1412" s="69">
        <v>0.56000000000000005</v>
      </c>
      <c r="Z1412" s="69">
        <v>0.64</v>
      </c>
      <c r="AA1412" s="253"/>
      <c r="AB1412" s="253"/>
      <c r="AC1412" s="253"/>
      <c r="AD1412" s="253"/>
      <c r="AE1412" s="253"/>
    </row>
    <row r="1413" spans="1:31">
      <c r="A1413" s="33">
        <v>1412</v>
      </c>
      <c r="B1413" s="69" t="s">
        <v>547</v>
      </c>
      <c r="C1413" s="69" t="s">
        <v>740</v>
      </c>
      <c r="D1413" s="56">
        <v>42724</v>
      </c>
      <c r="E1413" s="33" t="s">
        <v>724</v>
      </c>
      <c r="F1413" s="69" t="s">
        <v>532</v>
      </c>
      <c r="G1413" s="69" t="str">
        <f t="shared" si="22"/>
        <v>User Registration</v>
      </c>
      <c r="H1413" s="69" t="s">
        <v>493</v>
      </c>
      <c r="I1413" s="69" t="s">
        <v>974</v>
      </c>
      <c r="J1413" s="69" t="s">
        <v>547</v>
      </c>
      <c r="K1413" s="69" t="s">
        <v>2511</v>
      </c>
      <c r="L1413" s="69">
        <v>0.622</v>
      </c>
      <c r="M1413" s="69">
        <v>0.61163682864450131</v>
      </c>
      <c r="N1413" s="69">
        <v>0.54333333333333333</v>
      </c>
      <c r="O1413" s="69">
        <v>0.53999999999999992</v>
      </c>
      <c r="P1413" s="69">
        <v>0.62</v>
      </c>
      <c r="Q1413" s="69">
        <v>0.65</v>
      </c>
      <c r="R1413" s="69">
        <v>0.63</v>
      </c>
      <c r="S1413" s="69">
        <v>0.6</v>
      </c>
      <c r="T1413" s="69">
        <v>0.63588235294117645</v>
      </c>
      <c r="U1413" s="69">
        <v>0.55000000000000004</v>
      </c>
      <c r="W1413" s="69">
        <v>0.52</v>
      </c>
      <c r="X1413" s="69">
        <v>0.57000000000000006</v>
      </c>
      <c r="Y1413" s="69">
        <v>0.46</v>
      </c>
      <c r="Z1413" s="69">
        <v>0.63</v>
      </c>
      <c r="AA1413" s="253"/>
      <c r="AB1413" s="253"/>
      <c r="AC1413" s="253"/>
      <c r="AD1413" s="253"/>
      <c r="AE1413" s="253"/>
    </row>
    <row r="1414" spans="1:31">
      <c r="A1414" s="33">
        <v>1413</v>
      </c>
      <c r="B1414" s="69" t="s">
        <v>547</v>
      </c>
      <c r="C1414" s="69" t="s">
        <v>740</v>
      </c>
      <c r="D1414" s="56">
        <v>42724</v>
      </c>
      <c r="E1414" s="33" t="s">
        <v>724</v>
      </c>
      <c r="F1414" s="69" t="s">
        <v>532</v>
      </c>
      <c r="G1414" s="69" t="str">
        <f t="shared" si="22"/>
        <v>User Registration</v>
      </c>
      <c r="H1414" s="69" t="s">
        <v>493</v>
      </c>
      <c r="I1414" s="69" t="s">
        <v>974</v>
      </c>
      <c r="J1414" s="69" t="s">
        <v>547</v>
      </c>
      <c r="K1414" s="69" t="s">
        <v>2512</v>
      </c>
      <c r="L1414" s="69">
        <v>0.65</v>
      </c>
      <c r="M1414" s="69">
        <v>0.61813299232736585</v>
      </c>
      <c r="N1414" s="69">
        <v>0.54156250000000006</v>
      </c>
      <c r="O1414" s="69">
        <v>0.59947368421052638</v>
      </c>
      <c r="P1414" s="69">
        <v>0.65</v>
      </c>
      <c r="Q1414" s="69">
        <v>0.62</v>
      </c>
      <c r="R1414" s="69">
        <v>0.63</v>
      </c>
      <c r="S1414" s="69">
        <v>0.66</v>
      </c>
      <c r="T1414" s="69">
        <v>0.63235294117647056</v>
      </c>
      <c r="U1414" s="69">
        <v>0.55000000000000004</v>
      </c>
      <c r="W1414" s="69">
        <v>0.5</v>
      </c>
      <c r="X1414" s="69">
        <v>0.62625000000000008</v>
      </c>
      <c r="Y1414" s="69">
        <v>0.56000000000000005</v>
      </c>
      <c r="Z1414" s="69">
        <v>0.65</v>
      </c>
      <c r="AA1414" s="253"/>
      <c r="AB1414" s="253"/>
      <c r="AC1414" s="253"/>
      <c r="AD1414" s="253"/>
      <c r="AE1414" s="253"/>
    </row>
    <row r="1415" spans="1:31">
      <c r="A1415" s="33">
        <v>1414</v>
      </c>
      <c r="B1415" s="69" t="s">
        <v>547</v>
      </c>
      <c r="C1415" s="69" t="s">
        <v>740</v>
      </c>
      <c r="D1415" s="56">
        <v>42724</v>
      </c>
      <c r="E1415" s="33" t="s">
        <v>724</v>
      </c>
      <c r="F1415" s="69" t="s">
        <v>532</v>
      </c>
      <c r="G1415" s="69" t="str">
        <f t="shared" si="22"/>
        <v>User Registration</v>
      </c>
      <c r="H1415" s="69" t="s">
        <v>493</v>
      </c>
      <c r="I1415" s="69" t="s">
        <v>974</v>
      </c>
      <c r="J1415" s="69" t="s">
        <v>547</v>
      </c>
      <c r="K1415" s="69" t="s">
        <v>2513</v>
      </c>
      <c r="L1415" s="69">
        <v>0.65400000000000003</v>
      </c>
      <c r="M1415" s="69">
        <v>0.64695652173913043</v>
      </c>
      <c r="N1415" s="69">
        <v>0.58416666666666661</v>
      </c>
      <c r="O1415" s="69">
        <v>0.57842105263157895</v>
      </c>
      <c r="P1415" s="69">
        <v>0.66</v>
      </c>
      <c r="Q1415" s="69">
        <v>0.66</v>
      </c>
      <c r="R1415" s="69">
        <v>0.65</v>
      </c>
      <c r="S1415" s="69">
        <v>0.68</v>
      </c>
      <c r="T1415" s="69">
        <v>0.67</v>
      </c>
      <c r="U1415" s="69">
        <v>0.6</v>
      </c>
      <c r="W1415" s="69">
        <v>0.55000000000000004</v>
      </c>
      <c r="X1415" s="69">
        <v>0.64999999999999991</v>
      </c>
      <c r="Y1415" s="69">
        <v>0.52</v>
      </c>
      <c r="Z1415" s="69">
        <v>0.63</v>
      </c>
      <c r="AA1415" s="253"/>
      <c r="AB1415" s="253"/>
      <c r="AC1415" s="253"/>
      <c r="AD1415" s="253"/>
      <c r="AE1415" s="253"/>
    </row>
    <row r="1416" spans="1:31">
      <c r="A1416" s="33">
        <v>1415</v>
      </c>
      <c r="B1416" s="69" t="s">
        <v>547</v>
      </c>
      <c r="C1416" s="69" t="s">
        <v>740</v>
      </c>
      <c r="D1416" s="56">
        <v>42724</v>
      </c>
      <c r="E1416" s="33" t="s">
        <v>724</v>
      </c>
      <c r="F1416" s="69" t="s">
        <v>532</v>
      </c>
      <c r="G1416" s="69" t="str">
        <f t="shared" si="22"/>
        <v>User Registration</v>
      </c>
      <c r="H1416" s="69" t="s">
        <v>493</v>
      </c>
      <c r="I1416" s="69" t="s">
        <v>974</v>
      </c>
      <c r="J1416" s="69" t="s">
        <v>547</v>
      </c>
      <c r="K1416" s="69" t="s">
        <v>2514</v>
      </c>
      <c r="L1416" s="69">
        <v>0.56399999999999995</v>
      </c>
      <c r="M1416" s="69">
        <v>0.5678260869565217</v>
      </c>
      <c r="N1416" s="69">
        <v>0.49541666666666667</v>
      </c>
      <c r="O1416" s="69">
        <v>0.50789473684210529</v>
      </c>
      <c r="P1416" s="69">
        <v>0.56999999999999995</v>
      </c>
      <c r="Q1416" s="69">
        <v>0.62</v>
      </c>
      <c r="R1416" s="69">
        <v>0.59</v>
      </c>
      <c r="S1416" s="69">
        <v>0.55000000000000004</v>
      </c>
      <c r="T1416" s="69">
        <v>0.55000000000000004</v>
      </c>
      <c r="U1416" s="69">
        <v>0.54</v>
      </c>
      <c r="W1416" s="69">
        <v>0.45</v>
      </c>
      <c r="X1416" s="69">
        <v>0.57500000000000007</v>
      </c>
      <c r="Y1416" s="69">
        <v>0.46</v>
      </c>
      <c r="Z1416" s="69">
        <v>0.54</v>
      </c>
      <c r="AA1416" s="253"/>
      <c r="AB1416" s="253"/>
      <c r="AC1416" s="253"/>
      <c r="AD1416" s="253"/>
      <c r="AE1416" s="253"/>
    </row>
    <row r="1417" spans="1:31">
      <c r="A1417" s="33">
        <v>1416</v>
      </c>
      <c r="B1417" s="69" t="s">
        <v>566</v>
      </c>
      <c r="C1417" s="69" t="s">
        <v>1203</v>
      </c>
      <c r="D1417" s="56">
        <v>42738</v>
      </c>
      <c r="E1417" s="33" t="s">
        <v>724</v>
      </c>
      <c r="F1417" s="69" t="s">
        <v>755</v>
      </c>
      <c r="G1417" s="69" t="str">
        <f t="shared" si="22"/>
        <v>E-Commerce</v>
      </c>
      <c r="H1417" s="69" t="s">
        <v>517</v>
      </c>
      <c r="I1417" s="69" t="s">
        <v>517</v>
      </c>
      <c r="J1417" s="69" t="s">
        <v>566</v>
      </c>
      <c r="K1417" s="69" t="s">
        <v>566</v>
      </c>
      <c r="L1417" s="253">
        <v>0.54</v>
      </c>
      <c r="M1417" s="253">
        <v>0.57250000000000001</v>
      </c>
      <c r="N1417" s="253">
        <v>0.56666666666666654</v>
      </c>
      <c r="O1417" s="253">
        <v>0.59</v>
      </c>
      <c r="P1417" s="253">
        <v>0.51</v>
      </c>
      <c r="Q1417" s="253">
        <v>0.54</v>
      </c>
      <c r="R1417" s="253">
        <v>0.61</v>
      </c>
      <c r="S1417" s="253">
        <v>0.55000000000000004</v>
      </c>
      <c r="T1417" s="253">
        <v>0.55000000000000004</v>
      </c>
      <c r="U1417" s="253">
        <v>0.56000000000000005</v>
      </c>
      <c r="V1417" s="253">
        <v>0.56999999999999995</v>
      </c>
      <c r="W1417" s="253"/>
      <c r="X1417" s="253"/>
      <c r="Y1417" s="253">
        <v>0.56000000000000005</v>
      </c>
      <c r="Z1417" s="253">
        <v>0.66</v>
      </c>
      <c r="AA1417" s="253"/>
      <c r="AB1417" s="253"/>
      <c r="AC1417" s="253"/>
      <c r="AD1417" s="253"/>
      <c r="AE1417" s="253"/>
    </row>
    <row r="1418" spans="1:31">
      <c r="A1418" s="33">
        <v>1417</v>
      </c>
      <c r="B1418" s="69" t="s">
        <v>566</v>
      </c>
      <c r="C1418" s="69" t="s">
        <v>1203</v>
      </c>
      <c r="D1418" s="56">
        <v>42738</v>
      </c>
      <c r="E1418" s="33" t="s">
        <v>724</v>
      </c>
      <c r="F1418" s="69" t="s">
        <v>755</v>
      </c>
      <c r="G1418" s="69" t="str">
        <f t="shared" si="22"/>
        <v>E-Commerce</v>
      </c>
      <c r="H1418" s="69" t="s">
        <v>517</v>
      </c>
      <c r="I1418" s="69" t="s">
        <v>517</v>
      </c>
      <c r="J1418" s="69" t="s">
        <v>566</v>
      </c>
      <c r="K1418" s="69" t="s">
        <v>1524</v>
      </c>
      <c r="L1418" s="253">
        <v>0.498</v>
      </c>
      <c r="M1418" s="253">
        <v>0.62178571428571439</v>
      </c>
      <c r="N1418" s="253">
        <v>0.60333333333333328</v>
      </c>
      <c r="O1418" s="253">
        <v>0.58105263157894738</v>
      </c>
      <c r="P1418" s="253">
        <v>0.47</v>
      </c>
      <c r="Q1418" s="253">
        <v>0.63</v>
      </c>
      <c r="R1418" s="253">
        <v>0.65</v>
      </c>
      <c r="S1418" s="253">
        <v>0.56000000000000005</v>
      </c>
      <c r="T1418" s="253">
        <v>0.66</v>
      </c>
      <c r="U1418" s="253">
        <v>0.64</v>
      </c>
      <c r="V1418" s="253">
        <v>0.6</v>
      </c>
      <c r="W1418" s="253"/>
      <c r="X1418" s="253"/>
      <c r="Y1418" s="253">
        <v>0.55000000000000004</v>
      </c>
      <c r="Z1418" s="253">
        <v>0.61</v>
      </c>
      <c r="AA1418" s="253"/>
      <c r="AB1418" s="253"/>
      <c r="AC1418" s="253"/>
      <c r="AD1418" s="253"/>
      <c r="AE1418" s="253"/>
    </row>
    <row r="1419" spans="1:31">
      <c r="A1419" s="33">
        <v>1418</v>
      </c>
      <c r="B1419" s="69" t="s">
        <v>566</v>
      </c>
      <c r="C1419" s="69" t="s">
        <v>1203</v>
      </c>
      <c r="D1419" s="56">
        <v>42738</v>
      </c>
      <c r="E1419" s="33" t="s">
        <v>724</v>
      </c>
      <c r="F1419" s="69" t="s">
        <v>755</v>
      </c>
      <c r="G1419" s="69" t="str">
        <f t="shared" si="22"/>
        <v>E-Commerce</v>
      </c>
      <c r="H1419" s="69" t="s">
        <v>517</v>
      </c>
      <c r="I1419" s="69" t="s">
        <v>517</v>
      </c>
      <c r="J1419" s="69" t="s">
        <v>566</v>
      </c>
      <c r="K1419" s="69" t="s">
        <v>1525</v>
      </c>
      <c r="L1419" s="253">
        <v>0.55200000000000005</v>
      </c>
      <c r="M1419" s="253">
        <v>0.5992857142857142</v>
      </c>
      <c r="N1419" s="253">
        <v>0.59666666666666657</v>
      </c>
      <c r="O1419" s="253">
        <v>0.61052631578947369</v>
      </c>
      <c r="P1419" s="253">
        <v>0.53</v>
      </c>
      <c r="Q1419" s="253">
        <v>0.65</v>
      </c>
      <c r="R1419" s="253">
        <v>0.63</v>
      </c>
      <c r="S1419" s="253">
        <v>0.59</v>
      </c>
      <c r="T1419" s="253">
        <v>0.53</v>
      </c>
      <c r="U1419" s="253">
        <v>0.56999999999999995</v>
      </c>
      <c r="V1419" s="253">
        <v>0.59</v>
      </c>
      <c r="W1419" s="253"/>
      <c r="X1419" s="253"/>
      <c r="Y1419" s="253">
        <v>0.59</v>
      </c>
      <c r="Z1419" s="253">
        <v>0.64</v>
      </c>
      <c r="AA1419" s="253"/>
      <c r="AB1419" s="253"/>
      <c r="AC1419" s="253"/>
      <c r="AD1419" s="253"/>
      <c r="AE1419" s="253"/>
    </row>
    <row r="1420" spans="1:31">
      <c r="A1420" s="33">
        <v>1419</v>
      </c>
      <c r="B1420" s="69" t="s">
        <v>566</v>
      </c>
      <c r="C1420" s="69" t="s">
        <v>1203</v>
      </c>
      <c r="D1420" s="56">
        <v>42738</v>
      </c>
      <c r="E1420" s="33" t="s">
        <v>724</v>
      </c>
      <c r="F1420" s="69" t="s">
        <v>755</v>
      </c>
      <c r="G1420" s="69" t="str">
        <f t="shared" si="22"/>
        <v>E-Commerce</v>
      </c>
      <c r="H1420" s="69" t="s">
        <v>517</v>
      </c>
      <c r="I1420" s="69" t="s">
        <v>517</v>
      </c>
      <c r="J1420" s="69" t="s">
        <v>566</v>
      </c>
      <c r="K1420" s="69" t="s">
        <v>1526</v>
      </c>
      <c r="L1420" s="253">
        <v>0.51600000000000001</v>
      </c>
      <c r="M1420" s="253">
        <v>0.58071428571428585</v>
      </c>
      <c r="N1420" s="253">
        <v>0.51222222222222213</v>
      </c>
      <c r="O1420" s="253">
        <v>0.56684210526315781</v>
      </c>
      <c r="P1420" s="253">
        <v>0.49</v>
      </c>
      <c r="Q1420" s="253">
        <v>0.53</v>
      </c>
      <c r="R1420" s="253">
        <v>0.59</v>
      </c>
      <c r="S1420" s="253">
        <v>0.56000000000000005</v>
      </c>
      <c r="T1420" s="253">
        <v>0.67</v>
      </c>
      <c r="U1420" s="253">
        <v>0.63</v>
      </c>
      <c r="V1420" s="253">
        <v>0.51</v>
      </c>
      <c r="W1420" s="253"/>
      <c r="X1420" s="253"/>
      <c r="Y1420" s="253">
        <v>0.54</v>
      </c>
      <c r="Z1420" s="253">
        <v>0.62</v>
      </c>
      <c r="AA1420" s="253"/>
      <c r="AB1420" s="253"/>
      <c r="AC1420" s="253"/>
      <c r="AD1420" s="253"/>
      <c r="AE1420" s="253"/>
    </row>
    <row r="1421" spans="1:31">
      <c r="A1421" s="33">
        <v>1420</v>
      </c>
      <c r="B1421" s="69" t="s">
        <v>566</v>
      </c>
      <c r="C1421" s="69" t="s">
        <v>1203</v>
      </c>
      <c r="D1421" s="56">
        <v>42738</v>
      </c>
      <c r="E1421" s="33" t="s">
        <v>724</v>
      </c>
      <c r="F1421" s="69" t="s">
        <v>755</v>
      </c>
      <c r="G1421" s="69" t="str">
        <f t="shared" si="22"/>
        <v>E-Commerce</v>
      </c>
      <c r="H1421" s="69" t="s">
        <v>517</v>
      </c>
      <c r="I1421" s="69" t="s">
        <v>517</v>
      </c>
      <c r="J1421" s="69" t="s">
        <v>566</v>
      </c>
      <c r="K1421" s="69" t="s">
        <v>1527</v>
      </c>
      <c r="L1421" s="253">
        <v>0.54600000000000004</v>
      </c>
      <c r="M1421" s="253">
        <v>0.59928571428571431</v>
      </c>
      <c r="N1421" s="253">
        <v>0.60555555555555551</v>
      </c>
      <c r="O1421" s="253">
        <v>0.55052631578947364</v>
      </c>
      <c r="P1421" s="253">
        <v>0.52</v>
      </c>
      <c r="Q1421" s="253">
        <v>0.56999999999999995</v>
      </c>
      <c r="R1421" s="253">
        <v>0.57999999999999996</v>
      </c>
      <c r="S1421" s="253">
        <v>0.57999999999999996</v>
      </c>
      <c r="T1421" s="253">
        <v>0.56000000000000005</v>
      </c>
      <c r="U1421" s="253">
        <v>0.65</v>
      </c>
      <c r="V1421" s="253">
        <v>0.61</v>
      </c>
      <c r="W1421" s="253"/>
      <c r="X1421" s="253"/>
      <c r="Y1421" s="253">
        <v>0.49</v>
      </c>
      <c r="Z1421" s="253">
        <v>0.65</v>
      </c>
      <c r="AA1421" s="253"/>
      <c r="AB1421" s="253"/>
      <c r="AC1421" s="253"/>
      <c r="AD1421" s="253"/>
      <c r="AE1421" s="253"/>
    </row>
    <row r="1422" spans="1:31">
      <c r="A1422" s="33">
        <v>1421</v>
      </c>
      <c r="B1422" s="69" t="s">
        <v>1518</v>
      </c>
      <c r="C1422" s="69" t="s">
        <v>1330</v>
      </c>
      <c r="D1422" s="56">
        <v>42747</v>
      </c>
      <c r="E1422" s="33" t="s">
        <v>724</v>
      </c>
      <c r="F1422" s="69" t="s">
        <v>755</v>
      </c>
      <c r="G1422" s="69" t="str">
        <f t="shared" si="22"/>
        <v>User Registration</v>
      </c>
      <c r="H1422" s="69" t="s">
        <v>808</v>
      </c>
      <c r="I1422" s="69" t="s">
        <v>1519</v>
      </c>
      <c r="J1422" s="69" t="s">
        <v>1518</v>
      </c>
      <c r="K1422" s="69" t="s">
        <v>1518</v>
      </c>
      <c r="L1422" s="253">
        <v>0.66138461538461546</v>
      </c>
      <c r="M1422" s="253">
        <v>0.67768738218303437</v>
      </c>
      <c r="N1422" s="253">
        <v>0.63</v>
      </c>
      <c r="O1422" s="253">
        <v>0.65973765182186239</v>
      </c>
      <c r="P1422" s="253">
        <v>0.67</v>
      </c>
      <c r="Q1422" s="253">
        <v>0.68040000000000012</v>
      </c>
      <c r="R1422" s="253">
        <v>0.66</v>
      </c>
      <c r="S1422" s="253">
        <v>0.7</v>
      </c>
      <c r="T1422" s="253">
        <v>0.625</v>
      </c>
      <c r="U1422" s="253">
        <v>0.72727272727272707</v>
      </c>
      <c r="V1422" s="253"/>
      <c r="W1422" s="253">
        <v>0.63</v>
      </c>
      <c r="X1422" s="253"/>
      <c r="Y1422" s="253">
        <v>0.67</v>
      </c>
      <c r="Z1422" s="253">
        <v>0.62692307692307692</v>
      </c>
      <c r="AA1422" s="253"/>
      <c r="AB1422" s="253"/>
      <c r="AC1422" s="253"/>
      <c r="AD1422" s="253"/>
      <c r="AE1422" s="253"/>
    </row>
    <row r="1423" spans="1:31">
      <c r="A1423" s="33">
        <v>1422</v>
      </c>
      <c r="B1423" s="69" t="s">
        <v>1518</v>
      </c>
      <c r="C1423" s="69" t="s">
        <v>1330</v>
      </c>
      <c r="D1423" s="56">
        <v>42747</v>
      </c>
      <c r="E1423" s="33" t="s">
        <v>724</v>
      </c>
      <c r="F1423" s="69" t="s">
        <v>755</v>
      </c>
      <c r="G1423" s="69" t="str">
        <f t="shared" si="22"/>
        <v>User Registration</v>
      </c>
      <c r="H1423" s="69" t="s">
        <v>808</v>
      </c>
      <c r="I1423" s="69" t="s">
        <v>1519</v>
      </c>
      <c r="J1423" s="69" t="s">
        <v>1518</v>
      </c>
      <c r="K1423" s="69" t="s">
        <v>1520</v>
      </c>
      <c r="L1423" s="253">
        <v>0.65753846153846152</v>
      </c>
      <c r="M1423" s="253">
        <v>0.67813240093240101</v>
      </c>
      <c r="N1423" s="253">
        <v>0.59</v>
      </c>
      <c r="O1423" s="253">
        <v>0.62236113360323886</v>
      </c>
      <c r="P1423" s="253">
        <v>0.67</v>
      </c>
      <c r="Q1423" s="253">
        <v>0.62640000000000007</v>
      </c>
      <c r="R1423" s="253">
        <v>0.66</v>
      </c>
      <c r="S1423" s="253">
        <v>0.74</v>
      </c>
      <c r="T1423" s="253">
        <v>0.66999999999999993</v>
      </c>
      <c r="U1423" s="253">
        <v>0.72121212121212119</v>
      </c>
      <c r="V1423" s="253"/>
      <c r="W1423" s="253">
        <v>0.59</v>
      </c>
      <c r="X1423" s="253"/>
      <c r="Y1423" s="253">
        <v>0.61</v>
      </c>
      <c r="Z1423" s="253">
        <v>0.60769230769230775</v>
      </c>
      <c r="AA1423" s="253"/>
      <c r="AB1423" s="253"/>
      <c r="AC1423" s="253"/>
      <c r="AD1423" s="253"/>
      <c r="AE1423" s="253"/>
    </row>
    <row r="1424" spans="1:31">
      <c r="A1424" s="33">
        <v>1423</v>
      </c>
      <c r="B1424" s="69" t="s">
        <v>1518</v>
      </c>
      <c r="C1424" s="69" t="s">
        <v>1330</v>
      </c>
      <c r="D1424" s="56">
        <v>42747</v>
      </c>
      <c r="E1424" s="33" t="s">
        <v>724</v>
      </c>
      <c r="F1424" s="69" t="s">
        <v>755</v>
      </c>
      <c r="G1424" s="69" t="str">
        <f t="shared" si="22"/>
        <v>User Registration</v>
      </c>
      <c r="H1424" s="69" t="s">
        <v>808</v>
      </c>
      <c r="I1424" s="69" t="s">
        <v>1519</v>
      </c>
      <c r="J1424" s="69" t="s">
        <v>1518</v>
      </c>
      <c r="K1424" s="69" t="s">
        <v>1521</v>
      </c>
      <c r="L1424" s="253">
        <v>0.65046153846153854</v>
      </c>
      <c r="M1424" s="253">
        <v>0.60047708523360699</v>
      </c>
      <c r="N1424" s="253">
        <v>0.53</v>
      </c>
      <c r="O1424" s="253">
        <v>0.63810202429149798</v>
      </c>
      <c r="P1424" s="253">
        <v>0.64</v>
      </c>
      <c r="Q1424" s="253">
        <v>0.59240000000000004</v>
      </c>
      <c r="R1424" s="253">
        <v>0.56999999999999995</v>
      </c>
      <c r="S1424" s="253">
        <v>0.63</v>
      </c>
      <c r="T1424" s="253">
        <v>0.53699999999999992</v>
      </c>
      <c r="U1424" s="253">
        <v>0.61515151515151512</v>
      </c>
      <c r="V1424" s="253"/>
      <c r="W1424" s="253">
        <v>0.53</v>
      </c>
      <c r="X1424" s="253"/>
      <c r="Y1424" s="253">
        <v>0.63</v>
      </c>
      <c r="Z1424" s="253">
        <v>0.6923076923076924</v>
      </c>
      <c r="AA1424" s="253"/>
      <c r="AB1424" s="253"/>
      <c r="AC1424" s="253"/>
      <c r="AD1424" s="253"/>
      <c r="AE1424" s="253"/>
    </row>
    <row r="1425" spans="1:31">
      <c r="A1425" s="33">
        <v>1424</v>
      </c>
      <c r="B1425" s="69" t="s">
        <v>1518</v>
      </c>
      <c r="C1425" s="69" t="s">
        <v>1330</v>
      </c>
      <c r="D1425" s="56">
        <v>42747</v>
      </c>
      <c r="E1425" s="33" t="s">
        <v>724</v>
      </c>
      <c r="F1425" s="69" t="s">
        <v>755</v>
      </c>
      <c r="G1425" s="69" t="str">
        <f t="shared" si="22"/>
        <v>User Registration</v>
      </c>
      <c r="H1425" s="69" t="s">
        <v>808</v>
      </c>
      <c r="I1425" s="69" t="s">
        <v>1519</v>
      </c>
      <c r="J1425" s="69" t="s">
        <v>1518</v>
      </c>
      <c r="K1425" s="69" t="s">
        <v>1522</v>
      </c>
      <c r="L1425" s="253">
        <v>0.64538461538461533</v>
      </c>
      <c r="M1425" s="253">
        <v>0.69409686834904216</v>
      </c>
      <c r="N1425" s="253">
        <v>0.45</v>
      </c>
      <c r="O1425" s="253">
        <v>0.62365344129554656</v>
      </c>
      <c r="P1425" s="253">
        <v>0.65</v>
      </c>
      <c r="Q1425" s="253">
        <v>0.64480000000000004</v>
      </c>
      <c r="R1425" s="253">
        <v>0.7</v>
      </c>
      <c r="S1425" s="253">
        <v>0.67</v>
      </c>
      <c r="T1425" s="253">
        <v>0.71100000000000008</v>
      </c>
      <c r="U1425" s="253">
        <v>0.76363636363636334</v>
      </c>
      <c r="V1425" s="253"/>
      <c r="W1425" s="253">
        <v>0.45</v>
      </c>
      <c r="X1425" s="253"/>
      <c r="Y1425" s="253">
        <v>0.6</v>
      </c>
      <c r="Z1425" s="253">
        <v>0.62692307692307692</v>
      </c>
      <c r="AA1425" s="253"/>
      <c r="AB1425" s="253"/>
      <c r="AC1425" s="253"/>
      <c r="AD1425" s="253"/>
      <c r="AE1425" s="253"/>
    </row>
    <row r="1426" spans="1:31">
      <c r="A1426" s="33">
        <v>1425</v>
      </c>
      <c r="B1426" s="69" t="s">
        <v>1518</v>
      </c>
      <c r="C1426" s="69" t="s">
        <v>1330</v>
      </c>
      <c r="D1426" s="56">
        <v>42747</v>
      </c>
      <c r="E1426" s="33" t="s">
        <v>724</v>
      </c>
      <c r="F1426" s="69" t="s">
        <v>755</v>
      </c>
      <c r="G1426" s="69" t="str">
        <f t="shared" si="22"/>
        <v>User Registration</v>
      </c>
      <c r="H1426" s="69" t="s">
        <v>808</v>
      </c>
      <c r="I1426" s="69" t="s">
        <v>1519</v>
      </c>
      <c r="J1426" s="69" t="s">
        <v>1518</v>
      </c>
      <c r="K1426" s="69" t="s">
        <v>1523</v>
      </c>
      <c r="L1426" s="253">
        <v>0.64784615384615374</v>
      </c>
      <c r="M1426" s="253">
        <v>0.69885379547988247</v>
      </c>
      <c r="N1426" s="253">
        <v>0.56999999999999995</v>
      </c>
      <c r="O1426" s="253">
        <v>0.67802914979757078</v>
      </c>
      <c r="P1426" s="253">
        <v>0.63</v>
      </c>
      <c r="Q1426" s="253">
        <v>0.67640000000000011</v>
      </c>
      <c r="R1426" s="253">
        <v>0.68</v>
      </c>
      <c r="S1426" s="253">
        <v>0.65</v>
      </c>
      <c r="T1426" s="253">
        <v>0.72399999999999998</v>
      </c>
      <c r="U1426" s="253">
        <v>0.75151515151515136</v>
      </c>
      <c r="V1426" s="253"/>
      <c r="W1426" s="253">
        <v>0.56999999999999995</v>
      </c>
      <c r="X1426" s="253"/>
      <c r="Y1426" s="253">
        <v>0.66</v>
      </c>
      <c r="Z1426" s="253">
        <v>0.71923076923076923</v>
      </c>
      <c r="AA1426" s="253"/>
      <c r="AB1426" s="253"/>
      <c r="AC1426" s="253"/>
      <c r="AD1426" s="253"/>
      <c r="AE1426" s="253"/>
    </row>
    <row r="1427" spans="1:31">
      <c r="A1427" s="33">
        <v>1426</v>
      </c>
      <c r="B1427" s="69" t="s">
        <v>1517</v>
      </c>
      <c r="C1427" s="69" t="s">
        <v>136</v>
      </c>
      <c r="D1427" s="56">
        <v>42752</v>
      </c>
      <c r="E1427" s="33" t="s">
        <v>724</v>
      </c>
      <c r="F1427" s="69" t="s">
        <v>532</v>
      </c>
      <c r="G1427" s="69" t="str">
        <f t="shared" si="22"/>
        <v>E-Commerce</v>
      </c>
      <c r="H1427" s="69" t="s">
        <v>364</v>
      </c>
      <c r="I1427" s="69" t="s">
        <v>364</v>
      </c>
      <c r="J1427" s="69" t="s">
        <v>779</v>
      </c>
      <c r="K1427" s="69" t="s">
        <v>821</v>
      </c>
      <c r="L1427" s="253">
        <v>0.68678374455732949</v>
      </c>
      <c r="M1427" s="253">
        <v>0.72767980417862377</v>
      </c>
      <c r="N1427" s="253">
        <v>0.78148900347258754</v>
      </c>
      <c r="O1427" s="253">
        <v>0.71928146455710196</v>
      </c>
      <c r="P1427" s="253">
        <v>0.6790566037735849</v>
      </c>
      <c r="Q1427" s="253">
        <v>0.68567567567567556</v>
      </c>
      <c r="R1427" s="253">
        <v>0.66844303615151945</v>
      </c>
      <c r="S1427" s="253">
        <v>0.81839622641509435</v>
      </c>
      <c r="T1427" s="253">
        <v>0.73091603053435117</v>
      </c>
      <c r="U1427" s="253">
        <v>0.75</v>
      </c>
      <c r="V1427" s="253">
        <v>0.77046511627906966</v>
      </c>
      <c r="W1427" s="253"/>
      <c r="X1427" s="253">
        <v>0.81823529411764706</v>
      </c>
      <c r="Y1427" s="253">
        <v>0.72337499999999999</v>
      </c>
      <c r="Z1427" s="253">
        <v>0.71769230769230763</v>
      </c>
      <c r="AA1427" s="253"/>
      <c r="AB1427" s="253"/>
      <c r="AC1427" s="253"/>
      <c r="AD1427" s="253"/>
      <c r="AE1427" s="253"/>
    </row>
    <row r="1428" spans="1:31">
      <c r="A1428" s="33">
        <v>1427</v>
      </c>
      <c r="B1428" s="69" t="s">
        <v>853</v>
      </c>
      <c r="C1428" s="69" t="s">
        <v>1499</v>
      </c>
      <c r="D1428" s="56">
        <v>42762</v>
      </c>
      <c r="E1428" s="33" t="s">
        <v>724</v>
      </c>
      <c r="F1428" s="69" t="s">
        <v>725</v>
      </c>
      <c r="G1428" s="69" t="str">
        <f t="shared" si="22"/>
        <v>User Registration</v>
      </c>
      <c r="H1428" s="69" t="s">
        <v>808</v>
      </c>
      <c r="I1428" s="69" t="s">
        <v>1512</v>
      </c>
      <c r="J1428" s="69" t="s">
        <v>853</v>
      </c>
      <c r="K1428" s="69" t="s">
        <v>853</v>
      </c>
      <c r="L1428" s="253">
        <v>0.66800000000000015</v>
      </c>
      <c r="M1428" s="253">
        <v>0.65043478260869581</v>
      </c>
      <c r="N1428" s="253">
        <v>0.54</v>
      </c>
      <c r="O1428" s="253">
        <v>0.61526315789473685</v>
      </c>
      <c r="P1428" s="253">
        <v>0.66</v>
      </c>
      <c r="Q1428" s="253">
        <v>0.63</v>
      </c>
      <c r="R1428" s="253">
        <v>0.65</v>
      </c>
      <c r="S1428" s="253">
        <v>0.66</v>
      </c>
      <c r="T1428" s="253">
        <v>0.65</v>
      </c>
      <c r="U1428" s="253">
        <v>0.64</v>
      </c>
      <c r="V1428" s="253"/>
      <c r="W1428" s="253">
        <v>0.54</v>
      </c>
      <c r="X1428" s="253"/>
      <c r="Y1428" s="253">
        <v>0.56000000000000005</v>
      </c>
      <c r="Z1428" s="253">
        <v>0.7</v>
      </c>
      <c r="AA1428" s="253"/>
      <c r="AB1428" s="253"/>
      <c r="AC1428" s="253"/>
      <c r="AD1428" s="253"/>
      <c r="AE1428" s="253"/>
    </row>
    <row r="1429" spans="1:31">
      <c r="A1429" s="33">
        <v>1428</v>
      </c>
      <c r="B1429" s="69" t="s">
        <v>853</v>
      </c>
      <c r="C1429" s="69" t="s">
        <v>1499</v>
      </c>
      <c r="D1429" s="56">
        <v>42762</v>
      </c>
      <c r="E1429" s="33" t="s">
        <v>724</v>
      </c>
      <c r="F1429" s="69" t="s">
        <v>725</v>
      </c>
      <c r="G1429" s="69" t="str">
        <f t="shared" si="22"/>
        <v>User Registration</v>
      </c>
      <c r="H1429" s="69" t="s">
        <v>808</v>
      </c>
      <c r="I1429" s="69" t="s">
        <v>1512</v>
      </c>
      <c r="J1429" s="69" t="s">
        <v>853</v>
      </c>
      <c r="K1429" s="69" t="s">
        <v>1513</v>
      </c>
      <c r="L1429" s="253">
        <v>0.622</v>
      </c>
      <c r="M1429" s="253">
        <v>0.60695652173913039</v>
      </c>
      <c r="N1429" s="253">
        <v>0.45</v>
      </c>
      <c r="O1429" s="253">
        <v>0.59842105263157896</v>
      </c>
      <c r="P1429" s="253">
        <v>0.61</v>
      </c>
      <c r="Q1429" s="253">
        <v>0.63</v>
      </c>
      <c r="R1429" s="253">
        <v>0.62</v>
      </c>
      <c r="S1429" s="253">
        <v>0.55000000000000004</v>
      </c>
      <c r="T1429" s="253">
        <v>0.55000000000000004</v>
      </c>
      <c r="U1429" s="253">
        <v>0.63</v>
      </c>
      <c r="V1429" s="253"/>
      <c r="W1429" s="253">
        <v>0.45</v>
      </c>
      <c r="X1429" s="253"/>
      <c r="Y1429" s="253">
        <v>0.56000000000000005</v>
      </c>
      <c r="Z1429" s="253">
        <v>0.67</v>
      </c>
      <c r="AA1429" s="253"/>
      <c r="AB1429" s="253"/>
      <c r="AC1429" s="253"/>
      <c r="AD1429" s="253"/>
      <c r="AE1429" s="253"/>
    </row>
    <row r="1430" spans="1:31">
      <c r="A1430" s="33">
        <v>1429</v>
      </c>
      <c r="B1430" s="69" t="s">
        <v>853</v>
      </c>
      <c r="C1430" s="69" t="s">
        <v>1499</v>
      </c>
      <c r="D1430" s="56">
        <v>42762</v>
      </c>
      <c r="E1430" s="33" t="s">
        <v>724</v>
      </c>
      <c r="F1430" s="69" t="s">
        <v>725</v>
      </c>
      <c r="G1430" s="69" t="str">
        <f t="shared" si="22"/>
        <v>User Registration</v>
      </c>
      <c r="H1430" s="69" t="s">
        <v>808</v>
      </c>
      <c r="I1430" s="69" t="s">
        <v>1512</v>
      </c>
      <c r="J1430" s="69" t="s">
        <v>853</v>
      </c>
      <c r="K1430" s="69" t="s">
        <v>1514</v>
      </c>
      <c r="L1430" s="253">
        <v>0.69</v>
      </c>
      <c r="M1430" s="253">
        <v>0.68565217391304345</v>
      </c>
      <c r="N1430" s="253">
        <v>0.66</v>
      </c>
      <c r="O1430" s="253">
        <v>0.65315789473684205</v>
      </c>
      <c r="P1430" s="253">
        <v>0.7</v>
      </c>
      <c r="Q1430" s="253">
        <v>0.67</v>
      </c>
      <c r="R1430" s="253">
        <v>0.67</v>
      </c>
      <c r="S1430" s="253">
        <v>0.75</v>
      </c>
      <c r="T1430" s="253">
        <v>0.68</v>
      </c>
      <c r="U1430" s="253">
        <v>0.68</v>
      </c>
      <c r="V1430" s="253"/>
      <c r="W1430" s="253">
        <v>0.66</v>
      </c>
      <c r="X1430" s="253"/>
      <c r="Y1430" s="253">
        <v>0.64</v>
      </c>
      <c r="Z1430" s="253">
        <v>0.65</v>
      </c>
      <c r="AA1430" s="253"/>
      <c r="AB1430" s="253"/>
      <c r="AC1430" s="253"/>
      <c r="AD1430" s="253"/>
      <c r="AE1430" s="253"/>
    </row>
    <row r="1431" spans="1:31">
      <c r="A1431" s="33">
        <v>1430</v>
      </c>
      <c r="B1431" s="69" t="s">
        <v>853</v>
      </c>
      <c r="C1431" s="69" t="s">
        <v>1499</v>
      </c>
      <c r="D1431" s="56">
        <v>42762</v>
      </c>
      <c r="E1431" s="33" t="s">
        <v>724</v>
      </c>
      <c r="F1431" s="69" t="s">
        <v>725</v>
      </c>
      <c r="G1431" s="69" t="str">
        <f t="shared" si="22"/>
        <v>User Registration</v>
      </c>
      <c r="H1431" s="69" t="s">
        <v>808</v>
      </c>
      <c r="I1431" s="69" t="s">
        <v>1512</v>
      </c>
      <c r="J1431" s="69" t="s">
        <v>853</v>
      </c>
      <c r="K1431" s="69" t="s">
        <v>1515</v>
      </c>
      <c r="L1431" s="253">
        <v>0.66800000000000015</v>
      </c>
      <c r="M1431" s="253">
        <v>0.66695652173913045</v>
      </c>
      <c r="N1431" s="253">
        <v>0.64</v>
      </c>
      <c r="O1431" s="253">
        <v>0.67105263157894735</v>
      </c>
      <c r="P1431" s="253">
        <v>0.66</v>
      </c>
      <c r="Q1431" s="253">
        <v>0.65</v>
      </c>
      <c r="R1431" s="253">
        <v>0.67</v>
      </c>
      <c r="S1431" s="253">
        <v>0.66</v>
      </c>
      <c r="T1431" s="253">
        <v>0.6</v>
      </c>
      <c r="U1431" s="253">
        <v>0.71</v>
      </c>
      <c r="V1431" s="253"/>
      <c r="W1431" s="253">
        <v>0.64</v>
      </c>
      <c r="X1431" s="253"/>
      <c r="Y1431" s="253">
        <v>0.66</v>
      </c>
      <c r="Z1431" s="253">
        <v>0.7</v>
      </c>
      <c r="AA1431" s="253"/>
      <c r="AB1431" s="253"/>
      <c r="AC1431" s="253"/>
      <c r="AD1431" s="253"/>
      <c r="AE1431" s="253"/>
    </row>
    <row r="1432" spans="1:31">
      <c r="A1432" s="33">
        <v>1431</v>
      </c>
      <c r="B1432" s="69" t="s">
        <v>853</v>
      </c>
      <c r="C1432" s="69" t="s">
        <v>1499</v>
      </c>
      <c r="D1432" s="56">
        <v>42762</v>
      </c>
      <c r="E1432" s="33" t="s">
        <v>724</v>
      </c>
      <c r="F1432" s="69" t="s">
        <v>725</v>
      </c>
      <c r="G1432" s="69" t="str">
        <f t="shared" si="22"/>
        <v>User Registration</v>
      </c>
      <c r="H1432" s="69" t="s">
        <v>808</v>
      </c>
      <c r="I1432" s="69" t="s">
        <v>1512</v>
      </c>
      <c r="J1432" s="69" t="s">
        <v>853</v>
      </c>
      <c r="K1432" s="69" t="s">
        <v>1516</v>
      </c>
      <c r="L1432" s="253">
        <v>0.66</v>
      </c>
      <c r="M1432" s="253">
        <v>0.6530434782608695</v>
      </c>
      <c r="N1432" s="253">
        <v>0.52</v>
      </c>
      <c r="O1432" s="253">
        <v>0.6752631578947369</v>
      </c>
      <c r="P1432" s="253">
        <v>0.67</v>
      </c>
      <c r="Q1432" s="253">
        <v>0.64</v>
      </c>
      <c r="R1432" s="253">
        <v>0.63</v>
      </c>
      <c r="S1432" s="253">
        <v>0.73</v>
      </c>
      <c r="T1432" s="253">
        <v>0.6</v>
      </c>
      <c r="U1432" s="253">
        <v>0.67</v>
      </c>
      <c r="V1432" s="253"/>
      <c r="W1432" s="253">
        <v>0.52</v>
      </c>
      <c r="X1432" s="253"/>
      <c r="Y1432" s="253">
        <v>0.71</v>
      </c>
      <c r="Z1432" s="253">
        <v>0.62</v>
      </c>
      <c r="AA1432" s="253"/>
      <c r="AB1432" s="253"/>
      <c r="AC1432" s="253"/>
      <c r="AD1432" s="253"/>
      <c r="AE1432" s="253"/>
    </row>
    <row r="1433" spans="1:31">
      <c r="A1433" s="33">
        <v>1432</v>
      </c>
      <c r="B1433" s="69" t="s">
        <v>1503</v>
      </c>
      <c r="C1433" s="69" t="s">
        <v>1203</v>
      </c>
      <c r="D1433" s="56">
        <v>42780</v>
      </c>
      <c r="E1433" s="33" t="s">
        <v>724</v>
      </c>
      <c r="F1433" s="69" t="s">
        <v>1204</v>
      </c>
      <c r="G1433" s="69" t="str">
        <f t="shared" si="22"/>
        <v>User Registration</v>
      </c>
      <c r="H1433" s="69" t="s">
        <v>494</v>
      </c>
      <c r="I1433" s="69" t="s">
        <v>1504</v>
      </c>
      <c r="J1433" s="69" t="s">
        <v>1503</v>
      </c>
      <c r="K1433" s="69" t="s">
        <v>1503</v>
      </c>
      <c r="L1433" s="253">
        <v>0.62430769230769234</v>
      </c>
      <c r="M1433" s="253">
        <v>0.51615937714638749</v>
      </c>
      <c r="N1433" s="253">
        <v>0.52830882352941178</v>
      </c>
      <c r="O1433" s="253">
        <v>0.5288921756642142</v>
      </c>
      <c r="P1433" s="253">
        <v>0.64</v>
      </c>
      <c r="Q1433" s="253">
        <v>0.3852941176470589</v>
      </c>
      <c r="R1433" s="253">
        <v>0.56798245614035081</v>
      </c>
      <c r="S1433" s="253">
        <v>0.52</v>
      </c>
      <c r="T1433" s="253">
        <v>0.51249999999999996</v>
      </c>
      <c r="U1433" s="253">
        <v>0.55000000000000004</v>
      </c>
      <c r="V1433" s="253"/>
      <c r="W1433" s="253">
        <v>0.515625</v>
      </c>
      <c r="X1433" s="253">
        <v>0.57058823529411762</v>
      </c>
      <c r="Y1433" s="253">
        <v>0.52</v>
      </c>
      <c r="Z1433" s="253">
        <v>0.56153846153846154</v>
      </c>
      <c r="AA1433" s="253"/>
      <c r="AB1433" s="253"/>
      <c r="AC1433" s="253"/>
      <c r="AD1433" s="253"/>
      <c r="AE1433" s="253"/>
    </row>
    <row r="1434" spans="1:31">
      <c r="A1434" s="33">
        <v>1433</v>
      </c>
      <c r="B1434" s="69" t="s">
        <v>1503</v>
      </c>
      <c r="C1434" s="69" t="s">
        <v>1203</v>
      </c>
      <c r="D1434" s="56">
        <v>42780</v>
      </c>
      <c r="E1434" s="33" t="s">
        <v>724</v>
      </c>
      <c r="F1434" s="69" t="s">
        <v>1204</v>
      </c>
      <c r="G1434" s="69" t="str">
        <f t="shared" si="22"/>
        <v>User Registration</v>
      </c>
      <c r="H1434" s="69" t="s">
        <v>494</v>
      </c>
      <c r="I1434" s="69" t="s">
        <v>1504</v>
      </c>
      <c r="J1434" s="69" t="s">
        <v>1503</v>
      </c>
      <c r="K1434" s="69" t="s">
        <v>1505</v>
      </c>
      <c r="L1434" s="253">
        <v>0.64876923076923076</v>
      </c>
      <c r="M1434" s="253">
        <v>0.65062391062744396</v>
      </c>
      <c r="N1434" s="253">
        <v>0.61678450226244352</v>
      </c>
      <c r="O1434" s="253">
        <v>0.61604372624822357</v>
      </c>
      <c r="P1434" s="253">
        <v>0.65</v>
      </c>
      <c r="Q1434" s="253">
        <v>0.67117647058823526</v>
      </c>
      <c r="R1434" s="253">
        <v>0.64364035087719296</v>
      </c>
      <c r="S1434" s="253">
        <v>0.67</v>
      </c>
      <c r="T1434" s="253">
        <v>0.58125000000000004</v>
      </c>
      <c r="U1434" s="253">
        <v>0.67</v>
      </c>
      <c r="V1434" s="253"/>
      <c r="W1434" s="253">
        <v>0.63593750000000004</v>
      </c>
      <c r="X1434" s="253">
        <v>0.55294117647058827</v>
      </c>
      <c r="Y1434" s="253">
        <v>0.58571428571428574</v>
      </c>
      <c r="Z1434" s="253">
        <v>0.64384615384615385</v>
      </c>
      <c r="AA1434" s="253"/>
      <c r="AB1434" s="253"/>
      <c r="AC1434" s="253"/>
      <c r="AD1434" s="253"/>
      <c r="AE1434" s="253"/>
    </row>
    <row r="1435" spans="1:31">
      <c r="A1435" s="33">
        <v>1434</v>
      </c>
      <c r="B1435" s="69" t="s">
        <v>1503</v>
      </c>
      <c r="C1435" s="69" t="s">
        <v>1203</v>
      </c>
      <c r="D1435" s="56">
        <v>42780</v>
      </c>
      <c r="E1435" s="33" t="s">
        <v>724</v>
      </c>
      <c r="F1435" s="69" t="s">
        <v>1204</v>
      </c>
      <c r="G1435" s="69" t="str">
        <f t="shared" si="22"/>
        <v>User Registration</v>
      </c>
      <c r="H1435" s="69" t="s">
        <v>494</v>
      </c>
      <c r="I1435" s="69" t="s">
        <v>1504</v>
      </c>
      <c r="J1435" s="69" t="s">
        <v>1503</v>
      </c>
      <c r="K1435" s="69" t="s">
        <v>1506</v>
      </c>
      <c r="L1435" s="253">
        <v>0.57599999999999996</v>
      </c>
      <c r="M1435" s="253">
        <v>0.54964182595234889</v>
      </c>
      <c r="N1435" s="253">
        <v>0.52283653846153844</v>
      </c>
      <c r="O1435" s="253">
        <v>0.50819309496651854</v>
      </c>
      <c r="P1435" s="253">
        <v>0.56999999999999995</v>
      </c>
      <c r="Q1435" s="253">
        <v>0.59329411764705886</v>
      </c>
      <c r="R1435" s="253">
        <v>0.5680921052631579</v>
      </c>
      <c r="S1435" s="253">
        <v>0.45</v>
      </c>
      <c r="T1435" s="253">
        <v>0.55937499999999996</v>
      </c>
      <c r="U1435" s="253">
        <v>0.55000000000000004</v>
      </c>
      <c r="V1435" s="253"/>
      <c r="W1435" s="253">
        <v>0.52968749999999998</v>
      </c>
      <c r="X1435" s="253">
        <v>0.5</v>
      </c>
      <c r="Y1435" s="253">
        <v>0.44761904761904764</v>
      </c>
      <c r="Z1435" s="253">
        <v>0.6</v>
      </c>
      <c r="AA1435" s="253"/>
      <c r="AB1435" s="253"/>
      <c r="AC1435" s="253"/>
      <c r="AD1435" s="253"/>
      <c r="AE1435" s="253"/>
    </row>
    <row r="1436" spans="1:31">
      <c r="A1436" s="33">
        <v>1435</v>
      </c>
      <c r="B1436" s="69" t="s">
        <v>1503</v>
      </c>
      <c r="C1436" s="69" t="s">
        <v>1203</v>
      </c>
      <c r="D1436" s="56">
        <v>42780</v>
      </c>
      <c r="E1436" s="33" t="s">
        <v>724</v>
      </c>
      <c r="F1436" s="69" t="s">
        <v>1204</v>
      </c>
      <c r="G1436" s="69" t="str">
        <f t="shared" si="22"/>
        <v>User Registration</v>
      </c>
      <c r="H1436" s="69" t="s">
        <v>494</v>
      </c>
      <c r="I1436" s="69" t="s">
        <v>1504</v>
      </c>
      <c r="J1436" s="69" t="s">
        <v>1503</v>
      </c>
      <c r="K1436" s="69" t="s">
        <v>1317</v>
      </c>
      <c r="L1436" s="253">
        <v>0.62415384615384606</v>
      </c>
      <c r="M1436" s="253">
        <v>0.55741138978914928</v>
      </c>
      <c r="N1436" s="253">
        <v>0.6342335972850679</v>
      </c>
      <c r="O1436" s="253">
        <v>0.59579774483839987</v>
      </c>
      <c r="P1436" s="253">
        <v>0.61</v>
      </c>
      <c r="Q1436" s="253">
        <v>0.50882352941176467</v>
      </c>
      <c r="R1436" s="253">
        <v>0.59660087719298249</v>
      </c>
      <c r="S1436" s="253">
        <v>0.5</v>
      </c>
      <c r="T1436" s="253">
        <v>0.59687500000000004</v>
      </c>
      <c r="U1436" s="253">
        <v>0.53</v>
      </c>
      <c r="V1436" s="253"/>
      <c r="W1436" s="253">
        <v>0.65156250000000004</v>
      </c>
      <c r="X1436" s="253">
        <v>0.57647058823529407</v>
      </c>
      <c r="Y1436" s="253">
        <v>0.57142857142857151</v>
      </c>
      <c r="Z1436" s="253">
        <v>0.68076923076923079</v>
      </c>
      <c r="AA1436" s="253"/>
      <c r="AB1436" s="253"/>
      <c r="AC1436" s="253"/>
      <c r="AD1436" s="253"/>
      <c r="AE1436" s="253"/>
    </row>
    <row r="1437" spans="1:31">
      <c r="A1437" s="33">
        <v>1436</v>
      </c>
      <c r="B1437" s="69" t="s">
        <v>1503</v>
      </c>
      <c r="C1437" s="69" t="s">
        <v>1203</v>
      </c>
      <c r="D1437" s="56">
        <v>42780</v>
      </c>
      <c r="E1437" s="33" t="s">
        <v>724</v>
      </c>
      <c r="F1437" s="69" t="s">
        <v>1204</v>
      </c>
      <c r="G1437" s="69" t="str">
        <f t="shared" si="22"/>
        <v>User Registration</v>
      </c>
      <c r="H1437" s="69" t="s">
        <v>494</v>
      </c>
      <c r="I1437" s="69" t="s">
        <v>1504</v>
      </c>
      <c r="J1437" s="69" t="s">
        <v>1503</v>
      </c>
      <c r="K1437" s="69" t="s">
        <v>1319</v>
      </c>
      <c r="L1437" s="253">
        <v>0.64292307692307704</v>
      </c>
      <c r="M1437" s="253">
        <v>0.58691875826197404</v>
      </c>
      <c r="N1437" s="253">
        <v>0.6014705882352942</v>
      </c>
      <c r="O1437" s="253">
        <v>0.57315343908712002</v>
      </c>
      <c r="P1437" s="253">
        <v>0.62</v>
      </c>
      <c r="Q1437" s="253">
        <v>0.5829411764705883</v>
      </c>
      <c r="R1437" s="253">
        <v>0.61337719298245608</v>
      </c>
      <c r="S1437" s="253">
        <v>0.55000000000000004</v>
      </c>
      <c r="T1437" s="253">
        <v>0.59375</v>
      </c>
      <c r="U1437" s="253">
        <v>0.53</v>
      </c>
      <c r="V1437" s="253"/>
      <c r="W1437" s="253">
        <v>0.61250000000000004</v>
      </c>
      <c r="X1437" s="253">
        <v>0.56470588235294117</v>
      </c>
      <c r="Y1437" s="253">
        <v>0.48571428571428571</v>
      </c>
      <c r="Z1437" s="253">
        <v>0.73461538461538467</v>
      </c>
      <c r="AA1437" s="253"/>
      <c r="AB1437" s="253"/>
      <c r="AC1437" s="253"/>
      <c r="AD1437" s="253"/>
      <c r="AE1437" s="253"/>
    </row>
    <row r="1438" spans="1:31">
      <c r="A1438" s="33">
        <v>1437</v>
      </c>
      <c r="B1438" s="69" t="s">
        <v>1503</v>
      </c>
      <c r="C1438" s="69" t="s">
        <v>1203</v>
      </c>
      <c r="D1438" s="56">
        <v>42780</v>
      </c>
      <c r="E1438" s="33" t="s">
        <v>724</v>
      </c>
      <c r="F1438" s="69" t="s">
        <v>1204</v>
      </c>
      <c r="G1438" s="69" t="str">
        <f t="shared" si="22"/>
        <v>User Registration</v>
      </c>
      <c r="H1438" s="69" t="s">
        <v>494</v>
      </c>
      <c r="I1438" s="69" t="s">
        <v>1504</v>
      </c>
      <c r="J1438" s="69" t="s">
        <v>1503</v>
      </c>
      <c r="K1438" s="69" t="s">
        <v>1507</v>
      </c>
      <c r="L1438" s="253">
        <v>0.63323076923076926</v>
      </c>
      <c r="M1438" s="253">
        <v>0.64303730443066154</v>
      </c>
      <c r="N1438" s="253">
        <v>0.59759615384615383</v>
      </c>
      <c r="O1438" s="253">
        <v>0.59019214206031867</v>
      </c>
      <c r="P1438" s="253">
        <v>0.63</v>
      </c>
      <c r="Q1438" s="253">
        <v>0.64058823529411768</v>
      </c>
      <c r="R1438" s="253">
        <v>0.70328947368421058</v>
      </c>
      <c r="S1438" s="253">
        <v>0.65</v>
      </c>
      <c r="T1438" s="253">
        <v>0.60624999999999996</v>
      </c>
      <c r="U1438" s="253">
        <v>0.6</v>
      </c>
      <c r="V1438" s="253"/>
      <c r="W1438" s="253">
        <v>0.59687500000000004</v>
      </c>
      <c r="X1438" s="253">
        <v>0.6</v>
      </c>
      <c r="Y1438" s="253">
        <v>0.52857142857142858</v>
      </c>
      <c r="Z1438" s="253">
        <v>0.64615384615384619</v>
      </c>
      <c r="AA1438" s="253"/>
      <c r="AB1438" s="253"/>
      <c r="AC1438" s="253"/>
      <c r="AD1438" s="253"/>
      <c r="AE1438" s="253"/>
    </row>
    <row r="1439" spans="1:31">
      <c r="A1439" s="33">
        <v>1438</v>
      </c>
      <c r="B1439" s="69" t="s">
        <v>1503</v>
      </c>
      <c r="C1439" s="69" t="s">
        <v>1203</v>
      </c>
      <c r="D1439" s="56">
        <v>42780</v>
      </c>
      <c r="E1439" s="33" t="s">
        <v>724</v>
      </c>
      <c r="F1439" s="69" t="s">
        <v>1204</v>
      </c>
      <c r="G1439" s="69" t="str">
        <f t="shared" si="22"/>
        <v>User Registration</v>
      </c>
      <c r="H1439" s="69" t="s">
        <v>494</v>
      </c>
      <c r="I1439" s="69" t="s">
        <v>1504</v>
      </c>
      <c r="J1439" s="69" t="s">
        <v>1503</v>
      </c>
      <c r="K1439" s="69" t="s">
        <v>1508</v>
      </c>
      <c r="L1439" s="253">
        <v>0.63323076923076926</v>
      </c>
      <c r="M1439" s="253">
        <v>0.57896963045031424</v>
      </c>
      <c r="N1439" s="253">
        <v>0.65591063348416279</v>
      </c>
      <c r="O1439" s="253">
        <v>0.62958353850809445</v>
      </c>
      <c r="P1439" s="253">
        <v>0.63</v>
      </c>
      <c r="Q1439" s="253">
        <v>0.628235294117647</v>
      </c>
      <c r="R1439" s="253">
        <v>0.62368421052631584</v>
      </c>
      <c r="S1439" s="253">
        <v>0.56999999999999995</v>
      </c>
      <c r="T1439" s="253">
        <v>0.52</v>
      </c>
      <c r="U1439" s="253">
        <v>0.51052631578947372</v>
      </c>
      <c r="V1439" s="253"/>
      <c r="W1439" s="253">
        <v>0.66562499999999991</v>
      </c>
      <c r="X1439" s="253">
        <v>0.62352941176470589</v>
      </c>
      <c r="Y1439" s="253">
        <v>0.62857142857142856</v>
      </c>
      <c r="Z1439" s="253">
        <v>0.64615384615384619</v>
      </c>
      <c r="AA1439" s="253"/>
      <c r="AB1439" s="253"/>
      <c r="AC1439" s="253"/>
      <c r="AD1439" s="253"/>
      <c r="AE1439" s="253"/>
    </row>
    <row r="1440" spans="1:31">
      <c r="A1440" s="33">
        <v>1439</v>
      </c>
      <c r="B1440" s="69" t="s">
        <v>1503</v>
      </c>
      <c r="C1440" s="69" t="s">
        <v>1203</v>
      </c>
      <c r="D1440" s="56">
        <v>42780</v>
      </c>
      <c r="E1440" s="33" t="s">
        <v>724</v>
      </c>
      <c r="F1440" s="69" t="s">
        <v>1204</v>
      </c>
      <c r="G1440" s="69" t="str">
        <f t="shared" si="22"/>
        <v>User Registration</v>
      </c>
      <c r="H1440" s="69" t="s">
        <v>494</v>
      </c>
      <c r="I1440" s="69" t="s">
        <v>1504</v>
      </c>
      <c r="J1440" s="69" t="s">
        <v>1503</v>
      </c>
      <c r="K1440" s="69" t="s">
        <v>1509</v>
      </c>
      <c r="L1440" s="253">
        <v>0.63769230769230778</v>
      </c>
      <c r="M1440" s="253">
        <v>0.60449753862595423</v>
      </c>
      <c r="N1440" s="253">
        <v>0.63455882352941184</v>
      </c>
      <c r="O1440" s="253">
        <v>0.62224805882293255</v>
      </c>
      <c r="P1440" s="253">
        <v>0.65</v>
      </c>
      <c r="Q1440" s="253">
        <v>0.65647058823529414</v>
      </c>
      <c r="R1440" s="253">
        <v>0.59649122807017541</v>
      </c>
      <c r="S1440" s="253">
        <v>0.65</v>
      </c>
      <c r="T1440" s="253">
        <v>0.5</v>
      </c>
      <c r="U1440" s="253">
        <v>0.60363636363636364</v>
      </c>
      <c r="V1440" s="253"/>
      <c r="W1440" s="253">
        <v>0.59375</v>
      </c>
      <c r="X1440" s="253">
        <v>0.77058823529411768</v>
      </c>
      <c r="Y1440" s="253">
        <v>0.63809523809523805</v>
      </c>
      <c r="Z1440" s="253">
        <v>0.58846153846153848</v>
      </c>
      <c r="AA1440" s="253"/>
      <c r="AB1440" s="253"/>
      <c r="AC1440" s="253"/>
      <c r="AD1440" s="253"/>
      <c r="AE1440" s="253"/>
    </row>
    <row r="1441" spans="1:31">
      <c r="A1441" s="33">
        <v>1440</v>
      </c>
      <c r="B1441" s="69" t="s">
        <v>1503</v>
      </c>
      <c r="C1441" s="69" t="s">
        <v>1203</v>
      </c>
      <c r="D1441" s="56">
        <v>42780</v>
      </c>
      <c r="E1441" s="33" t="s">
        <v>724</v>
      </c>
      <c r="F1441" s="69" t="s">
        <v>1204</v>
      </c>
      <c r="G1441" s="69" t="str">
        <f t="shared" si="22"/>
        <v>User Registration</v>
      </c>
      <c r="H1441" s="69" t="s">
        <v>494</v>
      </c>
      <c r="I1441" s="69" t="s">
        <v>1504</v>
      </c>
      <c r="J1441" s="69" t="s">
        <v>1503</v>
      </c>
      <c r="K1441" s="69" t="s">
        <v>1510</v>
      </c>
      <c r="L1441" s="253">
        <v>0.61461538461538467</v>
      </c>
      <c r="M1441" s="253">
        <v>0.60675429967797712</v>
      </c>
      <c r="N1441" s="253">
        <v>0.60810237556561086</v>
      </c>
      <c r="O1441" s="253">
        <v>0.60657870563524785</v>
      </c>
      <c r="P1441" s="253">
        <v>0.6</v>
      </c>
      <c r="Q1441" s="253">
        <v>0.61058823529411765</v>
      </c>
      <c r="R1441" s="253">
        <v>0.59736842105263155</v>
      </c>
      <c r="S1441" s="253">
        <v>0.64</v>
      </c>
      <c r="T1441" s="253">
        <v>0.59</v>
      </c>
      <c r="U1441" s="253">
        <v>0.56999999999999995</v>
      </c>
      <c r="V1441" s="253"/>
      <c r="W1441" s="253">
        <v>0.61406249999999996</v>
      </c>
      <c r="X1441" s="253">
        <v>0.58823529411764708</v>
      </c>
      <c r="Y1441" s="253">
        <v>0.5714285714285714</v>
      </c>
      <c r="Z1441" s="253">
        <v>0.67307692307692313</v>
      </c>
      <c r="AA1441" s="253"/>
      <c r="AB1441" s="253"/>
      <c r="AC1441" s="253"/>
      <c r="AD1441" s="253"/>
      <c r="AE1441" s="253"/>
    </row>
    <row r="1442" spans="1:31">
      <c r="A1442" s="33">
        <v>1441</v>
      </c>
      <c r="B1442" s="69" t="s">
        <v>1503</v>
      </c>
      <c r="C1442" s="69" t="s">
        <v>1203</v>
      </c>
      <c r="D1442" s="56">
        <v>42780</v>
      </c>
      <c r="E1442" s="33" t="s">
        <v>724</v>
      </c>
      <c r="F1442" s="69" t="s">
        <v>1204</v>
      </c>
      <c r="G1442" s="69" t="str">
        <f t="shared" si="22"/>
        <v>User Registration</v>
      </c>
      <c r="H1442" s="69" t="s">
        <v>494</v>
      </c>
      <c r="I1442" s="69" t="s">
        <v>1504</v>
      </c>
      <c r="J1442" s="69" t="s">
        <v>1503</v>
      </c>
      <c r="K1442" s="69" t="s">
        <v>1511</v>
      </c>
      <c r="L1442" s="253">
        <v>0.61399999999999999</v>
      </c>
      <c r="M1442" s="253">
        <v>0.56209449454839144</v>
      </c>
      <c r="N1442" s="253">
        <v>0.46429581447963802</v>
      </c>
      <c r="O1442" s="253">
        <v>0.5160803712066544</v>
      </c>
      <c r="P1442" s="253">
        <v>0.63</v>
      </c>
      <c r="Q1442" s="253">
        <v>0.55941176470588228</v>
      </c>
      <c r="R1442" s="253">
        <v>0.5921052631578948</v>
      </c>
      <c r="S1442" s="253">
        <v>0.55000000000000004</v>
      </c>
      <c r="T1442" s="253">
        <v>0.56000000000000005</v>
      </c>
      <c r="U1442" s="253">
        <v>0.55000000000000004</v>
      </c>
      <c r="V1442" s="253"/>
      <c r="W1442" s="253">
        <v>0.43593749999999998</v>
      </c>
      <c r="X1442" s="253">
        <v>0.55882352941176472</v>
      </c>
      <c r="Y1442" s="253">
        <v>0.47619047619047616</v>
      </c>
      <c r="Z1442" s="253">
        <v>0.55000000000000004</v>
      </c>
      <c r="AA1442" s="253"/>
      <c r="AB1442" s="253"/>
      <c r="AC1442" s="253"/>
      <c r="AD1442" s="253"/>
      <c r="AE1442" s="253"/>
    </row>
    <row r="1443" spans="1:31">
      <c r="A1443" s="33">
        <v>1442</v>
      </c>
      <c r="B1443" s="69" t="s">
        <v>1502</v>
      </c>
      <c r="C1443" s="69" t="s">
        <v>1499</v>
      </c>
      <c r="D1443" s="56">
        <v>42781</v>
      </c>
      <c r="E1443" s="33" t="s">
        <v>724</v>
      </c>
      <c r="F1443" s="69" t="s">
        <v>725</v>
      </c>
      <c r="G1443" s="69" t="str">
        <f t="shared" si="22"/>
        <v>User Registration</v>
      </c>
      <c r="H1443" s="69" t="s">
        <v>494</v>
      </c>
      <c r="I1443" s="69" t="s">
        <v>494</v>
      </c>
      <c r="J1443" s="69" t="s">
        <v>1502</v>
      </c>
      <c r="K1443" s="69" t="s">
        <v>1502</v>
      </c>
      <c r="L1443" s="253">
        <v>0.58846993006992998</v>
      </c>
      <c r="M1443" s="253">
        <v>0.57852720092829213</v>
      </c>
      <c r="N1443" s="253">
        <v>0.58708993212669691</v>
      </c>
      <c r="O1443" s="253">
        <v>0.57474073589940211</v>
      </c>
      <c r="P1443" s="253">
        <v>0.57981818181818168</v>
      </c>
      <c r="Q1443" s="253">
        <v>0.56823529411764706</v>
      </c>
      <c r="R1443" s="253">
        <v>0.60793553651570775</v>
      </c>
      <c r="S1443" s="253">
        <v>0.54439252336448596</v>
      </c>
      <c r="T1443" s="253">
        <v>0.6017441860465117</v>
      </c>
      <c r="U1443" s="253">
        <v>0.55291005291005291</v>
      </c>
      <c r="V1443" s="253"/>
      <c r="W1443" s="253">
        <v>0.57968750000000002</v>
      </c>
      <c r="X1443" s="253">
        <v>0.61176470588235299</v>
      </c>
      <c r="Y1443" s="253">
        <v>0.54761904761904756</v>
      </c>
      <c r="Z1443" s="253">
        <v>0.62307692307692308</v>
      </c>
      <c r="AA1443" s="253"/>
      <c r="AB1443" s="253"/>
      <c r="AC1443" s="253"/>
      <c r="AD1443" s="253"/>
      <c r="AE1443" s="253"/>
    </row>
    <row r="1444" spans="1:31">
      <c r="A1444" s="33">
        <v>1443</v>
      </c>
      <c r="B1444" s="69" t="s">
        <v>1502</v>
      </c>
      <c r="C1444" s="69" t="s">
        <v>1499</v>
      </c>
      <c r="D1444" s="56">
        <v>42781</v>
      </c>
      <c r="E1444" s="33" t="s">
        <v>724</v>
      </c>
      <c r="F1444" s="69" t="s">
        <v>725</v>
      </c>
      <c r="G1444" s="69" t="str">
        <f t="shared" si="22"/>
        <v>User Registration</v>
      </c>
      <c r="H1444" s="69" t="s">
        <v>494</v>
      </c>
      <c r="I1444" s="69" t="s">
        <v>494</v>
      </c>
      <c r="J1444" s="69" t="s">
        <v>1502</v>
      </c>
      <c r="K1444" s="69" t="s">
        <v>1157</v>
      </c>
      <c r="L1444" s="253">
        <v>0.68377342657342655</v>
      </c>
      <c r="M1444" s="253">
        <v>0.63924807096053182</v>
      </c>
      <c r="N1444" s="253">
        <v>0.74649038461538464</v>
      </c>
      <c r="O1444" s="253">
        <v>0.65603307820878287</v>
      </c>
      <c r="P1444" s="253">
        <v>0.67490909090909079</v>
      </c>
      <c r="Q1444" s="253">
        <v>0.621764705882353</v>
      </c>
      <c r="R1444" s="253">
        <v>0.69777641778865762</v>
      </c>
      <c r="S1444" s="253">
        <v>0.58925233644859798</v>
      </c>
      <c r="T1444" s="253">
        <v>0.64244186046511631</v>
      </c>
      <c r="U1444" s="253">
        <v>0.60079365079365077</v>
      </c>
      <c r="V1444" s="253"/>
      <c r="W1444" s="253">
        <v>0.74843749999999998</v>
      </c>
      <c r="X1444" s="253">
        <v>0.74</v>
      </c>
      <c r="Y1444" s="253">
        <v>0.62619047619047619</v>
      </c>
      <c r="Z1444" s="253">
        <v>0.71923076923076923</v>
      </c>
      <c r="AA1444" s="253"/>
      <c r="AB1444" s="253"/>
      <c r="AC1444" s="253"/>
      <c r="AD1444" s="253"/>
      <c r="AE1444" s="253"/>
    </row>
    <row r="1445" spans="1:31">
      <c r="A1445" s="33">
        <v>1444</v>
      </c>
      <c r="B1445" s="69" t="s">
        <v>1502</v>
      </c>
      <c r="C1445" s="69" t="s">
        <v>1499</v>
      </c>
      <c r="D1445" s="56">
        <v>42781</v>
      </c>
      <c r="E1445" s="33" t="s">
        <v>724</v>
      </c>
      <c r="F1445" s="69" t="s">
        <v>725</v>
      </c>
      <c r="G1445" s="69" t="str">
        <f t="shared" si="22"/>
        <v>User Registration</v>
      </c>
      <c r="H1445" s="69" t="s">
        <v>494</v>
      </c>
      <c r="I1445" s="69" t="s">
        <v>494</v>
      </c>
      <c r="J1445" s="69" t="s">
        <v>1502</v>
      </c>
      <c r="K1445" s="69" t="s">
        <v>1161</v>
      </c>
      <c r="L1445" s="253">
        <v>0.66581818181818175</v>
      </c>
      <c r="M1445" s="253">
        <v>0.61922140447879814</v>
      </c>
      <c r="N1445" s="253">
        <v>0.69530542986425337</v>
      </c>
      <c r="O1445" s="253">
        <v>0.61329617297570793</v>
      </c>
      <c r="P1445" s="253">
        <v>0.65727272727272712</v>
      </c>
      <c r="Q1445" s="253">
        <v>0.57999999999999996</v>
      </c>
      <c r="R1445" s="253">
        <v>0.65369237046103623</v>
      </c>
      <c r="S1445" s="253">
        <v>0.57476635514018692</v>
      </c>
      <c r="T1445" s="253">
        <v>0.64534883720930225</v>
      </c>
      <c r="U1445" s="253">
        <v>0.60370370370370363</v>
      </c>
      <c r="V1445" s="253"/>
      <c r="W1445" s="253">
        <v>0.70625000000000004</v>
      </c>
      <c r="X1445" s="253">
        <v>0.65882352941176481</v>
      </c>
      <c r="Y1445" s="253">
        <v>0.56904761904761902</v>
      </c>
      <c r="Z1445" s="253">
        <v>0.70000000000000007</v>
      </c>
      <c r="AA1445" s="253"/>
      <c r="AB1445" s="253"/>
      <c r="AC1445" s="253"/>
      <c r="AD1445" s="253"/>
      <c r="AE1445" s="253"/>
    </row>
    <row r="1446" spans="1:31">
      <c r="A1446" s="33">
        <v>1445</v>
      </c>
      <c r="B1446" s="69" t="s">
        <v>1498</v>
      </c>
      <c r="C1446" s="69" t="s">
        <v>1499</v>
      </c>
      <c r="D1446" s="56">
        <v>42782</v>
      </c>
      <c r="E1446" s="33" t="s">
        <v>724</v>
      </c>
      <c r="F1446" s="69" t="s">
        <v>725</v>
      </c>
      <c r="G1446" s="69" t="str">
        <f t="shared" si="22"/>
        <v>User Registration</v>
      </c>
      <c r="H1446" s="69" t="s">
        <v>922</v>
      </c>
      <c r="I1446" s="69" t="s">
        <v>1088</v>
      </c>
      <c r="J1446" s="69" t="s">
        <v>1498</v>
      </c>
      <c r="K1446" s="69" t="s">
        <v>1498</v>
      </c>
      <c r="L1446" s="253">
        <v>0.68285594405594408</v>
      </c>
      <c r="M1446" s="253">
        <v>0.60837658277537177</v>
      </c>
      <c r="N1446" s="253">
        <v>0.57423642533936659</v>
      </c>
      <c r="O1446" s="253">
        <v>0.63301439271053139</v>
      </c>
      <c r="P1446" s="253">
        <v>0.68145454545454542</v>
      </c>
      <c r="Q1446" s="253">
        <v>0.53470588235294114</v>
      </c>
      <c r="R1446" s="253">
        <v>0.66793145654834762</v>
      </c>
      <c r="S1446" s="253">
        <v>0.61915887850467277</v>
      </c>
      <c r="T1446" s="253">
        <v>0.65406976744186041</v>
      </c>
      <c r="U1446" s="253">
        <v>0.53968253968253976</v>
      </c>
      <c r="V1446" s="253"/>
      <c r="W1446" s="253">
        <v>0.56562500000000004</v>
      </c>
      <c r="X1446" s="253">
        <v>0.6029411764705882</v>
      </c>
      <c r="Y1446" s="253">
        <v>0.60952380952380958</v>
      </c>
      <c r="Z1446" s="253">
        <v>0.68846153846153846</v>
      </c>
      <c r="AA1446" s="253"/>
      <c r="AB1446" s="253"/>
      <c r="AC1446" s="253"/>
      <c r="AD1446" s="253"/>
      <c r="AE1446" s="253"/>
    </row>
    <row r="1447" spans="1:31">
      <c r="A1447" s="33">
        <v>1446</v>
      </c>
      <c r="B1447" s="69" t="s">
        <v>1498</v>
      </c>
      <c r="C1447" s="69" t="s">
        <v>1499</v>
      </c>
      <c r="D1447" s="56">
        <v>42782</v>
      </c>
      <c r="E1447" s="33" t="s">
        <v>724</v>
      </c>
      <c r="F1447" s="69" t="s">
        <v>725</v>
      </c>
      <c r="G1447" s="69" t="str">
        <f t="shared" si="22"/>
        <v>User Registration</v>
      </c>
      <c r="H1447" s="69" t="s">
        <v>922</v>
      </c>
      <c r="I1447" s="69" t="s">
        <v>1088</v>
      </c>
      <c r="J1447" s="69" t="s">
        <v>1498</v>
      </c>
      <c r="K1447" s="69" t="s">
        <v>1500</v>
      </c>
      <c r="L1447" s="253">
        <v>0.63059020979020974</v>
      </c>
      <c r="M1447" s="253">
        <v>0.62375814846874744</v>
      </c>
      <c r="N1447" s="253">
        <v>0.68216346153846164</v>
      </c>
      <c r="O1447" s="253">
        <v>0.5991833748217319</v>
      </c>
      <c r="P1447" s="253">
        <v>0.63054545454545452</v>
      </c>
      <c r="Q1447" s="253">
        <v>0.59352941176470597</v>
      </c>
      <c r="R1447" s="253">
        <v>0.66585067319461444</v>
      </c>
      <c r="S1447" s="253">
        <v>0.59112149532710279</v>
      </c>
      <c r="T1447" s="253">
        <v>0.71511627906976749</v>
      </c>
      <c r="U1447" s="253">
        <v>0.57433862433862437</v>
      </c>
      <c r="V1447" s="253"/>
      <c r="W1447" s="253">
        <v>0.68281250000000004</v>
      </c>
      <c r="X1447" s="253">
        <v>0.68</v>
      </c>
      <c r="Y1447" s="253">
        <v>0.5714285714285714</v>
      </c>
      <c r="Z1447" s="253">
        <v>0.63076923076923075</v>
      </c>
      <c r="AA1447" s="253"/>
      <c r="AB1447" s="253"/>
      <c r="AC1447" s="253"/>
      <c r="AD1447" s="253"/>
      <c r="AE1447" s="253"/>
    </row>
    <row r="1448" spans="1:31">
      <c r="A1448" s="33">
        <v>1447</v>
      </c>
      <c r="B1448" s="69" t="s">
        <v>1498</v>
      </c>
      <c r="C1448" s="69" t="s">
        <v>1499</v>
      </c>
      <c r="D1448" s="56">
        <v>42782</v>
      </c>
      <c r="E1448" s="33" t="s">
        <v>724</v>
      </c>
      <c r="F1448" s="69" t="s">
        <v>725</v>
      </c>
      <c r="G1448" s="69" t="str">
        <f t="shared" si="22"/>
        <v>User Registration</v>
      </c>
      <c r="H1448" s="69" t="s">
        <v>922</v>
      </c>
      <c r="I1448" s="69" t="s">
        <v>1088</v>
      </c>
      <c r="J1448" s="69" t="s">
        <v>1498</v>
      </c>
      <c r="K1448" s="69" t="s">
        <v>1501</v>
      </c>
      <c r="L1448" s="253">
        <v>0.68002237762237772</v>
      </c>
      <c r="M1448" s="253">
        <v>0.6467061513864143</v>
      </c>
      <c r="N1448" s="253">
        <v>0.64007352941176465</v>
      </c>
      <c r="O1448" s="253">
        <v>0.56092371620091486</v>
      </c>
      <c r="P1448" s="253">
        <v>0.69618181818181823</v>
      </c>
      <c r="Q1448" s="253">
        <v>0.6535294117647058</v>
      </c>
      <c r="R1448" s="253">
        <v>0.67894736842105252</v>
      </c>
      <c r="S1448" s="253">
        <v>0.61682242990654201</v>
      </c>
      <c r="T1448" s="253">
        <v>0.625</v>
      </c>
      <c r="U1448" s="253">
        <v>0.65846560846560842</v>
      </c>
      <c r="V1448" s="253"/>
      <c r="W1448" s="253">
        <v>0.640625</v>
      </c>
      <c r="X1448" s="253">
        <v>0.63823529411764701</v>
      </c>
      <c r="Y1448" s="253">
        <v>0.4952380952380952</v>
      </c>
      <c r="Z1448" s="253">
        <v>0.61538461538461542</v>
      </c>
      <c r="AA1448" s="253"/>
      <c r="AB1448" s="253"/>
      <c r="AC1448" s="253"/>
      <c r="AD1448" s="253"/>
      <c r="AE1448" s="253"/>
    </row>
    <row r="1449" spans="1:31">
      <c r="A1449" s="33">
        <v>1448</v>
      </c>
      <c r="B1449" s="69" t="s">
        <v>1498</v>
      </c>
      <c r="C1449" s="69" t="s">
        <v>1499</v>
      </c>
      <c r="D1449" s="56">
        <v>42782</v>
      </c>
      <c r="E1449" s="33" t="s">
        <v>724</v>
      </c>
      <c r="F1449" s="69" t="s">
        <v>725</v>
      </c>
      <c r="G1449" s="69" t="str">
        <f t="shared" si="22"/>
        <v>User Registration</v>
      </c>
      <c r="H1449" s="69" t="s">
        <v>922</v>
      </c>
      <c r="I1449" s="69" t="s">
        <v>1088</v>
      </c>
      <c r="J1449" s="69" t="s">
        <v>1498</v>
      </c>
      <c r="K1449" s="69" t="s">
        <v>1083</v>
      </c>
      <c r="L1449" s="253">
        <v>0.66471328671328644</v>
      </c>
      <c r="M1449" s="253">
        <v>0.6421762012642962</v>
      </c>
      <c r="N1449" s="253">
        <v>0.60951923076923076</v>
      </c>
      <c r="O1449" s="253">
        <v>0.62527190491621321</v>
      </c>
      <c r="P1449" s="253">
        <v>0.66454545454545433</v>
      </c>
      <c r="Q1449" s="253">
        <v>0.64</v>
      </c>
      <c r="R1449" s="253">
        <v>0.66456548347613209</v>
      </c>
      <c r="S1449" s="253">
        <v>0.58411214953271029</v>
      </c>
      <c r="T1449" s="253">
        <v>0.69767441860465107</v>
      </c>
      <c r="U1449" s="253">
        <v>0.62539682539682517</v>
      </c>
      <c r="V1449" s="253"/>
      <c r="W1449" s="253">
        <v>0.609375</v>
      </c>
      <c r="X1449" s="253">
        <v>0.61</v>
      </c>
      <c r="Y1449" s="253">
        <v>0.6</v>
      </c>
      <c r="Z1449" s="253">
        <v>0.66538461538461546</v>
      </c>
      <c r="AA1449" s="253"/>
      <c r="AB1449" s="253"/>
      <c r="AC1449" s="253"/>
      <c r="AD1449" s="253"/>
      <c r="AE1449" s="253"/>
    </row>
    <row r="1450" spans="1:31">
      <c r="A1450" s="33">
        <v>1449</v>
      </c>
      <c r="B1450" s="69" t="s">
        <v>1491</v>
      </c>
      <c r="C1450" s="69" t="s">
        <v>1203</v>
      </c>
      <c r="D1450" s="56">
        <v>42794</v>
      </c>
      <c r="E1450" s="33" t="s">
        <v>724</v>
      </c>
      <c r="F1450" s="69" t="s">
        <v>380</v>
      </c>
      <c r="G1450" s="69" t="str">
        <f t="shared" si="22"/>
        <v>User Registration</v>
      </c>
      <c r="H1450" s="69" t="s">
        <v>807</v>
      </c>
      <c r="I1450" s="69" t="s">
        <v>1492</v>
      </c>
      <c r="J1450" s="69" t="s">
        <v>1491</v>
      </c>
      <c r="K1450" s="69" t="s">
        <v>667</v>
      </c>
      <c r="L1450" s="253">
        <v>0.71184895104895107</v>
      </c>
      <c r="M1450" s="253">
        <v>0.71387641489728326</v>
      </c>
      <c r="N1450" s="253">
        <v>0.76875000000000004</v>
      </c>
      <c r="O1450" s="253">
        <v>0.71045498706151722</v>
      </c>
      <c r="P1450" s="253">
        <v>0.70327272727272727</v>
      </c>
      <c r="Q1450" s="253">
        <v>0.71647727272727257</v>
      </c>
      <c r="R1450" s="253">
        <v>0.66434470767224507</v>
      </c>
      <c r="S1450" s="253">
        <v>0.7702970297029702</v>
      </c>
      <c r="T1450" s="253">
        <v>0.67558139534883721</v>
      </c>
      <c r="U1450" s="253">
        <v>0.72625698324022336</v>
      </c>
      <c r="V1450" s="253"/>
      <c r="W1450" s="253">
        <v>0.76875000000000004</v>
      </c>
      <c r="X1450" s="253"/>
      <c r="Y1450" s="253">
        <v>0.70238095238095222</v>
      </c>
      <c r="Z1450" s="253">
        <v>0.74615384615384628</v>
      </c>
      <c r="AA1450" s="253"/>
      <c r="AB1450" s="253"/>
      <c r="AC1450" s="253"/>
      <c r="AD1450" s="253"/>
      <c r="AE1450" s="253"/>
    </row>
    <row r="1451" spans="1:31">
      <c r="A1451" s="33">
        <v>1450</v>
      </c>
      <c r="B1451" s="69" t="s">
        <v>1491</v>
      </c>
      <c r="C1451" s="69" t="s">
        <v>1203</v>
      </c>
      <c r="D1451" s="56">
        <v>42794</v>
      </c>
      <c r="E1451" s="33" t="s">
        <v>724</v>
      </c>
      <c r="F1451" s="69" t="s">
        <v>380</v>
      </c>
      <c r="G1451" s="69" t="str">
        <f t="shared" si="22"/>
        <v>User Registration</v>
      </c>
      <c r="H1451" s="69" t="s">
        <v>807</v>
      </c>
      <c r="I1451" s="69" t="s">
        <v>1492</v>
      </c>
      <c r="J1451" s="69" t="s">
        <v>1491</v>
      </c>
      <c r="K1451" s="69" t="s">
        <v>1493</v>
      </c>
      <c r="L1451" s="253">
        <v>0.61890909090909085</v>
      </c>
      <c r="M1451" s="253">
        <v>0.64539527053952717</v>
      </c>
      <c r="N1451" s="253">
        <v>0.65468749999999998</v>
      </c>
      <c r="O1451" s="253">
        <v>0.65422810633622819</v>
      </c>
      <c r="P1451" s="253">
        <v>0.62363636363636366</v>
      </c>
      <c r="Q1451" s="253">
        <v>0.69431818181818172</v>
      </c>
      <c r="R1451" s="253">
        <v>0.63633992610302104</v>
      </c>
      <c r="S1451" s="253">
        <v>0.64059405940594061</v>
      </c>
      <c r="T1451" s="253">
        <v>0.55813953488372092</v>
      </c>
      <c r="U1451" s="253">
        <v>0.68966480446927381</v>
      </c>
      <c r="V1451" s="253"/>
      <c r="W1451" s="253">
        <v>0.65468749999999998</v>
      </c>
      <c r="X1451" s="253"/>
      <c r="Y1451" s="253">
        <v>0.67142857142857137</v>
      </c>
      <c r="Z1451" s="253">
        <v>0.6</v>
      </c>
      <c r="AA1451" s="253"/>
      <c r="AB1451" s="253"/>
      <c r="AC1451" s="253"/>
      <c r="AD1451" s="253"/>
      <c r="AE1451" s="253"/>
    </row>
    <row r="1452" spans="1:31">
      <c r="A1452" s="33">
        <v>1451</v>
      </c>
      <c r="B1452" s="69" t="s">
        <v>1491</v>
      </c>
      <c r="C1452" s="69" t="s">
        <v>1203</v>
      </c>
      <c r="D1452" s="56">
        <v>42794</v>
      </c>
      <c r="E1452" s="33" t="s">
        <v>724</v>
      </c>
      <c r="F1452" s="69" t="s">
        <v>380</v>
      </c>
      <c r="G1452" s="69" t="str">
        <f t="shared" si="22"/>
        <v>User Registration</v>
      </c>
      <c r="H1452" s="69" t="s">
        <v>807</v>
      </c>
      <c r="I1452" s="69" t="s">
        <v>1492</v>
      </c>
      <c r="J1452" s="69" t="s">
        <v>1491</v>
      </c>
      <c r="K1452" s="69" t="s">
        <v>1491</v>
      </c>
      <c r="L1452" s="253">
        <v>0.63537062937062916</v>
      </c>
      <c r="M1452" s="253">
        <v>0.64207825864859525</v>
      </c>
      <c r="N1452" s="253">
        <v>0.57656249999999998</v>
      </c>
      <c r="O1452" s="253">
        <v>0.66593376747332234</v>
      </c>
      <c r="P1452" s="253">
        <v>0.63363636363636344</v>
      </c>
      <c r="Q1452" s="253">
        <v>0.5960227272727272</v>
      </c>
      <c r="R1452" s="253">
        <v>0.63522060421647453</v>
      </c>
      <c r="S1452" s="253">
        <v>0.64653465346534644</v>
      </c>
      <c r="T1452" s="253">
        <v>0.65697674418604646</v>
      </c>
      <c r="U1452" s="253">
        <v>0.67318435754189943</v>
      </c>
      <c r="V1452" s="253"/>
      <c r="W1452" s="253">
        <v>0.57656249999999998</v>
      </c>
      <c r="X1452" s="253"/>
      <c r="Y1452" s="253">
        <v>0.68809523809523798</v>
      </c>
      <c r="Z1452" s="253">
        <v>0.64230769230769236</v>
      </c>
      <c r="AA1452" s="253"/>
      <c r="AB1452" s="253"/>
      <c r="AC1452" s="253"/>
      <c r="AD1452" s="253"/>
      <c r="AE1452" s="253"/>
    </row>
    <row r="1453" spans="1:31">
      <c r="A1453" s="33">
        <v>1452</v>
      </c>
      <c r="B1453" s="69" t="s">
        <v>1491</v>
      </c>
      <c r="C1453" s="69" t="s">
        <v>1203</v>
      </c>
      <c r="D1453" s="56">
        <v>42794</v>
      </c>
      <c r="E1453" s="33" t="s">
        <v>724</v>
      </c>
      <c r="F1453" s="69" t="s">
        <v>380</v>
      </c>
      <c r="G1453" s="69" t="str">
        <f t="shared" si="22"/>
        <v>User Registration</v>
      </c>
      <c r="H1453" s="69" t="s">
        <v>807</v>
      </c>
      <c r="I1453" s="69" t="s">
        <v>1492</v>
      </c>
      <c r="J1453" s="69" t="s">
        <v>1491</v>
      </c>
      <c r="K1453" s="69" t="s">
        <v>1494</v>
      </c>
      <c r="L1453" s="253">
        <v>0.63471048951048947</v>
      </c>
      <c r="M1453" s="253">
        <v>0.61859899500689819</v>
      </c>
      <c r="N1453" s="253">
        <v>0.58281249999999996</v>
      </c>
      <c r="O1453" s="253">
        <v>0.64645470627164325</v>
      </c>
      <c r="P1453" s="253">
        <v>0.6212727272727272</v>
      </c>
      <c r="Q1453" s="253">
        <v>0.57613636363636356</v>
      </c>
      <c r="R1453" s="253">
        <v>0.6012497283199304</v>
      </c>
      <c r="S1453" s="253">
        <v>0.61237623762376237</v>
      </c>
      <c r="T1453" s="253">
        <v>0.58139534883720934</v>
      </c>
      <c r="U1453" s="253">
        <v>0.66927374301675979</v>
      </c>
      <c r="V1453" s="253"/>
      <c r="W1453" s="253">
        <v>0.58281249999999996</v>
      </c>
      <c r="X1453" s="253"/>
      <c r="Y1453" s="253">
        <v>0.65333333333333332</v>
      </c>
      <c r="Z1453" s="253">
        <v>0.68846153846153846</v>
      </c>
      <c r="AA1453" s="253"/>
      <c r="AB1453" s="253"/>
      <c r="AC1453" s="253"/>
      <c r="AD1453" s="253"/>
      <c r="AE1453" s="253"/>
    </row>
    <row r="1454" spans="1:31">
      <c r="A1454" s="33">
        <v>1453</v>
      </c>
      <c r="B1454" s="69" t="s">
        <v>1491</v>
      </c>
      <c r="C1454" s="69" t="s">
        <v>1203</v>
      </c>
      <c r="D1454" s="56">
        <v>42794</v>
      </c>
      <c r="E1454" s="33" t="s">
        <v>724</v>
      </c>
      <c r="F1454" s="69" t="s">
        <v>380</v>
      </c>
      <c r="G1454" s="69" t="str">
        <f t="shared" si="22"/>
        <v>User Registration</v>
      </c>
      <c r="H1454" s="69" t="s">
        <v>807</v>
      </c>
      <c r="I1454" s="69" t="s">
        <v>1492</v>
      </c>
      <c r="J1454" s="69" t="s">
        <v>1491</v>
      </c>
      <c r="K1454" s="69" t="s">
        <v>1495</v>
      </c>
      <c r="L1454" s="253">
        <v>0.67612307692307694</v>
      </c>
      <c r="M1454" s="253">
        <v>0.62985346595921266</v>
      </c>
      <c r="N1454" s="253">
        <v>0.65937500000000004</v>
      </c>
      <c r="O1454" s="253">
        <v>0.64208981832413914</v>
      </c>
      <c r="P1454" s="253">
        <v>0.67400000000000004</v>
      </c>
      <c r="Q1454" s="253">
        <v>0.69602272727272729</v>
      </c>
      <c r="R1454" s="253">
        <v>0.58047163660073897</v>
      </c>
      <c r="S1454" s="253">
        <v>0.62376237623762387</v>
      </c>
      <c r="T1454" s="253">
        <v>0.57267441860465118</v>
      </c>
      <c r="U1454" s="253">
        <v>0.6435754189944134</v>
      </c>
      <c r="V1454" s="253"/>
      <c r="W1454" s="253">
        <v>0.65937500000000004</v>
      </c>
      <c r="X1454" s="253"/>
      <c r="Y1454" s="253">
        <v>0.63809523809523816</v>
      </c>
      <c r="Z1454" s="253">
        <v>0.68461538461538463</v>
      </c>
      <c r="AA1454" s="253"/>
      <c r="AB1454" s="253"/>
      <c r="AC1454" s="253"/>
      <c r="AD1454" s="253"/>
      <c r="AE1454" s="253"/>
    </row>
    <row r="1455" spans="1:31">
      <c r="A1455" s="33">
        <v>1454</v>
      </c>
      <c r="B1455" s="69" t="s">
        <v>1491</v>
      </c>
      <c r="C1455" s="69" t="s">
        <v>1203</v>
      </c>
      <c r="D1455" s="56">
        <v>42794</v>
      </c>
      <c r="E1455" s="33" t="s">
        <v>724</v>
      </c>
      <c r="F1455" s="69" t="s">
        <v>380</v>
      </c>
      <c r="G1455" s="69" t="str">
        <f t="shared" si="22"/>
        <v>User Registration</v>
      </c>
      <c r="H1455" s="69" t="s">
        <v>807</v>
      </c>
      <c r="I1455" s="69" t="s">
        <v>1492</v>
      </c>
      <c r="J1455" s="69" t="s">
        <v>1491</v>
      </c>
      <c r="K1455" s="69" t="s">
        <v>1496</v>
      </c>
      <c r="L1455" s="253">
        <v>0.61792447552447571</v>
      </c>
      <c r="M1455" s="253">
        <v>0.6381937366892324</v>
      </c>
      <c r="N1455" s="253">
        <v>0.65156250000000004</v>
      </c>
      <c r="O1455" s="253">
        <v>0.66230922516669244</v>
      </c>
      <c r="P1455" s="253">
        <v>0.59163636363636374</v>
      </c>
      <c r="Q1455" s="253">
        <v>0.6477272727272726</v>
      </c>
      <c r="R1455" s="253">
        <v>0.59159965224951094</v>
      </c>
      <c r="S1455" s="253">
        <v>0.6638613861386139</v>
      </c>
      <c r="T1455" s="253">
        <v>0.6191860465116279</v>
      </c>
      <c r="U1455" s="253">
        <v>0.63407821229050276</v>
      </c>
      <c r="V1455" s="253"/>
      <c r="W1455" s="253">
        <v>0.65156250000000004</v>
      </c>
      <c r="X1455" s="253"/>
      <c r="Y1455" s="253">
        <v>0.65952380952380951</v>
      </c>
      <c r="Z1455" s="253">
        <v>0.72307692307692317</v>
      </c>
      <c r="AA1455" s="253"/>
      <c r="AB1455" s="253"/>
      <c r="AC1455" s="253"/>
      <c r="AD1455" s="253"/>
      <c r="AE1455" s="253"/>
    </row>
    <row r="1456" spans="1:31">
      <c r="A1456" s="33">
        <v>1455</v>
      </c>
      <c r="B1456" s="69" t="s">
        <v>1491</v>
      </c>
      <c r="C1456" s="69" t="s">
        <v>1203</v>
      </c>
      <c r="D1456" s="56">
        <v>42794</v>
      </c>
      <c r="E1456" s="33" t="s">
        <v>724</v>
      </c>
      <c r="F1456" s="69" t="s">
        <v>380</v>
      </c>
      <c r="G1456" s="69" t="str">
        <f t="shared" si="22"/>
        <v>User Registration</v>
      </c>
      <c r="H1456" s="69" t="s">
        <v>807</v>
      </c>
      <c r="I1456" s="69" t="s">
        <v>1492</v>
      </c>
      <c r="J1456" s="69" t="s">
        <v>1491</v>
      </c>
      <c r="K1456" s="69" t="s">
        <v>1497</v>
      </c>
      <c r="L1456" s="253">
        <v>0.61187132867132865</v>
      </c>
      <c r="M1456" s="253">
        <v>0.54896664908840309</v>
      </c>
      <c r="N1456" s="253">
        <v>0.45468750000000002</v>
      </c>
      <c r="O1456" s="253">
        <v>0.545313307225328</v>
      </c>
      <c r="P1456" s="253">
        <v>0.59945454545454546</v>
      </c>
      <c r="Q1456" s="253">
        <v>0.61136363636363633</v>
      </c>
      <c r="R1456" s="253">
        <v>0.55643338404694631</v>
      </c>
      <c r="S1456" s="253">
        <v>0.51386138613861387</v>
      </c>
      <c r="T1456" s="253">
        <v>0.43313953488372098</v>
      </c>
      <c r="U1456" s="253">
        <v>0.54413407821229043</v>
      </c>
      <c r="V1456" s="253"/>
      <c r="W1456" s="253">
        <v>0.45468750000000002</v>
      </c>
      <c r="X1456" s="253"/>
      <c r="Y1456" s="253">
        <v>0.50476190476190474</v>
      </c>
      <c r="Z1456" s="253">
        <v>0.66153846153846152</v>
      </c>
      <c r="AA1456" s="253"/>
      <c r="AB1456" s="253"/>
      <c r="AC1456" s="253"/>
      <c r="AD1456" s="253"/>
      <c r="AE1456" s="253"/>
    </row>
    <row r="1457" spans="1:31">
      <c r="A1457" s="33">
        <v>1456</v>
      </c>
      <c r="B1457" s="69" t="s">
        <v>1484</v>
      </c>
      <c r="C1457" s="69" t="s">
        <v>740</v>
      </c>
      <c r="D1457" s="56">
        <v>42803</v>
      </c>
      <c r="E1457" s="33" t="s">
        <v>724</v>
      </c>
      <c r="F1457" s="69" t="s">
        <v>532</v>
      </c>
      <c r="G1457" s="69" t="str">
        <f t="shared" si="22"/>
        <v>Both</v>
      </c>
      <c r="H1457" s="69" t="s">
        <v>508</v>
      </c>
      <c r="I1457" s="69" t="s">
        <v>1485</v>
      </c>
      <c r="J1457" s="69" t="s">
        <v>1484</v>
      </c>
      <c r="K1457" s="69" t="s">
        <v>1484</v>
      </c>
      <c r="L1457" s="253">
        <v>0.57383174877556897</v>
      </c>
      <c r="M1457" s="253">
        <v>0.64006055426537056</v>
      </c>
      <c r="N1457" s="253">
        <v>0.63566176470588232</v>
      </c>
      <c r="O1457" s="253">
        <v>0.62817566568136562</v>
      </c>
      <c r="P1457" s="253">
        <v>0.57209737827715357</v>
      </c>
      <c r="Q1457" s="253">
        <v>0.70679012345678993</v>
      </c>
      <c r="R1457" s="253">
        <v>0.64791128337639969</v>
      </c>
      <c r="S1457" s="253">
        <v>0.57692307692307698</v>
      </c>
      <c r="T1457" s="253">
        <v>0.62790697674418605</v>
      </c>
      <c r="U1457" s="253">
        <v>0.66034482758620694</v>
      </c>
      <c r="V1457" s="253">
        <v>0.17290640394088669</v>
      </c>
      <c r="W1457" s="253">
        <v>0.68</v>
      </c>
      <c r="X1457" s="253">
        <v>0.56176470588235294</v>
      </c>
      <c r="Y1457" s="253">
        <v>0.63571428571428568</v>
      </c>
      <c r="Z1457" s="253">
        <v>0.58076923076923082</v>
      </c>
      <c r="AA1457" s="253"/>
      <c r="AB1457" s="253"/>
      <c r="AC1457" s="253"/>
      <c r="AD1457" s="253"/>
      <c r="AE1457" s="253"/>
    </row>
    <row r="1458" spans="1:31">
      <c r="A1458" s="33">
        <v>1457</v>
      </c>
      <c r="B1458" s="69" t="s">
        <v>1484</v>
      </c>
      <c r="C1458" s="69" t="s">
        <v>740</v>
      </c>
      <c r="D1458" s="56">
        <v>42803</v>
      </c>
      <c r="E1458" s="33" t="s">
        <v>724</v>
      </c>
      <c r="F1458" s="69" t="s">
        <v>532</v>
      </c>
      <c r="G1458" s="69" t="str">
        <f t="shared" si="22"/>
        <v>Both</v>
      </c>
      <c r="H1458" s="69" t="s">
        <v>508</v>
      </c>
      <c r="I1458" s="69" t="s">
        <v>1485</v>
      </c>
      <c r="J1458" s="69" t="s">
        <v>1484</v>
      </c>
      <c r="K1458" s="69" t="s">
        <v>1486</v>
      </c>
      <c r="L1458" s="253">
        <v>0.59119850187265921</v>
      </c>
      <c r="M1458" s="253">
        <v>0.54481710976486841</v>
      </c>
      <c r="N1458" s="253">
        <v>0.5286764705882353</v>
      </c>
      <c r="O1458" s="253">
        <v>0.56306318078148898</v>
      </c>
      <c r="P1458" s="253">
        <v>0.60149812734082397</v>
      </c>
      <c r="Q1458" s="253">
        <v>0.43395061728395062</v>
      </c>
      <c r="R1458" s="253">
        <v>0.58546511627906972</v>
      </c>
      <c r="S1458" s="253">
        <v>0.55528846153846156</v>
      </c>
      <c r="T1458" s="253">
        <v>0.59883720930232553</v>
      </c>
      <c r="U1458" s="253">
        <v>0.55000000000000004</v>
      </c>
      <c r="V1458" s="253">
        <v>0.11822660098522167</v>
      </c>
      <c r="W1458" s="253">
        <v>0.5</v>
      </c>
      <c r="X1458" s="253">
        <v>0.57647058823529407</v>
      </c>
      <c r="Y1458" s="253">
        <v>0.57619047619047625</v>
      </c>
      <c r="Z1458" s="253">
        <v>0.55000000000000004</v>
      </c>
      <c r="AA1458" s="253"/>
      <c r="AB1458" s="253"/>
      <c r="AC1458" s="253"/>
      <c r="AD1458" s="253"/>
      <c r="AE1458" s="253"/>
    </row>
    <row r="1459" spans="1:31">
      <c r="A1459" s="33">
        <v>1458</v>
      </c>
      <c r="B1459" s="69" t="s">
        <v>1484</v>
      </c>
      <c r="C1459" s="69" t="s">
        <v>740</v>
      </c>
      <c r="D1459" s="56">
        <v>42803</v>
      </c>
      <c r="E1459" s="33" t="s">
        <v>724</v>
      </c>
      <c r="F1459" s="69" t="s">
        <v>532</v>
      </c>
      <c r="G1459" s="69" t="str">
        <f t="shared" si="22"/>
        <v>Both</v>
      </c>
      <c r="H1459" s="69" t="s">
        <v>508</v>
      </c>
      <c r="I1459" s="69" t="s">
        <v>1485</v>
      </c>
      <c r="J1459" s="69" t="s">
        <v>1484</v>
      </c>
      <c r="K1459" s="69" t="s">
        <v>1487</v>
      </c>
      <c r="L1459" s="253">
        <v>0.6105185825410544</v>
      </c>
      <c r="M1459" s="253">
        <v>0.65937735680625875</v>
      </c>
      <c r="N1459" s="253">
        <v>0.68345588235294108</v>
      </c>
      <c r="O1459" s="253">
        <v>0.63145714822071397</v>
      </c>
      <c r="P1459" s="253">
        <v>0.60449438202247185</v>
      </c>
      <c r="Q1459" s="253">
        <v>0.68827160493827155</v>
      </c>
      <c r="R1459" s="253">
        <v>0.69689922480620159</v>
      </c>
      <c r="S1459" s="253">
        <v>0.62980769230769229</v>
      </c>
      <c r="T1459" s="253">
        <v>0.67441860465116277</v>
      </c>
      <c r="U1459" s="253">
        <v>0.62327586206896568</v>
      </c>
      <c r="V1459" s="253">
        <v>0.17290640394088672</v>
      </c>
      <c r="W1459" s="253">
        <v>0.7</v>
      </c>
      <c r="X1459" s="253">
        <v>0.65588235294117647</v>
      </c>
      <c r="Y1459" s="253">
        <v>0.61190476190476184</v>
      </c>
      <c r="Z1459" s="253">
        <v>0.63461538461538458</v>
      </c>
      <c r="AA1459" s="253"/>
      <c r="AB1459" s="253"/>
      <c r="AC1459" s="253"/>
      <c r="AD1459" s="253"/>
      <c r="AE1459" s="253"/>
    </row>
    <row r="1460" spans="1:31">
      <c r="A1460" s="33">
        <v>1459</v>
      </c>
      <c r="B1460" s="69" t="s">
        <v>1484</v>
      </c>
      <c r="C1460" s="69" t="s">
        <v>740</v>
      </c>
      <c r="D1460" s="56">
        <v>42803</v>
      </c>
      <c r="E1460" s="33" t="s">
        <v>724</v>
      </c>
      <c r="F1460" s="69" t="s">
        <v>532</v>
      </c>
      <c r="G1460" s="69" t="str">
        <f t="shared" si="22"/>
        <v>Both</v>
      </c>
      <c r="H1460" s="69" t="s">
        <v>508</v>
      </c>
      <c r="I1460" s="69" t="s">
        <v>1485</v>
      </c>
      <c r="J1460" s="69" t="s">
        <v>1484</v>
      </c>
      <c r="K1460" s="69" t="s">
        <v>1488</v>
      </c>
      <c r="L1460" s="253">
        <v>0.64387496398732358</v>
      </c>
      <c r="M1460" s="253">
        <v>0.62150758914586302</v>
      </c>
      <c r="N1460" s="253">
        <v>0.59499999999999997</v>
      </c>
      <c r="O1460" s="253">
        <v>0.57104598663821182</v>
      </c>
      <c r="P1460" s="253">
        <v>0.6558052434456928</v>
      </c>
      <c r="Q1460" s="253">
        <v>0.55864197530864201</v>
      </c>
      <c r="R1460" s="253">
        <v>0.61640826873385013</v>
      </c>
      <c r="S1460" s="253">
        <v>0.67548076923076916</v>
      </c>
      <c r="T1460" s="253">
        <v>0.63953488372093026</v>
      </c>
      <c r="U1460" s="253">
        <v>0.63304597701149423</v>
      </c>
      <c r="V1460" s="253">
        <v>0.13251231527093596</v>
      </c>
      <c r="W1460" s="253">
        <v>0.57999999999999996</v>
      </c>
      <c r="X1460" s="253">
        <v>0.62000000000000011</v>
      </c>
      <c r="Y1460" s="253">
        <v>0.54523809523809519</v>
      </c>
      <c r="Z1460" s="253">
        <v>0.59615384615384615</v>
      </c>
      <c r="AA1460" s="253"/>
      <c r="AB1460" s="253"/>
      <c r="AC1460" s="253"/>
      <c r="AD1460" s="253"/>
      <c r="AE1460" s="253"/>
    </row>
    <row r="1461" spans="1:31">
      <c r="A1461" s="33">
        <v>1460</v>
      </c>
      <c r="B1461" s="69" t="s">
        <v>1484</v>
      </c>
      <c r="C1461" s="69" t="s">
        <v>740</v>
      </c>
      <c r="D1461" s="56">
        <v>42803</v>
      </c>
      <c r="E1461" s="33" t="s">
        <v>724</v>
      </c>
      <c r="F1461" s="69" t="s">
        <v>532</v>
      </c>
      <c r="G1461" s="69" t="str">
        <f t="shared" si="22"/>
        <v>Both</v>
      </c>
      <c r="H1461" s="69" t="s">
        <v>508</v>
      </c>
      <c r="I1461" s="69" t="s">
        <v>1485</v>
      </c>
      <c r="J1461" s="69" t="s">
        <v>1484</v>
      </c>
      <c r="K1461" s="69" t="s">
        <v>1489</v>
      </c>
      <c r="L1461" s="253">
        <v>0.59608182080092187</v>
      </c>
      <c r="M1461" s="253">
        <v>0.60386648506396778</v>
      </c>
      <c r="N1461" s="253">
        <v>0.5676470588235295</v>
      </c>
      <c r="O1461" s="253">
        <v>0.59662193142015307</v>
      </c>
      <c r="P1461" s="253">
        <v>0.61048689138576784</v>
      </c>
      <c r="Q1461" s="253">
        <v>0.60185185185185186</v>
      </c>
      <c r="R1461" s="253">
        <v>0.63357019810508186</v>
      </c>
      <c r="S1461" s="253">
        <v>0.61057692307692313</v>
      </c>
      <c r="T1461" s="253">
        <v>0.62209302325581395</v>
      </c>
      <c r="U1461" s="253">
        <v>0.58563218390804606</v>
      </c>
      <c r="V1461" s="253">
        <v>0.14679802955665028</v>
      </c>
      <c r="W1461" s="253">
        <v>0.55000000000000004</v>
      </c>
      <c r="X1461" s="253">
        <v>0.59705882352941186</v>
      </c>
      <c r="Y1461" s="253">
        <v>0.60476190476190472</v>
      </c>
      <c r="Z1461" s="253">
        <v>0.53846153846153855</v>
      </c>
      <c r="AA1461" s="253"/>
      <c r="AB1461" s="253"/>
      <c r="AC1461" s="253"/>
      <c r="AD1461" s="253"/>
      <c r="AE1461" s="253"/>
    </row>
    <row r="1462" spans="1:31">
      <c r="A1462" s="33">
        <v>1461</v>
      </c>
      <c r="B1462" s="69" t="s">
        <v>1484</v>
      </c>
      <c r="C1462" s="69" t="s">
        <v>740</v>
      </c>
      <c r="D1462" s="56">
        <v>42803</v>
      </c>
      <c r="E1462" s="33" t="s">
        <v>724</v>
      </c>
      <c r="F1462" s="69" t="s">
        <v>532</v>
      </c>
      <c r="G1462" s="69" t="str">
        <f t="shared" si="22"/>
        <v>Both</v>
      </c>
      <c r="H1462" s="69" t="s">
        <v>508</v>
      </c>
      <c r="I1462" s="69" t="s">
        <v>1485</v>
      </c>
      <c r="J1462" s="69" t="s">
        <v>1484</v>
      </c>
      <c r="K1462" s="69" t="s">
        <v>1490</v>
      </c>
      <c r="L1462" s="253">
        <v>0.53565831172572742</v>
      </c>
      <c r="M1462" s="253">
        <v>0.56434598410064163</v>
      </c>
      <c r="N1462" s="253">
        <v>0.56433823529411753</v>
      </c>
      <c r="O1462" s="253">
        <v>0.5282474962422522</v>
      </c>
      <c r="P1462" s="253">
        <v>0.53014981273408235</v>
      </c>
      <c r="Q1462" s="253">
        <v>0.59197530864197523</v>
      </c>
      <c r="R1462" s="253">
        <v>0.51703273040482345</v>
      </c>
      <c r="S1462" s="253">
        <v>0.51442307692307698</v>
      </c>
      <c r="T1462" s="253">
        <v>0.55232558139534893</v>
      </c>
      <c r="U1462" s="253">
        <v>0.63936781609195392</v>
      </c>
      <c r="V1462" s="253">
        <v>0.14729064039408868</v>
      </c>
      <c r="W1462" s="253">
        <v>0.52</v>
      </c>
      <c r="X1462" s="253">
        <v>0.63823529411764701</v>
      </c>
      <c r="Y1462" s="253">
        <v>0.51666666666666661</v>
      </c>
      <c r="Z1462" s="253">
        <v>0.55769230769230771</v>
      </c>
      <c r="AA1462" s="253"/>
      <c r="AB1462" s="253"/>
      <c r="AC1462" s="253"/>
      <c r="AD1462" s="253"/>
      <c r="AE1462" s="253"/>
    </row>
    <row r="1463" spans="1:31">
      <c r="A1463" s="33">
        <v>1462</v>
      </c>
      <c r="B1463" s="69" t="s">
        <v>1473</v>
      </c>
      <c r="C1463" s="69" t="s">
        <v>1330</v>
      </c>
      <c r="D1463" s="56">
        <v>42815</v>
      </c>
      <c r="E1463" s="33" t="s">
        <v>724</v>
      </c>
      <c r="F1463" s="69" t="s">
        <v>755</v>
      </c>
      <c r="G1463" s="69" t="str">
        <f t="shared" si="22"/>
        <v>E-Commerce</v>
      </c>
      <c r="H1463" s="69" t="s">
        <v>364</v>
      </c>
      <c r="I1463" s="69" t="s">
        <v>1474</v>
      </c>
      <c r="J1463" s="69" t="s">
        <v>1473</v>
      </c>
      <c r="K1463" s="69" t="s">
        <v>1473</v>
      </c>
      <c r="L1463" s="253">
        <v>0.5887608391608391</v>
      </c>
      <c r="M1463" s="253">
        <v>0.61980631722922463</v>
      </c>
      <c r="N1463" s="253">
        <v>0.64604651162790705</v>
      </c>
      <c r="O1463" s="253">
        <v>0.59475560450100851</v>
      </c>
      <c r="P1463" s="253">
        <v>0.58018181818181813</v>
      </c>
      <c r="Q1463" s="253">
        <v>0.64864864864864868</v>
      </c>
      <c r="R1463" s="253">
        <v>0.58841278986029089</v>
      </c>
      <c r="S1463" s="253">
        <v>0.58679245283018866</v>
      </c>
      <c r="T1463" s="253">
        <v>0.62786259541984735</v>
      </c>
      <c r="U1463" s="253">
        <v>0.64839506172839512</v>
      </c>
      <c r="V1463" s="253">
        <v>0.64604651162790705</v>
      </c>
      <c r="W1463" s="253"/>
      <c r="X1463" s="253"/>
      <c r="Y1463" s="253">
        <v>0.58293478260869558</v>
      </c>
      <c r="Z1463" s="253">
        <v>0.62307692307692308</v>
      </c>
      <c r="AA1463" s="253"/>
      <c r="AB1463" s="253"/>
      <c r="AC1463" s="253"/>
      <c r="AD1463" s="253"/>
      <c r="AE1463" s="253"/>
    </row>
    <row r="1464" spans="1:31">
      <c r="A1464" s="33">
        <v>1463</v>
      </c>
      <c r="B1464" s="69" t="s">
        <v>1473</v>
      </c>
      <c r="C1464" s="69" t="s">
        <v>1330</v>
      </c>
      <c r="D1464" s="56">
        <v>42815</v>
      </c>
      <c r="E1464" s="33" t="s">
        <v>724</v>
      </c>
      <c r="F1464" s="69" t="s">
        <v>755</v>
      </c>
      <c r="G1464" s="69" t="str">
        <f t="shared" si="22"/>
        <v>E-Commerce</v>
      </c>
      <c r="H1464" s="69" t="s">
        <v>364</v>
      </c>
      <c r="I1464" s="69" t="s">
        <v>1474</v>
      </c>
      <c r="J1464" s="69" t="s">
        <v>1473</v>
      </c>
      <c r="K1464" s="69" t="s">
        <v>1475</v>
      </c>
      <c r="L1464" s="253">
        <v>0.61139300699300703</v>
      </c>
      <c r="M1464" s="253">
        <v>0.63527819005351382</v>
      </c>
      <c r="N1464" s="253">
        <v>0.58372093023255811</v>
      </c>
      <c r="O1464" s="253">
        <v>0.64284514743997012</v>
      </c>
      <c r="P1464" s="253">
        <v>0.59981818181818192</v>
      </c>
      <c r="Q1464" s="253">
        <v>0.67567567567567566</v>
      </c>
      <c r="R1464" s="253">
        <v>0.63592107158288913</v>
      </c>
      <c r="S1464" s="253">
        <v>0.63820754716981143</v>
      </c>
      <c r="T1464" s="253">
        <v>0.61679389312977095</v>
      </c>
      <c r="U1464" s="253">
        <v>0.60209876543209873</v>
      </c>
      <c r="V1464" s="253">
        <v>0.58372093023255811</v>
      </c>
      <c r="W1464" s="253"/>
      <c r="X1464" s="253"/>
      <c r="Y1464" s="253">
        <v>0.63695652173913042</v>
      </c>
      <c r="Z1464" s="253">
        <v>0.65769230769230769</v>
      </c>
      <c r="AA1464" s="253"/>
      <c r="AB1464" s="253"/>
      <c r="AC1464" s="253"/>
      <c r="AD1464" s="253"/>
      <c r="AE1464" s="253"/>
    </row>
    <row r="1465" spans="1:31">
      <c r="A1465" s="33">
        <v>1464</v>
      </c>
      <c r="B1465" s="69" t="s">
        <v>1473</v>
      </c>
      <c r="C1465" s="69" t="s">
        <v>1330</v>
      </c>
      <c r="D1465" s="56">
        <v>42815</v>
      </c>
      <c r="E1465" s="33" t="s">
        <v>724</v>
      </c>
      <c r="F1465" s="69" t="s">
        <v>755</v>
      </c>
      <c r="G1465" s="69" t="str">
        <f t="shared" si="22"/>
        <v>E-Commerce</v>
      </c>
      <c r="H1465" s="69" t="s">
        <v>364</v>
      </c>
      <c r="I1465" s="69" t="s">
        <v>1474</v>
      </c>
      <c r="J1465" s="69" t="s">
        <v>1473</v>
      </c>
      <c r="K1465" s="69" t="s">
        <v>1476</v>
      </c>
      <c r="L1465" s="253">
        <v>0.60251468531468533</v>
      </c>
      <c r="M1465" s="253">
        <v>0.6370855798694911</v>
      </c>
      <c r="N1465" s="253">
        <v>0.60418604651162788</v>
      </c>
      <c r="O1465" s="253">
        <v>0.61587187330300508</v>
      </c>
      <c r="P1465" s="253">
        <v>0.60218181818181815</v>
      </c>
      <c r="Q1465" s="253">
        <v>0.62986486486486493</v>
      </c>
      <c r="R1465" s="253">
        <v>0.65782082673196041</v>
      </c>
      <c r="S1465" s="253">
        <v>0.64103773584905666</v>
      </c>
      <c r="T1465" s="253">
        <v>0.65381679389312986</v>
      </c>
      <c r="U1465" s="253">
        <v>0.62222222222222212</v>
      </c>
      <c r="V1465" s="253">
        <v>0.60418604651162788</v>
      </c>
      <c r="W1465" s="253"/>
      <c r="X1465" s="253"/>
      <c r="Y1465" s="253">
        <v>0.60717391304347823</v>
      </c>
      <c r="Z1465" s="253">
        <v>0.60384615384615381</v>
      </c>
      <c r="AA1465" s="253"/>
      <c r="AB1465" s="253"/>
      <c r="AC1465" s="253"/>
      <c r="AD1465" s="253"/>
      <c r="AE1465" s="253"/>
    </row>
    <row r="1466" spans="1:31">
      <c r="A1466" s="33">
        <v>1465</v>
      </c>
      <c r="B1466" s="69" t="s">
        <v>1473</v>
      </c>
      <c r="C1466" s="69" t="s">
        <v>1330</v>
      </c>
      <c r="D1466" s="56">
        <v>42815</v>
      </c>
      <c r="E1466" s="33" t="s">
        <v>724</v>
      </c>
      <c r="F1466" s="69" t="s">
        <v>755</v>
      </c>
      <c r="G1466" s="69" t="str">
        <f t="shared" si="22"/>
        <v>E-Commerce</v>
      </c>
      <c r="H1466" s="69" t="s">
        <v>364</v>
      </c>
      <c r="I1466" s="69" t="s">
        <v>1474</v>
      </c>
      <c r="J1466" s="69" t="s">
        <v>1473</v>
      </c>
      <c r="K1466" s="69" t="s">
        <v>1477</v>
      </c>
      <c r="L1466" s="253">
        <v>0.57294265734265737</v>
      </c>
      <c r="M1466" s="253">
        <v>0.57064663459259612</v>
      </c>
      <c r="N1466" s="253">
        <v>0.63418604651162791</v>
      </c>
      <c r="O1466" s="253">
        <v>0.55258474802472635</v>
      </c>
      <c r="P1466" s="253">
        <v>0.57290909090909092</v>
      </c>
      <c r="Q1466" s="253">
        <v>0.60608108108108105</v>
      </c>
      <c r="R1466" s="253">
        <v>0.59541984732824427</v>
      </c>
      <c r="S1466" s="253">
        <v>0.4745283018867924</v>
      </c>
      <c r="T1466" s="253">
        <v>0.60190839694656484</v>
      </c>
      <c r="U1466" s="253">
        <v>0.57469135802469129</v>
      </c>
      <c r="V1466" s="253">
        <v>0.63418604651162791</v>
      </c>
      <c r="W1466" s="253"/>
      <c r="X1466" s="253"/>
      <c r="Y1466" s="253">
        <v>0.54032608695652173</v>
      </c>
      <c r="Z1466" s="253">
        <v>0.57307692307692304</v>
      </c>
      <c r="AA1466" s="253"/>
      <c r="AB1466" s="253"/>
      <c r="AC1466" s="253"/>
      <c r="AD1466" s="253"/>
      <c r="AE1466" s="253"/>
    </row>
    <row r="1467" spans="1:31">
      <c r="A1467" s="33">
        <v>1466</v>
      </c>
      <c r="B1467" s="69" t="s">
        <v>1478</v>
      </c>
      <c r="C1467" s="69" t="s">
        <v>1330</v>
      </c>
      <c r="D1467" s="56">
        <v>42815</v>
      </c>
      <c r="E1467" s="33" t="s">
        <v>724</v>
      </c>
      <c r="F1467" s="69" t="s">
        <v>755</v>
      </c>
      <c r="G1467" s="69" t="str">
        <f t="shared" si="22"/>
        <v>User Registration</v>
      </c>
      <c r="H1467" s="69" t="s">
        <v>1479</v>
      </c>
      <c r="I1467" s="69" t="s">
        <v>1479</v>
      </c>
      <c r="J1467" s="69" t="s">
        <v>1478</v>
      </c>
      <c r="K1467" s="69" t="s">
        <v>1478</v>
      </c>
      <c r="L1467" s="253">
        <v>0.60083076923076917</v>
      </c>
      <c r="M1467" s="253">
        <v>0.60322575314630666</v>
      </c>
      <c r="N1467" s="253">
        <v>0.60928308823529409</v>
      </c>
      <c r="O1467" s="253">
        <v>0.59885929609046629</v>
      </c>
      <c r="P1467" s="253">
        <v>0.60199999999999998</v>
      </c>
      <c r="Q1467" s="253">
        <v>0.59864864864864864</v>
      </c>
      <c r="R1467" s="253">
        <v>0.57097551184263351</v>
      </c>
      <c r="S1467" s="253">
        <v>0.62980769230769229</v>
      </c>
      <c r="T1467" s="253">
        <v>0.60372340425531912</v>
      </c>
      <c r="U1467" s="253">
        <v>0.62040229885057474</v>
      </c>
      <c r="V1467" s="253"/>
      <c r="W1467" s="253">
        <v>0.59843749999999996</v>
      </c>
      <c r="X1467" s="253">
        <v>0.61470588235294121</v>
      </c>
      <c r="Y1467" s="253">
        <v>0.60217391304347823</v>
      </c>
      <c r="Z1467" s="253">
        <v>0.59615384615384615</v>
      </c>
      <c r="AA1467" s="253"/>
      <c r="AB1467" s="253"/>
      <c r="AC1467" s="253"/>
      <c r="AD1467" s="253"/>
      <c r="AE1467" s="253"/>
    </row>
    <row r="1468" spans="1:31">
      <c r="A1468" s="33">
        <v>1467</v>
      </c>
      <c r="B1468" s="69" t="s">
        <v>1478</v>
      </c>
      <c r="C1468" s="69" t="s">
        <v>1330</v>
      </c>
      <c r="D1468" s="56">
        <v>42815</v>
      </c>
      <c r="E1468" s="33" t="s">
        <v>724</v>
      </c>
      <c r="F1468" s="69" t="s">
        <v>755</v>
      </c>
      <c r="G1468" s="69" t="str">
        <f t="shared" si="22"/>
        <v>User Registration</v>
      </c>
      <c r="H1468" s="69" t="s">
        <v>1479</v>
      </c>
      <c r="I1468" s="69" t="s">
        <v>1479</v>
      </c>
      <c r="J1468" s="69" t="s">
        <v>1478</v>
      </c>
      <c r="K1468" s="69" t="s">
        <v>1480</v>
      </c>
      <c r="L1468" s="253">
        <v>0.56281398601398602</v>
      </c>
      <c r="M1468" s="253">
        <v>0.59021677031371</v>
      </c>
      <c r="N1468" s="253">
        <v>0.61409313725490189</v>
      </c>
      <c r="O1468" s="253">
        <v>0.57032858716271295</v>
      </c>
      <c r="P1468" s="253">
        <v>0.58236363636363631</v>
      </c>
      <c r="Q1468" s="253">
        <v>0.58175675675675687</v>
      </c>
      <c r="R1468" s="253">
        <v>0.60742673625050181</v>
      </c>
      <c r="S1468" s="253">
        <v>0.60817307692307687</v>
      </c>
      <c r="T1468" s="253">
        <v>0.62978723404255321</v>
      </c>
      <c r="U1468" s="253">
        <v>0.58390804597701151</v>
      </c>
      <c r="V1468" s="253"/>
      <c r="W1468" s="253">
        <v>0.51875000000000004</v>
      </c>
      <c r="X1468" s="253">
        <v>0.66176470588235292</v>
      </c>
      <c r="Y1468" s="253">
        <v>0.58369565217391306</v>
      </c>
      <c r="Z1468" s="253">
        <v>0.48461538461538461</v>
      </c>
      <c r="AA1468" s="253"/>
      <c r="AB1468" s="253"/>
      <c r="AC1468" s="253"/>
      <c r="AD1468" s="253"/>
      <c r="AE1468" s="253"/>
    </row>
    <row r="1469" spans="1:31">
      <c r="A1469" s="33">
        <v>1468</v>
      </c>
      <c r="B1469" s="69" t="s">
        <v>1478</v>
      </c>
      <c r="C1469" s="69" t="s">
        <v>1330</v>
      </c>
      <c r="D1469" s="56">
        <v>42815</v>
      </c>
      <c r="E1469" s="33" t="s">
        <v>724</v>
      </c>
      <c r="F1469" s="69" t="s">
        <v>755</v>
      </c>
      <c r="G1469" s="69" t="str">
        <f t="shared" si="22"/>
        <v>User Registration</v>
      </c>
      <c r="H1469" s="69" t="s">
        <v>1479</v>
      </c>
      <c r="I1469" s="69" t="s">
        <v>1479</v>
      </c>
      <c r="J1469" s="69" t="s">
        <v>1478</v>
      </c>
      <c r="K1469" s="69" t="s">
        <v>1481</v>
      </c>
      <c r="L1469" s="253">
        <v>0.51250629370629364</v>
      </c>
      <c r="M1469" s="253">
        <v>0.55201363517633428</v>
      </c>
      <c r="N1469" s="253">
        <v>0.48287377450980384</v>
      </c>
      <c r="O1469" s="253">
        <v>0.51321322181956275</v>
      </c>
      <c r="P1469" s="253">
        <v>0.52236363636363636</v>
      </c>
      <c r="Q1469" s="253">
        <v>0.43648648648648647</v>
      </c>
      <c r="R1469" s="253">
        <v>0.64279405861099959</v>
      </c>
      <c r="S1469" s="253">
        <v>0.55288461538461542</v>
      </c>
      <c r="T1469" s="253">
        <v>0.62393617021276593</v>
      </c>
      <c r="U1469" s="253">
        <v>0.54137931034482756</v>
      </c>
      <c r="V1469" s="253"/>
      <c r="W1469" s="253">
        <v>0.50156250000000002</v>
      </c>
      <c r="X1469" s="253">
        <v>0.47352941176470587</v>
      </c>
      <c r="Y1469" s="253">
        <v>0.50304347826086959</v>
      </c>
      <c r="Z1469" s="253">
        <v>0.47307692307692306</v>
      </c>
      <c r="AA1469" s="253"/>
      <c r="AB1469" s="253"/>
      <c r="AC1469" s="253"/>
      <c r="AD1469" s="253"/>
      <c r="AE1469" s="253"/>
    </row>
    <row r="1470" spans="1:31">
      <c r="A1470" s="33">
        <v>1469</v>
      </c>
      <c r="B1470" s="69" t="s">
        <v>1478</v>
      </c>
      <c r="C1470" s="69" t="s">
        <v>1330</v>
      </c>
      <c r="D1470" s="56">
        <v>42815</v>
      </c>
      <c r="E1470" s="33" t="s">
        <v>724</v>
      </c>
      <c r="F1470" s="69" t="s">
        <v>755</v>
      </c>
      <c r="G1470" s="69" t="str">
        <f t="shared" si="22"/>
        <v>User Registration</v>
      </c>
      <c r="H1470" s="69" t="s">
        <v>1479</v>
      </c>
      <c r="I1470" s="69" t="s">
        <v>1479</v>
      </c>
      <c r="J1470" s="69" t="s">
        <v>1478</v>
      </c>
      <c r="K1470" s="69" t="s">
        <v>1482</v>
      </c>
      <c r="L1470" s="253">
        <v>0.5865818181818182</v>
      </c>
      <c r="M1470" s="253">
        <v>0.57827197976488043</v>
      </c>
      <c r="N1470" s="253">
        <v>0.49739583333333331</v>
      </c>
      <c r="O1470" s="253">
        <v>0.53916071727128867</v>
      </c>
      <c r="P1470" s="253">
        <v>0.62072727272727268</v>
      </c>
      <c r="Q1470" s="253">
        <v>0.55810810810810818</v>
      </c>
      <c r="R1470" s="253">
        <v>0.60688478522681655</v>
      </c>
      <c r="S1470" s="253">
        <v>0.5971153846153846</v>
      </c>
      <c r="T1470" s="253">
        <v>0.58882978723404256</v>
      </c>
      <c r="U1470" s="253">
        <v>0.59568965517241379</v>
      </c>
      <c r="V1470" s="253"/>
      <c r="W1470" s="253">
        <v>0.59218749999999998</v>
      </c>
      <c r="X1470" s="253">
        <v>0.45</v>
      </c>
      <c r="Y1470" s="253">
        <v>0.54467391304347823</v>
      </c>
      <c r="Z1470" s="253">
        <v>0.45</v>
      </c>
      <c r="AA1470" s="253"/>
      <c r="AB1470" s="253"/>
      <c r="AC1470" s="253"/>
      <c r="AD1470" s="253"/>
      <c r="AE1470" s="253"/>
    </row>
    <row r="1471" spans="1:31">
      <c r="A1471" s="33">
        <v>1470</v>
      </c>
      <c r="B1471" s="69" t="s">
        <v>1478</v>
      </c>
      <c r="C1471" s="69" t="s">
        <v>1330</v>
      </c>
      <c r="D1471" s="56">
        <v>42815</v>
      </c>
      <c r="E1471" s="33" t="s">
        <v>724</v>
      </c>
      <c r="F1471" s="69" t="s">
        <v>755</v>
      </c>
      <c r="G1471" s="69" t="str">
        <f t="shared" si="22"/>
        <v>User Registration</v>
      </c>
      <c r="H1471" s="69" t="s">
        <v>1479</v>
      </c>
      <c r="I1471" s="69" t="s">
        <v>1479</v>
      </c>
      <c r="J1471" s="69" t="s">
        <v>1478</v>
      </c>
      <c r="K1471" s="69" t="s">
        <v>1483</v>
      </c>
      <c r="L1471" s="253">
        <v>0.64719440559440555</v>
      </c>
      <c r="M1471" s="253">
        <v>0.61935643372583971</v>
      </c>
      <c r="N1471" s="253">
        <v>0.54724264705882353</v>
      </c>
      <c r="O1471" s="253">
        <v>0.6306617021611719</v>
      </c>
      <c r="P1471" s="253">
        <v>0.6474545454545455</v>
      </c>
      <c r="Q1471" s="253">
        <v>0.65067567567567564</v>
      </c>
      <c r="R1471" s="253">
        <v>0.58378161380971494</v>
      </c>
      <c r="S1471" s="253">
        <v>0.66346153846153844</v>
      </c>
      <c r="T1471" s="253">
        <v>0.64468085106382977</v>
      </c>
      <c r="U1471" s="253">
        <v>0.56867816091954027</v>
      </c>
      <c r="V1471" s="253"/>
      <c r="W1471" s="253">
        <v>0.55937499999999996</v>
      </c>
      <c r="X1471" s="253">
        <v>0.54117647058823526</v>
      </c>
      <c r="Y1471" s="253">
        <v>0.63010869565217398</v>
      </c>
      <c r="Z1471" s="253">
        <v>0.64615384615384619</v>
      </c>
      <c r="AA1471" s="253"/>
      <c r="AB1471" s="253"/>
      <c r="AC1471" s="253"/>
      <c r="AD1471" s="253"/>
      <c r="AE1471" s="253"/>
    </row>
    <row r="1472" spans="1:31">
      <c r="A1472" s="33">
        <v>1471</v>
      </c>
      <c r="B1472" s="69" t="s">
        <v>1469</v>
      </c>
      <c r="C1472" s="69" t="s">
        <v>1330</v>
      </c>
      <c r="D1472" s="56">
        <v>42821</v>
      </c>
      <c r="E1472" s="33" t="s">
        <v>724</v>
      </c>
      <c r="F1472" s="69" t="s">
        <v>755</v>
      </c>
      <c r="G1472" s="69" t="str">
        <f t="shared" si="22"/>
        <v>User Registration</v>
      </c>
      <c r="H1472" s="69" t="s">
        <v>493</v>
      </c>
      <c r="I1472" s="69" t="s">
        <v>1470</v>
      </c>
      <c r="J1472" s="69" t="s">
        <v>1469</v>
      </c>
      <c r="K1472" s="69" t="s">
        <v>1469</v>
      </c>
      <c r="L1472" s="253">
        <v>0.60091468531468539</v>
      </c>
      <c r="M1472" s="253">
        <v>0.60793985022244312</v>
      </c>
      <c r="N1472" s="253">
        <v>0.60312500000000002</v>
      </c>
      <c r="O1472" s="253">
        <v>0.5474055786555786</v>
      </c>
      <c r="P1472" s="253">
        <v>0.60018181818181815</v>
      </c>
      <c r="Q1472" s="253">
        <v>0.62297297297297294</v>
      </c>
      <c r="R1472" s="253">
        <v>0.6284157449577098</v>
      </c>
      <c r="S1472" s="253">
        <v>0.57028301886792454</v>
      </c>
      <c r="T1472" s="253">
        <v>0.59353448275862064</v>
      </c>
      <c r="U1472" s="253">
        <v>0.61584362139917703</v>
      </c>
      <c r="V1472" s="253"/>
      <c r="W1472" s="253">
        <v>0.60312500000000002</v>
      </c>
      <c r="X1472" s="253"/>
      <c r="Y1472" s="253">
        <v>0.5229166666666667</v>
      </c>
      <c r="Z1472" s="253">
        <v>0.60384615384615381</v>
      </c>
      <c r="AA1472" s="253"/>
      <c r="AB1472" s="253"/>
      <c r="AC1472" s="253"/>
      <c r="AD1472" s="253"/>
      <c r="AE1472" s="253"/>
    </row>
    <row r="1473" spans="1:31">
      <c r="A1473" s="33">
        <v>1472</v>
      </c>
      <c r="B1473" s="69" t="s">
        <v>1469</v>
      </c>
      <c r="C1473" s="69" t="s">
        <v>1330</v>
      </c>
      <c r="D1473" s="56">
        <v>42821</v>
      </c>
      <c r="E1473" s="33" t="s">
        <v>724</v>
      </c>
      <c r="F1473" s="69" t="s">
        <v>755</v>
      </c>
      <c r="G1473" s="69" t="str">
        <f t="shared" si="22"/>
        <v>User Registration</v>
      </c>
      <c r="H1473" s="69" t="s">
        <v>493</v>
      </c>
      <c r="I1473" s="69" t="s">
        <v>1470</v>
      </c>
      <c r="J1473" s="69" t="s">
        <v>1469</v>
      </c>
      <c r="K1473" s="69" t="s">
        <v>1471</v>
      </c>
      <c r="L1473" s="253">
        <v>0.57173426573426578</v>
      </c>
      <c r="M1473" s="253">
        <v>0.58493774406344845</v>
      </c>
      <c r="N1473" s="253">
        <v>0.57187500000000002</v>
      </c>
      <c r="O1473" s="253">
        <v>0.57502676096426097</v>
      </c>
      <c r="P1473" s="253">
        <v>0.5790909090909091</v>
      </c>
      <c r="Q1473" s="253">
        <v>0.56824324324324316</v>
      </c>
      <c r="R1473" s="253">
        <v>0.61021470396877042</v>
      </c>
      <c r="S1473" s="253">
        <v>0.59009433962264146</v>
      </c>
      <c r="T1473" s="253">
        <v>0.61637931034482762</v>
      </c>
      <c r="U1473" s="253">
        <v>0.56707818930041143</v>
      </c>
      <c r="V1473" s="253"/>
      <c r="W1473" s="253">
        <v>0.57187500000000002</v>
      </c>
      <c r="X1473" s="253"/>
      <c r="Y1473" s="253">
        <v>0.58552083333333338</v>
      </c>
      <c r="Z1473" s="253">
        <v>0.54230769230769227</v>
      </c>
      <c r="AA1473" s="253"/>
      <c r="AB1473" s="253"/>
      <c r="AC1473" s="253"/>
      <c r="AD1473" s="253"/>
      <c r="AE1473" s="253"/>
    </row>
    <row r="1474" spans="1:31">
      <c r="A1474" s="33">
        <v>1473</v>
      </c>
      <c r="B1474" s="69" t="s">
        <v>1469</v>
      </c>
      <c r="C1474" s="69" t="s">
        <v>1330</v>
      </c>
      <c r="D1474" s="56">
        <v>42821</v>
      </c>
      <c r="E1474" s="33" t="s">
        <v>724</v>
      </c>
      <c r="F1474" s="69" t="s">
        <v>755</v>
      </c>
      <c r="G1474" s="69" t="str">
        <f t="shared" ref="G1474:G1537" si="23">IF(V1474&gt;0,IF(W1474&gt;0,"Both","E-Commerce"),IF(W1474=0, "ERROR","User Registration"))</f>
        <v>User Registration</v>
      </c>
      <c r="H1474" s="69" t="s">
        <v>493</v>
      </c>
      <c r="I1474" s="69" t="s">
        <v>1470</v>
      </c>
      <c r="J1474" s="69" t="s">
        <v>1469</v>
      </c>
      <c r="K1474" s="69" t="s">
        <v>1472</v>
      </c>
      <c r="L1474" s="253">
        <v>0.49164755244755243</v>
      </c>
      <c r="M1474" s="253">
        <v>0.5240277529162175</v>
      </c>
      <c r="N1474" s="253">
        <v>0.52968749999999998</v>
      </c>
      <c r="O1474" s="253">
        <v>0.52337655306405306</v>
      </c>
      <c r="P1474" s="253">
        <v>0.48763636363636359</v>
      </c>
      <c r="Q1474" s="253">
        <v>0.43648648648648647</v>
      </c>
      <c r="R1474" s="253">
        <v>0.58562134027325963</v>
      </c>
      <c r="S1474" s="253">
        <v>0.51839622641509442</v>
      </c>
      <c r="T1474" s="253">
        <v>0.56293103448275861</v>
      </c>
      <c r="U1474" s="253">
        <v>0.52016460905349793</v>
      </c>
      <c r="V1474" s="253"/>
      <c r="W1474" s="253">
        <v>0.52968749999999998</v>
      </c>
      <c r="X1474" s="253"/>
      <c r="Y1474" s="253">
        <v>0.53677083333333331</v>
      </c>
      <c r="Z1474" s="253">
        <v>0.50769230769230766</v>
      </c>
      <c r="AA1474" s="253"/>
      <c r="AB1474" s="253"/>
      <c r="AC1474" s="253"/>
      <c r="AD1474" s="253"/>
      <c r="AE1474" s="253"/>
    </row>
    <row r="1475" spans="1:31">
      <c r="A1475" s="33">
        <v>1474</v>
      </c>
      <c r="B1475" s="69" t="s">
        <v>1463</v>
      </c>
      <c r="C1475" s="69" t="s">
        <v>740</v>
      </c>
      <c r="D1475" s="56">
        <v>42823</v>
      </c>
      <c r="E1475" s="33" t="s">
        <v>800</v>
      </c>
      <c r="F1475" s="69" t="s">
        <v>532</v>
      </c>
      <c r="G1475" s="69" t="str">
        <f t="shared" si="23"/>
        <v>Both</v>
      </c>
      <c r="H1475" s="69" t="s">
        <v>1293</v>
      </c>
      <c r="I1475" s="69" t="s">
        <v>1464</v>
      </c>
      <c r="J1475" s="69" t="s">
        <v>1463</v>
      </c>
      <c r="K1475" s="69" t="s">
        <v>1463</v>
      </c>
      <c r="L1475" s="253">
        <v>0.61237727272727271</v>
      </c>
      <c r="M1475" s="253">
        <v>0.53808845602380018</v>
      </c>
      <c r="N1475" s="253">
        <v>0.51</v>
      </c>
      <c r="O1475" s="253">
        <v>0.5476975190082678</v>
      </c>
      <c r="P1475" s="253">
        <v>0.63890909090909087</v>
      </c>
      <c r="Q1475" s="253">
        <v>0.55270270270270272</v>
      </c>
      <c r="R1475" s="253">
        <v>0.56506222400642314</v>
      </c>
      <c r="S1475" s="253">
        <v>0.53608247422680411</v>
      </c>
      <c r="T1475" s="253">
        <v>0.52127659574468088</v>
      </c>
      <c r="U1475" s="253">
        <v>0.52385057471264374</v>
      </c>
      <c r="V1475" s="253">
        <v>0.13488372093023257</v>
      </c>
      <c r="W1475" s="253">
        <v>0.51</v>
      </c>
      <c r="X1475" s="253">
        <v>0</v>
      </c>
      <c r="Y1475" s="253">
        <v>0.55731981981981982</v>
      </c>
      <c r="Z1475" s="253">
        <v>0.50624999999999998</v>
      </c>
      <c r="AA1475" s="253"/>
      <c r="AB1475" s="253"/>
      <c r="AC1475" s="253"/>
      <c r="AD1475" s="253"/>
      <c r="AE1475" s="253"/>
    </row>
    <row r="1476" spans="1:31">
      <c r="A1476" s="33">
        <v>1475</v>
      </c>
      <c r="B1476" s="69" t="s">
        <v>1463</v>
      </c>
      <c r="C1476" s="69" t="s">
        <v>740</v>
      </c>
      <c r="D1476" s="56">
        <v>42823</v>
      </c>
      <c r="E1476" s="33" t="s">
        <v>800</v>
      </c>
      <c r="F1476" s="69" t="s">
        <v>532</v>
      </c>
      <c r="G1476" s="69" t="str">
        <f t="shared" si="23"/>
        <v>Both</v>
      </c>
      <c r="H1476" s="69" t="s">
        <v>1293</v>
      </c>
      <c r="I1476" s="69" t="s">
        <v>1464</v>
      </c>
      <c r="J1476" s="69" t="s">
        <v>1463</v>
      </c>
      <c r="K1476" s="69" t="s">
        <v>1465</v>
      </c>
      <c r="L1476" s="253">
        <v>0.58133706293706278</v>
      </c>
      <c r="M1476" s="253">
        <v>0.53127564778475167</v>
      </c>
      <c r="N1476" s="253">
        <v>0.54</v>
      </c>
      <c r="O1476" s="253">
        <v>0.556479272100458</v>
      </c>
      <c r="P1476" s="253">
        <v>0.58436363636363631</v>
      </c>
      <c r="Q1476" s="253">
        <v>0.60121621621621613</v>
      </c>
      <c r="R1476" s="253">
        <v>0.58430349257326364</v>
      </c>
      <c r="S1476" s="253">
        <v>0.50515463917525771</v>
      </c>
      <c r="T1476" s="253">
        <v>0.49893617021276593</v>
      </c>
      <c r="U1476" s="253">
        <v>0.44741379310344831</v>
      </c>
      <c r="V1476" s="253">
        <v>0.12372093023255815</v>
      </c>
      <c r="W1476" s="253">
        <v>0.54</v>
      </c>
      <c r="X1476" s="253">
        <v>0</v>
      </c>
      <c r="Y1476" s="253">
        <v>0.5477477477477477</v>
      </c>
      <c r="Z1476" s="253">
        <v>0.56923076923076921</v>
      </c>
      <c r="AA1476" s="253"/>
      <c r="AB1476" s="253"/>
      <c r="AC1476" s="253"/>
      <c r="AD1476" s="253"/>
      <c r="AE1476" s="253"/>
    </row>
    <row r="1477" spans="1:31">
      <c r="A1477" s="33">
        <v>1476</v>
      </c>
      <c r="B1477" s="69" t="s">
        <v>1463</v>
      </c>
      <c r="C1477" s="69" t="s">
        <v>740</v>
      </c>
      <c r="D1477" s="56">
        <v>42823</v>
      </c>
      <c r="E1477" s="33" t="s">
        <v>800</v>
      </c>
      <c r="F1477" s="69" t="s">
        <v>532</v>
      </c>
      <c r="G1477" s="69" t="str">
        <f t="shared" si="23"/>
        <v>Both</v>
      </c>
      <c r="H1477" s="69" t="s">
        <v>1293</v>
      </c>
      <c r="I1477" s="69" t="s">
        <v>1464</v>
      </c>
      <c r="J1477" s="69" t="s">
        <v>1463</v>
      </c>
      <c r="K1477" s="69" t="s">
        <v>1466</v>
      </c>
      <c r="L1477" s="253">
        <v>0.60962237762237748</v>
      </c>
      <c r="M1477" s="253">
        <v>0.56895937934289054</v>
      </c>
      <c r="N1477" s="253">
        <v>0.6</v>
      </c>
      <c r="O1477" s="253">
        <v>0.5304426038427591</v>
      </c>
      <c r="P1477" s="253">
        <v>0.60818181818181805</v>
      </c>
      <c r="Q1477" s="253">
        <v>0.56432432432432433</v>
      </c>
      <c r="R1477" s="253">
        <v>0.58969002695417794</v>
      </c>
      <c r="S1477" s="253">
        <v>0.51616161616161615</v>
      </c>
      <c r="T1477" s="253">
        <v>0.58511904761904765</v>
      </c>
      <c r="U1477" s="253">
        <v>0.56590909090909092</v>
      </c>
      <c r="V1477" s="253">
        <v>0.13023255813953488</v>
      </c>
      <c r="W1477" s="253">
        <v>0.6</v>
      </c>
      <c r="X1477" s="253">
        <v>0</v>
      </c>
      <c r="Y1477" s="253">
        <v>0.49115044247787609</v>
      </c>
      <c r="Z1477" s="253">
        <v>0.61538461538461542</v>
      </c>
      <c r="AA1477" s="253"/>
      <c r="AB1477" s="253"/>
      <c r="AC1477" s="253"/>
      <c r="AD1477" s="253"/>
      <c r="AE1477" s="253"/>
    </row>
    <row r="1478" spans="1:31">
      <c r="A1478" s="33">
        <v>1477</v>
      </c>
      <c r="B1478" s="69" t="s">
        <v>1463</v>
      </c>
      <c r="C1478" s="69" t="s">
        <v>740</v>
      </c>
      <c r="D1478" s="56">
        <v>42823</v>
      </c>
      <c r="E1478" s="33" t="s">
        <v>800</v>
      </c>
      <c r="F1478" s="69" t="s">
        <v>532</v>
      </c>
      <c r="G1478" s="69" t="str">
        <f t="shared" si="23"/>
        <v>Both</v>
      </c>
      <c r="H1478" s="69" t="s">
        <v>1293</v>
      </c>
      <c r="I1478" s="69" t="s">
        <v>1464</v>
      </c>
      <c r="J1478" s="69" t="s">
        <v>1463</v>
      </c>
      <c r="K1478" s="69" t="s">
        <v>1467</v>
      </c>
      <c r="L1478" s="253">
        <v>0.53604755244755242</v>
      </c>
      <c r="M1478" s="253">
        <v>0.53211312492846108</v>
      </c>
      <c r="N1478" s="253">
        <v>0.57999999999999996</v>
      </c>
      <c r="O1478" s="253">
        <v>0.47020618872741943</v>
      </c>
      <c r="P1478" s="253">
        <v>0.55563636363636359</v>
      </c>
      <c r="Q1478" s="253">
        <v>0.54527027027027031</v>
      </c>
      <c r="R1478" s="253">
        <v>0.55633423180593</v>
      </c>
      <c r="S1478" s="253">
        <v>0.47938144329896909</v>
      </c>
      <c r="T1478" s="253">
        <v>0.5178571428571429</v>
      </c>
      <c r="U1478" s="253">
        <v>0.57787356321839078</v>
      </c>
      <c r="V1478" s="253">
        <v>0.12558139534883722</v>
      </c>
      <c r="W1478" s="253">
        <v>0.57999999999999996</v>
      </c>
      <c r="X1478" s="253">
        <v>0</v>
      </c>
      <c r="Y1478" s="253">
        <v>0.44831081081081081</v>
      </c>
      <c r="Z1478" s="253">
        <v>0.45769230769230768</v>
      </c>
      <c r="AA1478" s="253"/>
      <c r="AB1478" s="253"/>
      <c r="AC1478" s="253"/>
      <c r="AD1478" s="253"/>
      <c r="AE1478" s="253"/>
    </row>
    <row r="1479" spans="1:31">
      <c r="A1479" s="33">
        <v>1478</v>
      </c>
      <c r="B1479" s="69" t="s">
        <v>1463</v>
      </c>
      <c r="C1479" s="69" t="s">
        <v>740</v>
      </c>
      <c r="D1479" s="56">
        <v>42823</v>
      </c>
      <c r="E1479" s="33" t="s">
        <v>800</v>
      </c>
      <c r="F1479" s="69" t="s">
        <v>532</v>
      </c>
      <c r="G1479" s="69" t="str">
        <f t="shared" si="23"/>
        <v>Both</v>
      </c>
      <c r="H1479" s="69" t="s">
        <v>1293</v>
      </c>
      <c r="I1479" s="69" t="s">
        <v>1464</v>
      </c>
      <c r="J1479" s="69" t="s">
        <v>1463</v>
      </c>
      <c r="K1479" s="69" t="s">
        <v>1468</v>
      </c>
      <c r="L1479" s="253">
        <v>0.58908531468531466</v>
      </c>
      <c r="M1479" s="253">
        <v>0.54812707177699183</v>
      </c>
      <c r="N1479" s="253">
        <v>0.56999999999999995</v>
      </c>
      <c r="O1479" s="253">
        <v>0.52238520383305531</v>
      </c>
      <c r="P1479" s="253">
        <v>0.59981818181818181</v>
      </c>
      <c r="Q1479" s="253">
        <v>0.60810810810810811</v>
      </c>
      <c r="R1479" s="253">
        <v>0.55152549177037336</v>
      </c>
      <c r="S1479" s="253">
        <v>0.53092783505154639</v>
      </c>
      <c r="T1479" s="253">
        <v>0.48936170212765956</v>
      </c>
      <c r="U1479" s="253">
        <v>0.54655172413793107</v>
      </c>
      <c r="V1479" s="253">
        <v>0.12790697674418605</v>
      </c>
      <c r="W1479" s="253">
        <v>0.56999999999999995</v>
      </c>
      <c r="X1479" s="253">
        <v>0</v>
      </c>
      <c r="Y1479" s="253">
        <v>0.5</v>
      </c>
      <c r="Z1479" s="253">
        <v>0.5461538461538461</v>
      </c>
      <c r="AA1479" s="253"/>
      <c r="AB1479" s="253"/>
      <c r="AC1479" s="253"/>
      <c r="AD1479" s="253"/>
      <c r="AE1479" s="253"/>
    </row>
    <row r="1480" spans="1:31">
      <c r="A1480" s="33">
        <v>1479</v>
      </c>
      <c r="B1480" s="69" t="s">
        <v>646</v>
      </c>
      <c r="C1480" s="69" t="s">
        <v>791</v>
      </c>
      <c r="D1480" s="56">
        <v>42835</v>
      </c>
      <c r="E1480" s="33" t="s">
        <v>724</v>
      </c>
      <c r="F1480" s="69" t="s">
        <v>380</v>
      </c>
      <c r="G1480" s="69" t="str">
        <f t="shared" si="23"/>
        <v>E-Commerce</v>
      </c>
      <c r="H1480" s="69" t="s">
        <v>364</v>
      </c>
      <c r="I1480" s="69" t="s">
        <v>364</v>
      </c>
      <c r="J1480" s="69" t="s">
        <v>646</v>
      </c>
      <c r="K1480" s="69" t="s">
        <v>650</v>
      </c>
      <c r="L1480" s="253">
        <v>0.60349650349650341</v>
      </c>
      <c r="M1480" s="253">
        <v>0.65980053170398867</v>
      </c>
      <c r="N1480" s="253">
        <v>0.58013890350415653</v>
      </c>
      <c r="O1480" s="253">
        <v>0.56703852615481243</v>
      </c>
      <c r="P1480" s="253">
        <v>0.59090909090909094</v>
      </c>
      <c r="Q1480" s="253">
        <v>0.65932432432432442</v>
      </c>
      <c r="R1480" s="253">
        <v>0.70266455422727925</v>
      </c>
      <c r="S1480" s="253">
        <v>0.49575471698113205</v>
      </c>
      <c r="T1480" s="253">
        <v>0.72137404580152675</v>
      </c>
      <c r="U1480" s="253">
        <v>0.71399176954732524</v>
      </c>
      <c r="V1480" s="253">
        <v>0.60065116279069763</v>
      </c>
      <c r="W1480" s="253"/>
      <c r="X1480" s="253">
        <v>0.5117647058823529</v>
      </c>
      <c r="Y1480" s="253">
        <v>0.5117708333333334</v>
      </c>
      <c r="Z1480" s="253">
        <v>0.65384615384615385</v>
      </c>
      <c r="AA1480" s="253"/>
      <c r="AB1480" s="253"/>
      <c r="AC1480" s="253"/>
      <c r="AD1480" s="253"/>
      <c r="AE1480" s="253"/>
    </row>
    <row r="1481" spans="1:31">
      <c r="A1481" s="33">
        <v>1480</v>
      </c>
      <c r="B1481" s="69" t="s">
        <v>646</v>
      </c>
      <c r="C1481" s="69" t="s">
        <v>791</v>
      </c>
      <c r="D1481" s="56">
        <v>42835</v>
      </c>
      <c r="E1481" s="33" t="s">
        <v>724</v>
      </c>
      <c r="F1481" s="69" t="s">
        <v>380</v>
      </c>
      <c r="G1481" s="69" t="str">
        <f t="shared" si="23"/>
        <v>E-Commerce</v>
      </c>
      <c r="H1481" s="69" t="s">
        <v>364</v>
      </c>
      <c r="I1481" s="69" t="s">
        <v>364</v>
      </c>
      <c r="J1481" s="69" t="s">
        <v>646</v>
      </c>
      <c r="K1481" s="69" t="s">
        <v>649</v>
      </c>
      <c r="L1481" s="253">
        <v>0.60538461538461541</v>
      </c>
      <c r="M1481" s="253">
        <v>0.6813359689888443</v>
      </c>
      <c r="N1481" s="253">
        <v>0.70423024308113225</v>
      </c>
      <c r="O1481" s="253">
        <v>0.62439576468226787</v>
      </c>
      <c r="P1481" s="253">
        <v>0.6</v>
      </c>
      <c r="Q1481" s="253">
        <v>0.677027027027027</v>
      </c>
      <c r="R1481" s="253">
        <v>0.67895722310240536</v>
      </c>
      <c r="S1481" s="253">
        <v>0.58443396226415101</v>
      </c>
      <c r="T1481" s="253">
        <v>0.73282442748091603</v>
      </c>
      <c r="U1481" s="253">
        <v>0.75555555555555565</v>
      </c>
      <c r="V1481" s="253">
        <v>0.71255813953488367</v>
      </c>
      <c r="W1481" s="253"/>
      <c r="X1481" s="253">
        <v>0.67647058823529416</v>
      </c>
      <c r="Y1481" s="253">
        <v>0.61145833333333333</v>
      </c>
      <c r="Z1481" s="253">
        <v>0.62692307692307692</v>
      </c>
      <c r="AA1481" s="253"/>
      <c r="AB1481" s="253"/>
      <c r="AC1481" s="253"/>
      <c r="AD1481" s="253"/>
      <c r="AE1481" s="253"/>
    </row>
    <row r="1482" spans="1:31">
      <c r="A1482" s="33">
        <v>1481</v>
      </c>
      <c r="B1482" s="69" t="s">
        <v>646</v>
      </c>
      <c r="C1482" s="69" t="s">
        <v>791</v>
      </c>
      <c r="D1482" s="56">
        <v>42835</v>
      </c>
      <c r="E1482" s="33" t="s">
        <v>724</v>
      </c>
      <c r="F1482" s="69" t="s">
        <v>380</v>
      </c>
      <c r="G1482" s="69" t="str">
        <f t="shared" si="23"/>
        <v>E-Commerce</v>
      </c>
      <c r="H1482" s="69" t="s">
        <v>364</v>
      </c>
      <c r="I1482" s="69" t="s">
        <v>364</v>
      </c>
      <c r="J1482" s="69" t="s">
        <v>646</v>
      </c>
      <c r="K1482" s="69" t="s">
        <v>646</v>
      </c>
      <c r="L1482" s="253">
        <v>0.58580979020979018</v>
      </c>
      <c r="M1482" s="253">
        <v>0.64699248206751336</v>
      </c>
      <c r="N1482" s="253">
        <v>0.67286646322214028</v>
      </c>
      <c r="O1482" s="253">
        <v>0.58421715329604995</v>
      </c>
      <c r="P1482" s="253">
        <v>0.57745454545454544</v>
      </c>
      <c r="Q1482" s="253">
        <v>0.64243243243243253</v>
      </c>
      <c r="R1482" s="253">
        <v>0.66430937635028098</v>
      </c>
      <c r="S1482" s="253">
        <v>0.57169811320754715</v>
      </c>
      <c r="T1482" s="253">
        <v>0.69694656488549611</v>
      </c>
      <c r="U1482" s="253">
        <v>0.67469135802469138</v>
      </c>
      <c r="V1482" s="253">
        <v>0.65325581395348831</v>
      </c>
      <c r="W1482" s="253"/>
      <c r="X1482" s="253">
        <v>0.7382352941176471</v>
      </c>
      <c r="Y1482" s="253">
        <v>0.55312499999999998</v>
      </c>
      <c r="Z1482" s="253">
        <v>0.61923076923076925</v>
      </c>
      <c r="AA1482" s="253"/>
      <c r="AB1482" s="253"/>
      <c r="AC1482" s="253"/>
      <c r="AD1482" s="253"/>
      <c r="AE1482" s="253"/>
    </row>
    <row r="1483" spans="1:31">
      <c r="A1483" s="33">
        <v>1482</v>
      </c>
      <c r="B1483" s="69" t="s">
        <v>646</v>
      </c>
      <c r="C1483" s="69" t="s">
        <v>791</v>
      </c>
      <c r="D1483" s="56">
        <v>42835</v>
      </c>
      <c r="E1483" s="33" t="s">
        <v>724</v>
      </c>
      <c r="F1483" s="69" t="s">
        <v>380</v>
      </c>
      <c r="G1483" s="69" t="str">
        <f t="shared" si="23"/>
        <v>E-Commerce</v>
      </c>
      <c r="H1483" s="69" t="s">
        <v>364</v>
      </c>
      <c r="I1483" s="69" t="s">
        <v>364</v>
      </c>
      <c r="J1483" s="69" t="s">
        <v>646</v>
      </c>
      <c r="K1483" s="69" t="s">
        <v>363</v>
      </c>
      <c r="L1483" s="253">
        <v>0.67129230769230774</v>
      </c>
      <c r="M1483" s="253">
        <v>0.65870600014019753</v>
      </c>
      <c r="N1483" s="253">
        <v>0.68716194885825532</v>
      </c>
      <c r="O1483" s="253">
        <v>0.60229966465652973</v>
      </c>
      <c r="P1483" s="253">
        <v>0.68200000000000005</v>
      </c>
      <c r="Q1483" s="253">
        <v>0.6258108108108108</v>
      </c>
      <c r="R1483" s="253">
        <v>0.65526429497335437</v>
      </c>
      <c r="S1483" s="253">
        <v>0.62924528301886795</v>
      </c>
      <c r="T1483" s="253">
        <v>0.65763358778625958</v>
      </c>
      <c r="U1483" s="253">
        <v>0.72477366255144038</v>
      </c>
      <c r="V1483" s="253">
        <v>0.68860465116279079</v>
      </c>
      <c r="W1483" s="253"/>
      <c r="X1483" s="253">
        <v>0.68235294117647061</v>
      </c>
      <c r="Y1483" s="253">
        <v>0.57881250000000006</v>
      </c>
      <c r="Z1483" s="253">
        <v>0.62846153846153852</v>
      </c>
      <c r="AA1483" s="253"/>
      <c r="AB1483" s="253"/>
      <c r="AC1483" s="253"/>
      <c r="AD1483" s="253"/>
      <c r="AE1483" s="253"/>
    </row>
    <row r="1484" spans="1:31">
      <c r="A1484" s="33">
        <v>1483</v>
      </c>
      <c r="B1484" s="69" t="s">
        <v>646</v>
      </c>
      <c r="C1484" s="69" t="s">
        <v>791</v>
      </c>
      <c r="D1484" s="56">
        <v>42835</v>
      </c>
      <c r="E1484" s="33" t="s">
        <v>724</v>
      </c>
      <c r="F1484" s="69" t="s">
        <v>380</v>
      </c>
      <c r="G1484" s="69" t="str">
        <f t="shared" si="23"/>
        <v>E-Commerce</v>
      </c>
      <c r="H1484" s="69" t="s">
        <v>364</v>
      </c>
      <c r="I1484" s="69" t="s">
        <v>364</v>
      </c>
      <c r="J1484" s="69" t="s">
        <v>646</v>
      </c>
      <c r="K1484" s="69" t="s">
        <v>647</v>
      </c>
      <c r="L1484" s="253">
        <v>0.62947972027972032</v>
      </c>
      <c r="M1484" s="253">
        <v>0.6376366647735231</v>
      </c>
      <c r="N1484" s="253">
        <v>0.63580974429127646</v>
      </c>
      <c r="O1484" s="253">
        <v>0.59408549456212778</v>
      </c>
      <c r="P1484" s="253">
        <v>0.62127272727272731</v>
      </c>
      <c r="Q1484" s="253">
        <v>0.64662162162162151</v>
      </c>
      <c r="R1484" s="253">
        <v>0.6174276249459888</v>
      </c>
      <c r="S1484" s="253">
        <v>0.60188679245283017</v>
      </c>
      <c r="T1484" s="253">
        <v>0.66412213740458015</v>
      </c>
      <c r="U1484" s="253">
        <v>0.65349794238683145</v>
      </c>
      <c r="V1484" s="253">
        <v>0.64302325581395348</v>
      </c>
      <c r="W1484" s="253"/>
      <c r="X1484" s="253">
        <v>0.61176470588235299</v>
      </c>
      <c r="Y1484" s="253">
        <v>0.56291666666666662</v>
      </c>
      <c r="Z1484" s="253">
        <v>0.66230769230769226</v>
      </c>
      <c r="AA1484" s="253"/>
      <c r="AB1484" s="253"/>
      <c r="AC1484" s="253"/>
      <c r="AD1484" s="253"/>
      <c r="AE1484" s="253"/>
    </row>
    <row r="1485" spans="1:31">
      <c r="A1485" s="33">
        <v>1484</v>
      </c>
      <c r="B1485" s="69" t="s">
        <v>646</v>
      </c>
      <c r="C1485" s="69" t="s">
        <v>791</v>
      </c>
      <c r="D1485" s="56">
        <v>42835</v>
      </c>
      <c r="E1485" s="33" t="s">
        <v>724</v>
      </c>
      <c r="F1485" s="69" t="s">
        <v>380</v>
      </c>
      <c r="G1485" s="69" t="str">
        <f t="shared" si="23"/>
        <v>E-Commerce</v>
      </c>
      <c r="H1485" s="69" t="s">
        <v>364</v>
      </c>
      <c r="I1485" s="69" t="s">
        <v>364</v>
      </c>
      <c r="J1485" s="69" t="s">
        <v>646</v>
      </c>
      <c r="K1485" s="69" t="s">
        <v>648</v>
      </c>
      <c r="L1485" s="253">
        <v>0.6434265734265735</v>
      </c>
      <c r="M1485" s="253">
        <v>0.64973731310264626</v>
      </c>
      <c r="N1485" s="253">
        <v>0.60007892244554362</v>
      </c>
      <c r="O1485" s="253">
        <v>0.61688609252248261</v>
      </c>
      <c r="P1485" s="253">
        <v>0.62909090909090915</v>
      </c>
      <c r="Q1485" s="253">
        <v>0.60675675675675678</v>
      </c>
      <c r="R1485" s="253">
        <v>0.60383839838686448</v>
      </c>
      <c r="S1485" s="253">
        <v>0.65990566037735854</v>
      </c>
      <c r="T1485" s="253">
        <v>0.68511450381679384</v>
      </c>
      <c r="U1485" s="253">
        <v>0.68024691358024691</v>
      </c>
      <c r="V1485" s="253">
        <v>0.60627906976744195</v>
      </c>
      <c r="W1485" s="253"/>
      <c r="X1485" s="253">
        <v>0.5794117647058824</v>
      </c>
      <c r="Y1485" s="253">
        <v>0.59104166666666669</v>
      </c>
      <c r="Z1485" s="253">
        <v>0.7007692307692307</v>
      </c>
      <c r="AA1485" s="253"/>
      <c r="AB1485" s="253"/>
      <c r="AC1485" s="253"/>
      <c r="AD1485" s="253"/>
      <c r="AE1485" s="253"/>
    </row>
    <row r="1486" spans="1:31">
      <c r="A1486" s="33">
        <v>1485</v>
      </c>
      <c r="B1486" s="69" t="s">
        <v>1455</v>
      </c>
      <c r="C1486" s="69" t="s">
        <v>740</v>
      </c>
      <c r="D1486" s="56">
        <v>42838</v>
      </c>
      <c r="E1486" s="33" t="s">
        <v>724</v>
      </c>
      <c r="F1486" s="69" t="s">
        <v>532</v>
      </c>
      <c r="G1486" s="69" t="str">
        <f t="shared" si="23"/>
        <v>Both</v>
      </c>
      <c r="H1486" s="69" t="s">
        <v>1456</v>
      </c>
      <c r="I1486" s="69" t="s">
        <v>1457</v>
      </c>
      <c r="J1486" s="69" t="s">
        <v>1455</v>
      </c>
      <c r="K1486" s="69" t="s">
        <v>1455</v>
      </c>
      <c r="L1486" s="253">
        <v>0.59854545454545449</v>
      </c>
      <c r="M1486" s="253">
        <v>0.60290844130095378</v>
      </c>
      <c r="N1486" s="253">
        <v>0.56071428571428572</v>
      </c>
      <c r="O1486" s="253">
        <v>0.58385557977890423</v>
      </c>
      <c r="P1486" s="253">
        <v>0.59818181818181815</v>
      </c>
      <c r="Q1486" s="253">
        <v>0.59594594594594585</v>
      </c>
      <c r="R1486" s="253">
        <v>0.62982349360925138</v>
      </c>
      <c r="S1486" s="253">
        <v>0.57932692307692313</v>
      </c>
      <c r="T1486" s="253">
        <v>0.60268817204301084</v>
      </c>
      <c r="U1486" s="253">
        <v>0.60172413793103452</v>
      </c>
      <c r="V1486" s="253">
        <v>0.13069767441860466</v>
      </c>
      <c r="W1486" s="253">
        <v>0.56071428571428572</v>
      </c>
      <c r="X1486" s="253">
        <v>0</v>
      </c>
      <c r="Y1486" s="253">
        <v>0.56906250000000003</v>
      </c>
      <c r="Z1486" s="253">
        <v>0.6</v>
      </c>
      <c r="AA1486" s="253"/>
      <c r="AB1486" s="253"/>
      <c r="AC1486" s="253"/>
      <c r="AD1486" s="253"/>
      <c r="AE1486" s="253"/>
    </row>
    <row r="1487" spans="1:31">
      <c r="A1487" s="33">
        <v>1486</v>
      </c>
      <c r="B1487" s="69" t="s">
        <v>1455</v>
      </c>
      <c r="C1487" s="69" t="s">
        <v>740</v>
      </c>
      <c r="D1487" s="56">
        <v>42838</v>
      </c>
      <c r="E1487" s="33" t="s">
        <v>724</v>
      </c>
      <c r="F1487" s="69" t="s">
        <v>532</v>
      </c>
      <c r="G1487" s="69" t="str">
        <f t="shared" si="23"/>
        <v>Both</v>
      </c>
      <c r="H1487" s="69" t="s">
        <v>1456</v>
      </c>
      <c r="I1487" s="69" t="s">
        <v>1457</v>
      </c>
      <c r="J1487" s="69" t="s">
        <v>1455</v>
      </c>
      <c r="K1487" s="69" t="s">
        <v>1458</v>
      </c>
      <c r="L1487" s="253">
        <v>0.67161118881118886</v>
      </c>
      <c r="M1487" s="253">
        <v>0.61903551498258846</v>
      </c>
      <c r="N1487" s="253">
        <v>0.60178571428571426</v>
      </c>
      <c r="O1487" s="253">
        <v>0.61746700720063641</v>
      </c>
      <c r="P1487" s="253">
        <v>0.67509090909090907</v>
      </c>
      <c r="Q1487" s="253">
        <v>0.5310810810810811</v>
      </c>
      <c r="R1487" s="253">
        <v>0.61498030271615167</v>
      </c>
      <c r="S1487" s="253">
        <v>0.62740384615384615</v>
      </c>
      <c r="T1487" s="253">
        <v>0.61813186813186816</v>
      </c>
      <c r="U1487" s="253">
        <v>0.67183908045977003</v>
      </c>
      <c r="V1487" s="253">
        <v>0.13488372093023257</v>
      </c>
      <c r="W1487" s="253">
        <v>0.60178571428571426</v>
      </c>
      <c r="X1487" s="253">
        <v>0</v>
      </c>
      <c r="Y1487" s="253">
        <v>0.61354166666666665</v>
      </c>
      <c r="Z1487" s="253">
        <v>0.65769230769230769</v>
      </c>
      <c r="AA1487" s="253"/>
      <c r="AB1487" s="253"/>
      <c r="AC1487" s="253"/>
      <c r="AD1487" s="253"/>
      <c r="AE1487" s="253"/>
    </row>
    <row r="1488" spans="1:31">
      <c r="A1488" s="33">
        <v>1487</v>
      </c>
      <c r="B1488" s="69" t="s">
        <v>1455</v>
      </c>
      <c r="C1488" s="69" t="s">
        <v>740</v>
      </c>
      <c r="D1488" s="56">
        <v>42838</v>
      </c>
      <c r="E1488" s="33" t="s">
        <v>724</v>
      </c>
      <c r="F1488" s="69" t="s">
        <v>532</v>
      </c>
      <c r="G1488" s="69" t="str">
        <f t="shared" si="23"/>
        <v>Both</v>
      </c>
      <c r="H1488" s="69" t="s">
        <v>1456</v>
      </c>
      <c r="I1488" s="69" t="s">
        <v>1457</v>
      </c>
      <c r="J1488" s="69" t="s">
        <v>1455</v>
      </c>
      <c r="K1488" s="69" t="s">
        <v>1459</v>
      </c>
      <c r="L1488" s="253">
        <v>0.56800279720279723</v>
      </c>
      <c r="M1488" s="253">
        <v>0.56479595253906811</v>
      </c>
      <c r="N1488" s="253">
        <v>0.6389285714285714</v>
      </c>
      <c r="O1488" s="253">
        <v>0.56443789740820816</v>
      </c>
      <c r="P1488" s="253">
        <v>0.55327272727272725</v>
      </c>
      <c r="Q1488" s="253">
        <v>0.49459459459459459</v>
      </c>
      <c r="R1488" s="253">
        <v>0.60082547169811318</v>
      </c>
      <c r="S1488" s="253">
        <v>0.52884615384615385</v>
      </c>
      <c r="T1488" s="253">
        <v>0.59312500000000001</v>
      </c>
      <c r="U1488" s="253">
        <v>0.57183908045977017</v>
      </c>
      <c r="V1488" s="253">
        <v>0.12744186046511627</v>
      </c>
      <c r="W1488" s="253">
        <v>0.6389285714285714</v>
      </c>
      <c r="X1488" s="253">
        <v>0</v>
      </c>
      <c r="Y1488" s="253">
        <v>0.54895833333333333</v>
      </c>
      <c r="Z1488" s="253">
        <v>0.62692307692307692</v>
      </c>
      <c r="AA1488" s="253"/>
      <c r="AB1488" s="253"/>
      <c r="AC1488" s="253"/>
      <c r="AD1488" s="253"/>
      <c r="AE1488" s="253"/>
    </row>
    <row r="1489" spans="1:31">
      <c r="A1489" s="33">
        <v>1488</v>
      </c>
      <c r="B1489" s="69" t="s">
        <v>1455</v>
      </c>
      <c r="C1489" s="69" t="s">
        <v>740</v>
      </c>
      <c r="D1489" s="56">
        <v>42838</v>
      </c>
      <c r="E1489" s="33" t="s">
        <v>724</v>
      </c>
      <c r="F1489" s="69" t="s">
        <v>532</v>
      </c>
      <c r="G1489" s="69" t="str">
        <f t="shared" si="23"/>
        <v>Both</v>
      </c>
      <c r="H1489" s="69" t="s">
        <v>1456</v>
      </c>
      <c r="I1489" s="69" t="s">
        <v>1457</v>
      </c>
      <c r="J1489" s="69" t="s">
        <v>1455</v>
      </c>
      <c r="K1489" s="69" t="s">
        <v>1460</v>
      </c>
      <c r="L1489" s="253">
        <v>0.6332923076923076</v>
      </c>
      <c r="M1489" s="253">
        <v>0.57712703764873197</v>
      </c>
      <c r="N1489" s="253">
        <v>0.4489285714285714</v>
      </c>
      <c r="O1489" s="253">
        <v>0.57772295970210019</v>
      </c>
      <c r="P1489" s="253">
        <v>0.6319999999999999</v>
      </c>
      <c r="Q1489" s="253">
        <v>0.5378378378378379</v>
      </c>
      <c r="R1489" s="253">
        <v>0.59360925136944609</v>
      </c>
      <c r="S1489" s="253">
        <v>0.59855769230769229</v>
      </c>
      <c r="T1489" s="253">
        <v>0.57204301075268815</v>
      </c>
      <c r="U1489" s="253">
        <v>0.55344827586206891</v>
      </c>
      <c r="V1489" s="253">
        <v>0.12790697674418605</v>
      </c>
      <c r="W1489" s="253">
        <v>0.4489285714285714</v>
      </c>
      <c r="X1489" s="253">
        <v>0</v>
      </c>
      <c r="Y1489" s="253">
        <v>0.55822916666666667</v>
      </c>
      <c r="Z1489" s="253">
        <v>0.63846153846153841</v>
      </c>
      <c r="AA1489" s="253"/>
      <c r="AB1489" s="253"/>
      <c r="AC1489" s="253"/>
      <c r="AD1489" s="253"/>
      <c r="AE1489" s="253"/>
    </row>
    <row r="1490" spans="1:31">
      <c r="A1490" s="33">
        <v>1489</v>
      </c>
      <c r="B1490" s="69" t="s">
        <v>1455</v>
      </c>
      <c r="C1490" s="69" t="s">
        <v>740</v>
      </c>
      <c r="D1490" s="56">
        <v>42838</v>
      </c>
      <c r="E1490" s="33" t="s">
        <v>724</v>
      </c>
      <c r="F1490" s="69" t="s">
        <v>532</v>
      </c>
      <c r="G1490" s="69" t="str">
        <f t="shared" si="23"/>
        <v>Both</v>
      </c>
      <c r="H1490" s="69" t="s">
        <v>1456</v>
      </c>
      <c r="I1490" s="69" t="s">
        <v>1457</v>
      </c>
      <c r="J1490" s="69" t="s">
        <v>1455</v>
      </c>
      <c r="K1490" s="69" t="s">
        <v>1461</v>
      </c>
      <c r="L1490" s="253">
        <v>0.63205594405594401</v>
      </c>
      <c r="M1490" s="253">
        <v>0.63341515696385453</v>
      </c>
      <c r="N1490" s="253">
        <v>0.5357142857142857</v>
      </c>
      <c r="O1490" s="253">
        <v>0.59112800294959</v>
      </c>
      <c r="P1490" s="253">
        <v>0.6554545454545454</v>
      </c>
      <c r="Q1490" s="253">
        <v>0.5586486486486486</v>
      </c>
      <c r="R1490" s="253">
        <v>0.65415793151642221</v>
      </c>
      <c r="S1490" s="253">
        <v>0.61057692307692313</v>
      </c>
      <c r="T1490" s="253">
        <v>0.69567901234567908</v>
      </c>
      <c r="U1490" s="253">
        <v>0.69137931034482758</v>
      </c>
      <c r="V1490" s="253">
        <v>0.14511627906976743</v>
      </c>
      <c r="W1490" s="253">
        <v>0.5357142857142857</v>
      </c>
      <c r="X1490" s="253">
        <v>0</v>
      </c>
      <c r="Y1490" s="253">
        <v>0.59562499999999996</v>
      </c>
      <c r="Z1490" s="253">
        <v>0.53846153846153844</v>
      </c>
      <c r="AA1490" s="253"/>
      <c r="AB1490" s="253"/>
      <c r="AC1490" s="253"/>
      <c r="AD1490" s="253"/>
      <c r="AE1490" s="253"/>
    </row>
    <row r="1491" spans="1:31">
      <c r="A1491" s="33">
        <v>1490</v>
      </c>
      <c r="B1491" s="69" t="s">
        <v>1455</v>
      </c>
      <c r="C1491" s="69" t="s">
        <v>740</v>
      </c>
      <c r="D1491" s="56">
        <v>42838</v>
      </c>
      <c r="E1491" s="33" t="s">
        <v>724</v>
      </c>
      <c r="F1491" s="69" t="s">
        <v>532</v>
      </c>
      <c r="G1491" s="69" t="str">
        <f t="shared" si="23"/>
        <v>Both</v>
      </c>
      <c r="H1491" s="69" t="s">
        <v>1456</v>
      </c>
      <c r="I1491" s="69" t="s">
        <v>1457</v>
      </c>
      <c r="J1491" s="69" t="s">
        <v>1455</v>
      </c>
      <c r="K1491" s="69" t="s">
        <v>1462</v>
      </c>
      <c r="L1491" s="253">
        <v>0.57354685314685327</v>
      </c>
      <c r="M1491" s="253">
        <v>0.52952841382235183</v>
      </c>
      <c r="N1491" s="253">
        <v>0.54499999999999993</v>
      </c>
      <c r="O1491" s="253">
        <v>0.53247840333717134</v>
      </c>
      <c r="P1491" s="253">
        <v>0.56981818181818189</v>
      </c>
      <c r="Q1491" s="253">
        <v>0.50202702702702706</v>
      </c>
      <c r="R1491" s="253">
        <v>0.55974842767295596</v>
      </c>
      <c r="S1491" s="253">
        <v>0.53605769230769229</v>
      </c>
      <c r="T1491" s="253">
        <v>0.54722222222222228</v>
      </c>
      <c r="U1491" s="253">
        <v>0.48189655172413798</v>
      </c>
      <c r="V1491" s="253">
        <v>0.1</v>
      </c>
      <c r="W1491" s="253">
        <v>0.54499999999999993</v>
      </c>
      <c r="X1491" s="253">
        <v>0</v>
      </c>
      <c r="Y1491" s="253">
        <v>0.51291666666666669</v>
      </c>
      <c r="Z1491" s="253">
        <v>0.58846153846153848</v>
      </c>
      <c r="AA1491" s="253"/>
      <c r="AB1491" s="253"/>
      <c r="AC1491" s="253"/>
      <c r="AD1491" s="253"/>
      <c r="AE1491" s="253"/>
    </row>
    <row r="1492" spans="1:31">
      <c r="A1492" s="33">
        <v>1491</v>
      </c>
      <c r="B1492" s="69" t="s">
        <v>1450</v>
      </c>
      <c r="C1492" s="69" t="s">
        <v>740</v>
      </c>
      <c r="D1492" s="56">
        <v>42839</v>
      </c>
      <c r="E1492" s="33" t="s">
        <v>916</v>
      </c>
      <c r="F1492" s="69" t="s">
        <v>532</v>
      </c>
      <c r="G1492" s="69" t="str">
        <f t="shared" si="23"/>
        <v>Both</v>
      </c>
      <c r="H1492" s="69" t="s">
        <v>364</v>
      </c>
      <c r="I1492" s="69" t="s">
        <v>765</v>
      </c>
      <c r="J1492" s="69" t="s">
        <v>1450</v>
      </c>
      <c r="K1492" s="69" t="s">
        <v>1450</v>
      </c>
      <c r="L1492" s="253">
        <v>0.62791888111888117</v>
      </c>
      <c r="M1492" s="253">
        <v>0.65166089226133217</v>
      </c>
      <c r="N1492" s="253">
        <v>0.59989010989010993</v>
      </c>
      <c r="O1492" s="253">
        <v>0.65086087560168848</v>
      </c>
      <c r="P1492" s="253">
        <v>0.60509090909090912</v>
      </c>
      <c r="Q1492" s="253">
        <v>0.69459459459459461</v>
      </c>
      <c r="R1492" s="253">
        <v>0.60068809805397261</v>
      </c>
      <c r="S1492" s="253">
        <v>0.6454545454545455</v>
      </c>
      <c r="T1492" s="253">
        <v>0.64122137404580148</v>
      </c>
      <c r="U1492" s="253">
        <v>0.65248756218905479</v>
      </c>
      <c r="V1492" s="253">
        <v>0.61785714285714288</v>
      </c>
      <c r="W1492" s="253">
        <v>0.109375</v>
      </c>
      <c r="X1492" s="253">
        <v>0.54</v>
      </c>
      <c r="Y1492" s="253">
        <v>0.63655172413793104</v>
      </c>
      <c r="Z1492" s="253">
        <v>0.71923076923076923</v>
      </c>
      <c r="AA1492" s="253"/>
      <c r="AB1492" s="253"/>
      <c r="AC1492" s="253"/>
      <c r="AD1492" s="253"/>
      <c r="AE1492" s="253"/>
    </row>
    <row r="1493" spans="1:31">
      <c r="A1493" s="33">
        <v>1492</v>
      </c>
      <c r="B1493" s="69" t="s">
        <v>1450</v>
      </c>
      <c r="C1493" s="69" t="s">
        <v>740</v>
      </c>
      <c r="D1493" s="56">
        <v>42839</v>
      </c>
      <c r="E1493" s="33" t="s">
        <v>916</v>
      </c>
      <c r="F1493" s="69" t="s">
        <v>532</v>
      </c>
      <c r="G1493" s="69" t="str">
        <f t="shared" si="23"/>
        <v>Both</v>
      </c>
      <c r="H1493" s="69" t="s">
        <v>364</v>
      </c>
      <c r="I1493" s="69" t="s">
        <v>765</v>
      </c>
      <c r="J1493" s="69" t="s">
        <v>1450</v>
      </c>
      <c r="K1493" s="69" t="s">
        <v>1451</v>
      </c>
      <c r="L1493" s="253">
        <v>0.63782937062937062</v>
      </c>
      <c r="M1493" s="253">
        <v>0.64867821278312887</v>
      </c>
      <c r="N1493" s="253">
        <v>0.6374894336432797</v>
      </c>
      <c r="O1493" s="253">
        <v>0.64097790168427626</v>
      </c>
      <c r="P1493" s="253">
        <v>0.62036363636363634</v>
      </c>
      <c r="Q1493" s="253">
        <v>0.69851351351351343</v>
      </c>
      <c r="R1493" s="253">
        <v>0.56711464717055515</v>
      </c>
      <c r="S1493" s="253">
        <v>0.66666666666666663</v>
      </c>
      <c r="T1493" s="253">
        <v>0.60496183206106868</v>
      </c>
      <c r="U1493" s="253">
        <v>0.67860696517412933</v>
      </c>
      <c r="V1493" s="253">
        <v>0.66373626373626371</v>
      </c>
      <c r="W1493" s="253">
        <v>0.1015625</v>
      </c>
      <c r="X1493" s="253">
        <v>0.55000000000000004</v>
      </c>
      <c r="Y1493" s="253">
        <v>0.62741379310344825</v>
      </c>
      <c r="Z1493" s="253">
        <v>0.70769230769230773</v>
      </c>
      <c r="AA1493" s="253"/>
      <c r="AB1493" s="253"/>
      <c r="AC1493" s="253"/>
      <c r="AD1493" s="253"/>
      <c r="AE1493" s="253"/>
    </row>
    <row r="1494" spans="1:31">
      <c r="A1494" s="33">
        <v>1493</v>
      </c>
      <c r="B1494" s="69" t="s">
        <v>1450</v>
      </c>
      <c r="C1494" s="69" t="s">
        <v>740</v>
      </c>
      <c r="D1494" s="56">
        <v>42839</v>
      </c>
      <c r="E1494" s="33" t="s">
        <v>916</v>
      </c>
      <c r="F1494" s="69" t="s">
        <v>532</v>
      </c>
      <c r="G1494" s="69" t="str">
        <f t="shared" si="23"/>
        <v>E-Commerce</v>
      </c>
      <c r="H1494" s="69" t="s">
        <v>364</v>
      </c>
      <c r="I1494" s="69" t="s">
        <v>765</v>
      </c>
      <c r="J1494" s="69" t="s">
        <v>1450</v>
      </c>
      <c r="K1494" s="69" t="s">
        <v>1452</v>
      </c>
      <c r="L1494" s="253">
        <v>0.4705734265734266</v>
      </c>
      <c r="M1494" s="253">
        <v>0.54598741353216118</v>
      </c>
      <c r="N1494" s="253">
        <v>0.57769230769230773</v>
      </c>
      <c r="O1494" s="253">
        <v>0.56389340654958509</v>
      </c>
      <c r="P1494" s="253">
        <v>0.42090909090909095</v>
      </c>
      <c r="Q1494" s="253">
        <v>0.60234374999999996</v>
      </c>
      <c r="R1494" s="253">
        <v>0.59273109923911282</v>
      </c>
      <c r="S1494" s="253">
        <v>0.42</v>
      </c>
      <c r="T1494" s="253">
        <v>0.55043103448275865</v>
      </c>
      <c r="U1494" s="253">
        <v>0.50298507462686559</v>
      </c>
      <c r="V1494" s="253">
        <v>0.55000000000000004</v>
      </c>
      <c r="W1494" s="253">
        <v>0</v>
      </c>
      <c r="X1494" s="253">
        <v>0.67</v>
      </c>
      <c r="Y1494" s="253">
        <v>0.53706896551724137</v>
      </c>
      <c r="Z1494" s="253">
        <v>0.66923076923076918</v>
      </c>
      <c r="AA1494" s="253"/>
      <c r="AB1494" s="253"/>
      <c r="AC1494" s="253"/>
      <c r="AD1494" s="253"/>
      <c r="AE1494" s="253"/>
    </row>
    <row r="1495" spans="1:31">
      <c r="A1495" s="33">
        <v>1494</v>
      </c>
      <c r="B1495" s="69" t="s">
        <v>1450</v>
      </c>
      <c r="C1495" s="69" t="s">
        <v>740</v>
      </c>
      <c r="D1495" s="56">
        <v>42839</v>
      </c>
      <c r="E1495" s="33" t="s">
        <v>916</v>
      </c>
      <c r="F1495" s="69" t="s">
        <v>532</v>
      </c>
      <c r="G1495" s="69" t="str">
        <f t="shared" si="23"/>
        <v>Both</v>
      </c>
      <c r="H1495" s="69" t="s">
        <v>364</v>
      </c>
      <c r="I1495" s="69" t="s">
        <v>765</v>
      </c>
      <c r="J1495" s="69" t="s">
        <v>1450</v>
      </c>
      <c r="K1495" s="69" t="s">
        <v>1453</v>
      </c>
      <c r="L1495" s="253">
        <v>0.57710769230769232</v>
      </c>
      <c r="M1495" s="253">
        <v>0.58365444616015083</v>
      </c>
      <c r="N1495" s="253">
        <v>0.5181403212172444</v>
      </c>
      <c r="O1495" s="253">
        <v>0.54951656284303019</v>
      </c>
      <c r="P1495" s="253">
        <v>0.55600000000000005</v>
      </c>
      <c r="Q1495" s="253">
        <v>0.63243243243243252</v>
      </c>
      <c r="R1495" s="253">
        <v>0.63978066874529627</v>
      </c>
      <c r="S1495" s="253">
        <v>0.44</v>
      </c>
      <c r="T1495" s="253">
        <v>0.57061068702290074</v>
      </c>
      <c r="U1495" s="253">
        <v>0.58010204081632655</v>
      </c>
      <c r="V1495" s="253">
        <v>0.51758241758241763</v>
      </c>
      <c r="W1495" s="253">
        <v>0.109375</v>
      </c>
      <c r="X1495" s="253">
        <v>0.52</v>
      </c>
      <c r="Y1495" s="253">
        <v>0.50051724137931042</v>
      </c>
      <c r="Z1495" s="253">
        <v>0.66153846153846152</v>
      </c>
      <c r="AA1495" s="253"/>
      <c r="AB1495" s="253"/>
      <c r="AC1495" s="253"/>
      <c r="AD1495" s="253"/>
      <c r="AE1495" s="253"/>
    </row>
    <row r="1496" spans="1:31">
      <c r="A1496" s="33">
        <v>1495</v>
      </c>
      <c r="B1496" s="69" t="s">
        <v>1450</v>
      </c>
      <c r="C1496" s="69" t="s">
        <v>740</v>
      </c>
      <c r="D1496" s="56">
        <v>42839</v>
      </c>
      <c r="E1496" s="33" t="s">
        <v>916</v>
      </c>
      <c r="F1496" s="69" t="s">
        <v>532</v>
      </c>
      <c r="G1496" s="69" t="str">
        <f t="shared" si="23"/>
        <v>Both</v>
      </c>
      <c r="H1496" s="69" t="s">
        <v>364</v>
      </c>
      <c r="I1496" s="69" t="s">
        <v>765</v>
      </c>
      <c r="J1496" s="69" t="s">
        <v>1450</v>
      </c>
      <c r="K1496" s="69" t="s">
        <v>770</v>
      </c>
      <c r="L1496" s="253">
        <v>0.62718881118881109</v>
      </c>
      <c r="M1496" s="253">
        <v>0.6189263453290933</v>
      </c>
      <c r="N1496" s="253">
        <v>0.64485207100591724</v>
      </c>
      <c r="O1496" s="253">
        <v>0.59835044211222232</v>
      </c>
      <c r="P1496" s="253">
        <v>0.61090909090909085</v>
      </c>
      <c r="Q1496" s="253">
        <v>0.60202702702702704</v>
      </c>
      <c r="R1496" s="253">
        <v>0.61431387306024443</v>
      </c>
      <c r="S1496" s="253">
        <v>0.62989690721649483</v>
      </c>
      <c r="T1496" s="253">
        <v>0.61374045801526722</v>
      </c>
      <c r="U1496" s="253">
        <v>0.60204081632653061</v>
      </c>
      <c r="V1496" s="253">
        <v>0.66730769230769238</v>
      </c>
      <c r="W1496" s="253">
        <v>9.0624999999999983E-2</v>
      </c>
      <c r="X1496" s="253">
        <v>0.56999999999999995</v>
      </c>
      <c r="Y1496" s="253">
        <v>0.56344827586206914</v>
      </c>
      <c r="Z1496" s="253">
        <v>0.69230769230769229</v>
      </c>
      <c r="AA1496" s="253"/>
      <c r="AB1496" s="253"/>
      <c r="AC1496" s="253"/>
      <c r="AD1496" s="253"/>
      <c r="AE1496" s="253"/>
    </row>
    <row r="1497" spans="1:31">
      <c r="A1497" s="33">
        <v>1496</v>
      </c>
      <c r="B1497" s="69" t="s">
        <v>1450</v>
      </c>
      <c r="C1497" s="69" t="s">
        <v>740</v>
      </c>
      <c r="D1497" s="56">
        <v>42839</v>
      </c>
      <c r="E1497" s="33" t="s">
        <v>916</v>
      </c>
      <c r="F1497" s="69" t="s">
        <v>532</v>
      </c>
      <c r="G1497" s="69" t="str">
        <f t="shared" si="23"/>
        <v>Both</v>
      </c>
      <c r="H1497" s="69" t="s">
        <v>364</v>
      </c>
      <c r="I1497" s="69" t="s">
        <v>765</v>
      </c>
      <c r="J1497" s="69" t="s">
        <v>1450</v>
      </c>
      <c r="K1497" s="69" t="s">
        <v>1454</v>
      </c>
      <c r="L1497" s="253">
        <v>0.64942377622377623</v>
      </c>
      <c r="M1497" s="253">
        <v>0.62291040652416696</v>
      </c>
      <c r="N1497" s="253">
        <v>0.62607607776838536</v>
      </c>
      <c r="O1497" s="253">
        <v>0.61958885856627999</v>
      </c>
      <c r="P1497" s="253">
        <v>0.63581818181818184</v>
      </c>
      <c r="Q1497" s="253">
        <v>0.6602702702702703</v>
      </c>
      <c r="R1497" s="253">
        <v>0.5621331039673152</v>
      </c>
      <c r="S1497" s="253">
        <v>0.5886597938144329</v>
      </c>
      <c r="T1497" s="253">
        <v>0.58778625954198471</v>
      </c>
      <c r="U1497" s="253">
        <v>0.66990049751243785</v>
      </c>
      <c r="V1497" s="253">
        <v>0.62609890109890109</v>
      </c>
      <c r="W1497" s="253">
        <v>0.109375</v>
      </c>
      <c r="X1497" s="253">
        <v>0.626</v>
      </c>
      <c r="Y1497" s="253">
        <v>0.60482758620689647</v>
      </c>
      <c r="Z1497" s="253">
        <v>0.70384615384615401</v>
      </c>
      <c r="AA1497" s="253"/>
      <c r="AB1497" s="253"/>
      <c r="AC1497" s="253"/>
      <c r="AD1497" s="253"/>
      <c r="AE1497" s="253"/>
    </row>
    <row r="1498" spans="1:31">
      <c r="A1498" s="33">
        <v>1497</v>
      </c>
      <c r="B1498" s="69" t="s">
        <v>1445</v>
      </c>
      <c r="C1498" s="69" t="s">
        <v>1446</v>
      </c>
      <c r="D1498" s="56">
        <v>42843</v>
      </c>
      <c r="E1498" s="33" t="s">
        <v>724</v>
      </c>
      <c r="F1498" s="69" t="s">
        <v>380</v>
      </c>
      <c r="G1498" s="69" t="str">
        <f t="shared" si="23"/>
        <v>User Registration</v>
      </c>
      <c r="H1498" s="69" t="s">
        <v>508</v>
      </c>
      <c r="I1498" s="69" t="s">
        <v>922</v>
      </c>
      <c r="J1498" s="69" t="s">
        <v>1445</v>
      </c>
      <c r="K1498" s="69" t="s">
        <v>924</v>
      </c>
      <c r="L1498" s="253">
        <v>0.65169230769230779</v>
      </c>
      <c r="M1498" s="253">
        <v>0.66615276928213107</v>
      </c>
      <c r="N1498" s="253">
        <v>0.73055858948353891</v>
      </c>
      <c r="O1498" s="253">
        <v>0.617832524634499</v>
      </c>
      <c r="P1498" s="253">
        <v>0.68</v>
      </c>
      <c r="Q1498" s="253">
        <v>0.67972972972972967</v>
      </c>
      <c r="R1498" s="253">
        <v>0.67581292653552794</v>
      </c>
      <c r="S1498" s="253">
        <v>0.59793814432989689</v>
      </c>
      <c r="T1498" s="253">
        <v>0.69893617021276599</v>
      </c>
      <c r="U1498" s="253">
        <v>0.73160919540229885</v>
      </c>
      <c r="V1498" s="253"/>
      <c r="W1498" s="253">
        <v>0.77413793103448281</v>
      </c>
      <c r="X1498" s="253">
        <v>0.58529411764705885</v>
      </c>
      <c r="Y1498" s="253">
        <v>0.62584745762711858</v>
      </c>
      <c r="Z1498" s="253">
        <v>0.53846153846153844</v>
      </c>
      <c r="AA1498" s="253"/>
      <c r="AB1498" s="253"/>
      <c r="AC1498" s="253"/>
      <c r="AD1498" s="253"/>
      <c r="AE1498" s="253"/>
    </row>
    <row r="1499" spans="1:31">
      <c r="A1499" s="33">
        <v>1498</v>
      </c>
      <c r="B1499" s="69" t="s">
        <v>1445</v>
      </c>
      <c r="C1499" s="69" t="s">
        <v>1446</v>
      </c>
      <c r="D1499" s="56">
        <v>42843</v>
      </c>
      <c r="E1499" s="33" t="s">
        <v>724</v>
      </c>
      <c r="F1499" s="69" t="s">
        <v>380</v>
      </c>
      <c r="G1499" s="69" t="str">
        <f t="shared" si="23"/>
        <v>User Registration</v>
      </c>
      <c r="H1499" s="69" t="s">
        <v>508</v>
      </c>
      <c r="I1499" s="69" t="s">
        <v>922</v>
      </c>
      <c r="J1499" s="69" t="s">
        <v>1445</v>
      </c>
      <c r="K1499" s="69" t="s">
        <v>1435</v>
      </c>
      <c r="L1499" s="253">
        <v>0.69193006993006989</v>
      </c>
      <c r="M1499" s="253">
        <v>0.6477078439855104</v>
      </c>
      <c r="N1499" s="253">
        <v>0.66259322827274147</v>
      </c>
      <c r="O1499" s="253">
        <v>0.62490026809161625</v>
      </c>
      <c r="P1499" s="253">
        <v>0.70818181818181813</v>
      </c>
      <c r="Q1499" s="253">
        <v>0.61148648648648651</v>
      </c>
      <c r="R1499" s="253">
        <v>0.65853071055800882</v>
      </c>
      <c r="S1499" s="253">
        <v>0.61907216494845363</v>
      </c>
      <c r="T1499" s="253">
        <v>0.64840425531914891</v>
      </c>
      <c r="U1499" s="253">
        <v>0.69666666666666666</v>
      </c>
      <c r="V1499" s="253"/>
      <c r="W1499" s="253">
        <v>0.65172413793103445</v>
      </c>
      <c r="X1499" s="253">
        <v>0.69882352941176473</v>
      </c>
      <c r="Y1499" s="253">
        <v>0.61949152542372876</v>
      </c>
      <c r="Z1499" s="253">
        <v>0.62692307692307692</v>
      </c>
      <c r="AA1499" s="253"/>
      <c r="AB1499" s="253"/>
      <c r="AC1499" s="253"/>
      <c r="AD1499" s="253"/>
      <c r="AE1499" s="253"/>
    </row>
    <row r="1500" spans="1:31">
      <c r="A1500" s="33">
        <v>1499</v>
      </c>
      <c r="B1500" s="69" t="s">
        <v>1445</v>
      </c>
      <c r="C1500" s="69" t="s">
        <v>1446</v>
      </c>
      <c r="D1500" s="56">
        <v>42843</v>
      </c>
      <c r="E1500" s="33" t="s">
        <v>724</v>
      </c>
      <c r="F1500" s="69" t="s">
        <v>380</v>
      </c>
      <c r="G1500" s="69" t="str">
        <f t="shared" si="23"/>
        <v>User Registration</v>
      </c>
      <c r="H1500" s="69" t="s">
        <v>508</v>
      </c>
      <c r="I1500" s="69" t="s">
        <v>922</v>
      </c>
      <c r="J1500" s="69" t="s">
        <v>1445</v>
      </c>
      <c r="K1500" s="69" t="s">
        <v>1447</v>
      </c>
      <c r="L1500" s="253">
        <v>0.68215384615384611</v>
      </c>
      <c r="M1500" s="253">
        <v>0.63900451267614666</v>
      </c>
      <c r="N1500" s="253">
        <v>0.62367081447963801</v>
      </c>
      <c r="O1500" s="253">
        <v>0.57505218920837275</v>
      </c>
      <c r="P1500" s="253">
        <v>0.69</v>
      </c>
      <c r="Q1500" s="253">
        <v>0.65810810810810816</v>
      </c>
      <c r="R1500" s="253">
        <v>0.64024488157366533</v>
      </c>
      <c r="S1500" s="253">
        <v>0.57989690721649489</v>
      </c>
      <c r="T1500" s="253">
        <v>0.63776595744680853</v>
      </c>
      <c r="U1500" s="253">
        <v>0.66580459770114941</v>
      </c>
      <c r="V1500" s="253"/>
      <c r="W1500" s="253">
        <v>0.62812500000000004</v>
      </c>
      <c r="X1500" s="253">
        <v>0.60882352941176465</v>
      </c>
      <c r="Y1500" s="253">
        <v>0.53050847457627115</v>
      </c>
      <c r="Z1500" s="253">
        <v>0.65076923076923077</v>
      </c>
      <c r="AA1500" s="253"/>
      <c r="AB1500" s="253"/>
      <c r="AC1500" s="253"/>
      <c r="AD1500" s="253"/>
      <c r="AE1500" s="253"/>
    </row>
    <row r="1501" spans="1:31">
      <c r="A1501" s="33">
        <v>1500</v>
      </c>
      <c r="B1501" s="69" t="s">
        <v>1445</v>
      </c>
      <c r="C1501" s="69" t="s">
        <v>1446</v>
      </c>
      <c r="D1501" s="56">
        <v>42843</v>
      </c>
      <c r="E1501" s="33" t="s">
        <v>724</v>
      </c>
      <c r="F1501" s="69" t="s">
        <v>380</v>
      </c>
      <c r="G1501" s="69" t="str">
        <f t="shared" si="23"/>
        <v>User Registration</v>
      </c>
      <c r="H1501" s="69" t="s">
        <v>508</v>
      </c>
      <c r="I1501" s="69" t="s">
        <v>922</v>
      </c>
      <c r="J1501" s="69" t="s">
        <v>1445</v>
      </c>
      <c r="K1501" s="69" t="s">
        <v>391</v>
      </c>
      <c r="L1501" s="253">
        <v>0.71861538461538454</v>
      </c>
      <c r="M1501" s="253">
        <v>0.66960343802252453</v>
      </c>
      <c r="N1501" s="253">
        <v>0.68748585972850684</v>
      </c>
      <c r="O1501" s="253">
        <v>0.63019918738300973</v>
      </c>
      <c r="P1501" s="253">
        <v>0.73</v>
      </c>
      <c r="Q1501" s="253">
        <v>0.7013513513513514</v>
      </c>
      <c r="R1501" s="253">
        <v>0.69542352468887991</v>
      </c>
      <c r="S1501" s="253">
        <v>0.64432989690721654</v>
      </c>
      <c r="T1501" s="253">
        <v>0.65691489361702127</v>
      </c>
      <c r="U1501" s="253">
        <v>0.64482758620689662</v>
      </c>
      <c r="V1501" s="253"/>
      <c r="W1501" s="253">
        <v>0.72343749999999996</v>
      </c>
      <c r="X1501" s="253">
        <v>0.56764705882352939</v>
      </c>
      <c r="Y1501" s="253">
        <v>0.59576271186440677</v>
      </c>
      <c r="Z1501" s="253">
        <v>0.67307692307692313</v>
      </c>
      <c r="AA1501" s="253"/>
      <c r="AB1501" s="253"/>
      <c r="AC1501" s="253"/>
      <c r="AD1501" s="253"/>
      <c r="AE1501" s="253"/>
    </row>
    <row r="1502" spans="1:31">
      <c r="A1502" s="33">
        <v>1501</v>
      </c>
      <c r="B1502" s="69" t="s">
        <v>1445</v>
      </c>
      <c r="C1502" s="69" t="s">
        <v>1446</v>
      </c>
      <c r="D1502" s="56">
        <v>42843</v>
      </c>
      <c r="E1502" s="33" t="s">
        <v>724</v>
      </c>
      <c r="F1502" s="69" t="s">
        <v>380</v>
      </c>
      <c r="G1502" s="69" t="str">
        <f t="shared" si="23"/>
        <v>User Registration</v>
      </c>
      <c r="H1502" s="69" t="s">
        <v>508</v>
      </c>
      <c r="I1502" s="69" t="s">
        <v>922</v>
      </c>
      <c r="J1502" s="69" t="s">
        <v>1445</v>
      </c>
      <c r="K1502" s="69" t="s">
        <v>1448</v>
      </c>
      <c r="L1502" s="253">
        <v>0.69363076923076916</v>
      </c>
      <c r="M1502" s="253">
        <v>0.62342888786375461</v>
      </c>
      <c r="N1502" s="253">
        <v>0.57820252769542824</v>
      </c>
      <c r="O1502" s="253">
        <v>0.57890968441627744</v>
      </c>
      <c r="P1502" s="253">
        <v>0.71799999999999997</v>
      </c>
      <c r="Q1502" s="253">
        <v>0.58108108108108103</v>
      </c>
      <c r="R1502" s="253">
        <v>0.61589723002810115</v>
      </c>
      <c r="S1502" s="253">
        <v>0.64690721649484539</v>
      </c>
      <c r="T1502" s="253">
        <v>0.66808510638297869</v>
      </c>
      <c r="U1502" s="253">
        <v>0.63017241379310351</v>
      </c>
      <c r="V1502" s="253"/>
      <c r="W1502" s="253">
        <v>0.55931034482758613</v>
      </c>
      <c r="X1502" s="253">
        <v>0.64117647058823535</v>
      </c>
      <c r="Y1502" s="253">
        <v>0.55932203389830504</v>
      </c>
      <c r="Z1502" s="253">
        <v>0.59615384615384615</v>
      </c>
      <c r="AA1502" s="253"/>
      <c r="AB1502" s="253"/>
      <c r="AC1502" s="253"/>
      <c r="AD1502" s="253"/>
      <c r="AE1502" s="253"/>
    </row>
    <row r="1503" spans="1:31">
      <c r="A1503" s="33">
        <v>1502</v>
      </c>
      <c r="B1503" s="69" t="s">
        <v>1445</v>
      </c>
      <c r="C1503" s="69" t="s">
        <v>1446</v>
      </c>
      <c r="D1503" s="56">
        <v>42843</v>
      </c>
      <c r="E1503" s="33" t="s">
        <v>724</v>
      </c>
      <c r="F1503" s="69" t="s">
        <v>380</v>
      </c>
      <c r="G1503" s="69" t="str">
        <f t="shared" si="23"/>
        <v>User Registration</v>
      </c>
      <c r="H1503" s="69" t="s">
        <v>508</v>
      </c>
      <c r="I1503" s="69" t="s">
        <v>922</v>
      </c>
      <c r="J1503" s="69" t="s">
        <v>1445</v>
      </c>
      <c r="K1503" s="69" t="s">
        <v>1449</v>
      </c>
      <c r="L1503" s="253">
        <v>0.62969230769230777</v>
      </c>
      <c r="M1503" s="253">
        <v>0.58072143557100309</v>
      </c>
      <c r="N1503" s="253">
        <v>0.50098299266656265</v>
      </c>
      <c r="O1503" s="253">
        <v>0.5988924661317474</v>
      </c>
      <c r="P1503" s="253">
        <v>0.64</v>
      </c>
      <c r="Q1503" s="253">
        <v>0.55675675675675684</v>
      </c>
      <c r="R1503" s="253">
        <v>0.57862304295463673</v>
      </c>
      <c r="S1503" s="253">
        <v>0.615979381443299</v>
      </c>
      <c r="T1503" s="253">
        <v>0.58723404255319156</v>
      </c>
      <c r="U1503" s="253">
        <v>0.56678160919540232</v>
      </c>
      <c r="V1503" s="253"/>
      <c r="W1503" s="253">
        <v>0.52068965517241383</v>
      </c>
      <c r="X1503" s="253">
        <v>0.43529411764705883</v>
      </c>
      <c r="Y1503" s="253">
        <v>0.60858050847457623</v>
      </c>
      <c r="Z1503" s="253">
        <v>0.58846153846153848</v>
      </c>
      <c r="AA1503" s="253"/>
      <c r="AB1503" s="253"/>
      <c r="AC1503" s="253"/>
      <c r="AD1503" s="253"/>
      <c r="AE1503" s="253"/>
    </row>
    <row r="1504" spans="1:31">
      <c r="A1504" s="33">
        <v>1503</v>
      </c>
      <c r="B1504" s="69" t="s">
        <v>1440</v>
      </c>
      <c r="C1504" s="69" t="s">
        <v>1441</v>
      </c>
      <c r="D1504" s="56">
        <v>42849</v>
      </c>
      <c r="E1504" s="33" t="s">
        <v>724</v>
      </c>
      <c r="F1504" s="69" t="s">
        <v>380</v>
      </c>
      <c r="G1504" s="69" t="str">
        <f t="shared" si="23"/>
        <v>User Registration</v>
      </c>
      <c r="H1504" s="69" t="s">
        <v>508</v>
      </c>
      <c r="I1504" s="69" t="s">
        <v>922</v>
      </c>
      <c r="J1504" s="69" t="s">
        <v>1440</v>
      </c>
      <c r="K1504" s="69" t="s">
        <v>928</v>
      </c>
      <c r="L1504" s="253">
        <v>0.63167832167832172</v>
      </c>
      <c r="M1504" s="253">
        <v>0.65627892402339261</v>
      </c>
      <c r="N1504" s="253">
        <v>0.60120192307692311</v>
      </c>
      <c r="O1504" s="253">
        <v>0.63524758390258473</v>
      </c>
      <c r="P1504" s="253">
        <v>0.66363636363636358</v>
      </c>
      <c r="Q1504" s="253">
        <v>0.67647058823529405</v>
      </c>
      <c r="R1504" s="253">
        <v>0.70163198694410445</v>
      </c>
      <c r="S1504" s="253">
        <v>0.66121495327102797</v>
      </c>
      <c r="T1504" s="253">
        <v>0.56976744186046513</v>
      </c>
      <c r="U1504" s="253">
        <v>0.70370370370370361</v>
      </c>
      <c r="V1504" s="253"/>
      <c r="W1504" s="253">
        <v>0.6015625</v>
      </c>
      <c r="X1504" s="253">
        <v>0.6</v>
      </c>
      <c r="Y1504" s="253">
        <v>0.68095238095238086</v>
      </c>
      <c r="Z1504" s="253">
        <v>0.50384615384615394</v>
      </c>
      <c r="AA1504" s="253"/>
      <c r="AB1504" s="253"/>
      <c r="AC1504" s="253"/>
      <c r="AD1504" s="253"/>
      <c r="AE1504" s="253"/>
    </row>
    <row r="1505" spans="1:31">
      <c r="A1505" s="33">
        <v>1504</v>
      </c>
      <c r="B1505" s="69" t="s">
        <v>1440</v>
      </c>
      <c r="C1505" s="69" t="s">
        <v>1441</v>
      </c>
      <c r="D1505" s="56">
        <v>42849</v>
      </c>
      <c r="E1505" s="33" t="s">
        <v>724</v>
      </c>
      <c r="F1505" s="69" t="s">
        <v>380</v>
      </c>
      <c r="G1505" s="69" t="str">
        <f t="shared" si="23"/>
        <v>User Registration</v>
      </c>
      <c r="H1505" s="69" t="s">
        <v>508</v>
      </c>
      <c r="I1505" s="69" t="s">
        <v>922</v>
      </c>
      <c r="J1505" s="69" t="s">
        <v>1440</v>
      </c>
      <c r="K1505" s="69" t="s">
        <v>372</v>
      </c>
      <c r="L1505" s="253">
        <v>0.68716923076923075</v>
      </c>
      <c r="M1505" s="253">
        <v>0.62645336240343175</v>
      </c>
      <c r="N1505" s="253">
        <v>0.74879807692307687</v>
      </c>
      <c r="O1505" s="253">
        <v>0.62615992295198553</v>
      </c>
      <c r="P1505" s="253">
        <v>0.70799999999999996</v>
      </c>
      <c r="Q1505" s="253">
        <v>0.67352941176470582</v>
      </c>
      <c r="R1505" s="253">
        <v>0.61026111791105664</v>
      </c>
      <c r="S1505" s="253">
        <v>0.60280373831775691</v>
      </c>
      <c r="T1505" s="253">
        <v>0.52616279069767447</v>
      </c>
      <c r="U1505" s="253">
        <v>0.69312169312169303</v>
      </c>
      <c r="V1505" s="253"/>
      <c r="W1505" s="253">
        <v>0.74843749999999998</v>
      </c>
      <c r="X1505" s="253">
        <v>0.75</v>
      </c>
      <c r="Y1505" s="253">
        <v>0.63809523809523805</v>
      </c>
      <c r="Z1505" s="253">
        <v>0.60384615384615392</v>
      </c>
      <c r="AA1505" s="253"/>
      <c r="AB1505" s="253"/>
      <c r="AC1505" s="253"/>
      <c r="AD1505" s="253"/>
      <c r="AE1505" s="253"/>
    </row>
    <row r="1506" spans="1:31">
      <c r="A1506" s="33">
        <v>1505</v>
      </c>
      <c r="B1506" s="69" t="s">
        <v>1440</v>
      </c>
      <c r="C1506" s="69" t="s">
        <v>1441</v>
      </c>
      <c r="D1506" s="56">
        <v>42849</v>
      </c>
      <c r="E1506" s="33" t="s">
        <v>724</v>
      </c>
      <c r="F1506" s="69" t="s">
        <v>380</v>
      </c>
      <c r="G1506" s="69" t="str">
        <f t="shared" si="23"/>
        <v>User Registration</v>
      </c>
      <c r="H1506" s="69" t="s">
        <v>508</v>
      </c>
      <c r="I1506" s="69" t="s">
        <v>922</v>
      </c>
      <c r="J1506" s="69" t="s">
        <v>1440</v>
      </c>
      <c r="K1506" s="69" t="s">
        <v>947</v>
      </c>
      <c r="L1506" s="253">
        <v>0.67342097902097908</v>
      </c>
      <c r="M1506" s="253">
        <v>0.63492000627588485</v>
      </c>
      <c r="N1506" s="253">
        <v>0.69816176470588243</v>
      </c>
      <c r="O1506" s="253">
        <v>0.64694014656809096</v>
      </c>
      <c r="P1506" s="253">
        <v>0.67254545454545445</v>
      </c>
      <c r="Q1506" s="253">
        <v>0.62999999999999989</v>
      </c>
      <c r="R1506" s="253">
        <v>0.59981640146878834</v>
      </c>
      <c r="S1506" s="253">
        <v>0.62523364485981303</v>
      </c>
      <c r="T1506" s="253">
        <v>0.60465116279069775</v>
      </c>
      <c r="U1506" s="253">
        <v>0.68306878306878294</v>
      </c>
      <c r="V1506" s="253"/>
      <c r="W1506" s="253">
        <v>0.68437499999999996</v>
      </c>
      <c r="X1506" s="253">
        <v>0.74411764705882355</v>
      </c>
      <c r="Y1506" s="253">
        <v>0.64523809523809517</v>
      </c>
      <c r="Z1506" s="253">
        <v>0.67692307692307707</v>
      </c>
      <c r="AA1506" s="253"/>
      <c r="AB1506" s="253"/>
      <c r="AC1506" s="253"/>
      <c r="AD1506" s="253"/>
      <c r="AE1506" s="253"/>
    </row>
    <row r="1507" spans="1:31">
      <c r="A1507" s="33">
        <v>1506</v>
      </c>
      <c r="B1507" s="69" t="s">
        <v>1440</v>
      </c>
      <c r="C1507" s="69" t="s">
        <v>1441</v>
      </c>
      <c r="D1507" s="56">
        <v>42849</v>
      </c>
      <c r="E1507" s="33" t="s">
        <v>724</v>
      </c>
      <c r="F1507" s="69" t="s">
        <v>380</v>
      </c>
      <c r="G1507" s="69" t="str">
        <f t="shared" si="23"/>
        <v>User Registration</v>
      </c>
      <c r="H1507" s="69" t="s">
        <v>508</v>
      </c>
      <c r="I1507" s="69" t="s">
        <v>922</v>
      </c>
      <c r="J1507" s="69" t="s">
        <v>1440</v>
      </c>
      <c r="K1507" s="69" t="s">
        <v>1442</v>
      </c>
      <c r="L1507" s="253">
        <v>0.6207160839160839</v>
      </c>
      <c r="M1507" s="253">
        <v>0.63570776378269389</v>
      </c>
      <c r="N1507" s="253">
        <v>0.50972850678733028</v>
      </c>
      <c r="O1507" s="253">
        <v>0.6193767859084004</v>
      </c>
      <c r="P1507" s="253">
        <v>0.62781818181818183</v>
      </c>
      <c r="Q1507" s="253">
        <v>0.61117647058823521</v>
      </c>
      <c r="R1507" s="253">
        <v>0.64200326397388818</v>
      </c>
      <c r="S1507" s="253">
        <v>0.64953271028037374</v>
      </c>
      <c r="T1507" s="253">
        <v>0.63313953488372088</v>
      </c>
      <c r="U1507" s="253">
        <v>0.65687830687830695</v>
      </c>
      <c r="V1507" s="253"/>
      <c r="W1507" s="253">
        <v>0.51</v>
      </c>
      <c r="X1507" s="253">
        <v>0.50882352941176479</v>
      </c>
      <c r="Y1507" s="253">
        <v>0.62619047619047608</v>
      </c>
      <c r="Z1507" s="253">
        <v>0.59230769230769231</v>
      </c>
      <c r="AA1507" s="253"/>
      <c r="AB1507" s="253"/>
      <c r="AC1507" s="253"/>
      <c r="AD1507" s="253"/>
      <c r="AE1507" s="253"/>
    </row>
    <row r="1508" spans="1:31">
      <c r="A1508" s="33">
        <v>1507</v>
      </c>
      <c r="B1508" s="69" t="s">
        <v>1440</v>
      </c>
      <c r="C1508" s="69" t="s">
        <v>1441</v>
      </c>
      <c r="D1508" s="56">
        <v>42849</v>
      </c>
      <c r="E1508" s="33" t="s">
        <v>724</v>
      </c>
      <c r="F1508" s="69" t="s">
        <v>380</v>
      </c>
      <c r="G1508" s="69" t="str">
        <f t="shared" si="23"/>
        <v>User Registration</v>
      </c>
      <c r="H1508" s="69" t="s">
        <v>508</v>
      </c>
      <c r="I1508" s="69" t="s">
        <v>922</v>
      </c>
      <c r="J1508" s="69" t="s">
        <v>1440</v>
      </c>
      <c r="K1508" s="69" t="s">
        <v>1440</v>
      </c>
      <c r="L1508" s="253">
        <v>0.63038041958041946</v>
      </c>
      <c r="M1508" s="253">
        <v>0.63224648479828127</v>
      </c>
      <c r="N1508" s="253">
        <v>0.67204468325791866</v>
      </c>
      <c r="O1508" s="253">
        <v>0.60844724740437239</v>
      </c>
      <c r="P1508" s="253">
        <v>0.63509090909090893</v>
      </c>
      <c r="Q1508" s="253">
        <v>0.63588235294117645</v>
      </c>
      <c r="R1508" s="253">
        <v>0.65214198286413705</v>
      </c>
      <c r="S1508" s="253">
        <v>0.58644859813084116</v>
      </c>
      <c r="T1508" s="253">
        <v>0.65406976744186041</v>
      </c>
      <c r="U1508" s="253">
        <v>0.64126984126984132</v>
      </c>
      <c r="V1508" s="253"/>
      <c r="W1508" s="253">
        <v>0.66718750000000004</v>
      </c>
      <c r="X1508" s="253">
        <v>0.68823529411764717</v>
      </c>
      <c r="Y1508" s="253">
        <v>0.59761904761904761</v>
      </c>
      <c r="Z1508" s="253">
        <v>0.61153846153846159</v>
      </c>
      <c r="AA1508" s="253"/>
      <c r="AB1508" s="253"/>
      <c r="AC1508" s="253"/>
      <c r="AD1508" s="253"/>
      <c r="AE1508" s="253"/>
    </row>
    <row r="1509" spans="1:31">
      <c r="A1509" s="33">
        <v>1508</v>
      </c>
      <c r="B1509" s="69" t="s">
        <v>1440</v>
      </c>
      <c r="C1509" s="69" t="s">
        <v>1441</v>
      </c>
      <c r="D1509" s="56">
        <v>42849</v>
      </c>
      <c r="E1509" s="33" t="s">
        <v>724</v>
      </c>
      <c r="F1509" s="69" t="s">
        <v>380</v>
      </c>
      <c r="G1509" s="69" t="str">
        <f t="shared" si="23"/>
        <v>User Registration</v>
      </c>
      <c r="H1509" s="69" t="s">
        <v>508</v>
      </c>
      <c r="I1509" s="69" t="s">
        <v>922</v>
      </c>
      <c r="J1509" s="69" t="s">
        <v>1440</v>
      </c>
      <c r="K1509" s="69" t="s">
        <v>1443</v>
      </c>
      <c r="L1509" s="253">
        <v>0.5750909090909091</v>
      </c>
      <c r="M1509" s="253">
        <v>0.60130389534542827</v>
      </c>
      <c r="N1509" s="253">
        <v>0.63807692307692299</v>
      </c>
      <c r="O1509" s="253">
        <v>0.6140241215727501</v>
      </c>
      <c r="P1509" s="253">
        <v>0.55636363636363639</v>
      </c>
      <c r="Q1509" s="253">
        <v>0.56294117647058817</v>
      </c>
      <c r="R1509" s="253">
        <v>0.60599755201958372</v>
      </c>
      <c r="S1509" s="253">
        <v>0.57009345794392519</v>
      </c>
      <c r="T1509" s="253">
        <v>0.65639534883720929</v>
      </c>
      <c r="U1509" s="253">
        <v>0.5997354497354499</v>
      </c>
      <c r="V1509" s="253"/>
      <c r="W1509" s="253">
        <v>0.63749999999999996</v>
      </c>
      <c r="X1509" s="253">
        <v>0.64</v>
      </c>
      <c r="Y1509" s="253">
        <v>0.6071428571428571</v>
      </c>
      <c r="Z1509" s="253">
        <v>0.65</v>
      </c>
      <c r="AA1509" s="253"/>
      <c r="AB1509" s="253"/>
      <c r="AC1509" s="253"/>
      <c r="AD1509" s="253"/>
      <c r="AE1509" s="253"/>
    </row>
    <row r="1510" spans="1:31">
      <c r="A1510" s="33">
        <v>1509</v>
      </c>
      <c r="B1510" s="69" t="s">
        <v>1440</v>
      </c>
      <c r="C1510" s="69" t="s">
        <v>1441</v>
      </c>
      <c r="D1510" s="56">
        <v>42849</v>
      </c>
      <c r="E1510" s="33" t="s">
        <v>724</v>
      </c>
      <c r="F1510" s="69" t="s">
        <v>380</v>
      </c>
      <c r="G1510" s="69" t="str">
        <f t="shared" si="23"/>
        <v>User Registration</v>
      </c>
      <c r="H1510" s="69" t="s">
        <v>508</v>
      </c>
      <c r="I1510" s="69" t="s">
        <v>922</v>
      </c>
      <c r="J1510" s="69" t="s">
        <v>1440</v>
      </c>
      <c r="K1510" s="69" t="s">
        <v>1444</v>
      </c>
      <c r="L1510" s="253">
        <v>0.63978181818181812</v>
      </c>
      <c r="M1510" s="253">
        <v>0.59826002790247834</v>
      </c>
      <c r="N1510" s="253">
        <v>0.52918552036199096</v>
      </c>
      <c r="O1510" s="253">
        <v>0.57972231006214914</v>
      </c>
      <c r="P1510" s="253">
        <v>0.62472727272727258</v>
      </c>
      <c r="Q1510" s="253">
        <v>0.59823529411764709</v>
      </c>
      <c r="R1510" s="253">
        <v>0.63308853529171771</v>
      </c>
      <c r="S1510" s="253">
        <v>0.48364485981308408</v>
      </c>
      <c r="T1510" s="253">
        <v>0.63953488372093026</v>
      </c>
      <c r="U1510" s="253">
        <v>0.58968253968253981</v>
      </c>
      <c r="V1510" s="253"/>
      <c r="W1510" s="253">
        <v>0.53</v>
      </c>
      <c r="X1510" s="253">
        <v>0.52647058823529413</v>
      </c>
      <c r="Y1510" s="253">
        <v>0.51666666666666661</v>
      </c>
      <c r="Z1510" s="253">
        <v>0.70000000000000007</v>
      </c>
      <c r="AA1510" s="253"/>
      <c r="AB1510" s="253"/>
      <c r="AC1510" s="253"/>
      <c r="AD1510" s="253"/>
      <c r="AE1510" s="253"/>
    </row>
    <row r="1511" spans="1:31">
      <c r="A1511" s="33">
        <v>1510</v>
      </c>
      <c r="B1511" s="69" t="s">
        <v>1434</v>
      </c>
      <c r="C1511" s="69" t="s">
        <v>1203</v>
      </c>
      <c r="D1511" s="56">
        <v>42851</v>
      </c>
      <c r="E1511" s="33" t="s">
        <v>781</v>
      </c>
      <c r="F1511" s="69" t="s">
        <v>755</v>
      </c>
      <c r="G1511" s="69" t="str">
        <f t="shared" si="23"/>
        <v>User Registration</v>
      </c>
      <c r="H1511" s="69" t="s">
        <v>508</v>
      </c>
      <c r="I1511" s="69" t="s">
        <v>962</v>
      </c>
      <c r="J1511" s="69" t="s">
        <v>1434</v>
      </c>
      <c r="K1511" s="69" t="s">
        <v>1434</v>
      </c>
      <c r="L1511" s="253">
        <v>0.55040000000000011</v>
      </c>
      <c r="M1511" s="253">
        <v>0.54590000000000005</v>
      </c>
      <c r="N1511" s="253">
        <v>0.56999999999999995</v>
      </c>
      <c r="O1511" s="253">
        <v>0.59499999999999997</v>
      </c>
      <c r="P1511" s="253">
        <v>0.56000000000000005</v>
      </c>
      <c r="Q1511" s="253">
        <v>0.52080000000000004</v>
      </c>
      <c r="R1511" s="253">
        <v>0.53180781129999999</v>
      </c>
      <c r="S1511" s="253">
        <v>0.6431</v>
      </c>
      <c r="T1511" s="253"/>
      <c r="U1511" s="253">
        <v>0.52590000000000003</v>
      </c>
      <c r="V1511" s="253"/>
      <c r="W1511" s="253">
        <v>0.62</v>
      </c>
      <c r="X1511" s="253">
        <v>0.51249999999999996</v>
      </c>
      <c r="Y1511" s="253">
        <v>0.65629999999999999</v>
      </c>
      <c r="Z1511" s="253">
        <v>0.51200000000000001</v>
      </c>
      <c r="AA1511" s="253"/>
      <c r="AB1511" s="253"/>
      <c r="AC1511" s="253"/>
      <c r="AD1511" s="253"/>
      <c r="AE1511" s="253"/>
    </row>
    <row r="1512" spans="1:31">
      <c r="A1512" s="33">
        <v>1511</v>
      </c>
      <c r="B1512" s="69" t="s">
        <v>1434</v>
      </c>
      <c r="C1512" s="69" t="s">
        <v>1203</v>
      </c>
      <c r="D1512" s="56">
        <v>42851</v>
      </c>
      <c r="E1512" s="33" t="s">
        <v>781</v>
      </c>
      <c r="F1512" s="69" t="s">
        <v>755</v>
      </c>
      <c r="G1512" s="69" t="str">
        <f t="shared" si="23"/>
        <v>User Registration</v>
      </c>
      <c r="H1512" s="69" t="s">
        <v>508</v>
      </c>
      <c r="I1512" s="69" t="s">
        <v>962</v>
      </c>
      <c r="J1512" s="69" t="s">
        <v>1434</v>
      </c>
      <c r="K1512" s="69" t="s">
        <v>930</v>
      </c>
      <c r="L1512" s="253">
        <v>0.65849999999999997</v>
      </c>
      <c r="M1512" s="253">
        <v>0.68830000000000002</v>
      </c>
      <c r="N1512" s="253">
        <v>0.68899999999999995</v>
      </c>
      <c r="O1512" s="253">
        <v>0.67989999999999995</v>
      </c>
      <c r="P1512" s="253">
        <v>0.68</v>
      </c>
      <c r="Q1512" s="253">
        <v>0.59779999999999989</v>
      </c>
      <c r="R1512" s="253">
        <v>0.71</v>
      </c>
      <c r="S1512" s="253">
        <v>0.74</v>
      </c>
      <c r="T1512" s="253"/>
      <c r="U1512" s="253">
        <v>0.72</v>
      </c>
      <c r="V1512" s="253"/>
      <c r="W1512" s="253">
        <v>0.79</v>
      </c>
      <c r="X1512" s="253">
        <v>0</v>
      </c>
      <c r="Y1512" s="253">
        <v>0.7</v>
      </c>
      <c r="Z1512" s="253">
        <v>0.6</v>
      </c>
      <c r="AA1512" s="253"/>
      <c r="AB1512" s="253"/>
      <c r="AC1512" s="253"/>
      <c r="AD1512" s="253"/>
      <c r="AE1512" s="253"/>
    </row>
    <row r="1513" spans="1:31">
      <c r="A1513" s="33">
        <v>1512</v>
      </c>
      <c r="B1513" s="69" t="s">
        <v>1434</v>
      </c>
      <c r="C1513" s="69" t="s">
        <v>1203</v>
      </c>
      <c r="D1513" s="56">
        <v>42851</v>
      </c>
      <c r="E1513" s="33" t="s">
        <v>781</v>
      </c>
      <c r="F1513" s="69" t="s">
        <v>755</v>
      </c>
      <c r="G1513" s="69" t="str">
        <f t="shared" si="23"/>
        <v>User Registration</v>
      </c>
      <c r="H1513" s="69" t="s">
        <v>508</v>
      </c>
      <c r="I1513" s="69" t="s">
        <v>962</v>
      </c>
      <c r="J1513" s="69" t="s">
        <v>1434</v>
      </c>
      <c r="K1513" s="69" t="s">
        <v>1435</v>
      </c>
      <c r="L1513" s="253">
        <v>0.69</v>
      </c>
      <c r="M1513" s="253">
        <v>0.65790000000000004</v>
      </c>
      <c r="N1513" s="253">
        <v>0.70099999999999996</v>
      </c>
      <c r="O1513" s="253">
        <v>0.69489999999999996</v>
      </c>
      <c r="P1513" s="253">
        <v>0.72</v>
      </c>
      <c r="Q1513" s="253">
        <v>0.61539999999999995</v>
      </c>
      <c r="R1513" s="253">
        <v>0.68</v>
      </c>
      <c r="S1513" s="253">
        <v>0.73809999999999998</v>
      </c>
      <c r="T1513" s="253"/>
      <c r="U1513" s="253">
        <v>0.62749999999999995</v>
      </c>
      <c r="V1513" s="253"/>
      <c r="W1513" s="253">
        <v>0.76800000000000002</v>
      </c>
      <c r="X1513" s="253">
        <v>0.64</v>
      </c>
      <c r="Y1513" s="253">
        <v>0.75339999999999996</v>
      </c>
      <c r="Z1513" s="253">
        <v>0.56999999999999995</v>
      </c>
      <c r="AA1513" s="253"/>
      <c r="AB1513" s="253"/>
      <c r="AC1513" s="253"/>
      <c r="AD1513" s="253"/>
      <c r="AE1513" s="253"/>
    </row>
    <row r="1514" spans="1:31">
      <c r="A1514" s="33">
        <v>1513</v>
      </c>
      <c r="B1514" s="69" t="s">
        <v>1434</v>
      </c>
      <c r="C1514" s="69" t="s">
        <v>1203</v>
      </c>
      <c r="D1514" s="56">
        <v>42851</v>
      </c>
      <c r="E1514" s="33" t="s">
        <v>781</v>
      </c>
      <c r="F1514" s="69" t="s">
        <v>755</v>
      </c>
      <c r="G1514" s="69" t="str">
        <f t="shared" si="23"/>
        <v>User Registration</v>
      </c>
      <c r="H1514" s="69" t="s">
        <v>508</v>
      </c>
      <c r="I1514" s="69" t="s">
        <v>962</v>
      </c>
      <c r="J1514" s="69" t="s">
        <v>1434</v>
      </c>
      <c r="K1514" s="69" t="s">
        <v>1436</v>
      </c>
      <c r="L1514" s="253">
        <v>0.5</v>
      </c>
      <c r="M1514" s="253">
        <v>0.58050000000000002</v>
      </c>
      <c r="N1514" s="253">
        <v>0.56021951219512189</v>
      </c>
      <c r="O1514" s="253">
        <v>0.57069999999999999</v>
      </c>
      <c r="P1514" s="253">
        <v>0.5</v>
      </c>
      <c r="Q1514" s="253">
        <v>0.623</v>
      </c>
      <c r="R1514" s="253">
        <v>0.63019999999999998</v>
      </c>
      <c r="S1514" s="253">
        <v>0.54</v>
      </c>
      <c r="T1514" s="253"/>
      <c r="U1514" s="253">
        <v>0.55000000000000004</v>
      </c>
      <c r="V1514" s="253"/>
      <c r="W1514" s="253">
        <v>0.59</v>
      </c>
      <c r="X1514" s="253">
        <v>0.47499999999999998</v>
      </c>
      <c r="Y1514" s="253">
        <v>0.59250000000000003</v>
      </c>
      <c r="Z1514" s="253">
        <v>0.51919999999999999</v>
      </c>
      <c r="AA1514" s="253"/>
      <c r="AB1514" s="253"/>
      <c r="AC1514" s="253"/>
      <c r="AD1514" s="253"/>
      <c r="AE1514" s="253"/>
    </row>
    <row r="1515" spans="1:31">
      <c r="A1515" s="33">
        <v>1514</v>
      </c>
      <c r="B1515" s="69" t="s">
        <v>1434</v>
      </c>
      <c r="C1515" s="69" t="s">
        <v>1203</v>
      </c>
      <c r="D1515" s="56">
        <v>42851</v>
      </c>
      <c r="E1515" s="33" t="s">
        <v>781</v>
      </c>
      <c r="F1515" s="69" t="s">
        <v>755</v>
      </c>
      <c r="G1515" s="69" t="str">
        <f t="shared" si="23"/>
        <v>User Registration</v>
      </c>
      <c r="H1515" s="69" t="s">
        <v>508</v>
      </c>
      <c r="I1515" s="69" t="s">
        <v>962</v>
      </c>
      <c r="J1515" s="69" t="s">
        <v>1434</v>
      </c>
      <c r="K1515" s="69" t="s">
        <v>1226</v>
      </c>
      <c r="L1515" s="253">
        <v>0.55600000000000005</v>
      </c>
      <c r="M1515" s="253">
        <v>0.58399999999999996</v>
      </c>
      <c r="N1515" s="253">
        <v>0.52949999999999997</v>
      </c>
      <c r="O1515" s="253">
        <v>0.6</v>
      </c>
      <c r="P1515" s="253">
        <v>0.55000000000000004</v>
      </c>
      <c r="Q1515" s="253">
        <v>0.54820000000000002</v>
      </c>
      <c r="R1515" s="253">
        <v>0.62</v>
      </c>
      <c r="S1515" s="253">
        <v>0.57199999999999995</v>
      </c>
      <c r="T1515" s="253"/>
      <c r="U1515" s="253">
        <v>0.57999999999999996</v>
      </c>
      <c r="V1515" s="253"/>
      <c r="W1515" s="253">
        <v>0.52</v>
      </c>
      <c r="X1515" s="253">
        <v>0.48299999999999998</v>
      </c>
      <c r="Y1515" s="253">
        <v>0.61</v>
      </c>
      <c r="Z1515" s="253">
        <v>0.57999999999999996</v>
      </c>
      <c r="AA1515" s="253"/>
      <c r="AB1515" s="253"/>
      <c r="AC1515" s="253"/>
      <c r="AD1515" s="253"/>
      <c r="AE1515" s="253">
        <v>64</v>
      </c>
    </row>
    <row r="1516" spans="1:31">
      <c r="A1516" s="33">
        <v>1515</v>
      </c>
      <c r="B1516" s="69" t="s">
        <v>1434</v>
      </c>
      <c r="C1516" s="69" t="s">
        <v>1203</v>
      </c>
      <c r="D1516" s="56">
        <v>42851</v>
      </c>
      <c r="E1516" s="33" t="s">
        <v>781</v>
      </c>
      <c r="F1516" s="69" t="s">
        <v>755</v>
      </c>
      <c r="G1516" s="69" t="str">
        <f t="shared" si="23"/>
        <v>User Registration</v>
      </c>
      <c r="H1516" s="69" t="s">
        <v>508</v>
      </c>
      <c r="I1516" s="69" t="s">
        <v>962</v>
      </c>
      <c r="J1516" s="69" t="s">
        <v>1434</v>
      </c>
      <c r="K1516" s="69" t="s">
        <v>1437</v>
      </c>
      <c r="L1516" s="253">
        <v>0.54875471698</v>
      </c>
      <c r="M1516" s="253">
        <v>0.60899999999999999</v>
      </c>
      <c r="N1516" s="253">
        <v>0.57299999999999995</v>
      </c>
      <c r="O1516" s="253">
        <v>0.61042451956315791</v>
      </c>
      <c r="P1516" s="253">
        <v>0.56999999999999995</v>
      </c>
      <c r="Q1516" s="253">
        <v>0.58850000000000002</v>
      </c>
      <c r="R1516" s="253">
        <v>0.63534897359999998</v>
      </c>
      <c r="S1516" s="253">
        <v>0.62</v>
      </c>
      <c r="T1516" s="253"/>
      <c r="U1516" s="253">
        <v>0.61650000000000005</v>
      </c>
      <c r="V1516" s="253"/>
      <c r="W1516" s="253">
        <v>0.57999999999999996</v>
      </c>
      <c r="X1516" s="253">
        <v>0.52249999999999996</v>
      </c>
      <c r="Y1516" s="253">
        <v>0.68</v>
      </c>
      <c r="Z1516" s="253">
        <v>0.46377358489999998</v>
      </c>
      <c r="AA1516" s="253"/>
      <c r="AB1516" s="253"/>
      <c r="AC1516" s="253"/>
      <c r="AD1516" s="253"/>
      <c r="AE1516" s="253">
        <v>53</v>
      </c>
    </row>
    <row r="1517" spans="1:31">
      <c r="A1517" s="33">
        <v>1516</v>
      </c>
      <c r="B1517" s="69" t="s">
        <v>1434</v>
      </c>
      <c r="C1517" s="69" t="s">
        <v>1203</v>
      </c>
      <c r="D1517" s="56">
        <v>42851</v>
      </c>
      <c r="E1517" s="33" t="s">
        <v>781</v>
      </c>
      <c r="F1517" s="69" t="s">
        <v>755</v>
      </c>
      <c r="G1517" s="69" t="str">
        <f t="shared" si="23"/>
        <v>User Registration</v>
      </c>
      <c r="H1517" s="69" t="s">
        <v>508</v>
      </c>
      <c r="I1517" s="69" t="s">
        <v>962</v>
      </c>
      <c r="J1517" s="69" t="s">
        <v>1434</v>
      </c>
      <c r="K1517" s="69" t="s">
        <v>1224</v>
      </c>
      <c r="L1517" s="253">
        <v>0.6</v>
      </c>
      <c r="M1517" s="253">
        <v>0.57640000000000002</v>
      </c>
      <c r="N1517" s="253">
        <v>0.55000000000000004</v>
      </c>
      <c r="O1517" s="253">
        <v>0.57889999999999997</v>
      </c>
      <c r="P1517" s="253">
        <v>0.6094700461</v>
      </c>
      <c r="Q1517" s="253">
        <v>0.55859999999999999</v>
      </c>
      <c r="R1517" s="253">
        <v>0.56000000000000005</v>
      </c>
      <c r="S1517" s="253">
        <v>0.56200000000000006</v>
      </c>
      <c r="T1517" s="253"/>
      <c r="U1517" s="253">
        <v>0.63500000000000001</v>
      </c>
      <c r="V1517" s="253"/>
      <c r="W1517" s="253">
        <v>0.54</v>
      </c>
      <c r="X1517" s="253">
        <v>0.5625</v>
      </c>
      <c r="Y1517" s="253">
        <v>0.57999999999999996</v>
      </c>
      <c r="Z1517" s="253">
        <v>0.56000000000000005</v>
      </c>
      <c r="AA1517" s="253"/>
      <c r="AB1517" s="253"/>
      <c r="AC1517" s="253"/>
      <c r="AD1517" s="253"/>
      <c r="AE1517" s="253">
        <v>56.999999999999993</v>
      </c>
    </row>
    <row r="1518" spans="1:31">
      <c r="A1518" s="33">
        <v>1517</v>
      </c>
      <c r="B1518" s="69" t="s">
        <v>1434</v>
      </c>
      <c r="C1518" s="69" t="s">
        <v>1203</v>
      </c>
      <c r="D1518" s="56">
        <v>42851</v>
      </c>
      <c r="E1518" s="33" t="s">
        <v>781</v>
      </c>
      <c r="F1518" s="69" t="s">
        <v>755</v>
      </c>
      <c r="G1518" s="69" t="str">
        <f t="shared" si="23"/>
        <v>User Registration</v>
      </c>
      <c r="H1518" s="69" t="s">
        <v>508</v>
      </c>
      <c r="I1518" s="69" t="s">
        <v>962</v>
      </c>
      <c r="J1518" s="69" t="s">
        <v>1434</v>
      </c>
      <c r="K1518" s="69" t="s">
        <v>1438</v>
      </c>
      <c r="L1518" s="253">
        <v>0.52</v>
      </c>
      <c r="M1518" s="253">
        <v>0.54920000000000002</v>
      </c>
      <c r="N1518" s="253">
        <v>0.48930000000000001</v>
      </c>
      <c r="O1518" s="253">
        <v>0.54000859191578954</v>
      </c>
      <c r="P1518" s="253">
        <v>0.51700000000000002</v>
      </c>
      <c r="Q1518" s="253">
        <v>0.61260000000000003</v>
      </c>
      <c r="R1518" s="253">
        <v>0.58628162319999999</v>
      </c>
      <c r="S1518" s="253">
        <v>0.52</v>
      </c>
      <c r="T1518" s="253"/>
      <c r="U1518" s="253">
        <v>0.52</v>
      </c>
      <c r="V1518" s="253"/>
      <c r="W1518" s="253">
        <v>0.45</v>
      </c>
      <c r="X1518" s="253">
        <v>0.49249999999999999</v>
      </c>
      <c r="Y1518" s="253">
        <v>0.54</v>
      </c>
      <c r="Z1518" s="253">
        <v>0.51100000000000001</v>
      </c>
      <c r="AA1518" s="253"/>
      <c r="AB1518" s="253"/>
      <c r="AC1518" s="253"/>
      <c r="AD1518" s="253"/>
      <c r="AE1518" s="253">
        <v>68</v>
      </c>
    </row>
    <row r="1519" spans="1:31">
      <c r="A1519" s="33">
        <v>1518</v>
      </c>
      <c r="B1519" s="69" t="s">
        <v>1434</v>
      </c>
      <c r="C1519" s="69" t="s">
        <v>1203</v>
      </c>
      <c r="D1519" s="56">
        <v>42851</v>
      </c>
      <c r="E1519" s="33" t="s">
        <v>781</v>
      </c>
      <c r="F1519" s="69" t="s">
        <v>755</v>
      </c>
      <c r="G1519" s="69" t="str">
        <f t="shared" si="23"/>
        <v>User Registration</v>
      </c>
      <c r="H1519" s="69" t="s">
        <v>508</v>
      </c>
      <c r="I1519" s="69" t="s">
        <v>962</v>
      </c>
      <c r="J1519" s="69" t="s">
        <v>1434</v>
      </c>
      <c r="K1519" s="69" t="s">
        <v>1439</v>
      </c>
      <c r="L1519" s="253">
        <v>0.56599999999999995</v>
      </c>
      <c r="M1519" s="253">
        <v>0.55679999999999996</v>
      </c>
      <c r="N1519" s="253">
        <v>0.48049999999999998</v>
      </c>
      <c r="O1519" s="253">
        <v>0.59</v>
      </c>
      <c r="P1519" s="253">
        <v>0.56319512199999999</v>
      </c>
      <c r="Q1519" s="253">
        <v>0.57350000000000001</v>
      </c>
      <c r="R1519" s="253">
        <v>0.55224028039999995</v>
      </c>
      <c r="S1519" s="253">
        <v>0.52500000000000002</v>
      </c>
      <c r="T1519" s="253"/>
      <c r="U1519" s="253">
        <v>0.56000000000000005</v>
      </c>
      <c r="V1519" s="253"/>
      <c r="W1519" s="253">
        <v>0.46</v>
      </c>
      <c r="X1519" s="253">
        <v>0.46250000000000002</v>
      </c>
      <c r="Y1519" s="253">
        <v>0.63</v>
      </c>
      <c r="Z1519" s="253">
        <v>0.55000000000000004</v>
      </c>
      <c r="AA1519" s="253"/>
      <c r="AB1519" s="253"/>
      <c r="AC1519" s="253"/>
      <c r="AD1519" s="253"/>
      <c r="AE1519" s="253">
        <v>71</v>
      </c>
    </row>
    <row r="1520" spans="1:31">
      <c r="A1520" s="33">
        <v>1519</v>
      </c>
      <c r="B1520" s="69" t="s">
        <v>1035</v>
      </c>
      <c r="C1520" s="69" t="s">
        <v>791</v>
      </c>
      <c r="D1520" s="56">
        <v>42858</v>
      </c>
      <c r="E1520" s="33" t="s">
        <v>724</v>
      </c>
      <c r="F1520" s="69" t="s">
        <v>380</v>
      </c>
      <c r="G1520" s="69" t="str">
        <f t="shared" si="23"/>
        <v>E-Commerce</v>
      </c>
      <c r="H1520" s="69" t="s">
        <v>364</v>
      </c>
      <c r="I1520" s="69" t="s">
        <v>1431</v>
      </c>
      <c r="J1520" s="69" t="s">
        <v>1035</v>
      </c>
      <c r="K1520" s="69" t="s">
        <v>389</v>
      </c>
      <c r="L1520" s="253">
        <v>0.70201678321678318</v>
      </c>
      <c r="M1520" s="253">
        <v>0.71763871731705042</v>
      </c>
      <c r="N1520" s="253">
        <v>0.6819004524886878</v>
      </c>
      <c r="O1520" s="253">
        <v>0.72043145328881708</v>
      </c>
      <c r="P1520" s="253">
        <v>0.74963636363636366</v>
      </c>
      <c r="Q1520" s="253">
        <v>0.70337837837837835</v>
      </c>
      <c r="R1520" s="253">
        <v>0.69621921359642802</v>
      </c>
      <c r="S1520" s="253">
        <v>0.78773584905660377</v>
      </c>
      <c r="T1520" s="253">
        <v>0.61832061068702293</v>
      </c>
      <c r="U1520" s="253">
        <v>0.8364197530864198</v>
      </c>
      <c r="V1520" s="253">
        <v>0.67999999999999994</v>
      </c>
      <c r="W1520" s="253"/>
      <c r="X1520" s="253">
        <v>0.68823529411764706</v>
      </c>
      <c r="Y1520" s="253">
        <v>0.78291666666666671</v>
      </c>
      <c r="Z1520" s="253">
        <v>0.5115384615384615</v>
      </c>
      <c r="AA1520" s="253"/>
      <c r="AB1520" s="253"/>
      <c r="AC1520" s="253"/>
      <c r="AD1520" s="253"/>
      <c r="AE1520" s="253"/>
    </row>
    <row r="1521" spans="1:31">
      <c r="A1521" s="33">
        <v>1520</v>
      </c>
      <c r="B1521" s="69" t="s">
        <v>1035</v>
      </c>
      <c r="C1521" s="69" t="s">
        <v>791</v>
      </c>
      <c r="D1521" s="56">
        <v>42858</v>
      </c>
      <c r="E1521" s="33" t="s">
        <v>724</v>
      </c>
      <c r="F1521" s="69" t="s">
        <v>380</v>
      </c>
      <c r="G1521" s="69" t="str">
        <f t="shared" si="23"/>
        <v>E-Commerce</v>
      </c>
      <c r="H1521" s="69" t="s">
        <v>364</v>
      </c>
      <c r="I1521" s="69" t="s">
        <v>1431</v>
      </c>
      <c r="J1521" s="69" t="s">
        <v>1035</v>
      </c>
      <c r="K1521" s="69" t="s">
        <v>1432</v>
      </c>
      <c r="L1521" s="253">
        <v>0.56643636363636363</v>
      </c>
      <c r="M1521" s="253">
        <v>0.61189634211553201</v>
      </c>
      <c r="N1521" s="253">
        <v>0.57693886141218553</v>
      </c>
      <c r="O1521" s="253">
        <v>0.60984029232929426</v>
      </c>
      <c r="P1521" s="253">
        <v>0.57054545454545447</v>
      </c>
      <c r="Q1521" s="253">
        <v>0.57162162162162167</v>
      </c>
      <c r="R1521" s="253">
        <v>0.63559700417686882</v>
      </c>
      <c r="S1521" s="253">
        <v>0.56509433962264155</v>
      </c>
      <c r="T1521" s="253">
        <v>0.64122137404580148</v>
      </c>
      <c r="U1521" s="253">
        <v>0.66502057613168719</v>
      </c>
      <c r="V1521" s="253">
        <v>0.58325581395348836</v>
      </c>
      <c r="W1521" s="253"/>
      <c r="X1521" s="253">
        <v>0.55588235294117649</v>
      </c>
      <c r="Y1521" s="253">
        <v>0.63093750000000004</v>
      </c>
      <c r="Z1521" s="253">
        <v>0.55000000000000004</v>
      </c>
      <c r="AA1521" s="253"/>
      <c r="AB1521" s="253"/>
      <c r="AC1521" s="253"/>
      <c r="AD1521" s="253"/>
      <c r="AE1521" s="253"/>
    </row>
    <row r="1522" spans="1:31">
      <c r="A1522" s="33">
        <v>1521</v>
      </c>
      <c r="B1522" s="69" t="s">
        <v>1035</v>
      </c>
      <c r="C1522" s="69" t="s">
        <v>791</v>
      </c>
      <c r="D1522" s="56">
        <v>42858</v>
      </c>
      <c r="E1522" s="33" t="s">
        <v>724</v>
      </c>
      <c r="F1522" s="69" t="s">
        <v>380</v>
      </c>
      <c r="G1522" s="69" t="str">
        <f t="shared" si="23"/>
        <v>E-Commerce</v>
      </c>
      <c r="H1522" s="69" t="s">
        <v>364</v>
      </c>
      <c r="I1522" s="69" t="s">
        <v>1431</v>
      </c>
      <c r="J1522" s="69" t="s">
        <v>1035</v>
      </c>
      <c r="K1522" s="69" t="s">
        <v>1035</v>
      </c>
      <c r="L1522" s="253">
        <v>0.59885314685314683</v>
      </c>
      <c r="M1522" s="253">
        <v>0.62565795847497574</v>
      </c>
      <c r="N1522" s="253">
        <v>0.65476691571082812</v>
      </c>
      <c r="O1522" s="253">
        <v>0.61949879204567593</v>
      </c>
      <c r="P1522" s="253">
        <v>0.60818181818181816</v>
      </c>
      <c r="Q1522" s="253">
        <v>0.58716216216216222</v>
      </c>
      <c r="R1522" s="253">
        <v>0.62593979547745937</v>
      </c>
      <c r="S1522" s="253">
        <v>0.63490566037735852</v>
      </c>
      <c r="T1522" s="253">
        <v>0.65916030534351144</v>
      </c>
      <c r="U1522" s="253">
        <v>0.65432098765432101</v>
      </c>
      <c r="V1522" s="253">
        <v>0.66325581395348832</v>
      </c>
      <c r="W1522" s="253"/>
      <c r="X1522" s="253">
        <v>0.62647058823529411</v>
      </c>
      <c r="Y1522" s="253">
        <v>0.63729166666666659</v>
      </c>
      <c r="Z1522" s="253">
        <v>0.56153846153846154</v>
      </c>
      <c r="AA1522" s="253"/>
      <c r="AB1522" s="253"/>
      <c r="AC1522" s="253"/>
      <c r="AD1522" s="253"/>
      <c r="AE1522" s="253"/>
    </row>
    <row r="1523" spans="1:31">
      <c r="A1523" s="33">
        <v>1522</v>
      </c>
      <c r="B1523" s="69" t="s">
        <v>1035</v>
      </c>
      <c r="C1523" s="69" t="s">
        <v>791</v>
      </c>
      <c r="D1523" s="56">
        <v>42858</v>
      </c>
      <c r="E1523" s="33" t="s">
        <v>724</v>
      </c>
      <c r="F1523" s="69" t="s">
        <v>380</v>
      </c>
      <c r="G1523" s="69" t="str">
        <f t="shared" si="23"/>
        <v>E-Commerce</v>
      </c>
      <c r="H1523" s="69" t="s">
        <v>364</v>
      </c>
      <c r="I1523" s="69" t="s">
        <v>1431</v>
      </c>
      <c r="J1523" s="69" t="s">
        <v>1035</v>
      </c>
      <c r="K1523" s="69" t="s">
        <v>1036</v>
      </c>
      <c r="L1523" s="253">
        <v>0.59356083916083913</v>
      </c>
      <c r="M1523" s="253">
        <v>0.63434988293588457</v>
      </c>
      <c r="N1523" s="253">
        <v>0.52945385667683886</v>
      </c>
      <c r="O1523" s="253">
        <v>0.65754262095027449</v>
      </c>
      <c r="P1523" s="253">
        <v>0.58618181818181825</v>
      </c>
      <c r="Q1523" s="253">
        <v>0.58108108108108103</v>
      </c>
      <c r="R1523" s="253">
        <v>0.62171971770128187</v>
      </c>
      <c r="S1523" s="253">
        <v>0.67405660377358489</v>
      </c>
      <c r="T1523" s="253">
        <v>0.69503816793893125</v>
      </c>
      <c r="U1523" s="253">
        <v>0.62592592592592589</v>
      </c>
      <c r="V1523" s="253">
        <v>0.54534883720930227</v>
      </c>
      <c r="W1523" s="253"/>
      <c r="X1523" s="253">
        <v>0.47647058823529409</v>
      </c>
      <c r="Y1523" s="253">
        <v>0.68104166666666666</v>
      </c>
      <c r="Z1523" s="253">
        <v>0.62307692307692308</v>
      </c>
      <c r="AA1523" s="253"/>
      <c r="AB1523" s="253"/>
      <c r="AC1523" s="253"/>
      <c r="AD1523" s="253"/>
      <c r="AE1523" s="253"/>
    </row>
    <row r="1524" spans="1:31">
      <c r="A1524" s="33">
        <v>1523</v>
      </c>
      <c r="B1524" s="69" t="s">
        <v>1035</v>
      </c>
      <c r="C1524" s="69" t="s">
        <v>791</v>
      </c>
      <c r="D1524" s="56">
        <v>42858</v>
      </c>
      <c r="E1524" s="33" t="s">
        <v>724</v>
      </c>
      <c r="F1524" s="69" t="s">
        <v>380</v>
      </c>
      <c r="G1524" s="69" t="str">
        <f t="shared" si="23"/>
        <v>E-Commerce</v>
      </c>
      <c r="H1524" s="69" t="s">
        <v>364</v>
      </c>
      <c r="I1524" s="69" t="s">
        <v>1431</v>
      </c>
      <c r="J1524" s="69" t="s">
        <v>1035</v>
      </c>
      <c r="K1524" s="69" t="s">
        <v>561</v>
      </c>
      <c r="L1524" s="253">
        <v>0.6209230769230768</v>
      </c>
      <c r="M1524" s="253">
        <v>0.60489492715218274</v>
      </c>
      <c r="N1524" s="253">
        <v>0.58964221824686935</v>
      </c>
      <c r="O1524" s="253">
        <v>0.59631393304737068</v>
      </c>
      <c r="P1524" s="253">
        <v>0.62999999999999989</v>
      </c>
      <c r="Q1524" s="253">
        <v>0.55945945945945941</v>
      </c>
      <c r="R1524" s="253">
        <v>0.60410485380959245</v>
      </c>
      <c r="S1524" s="253">
        <v>0.5981132075471699</v>
      </c>
      <c r="T1524" s="253">
        <v>0.5572519083969466</v>
      </c>
      <c r="U1524" s="253">
        <v>0.68415637860082301</v>
      </c>
      <c r="V1524" s="253">
        <v>0.58953488372093021</v>
      </c>
      <c r="W1524" s="253"/>
      <c r="X1524" s="253">
        <v>0.59</v>
      </c>
      <c r="Y1524" s="253">
        <v>0.60177083333333337</v>
      </c>
      <c r="Z1524" s="253">
        <v>0.58461538461538465</v>
      </c>
      <c r="AA1524" s="253"/>
      <c r="AB1524" s="253"/>
      <c r="AC1524" s="253"/>
      <c r="AD1524" s="253"/>
      <c r="AE1524" s="253"/>
    </row>
    <row r="1525" spans="1:31">
      <c r="A1525" s="33">
        <v>1524</v>
      </c>
      <c r="B1525" s="69" t="s">
        <v>1035</v>
      </c>
      <c r="C1525" s="69" t="s">
        <v>791</v>
      </c>
      <c r="D1525" s="56">
        <v>42858</v>
      </c>
      <c r="E1525" s="33" t="s">
        <v>724</v>
      </c>
      <c r="F1525" s="69" t="s">
        <v>380</v>
      </c>
      <c r="G1525" s="69" t="str">
        <f t="shared" si="23"/>
        <v>E-Commerce</v>
      </c>
      <c r="H1525" s="69" t="s">
        <v>364</v>
      </c>
      <c r="I1525" s="69" t="s">
        <v>1431</v>
      </c>
      <c r="J1525" s="69" t="s">
        <v>1035</v>
      </c>
      <c r="K1525" s="69" t="s">
        <v>1433</v>
      </c>
      <c r="L1525" s="253">
        <v>0.59151888111888096</v>
      </c>
      <c r="M1525" s="253">
        <v>0.57725614354878463</v>
      </c>
      <c r="N1525" s="253">
        <v>0.54289697990108376</v>
      </c>
      <c r="O1525" s="253">
        <v>0.56099443761347734</v>
      </c>
      <c r="P1525" s="253">
        <v>0.59709090909090889</v>
      </c>
      <c r="Q1525" s="253">
        <v>0.552027027027027</v>
      </c>
      <c r="R1525" s="253">
        <v>0.57883479763790879</v>
      </c>
      <c r="S1525" s="253">
        <v>0.54764150943396228</v>
      </c>
      <c r="T1525" s="253">
        <v>0.5942748091603054</v>
      </c>
      <c r="U1525" s="253">
        <v>0.61255144032921804</v>
      </c>
      <c r="V1525" s="253">
        <v>0.5248837209302325</v>
      </c>
      <c r="W1525" s="253"/>
      <c r="X1525" s="253">
        <v>0.6029411764705882</v>
      </c>
      <c r="Y1525" s="253">
        <v>0.55718749999999995</v>
      </c>
      <c r="Z1525" s="253">
        <v>0.56923076923076921</v>
      </c>
      <c r="AA1525" s="253"/>
      <c r="AB1525" s="253"/>
      <c r="AC1525" s="253"/>
      <c r="AD1525" s="253"/>
      <c r="AE1525" s="253"/>
    </row>
    <row r="1526" spans="1:31">
      <c r="A1526" s="33">
        <v>1525</v>
      </c>
      <c r="B1526" s="69" t="s">
        <v>727</v>
      </c>
      <c r="C1526" s="69" t="s">
        <v>1038</v>
      </c>
      <c r="D1526" s="56">
        <v>42864</v>
      </c>
      <c r="E1526" s="33" t="s">
        <v>724</v>
      </c>
      <c r="F1526" s="69" t="s">
        <v>755</v>
      </c>
      <c r="G1526" s="69" t="str">
        <f t="shared" si="23"/>
        <v>E-Commerce</v>
      </c>
      <c r="H1526" s="69" t="s">
        <v>364</v>
      </c>
      <c r="I1526" s="69" t="s">
        <v>1331</v>
      </c>
      <c r="J1526" s="69" t="s">
        <v>727</v>
      </c>
      <c r="K1526" s="69" t="s">
        <v>727</v>
      </c>
      <c r="L1526" s="253">
        <v>0.63418712674187117</v>
      </c>
      <c r="M1526" s="253">
        <v>0.61912719237812919</v>
      </c>
      <c r="N1526" s="253">
        <v>0.60147321898347894</v>
      </c>
      <c r="O1526" s="253">
        <v>0.57975428374150995</v>
      </c>
      <c r="P1526" s="253">
        <v>0.64090909090909087</v>
      </c>
      <c r="Q1526" s="253">
        <v>0.60716216216216212</v>
      </c>
      <c r="R1526" s="253">
        <v>0.5920783522972779</v>
      </c>
      <c r="S1526" s="253">
        <v>0.60849056603773588</v>
      </c>
      <c r="T1526" s="253">
        <v>0.60267175572519083</v>
      </c>
      <c r="U1526" s="253">
        <v>0.67886178861788615</v>
      </c>
      <c r="V1526" s="253">
        <v>0.60720930232558146</v>
      </c>
      <c r="W1526" s="253"/>
      <c r="X1526" s="253">
        <v>0.58235294117647063</v>
      </c>
      <c r="Y1526" s="253">
        <v>0.56874999999999998</v>
      </c>
      <c r="Z1526" s="253">
        <v>0.60729927007299267</v>
      </c>
      <c r="AA1526" s="253"/>
      <c r="AB1526" s="253"/>
      <c r="AC1526" s="253"/>
      <c r="AD1526" s="253"/>
      <c r="AE1526" s="253"/>
    </row>
    <row r="1527" spans="1:31">
      <c r="A1527" s="33">
        <v>1526</v>
      </c>
      <c r="B1527" s="69" t="s">
        <v>727</v>
      </c>
      <c r="C1527" s="69" t="s">
        <v>1038</v>
      </c>
      <c r="D1527" s="56">
        <v>42864</v>
      </c>
      <c r="E1527" s="33" t="s">
        <v>724</v>
      </c>
      <c r="F1527" s="69" t="s">
        <v>755</v>
      </c>
      <c r="G1527" s="69" t="str">
        <f t="shared" si="23"/>
        <v>E-Commerce</v>
      </c>
      <c r="H1527" s="69" t="s">
        <v>364</v>
      </c>
      <c r="I1527" s="69" t="s">
        <v>1331</v>
      </c>
      <c r="J1527" s="69" t="s">
        <v>727</v>
      </c>
      <c r="K1527" s="69" t="s">
        <v>728</v>
      </c>
      <c r="L1527" s="253">
        <v>0.5666741258741258</v>
      </c>
      <c r="M1527" s="253">
        <v>0.62868701127436022</v>
      </c>
      <c r="N1527" s="253">
        <v>0.6712859097127224</v>
      </c>
      <c r="O1527" s="253">
        <v>0.56415150727650731</v>
      </c>
      <c r="P1527" s="253">
        <v>0.54872727272727262</v>
      </c>
      <c r="Q1527" s="253">
        <v>0.70148648648648648</v>
      </c>
      <c r="R1527" s="253">
        <v>0.62547889961111913</v>
      </c>
      <c r="S1527" s="253">
        <v>0.51701030927835046</v>
      </c>
      <c r="T1527" s="253">
        <v>0.63167938931297707</v>
      </c>
      <c r="U1527" s="253">
        <v>0.65729166666666672</v>
      </c>
      <c r="V1527" s="253">
        <v>0.6879069767441861</v>
      </c>
      <c r="W1527" s="253"/>
      <c r="X1527" s="253">
        <v>0.61588235294117644</v>
      </c>
      <c r="Y1527" s="253">
        <v>0.52812500000000007</v>
      </c>
      <c r="Z1527" s="253">
        <v>0.63846153846153841</v>
      </c>
      <c r="AA1527" s="253"/>
      <c r="AB1527" s="253"/>
      <c r="AC1527" s="253"/>
      <c r="AD1527" s="253"/>
      <c r="AE1527" s="253"/>
    </row>
    <row r="1528" spans="1:31">
      <c r="A1528" s="33">
        <v>1527</v>
      </c>
      <c r="B1528" s="69" t="s">
        <v>727</v>
      </c>
      <c r="C1528" s="69" t="s">
        <v>1038</v>
      </c>
      <c r="D1528" s="56">
        <v>42864</v>
      </c>
      <c r="E1528" s="33" t="s">
        <v>724</v>
      </c>
      <c r="F1528" s="69" t="s">
        <v>755</v>
      </c>
      <c r="G1528" s="69" t="str">
        <f t="shared" si="23"/>
        <v>E-Commerce</v>
      </c>
      <c r="H1528" s="69" t="s">
        <v>364</v>
      </c>
      <c r="I1528" s="69" t="s">
        <v>1331</v>
      </c>
      <c r="J1528" s="69" t="s">
        <v>727</v>
      </c>
      <c r="K1528" s="69" t="s">
        <v>733</v>
      </c>
      <c r="L1528" s="253">
        <v>0.56455664335664335</v>
      </c>
      <c r="M1528" s="253">
        <v>0.61788563723776468</v>
      </c>
      <c r="N1528" s="253">
        <v>0.61672103546248558</v>
      </c>
      <c r="O1528" s="253">
        <v>0.59485028542231932</v>
      </c>
      <c r="P1528" s="253">
        <v>0.54127272727272724</v>
      </c>
      <c r="Q1528" s="253">
        <v>0.56351351351351342</v>
      </c>
      <c r="R1528" s="253">
        <v>0.59770272216621056</v>
      </c>
      <c r="S1528" s="253">
        <v>0.56634615384615383</v>
      </c>
      <c r="T1528" s="253">
        <v>0.64427480916030544</v>
      </c>
      <c r="U1528" s="253">
        <v>0.69104166666666667</v>
      </c>
      <c r="V1528" s="253">
        <v>0.63232558139534878</v>
      </c>
      <c r="W1528" s="253"/>
      <c r="X1528" s="253">
        <v>0.56470588235294117</v>
      </c>
      <c r="Y1528" s="253">
        <v>0.57913135593220344</v>
      </c>
      <c r="Z1528" s="253">
        <v>0.65769230769230769</v>
      </c>
      <c r="AA1528" s="253"/>
      <c r="AB1528" s="253"/>
      <c r="AC1528" s="253"/>
      <c r="AD1528" s="253"/>
      <c r="AE1528" s="253"/>
    </row>
    <row r="1529" spans="1:31">
      <c r="A1529" s="33">
        <v>1528</v>
      </c>
      <c r="B1529" s="69" t="s">
        <v>727</v>
      </c>
      <c r="C1529" s="69" t="s">
        <v>1038</v>
      </c>
      <c r="D1529" s="56">
        <v>42864</v>
      </c>
      <c r="E1529" s="33" t="s">
        <v>724</v>
      </c>
      <c r="F1529" s="69" t="s">
        <v>755</v>
      </c>
      <c r="G1529" s="69" t="str">
        <f t="shared" si="23"/>
        <v>E-Commerce</v>
      </c>
      <c r="H1529" s="69" t="s">
        <v>364</v>
      </c>
      <c r="I1529" s="69" t="s">
        <v>1331</v>
      </c>
      <c r="J1529" s="69" t="s">
        <v>727</v>
      </c>
      <c r="K1529" s="69" t="s">
        <v>669</v>
      </c>
      <c r="L1529" s="253">
        <v>0.62766433566433577</v>
      </c>
      <c r="M1529" s="253">
        <v>0.67151989630023101</v>
      </c>
      <c r="N1529" s="253">
        <v>0.68986109649584326</v>
      </c>
      <c r="O1529" s="253">
        <v>0.64170636109195434</v>
      </c>
      <c r="P1529" s="253">
        <v>0.61727272727272742</v>
      </c>
      <c r="Q1529" s="253">
        <v>0.65945945945945939</v>
      </c>
      <c r="R1529" s="253">
        <v>0.66172403860002882</v>
      </c>
      <c r="S1529" s="253">
        <v>0.62067307692307694</v>
      </c>
      <c r="T1529" s="253">
        <v>0.67404580152671756</v>
      </c>
      <c r="U1529" s="253">
        <v>0.7310416666666667</v>
      </c>
      <c r="V1529" s="253">
        <v>0.7053488372093023</v>
      </c>
      <c r="W1529" s="253"/>
      <c r="X1529" s="253">
        <v>0.63823529411764701</v>
      </c>
      <c r="Y1529" s="253">
        <v>0.63167372881355932</v>
      </c>
      <c r="Z1529" s="253">
        <v>0.66923076923076918</v>
      </c>
      <c r="AA1529" s="253"/>
      <c r="AB1529" s="253"/>
      <c r="AC1529" s="253"/>
      <c r="AD1529" s="253"/>
      <c r="AE1529" s="253"/>
    </row>
    <row r="1530" spans="1:31">
      <c r="A1530" s="33">
        <v>1529</v>
      </c>
      <c r="B1530" s="69" t="s">
        <v>727</v>
      </c>
      <c r="C1530" s="69" t="s">
        <v>1038</v>
      </c>
      <c r="D1530" s="56">
        <v>42864</v>
      </c>
      <c r="E1530" s="33" t="s">
        <v>724</v>
      </c>
      <c r="F1530" s="69" t="s">
        <v>755</v>
      </c>
      <c r="G1530" s="69" t="str">
        <f t="shared" si="23"/>
        <v>E-Commerce</v>
      </c>
      <c r="H1530" s="69" t="s">
        <v>364</v>
      </c>
      <c r="I1530" s="69" t="s">
        <v>1331</v>
      </c>
      <c r="J1530" s="69" t="s">
        <v>727</v>
      </c>
      <c r="K1530" s="69" t="s">
        <v>1350</v>
      </c>
      <c r="L1530" s="253">
        <v>0.64254173855341745</v>
      </c>
      <c r="M1530" s="253">
        <v>0.62051007472057385</v>
      </c>
      <c r="N1530" s="253">
        <v>0.65784023668639047</v>
      </c>
      <c r="O1530" s="253">
        <v>0.59925300202444365</v>
      </c>
      <c r="P1530" s="253">
        <v>0.62945454545454549</v>
      </c>
      <c r="Q1530" s="253">
        <v>0.63716216216216226</v>
      </c>
      <c r="R1530" s="253">
        <v>0.64134379951029807</v>
      </c>
      <c r="S1530" s="253">
        <v>0.55240384615384619</v>
      </c>
      <c r="T1530" s="253">
        <v>0.62137404580152666</v>
      </c>
      <c r="U1530" s="253">
        <v>0.61056910569105682</v>
      </c>
      <c r="V1530" s="253">
        <v>0.64519230769230762</v>
      </c>
      <c r="W1530" s="253"/>
      <c r="X1530" s="253">
        <v>0.7</v>
      </c>
      <c r="Y1530" s="253">
        <v>0.56677083333333333</v>
      </c>
      <c r="Z1530" s="253">
        <v>0.69489051094890508</v>
      </c>
      <c r="AA1530" s="253"/>
      <c r="AB1530" s="253"/>
      <c r="AC1530" s="253"/>
      <c r="AD1530" s="253"/>
      <c r="AE1530" s="253"/>
    </row>
    <row r="1531" spans="1:31">
      <c r="A1531" s="33">
        <v>1530</v>
      </c>
      <c r="B1531" s="69" t="s">
        <v>1430</v>
      </c>
      <c r="C1531" s="69" t="s">
        <v>1038</v>
      </c>
      <c r="D1531" s="56">
        <v>42870</v>
      </c>
      <c r="E1531" s="33" t="s">
        <v>724</v>
      </c>
      <c r="F1531" s="69" t="s">
        <v>725</v>
      </c>
      <c r="G1531" s="69" t="str">
        <f t="shared" si="23"/>
        <v>E-Commerce</v>
      </c>
      <c r="H1531" s="69" t="s">
        <v>749</v>
      </c>
      <c r="I1531" s="69" t="s">
        <v>749</v>
      </c>
      <c r="J1531" s="69" t="s">
        <v>1430</v>
      </c>
      <c r="K1531" s="69" t="s">
        <v>1263</v>
      </c>
      <c r="L1531" s="253">
        <v>0.64033286713286719</v>
      </c>
      <c r="M1531" s="253">
        <v>0.63741619642940683</v>
      </c>
      <c r="N1531" s="253">
        <v>0.59789329685362513</v>
      </c>
      <c r="O1531" s="253">
        <v>0.65574624388205138</v>
      </c>
      <c r="P1531" s="253">
        <v>0.64945454545454551</v>
      </c>
      <c r="Q1531" s="253">
        <v>0.56945945945945942</v>
      </c>
      <c r="R1531" s="253">
        <v>0.58767103557539968</v>
      </c>
      <c r="S1531" s="253">
        <v>0.7350961538461539</v>
      </c>
      <c r="T1531" s="253">
        <v>0.61488549618320609</v>
      </c>
      <c r="U1531" s="253">
        <v>0.69032921810699577</v>
      </c>
      <c r="V1531" s="253">
        <v>0.61279069767441863</v>
      </c>
      <c r="W1531" s="253"/>
      <c r="X1531" s="253">
        <v>0.54823529411764704</v>
      </c>
      <c r="Y1531" s="253">
        <v>0.68562500000000004</v>
      </c>
      <c r="Z1531" s="253">
        <v>0.60384615384615381</v>
      </c>
      <c r="AA1531" s="253"/>
      <c r="AB1531" s="253"/>
      <c r="AC1531" s="253"/>
      <c r="AD1531" s="253"/>
      <c r="AE1531" s="253">
        <v>44</v>
      </c>
    </row>
    <row r="1532" spans="1:31">
      <c r="A1532" s="33">
        <v>1531</v>
      </c>
      <c r="B1532" s="69" t="s">
        <v>1430</v>
      </c>
      <c r="C1532" s="69" t="s">
        <v>1038</v>
      </c>
      <c r="D1532" s="56">
        <v>42870</v>
      </c>
      <c r="E1532" s="33" t="s">
        <v>724</v>
      </c>
      <c r="F1532" s="69" t="s">
        <v>725</v>
      </c>
      <c r="G1532" s="69" t="str">
        <f t="shared" si="23"/>
        <v>E-Commerce</v>
      </c>
      <c r="H1532" s="69" t="s">
        <v>749</v>
      </c>
      <c r="I1532" s="69" t="s">
        <v>749</v>
      </c>
      <c r="J1532" s="69" t="s">
        <v>1430</v>
      </c>
      <c r="K1532" s="69" t="s">
        <v>554</v>
      </c>
      <c r="L1532" s="253">
        <v>0.63230489510489518</v>
      </c>
      <c r="M1532" s="253">
        <v>0.68776284444750801</v>
      </c>
      <c r="N1532" s="253">
        <v>0.66932442386614743</v>
      </c>
      <c r="O1532" s="253">
        <v>0.71402957822687063</v>
      </c>
      <c r="P1532" s="253">
        <v>0.63672727272727281</v>
      </c>
      <c r="Q1532" s="253">
        <v>0.69864864864864873</v>
      </c>
      <c r="R1532" s="253">
        <v>0.66551202650151231</v>
      </c>
      <c r="S1532" s="253">
        <v>0.6889423076923078</v>
      </c>
      <c r="T1532" s="253">
        <v>0.6874045801526717</v>
      </c>
      <c r="U1532" s="253">
        <v>0.72983539094650207</v>
      </c>
      <c r="V1532" s="253">
        <v>0.70865116279069773</v>
      </c>
      <c r="W1532" s="253"/>
      <c r="X1532" s="253">
        <v>0.53823529411764703</v>
      </c>
      <c r="Y1532" s="253">
        <v>0.75760416666666663</v>
      </c>
      <c r="Z1532" s="253">
        <v>0.61461538461538467</v>
      </c>
      <c r="AA1532" s="253"/>
      <c r="AB1532" s="253"/>
      <c r="AC1532" s="253"/>
      <c r="AD1532" s="253"/>
      <c r="AE1532" s="253">
        <v>60</v>
      </c>
    </row>
    <row r="1533" spans="1:31">
      <c r="A1533" s="33">
        <v>1532</v>
      </c>
      <c r="B1533" s="69" t="s">
        <v>1430</v>
      </c>
      <c r="C1533" s="69" t="s">
        <v>1038</v>
      </c>
      <c r="D1533" s="56">
        <v>42870</v>
      </c>
      <c r="E1533" s="33" t="s">
        <v>724</v>
      </c>
      <c r="F1533" s="69" t="s">
        <v>725</v>
      </c>
      <c r="G1533" s="69" t="str">
        <f t="shared" si="23"/>
        <v>E-Commerce</v>
      </c>
      <c r="H1533" s="69" t="s">
        <v>749</v>
      </c>
      <c r="I1533" s="69" t="s">
        <v>749</v>
      </c>
      <c r="J1533" s="69" t="s">
        <v>1430</v>
      </c>
      <c r="K1533" s="69" t="s">
        <v>1052</v>
      </c>
      <c r="L1533" s="253">
        <v>0.64481118881118893</v>
      </c>
      <c r="M1533" s="253">
        <v>0.66834807197441226</v>
      </c>
      <c r="N1533" s="253">
        <v>0.65510891297484997</v>
      </c>
      <c r="O1533" s="253">
        <v>0.64524159344820864</v>
      </c>
      <c r="P1533" s="253">
        <v>0.62909090909090915</v>
      </c>
      <c r="Q1533" s="253">
        <v>0.6736486486486486</v>
      </c>
      <c r="R1533" s="253">
        <v>0.66375486101109027</v>
      </c>
      <c r="S1533" s="253">
        <v>0.61403846153846153</v>
      </c>
      <c r="T1533" s="253">
        <v>0.70763358778625951</v>
      </c>
      <c r="U1533" s="253">
        <v>0.6728395061728395</v>
      </c>
      <c r="V1533" s="253">
        <v>0.6804651162790698</v>
      </c>
      <c r="W1533" s="253"/>
      <c r="X1533" s="253">
        <v>0.57058823529411762</v>
      </c>
      <c r="Y1533" s="253">
        <v>0.62308333333333332</v>
      </c>
      <c r="Z1533" s="253">
        <v>0.70769230769230773</v>
      </c>
      <c r="AA1533" s="253"/>
      <c r="AB1533" s="253"/>
      <c r="AC1533" s="253"/>
      <c r="AD1533" s="253"/>
      <c r="AE1533" s="253">
        <v>68</v>
      </c>
    </row>
    <row r="1534" spans="1:31">
      <c r="A1534" s="33">
        <v>1533</v>
      </c>
      <c r="B1534" s="69" t="s">
        <v>1430</v>
      </c>
      <c r="C1534" s="69" t="s">
        <v>1038</v>
      </c>
      <c r="D1534" s="56">
        <v>42870</v>
      </c>
      <c r="E1534" s="33" t="s">
        <v>724</v>
      </c>
      <c r="F1534" s="69" t="s">
        <v>725</v>
      </c>
      <c r="G1534" s="69" t="str">
        <f t="shared" si="23"/>
        <v>E-Commerce</v>
      </c>
      <c r="H1534" s="69" t="s">
        <v>749</v>
      </c>
      <c r="I1534" s="69" t="s">
        <v>749</v>
      </c>
      <c r="J1534" s="69" t="s">
        <v>1430</v>
      </c>
      <c r="K1534" s="69" t="s">
        <v>1053</v>
      </c>
      <c r="L1534" s="253">
        <v>0.61291188811188801</v>
      </c>
      <c r="M1534" s="253">
        <v>0.65497889857915703</v>
      </c>
      <c r="N1534" s="253">
        <v>0.61234241818373147</v>
      </c>
      <c r="O1534" s="253">
        <v>0.60511887021112354</v>
      </c>
      <c r="P1534" s="253">
        <v>0.60690909090909084</v>
      </c>
      <c r="Q1534" s="253">
        <v>0.71824324324324318</v>
      </c>
      <c r="R1534" s="253">
        <v>0.63437274953190259</v>
      </c>
      <c r="S1534" s="253">
        <v>0.63509615384615381</v>
      </c>
      <c r="T1534" s="253">
        <v>0.65572519083969472</v>
      </c>
      <c r="U1534" s="253">
        <v>0.64765432098765419</v>
      </c>
      <c r="V1534" s="253">
        <v>0.65116279069767447</v>
      </c>
      <c r="W1534" s="253"/>
      <c r="X1534" s="253">
        <v>0.48294117647058821</v>
      </c>
      <c r="Y1534" s="253">
        <v>0.57541666666666669</v>
      </c>
      <c r="Z1534" s="253">
        <v>0.63692307692307693</v>
      </c>
      <c r="AA1534" s="253"/>
      <c r="AB1534" s="253"/>
      <c r="AC1534" s="253"/>
      <c r="AD1534" s="253"/>
      <c r="AE1534" s="253">
        <v>57.999999999999993</v>
      </c>
    </row>
    <row r="1535" spans="1:31">
      <c r="A1535" s="33">
        <v>1534</v>
      </c>
      <c r="B1535" s="69" t="s">
        <v>1430</v>
      </c>
      <c r="C1535" s="69" t="s">
        <v>1038</v>
      </c>
      <c r="D1535" s="56">
        <v>42870</v>
      </c>
      <c r="E1535" s="33" t="s">
        <v>916</v>
      </c>
      <c r="F1535" s="69" t="s">
        <v>725</v>
      </c>
      <c r="G1535" s="69" t="str">
        <f t="shared" si="23"/>
        <v>E-Commerce</v>
      </c>
      <c r="H1535" s="69" t="s">
        <v>749</v>
      </c>
      <c r="I1535" s="69" t="s">
        <v>749</v>
      </c>
      <c r="J1535" s="69" t="s">
        <v>1430</v>
      </c>
      <c r="K1535" s="69" t="s">
        <v>1316</v>
      </c>
      <c r="L1535" s="253">
        <v>0.60932307692307697</v>
      </c>
      <c r="M1535" s="253">
        <v>0.62844644466053012</v>
      </c>
      <c r="N1535" s="253">
        <v>0.69943175839208671</v>
      </c>
      <c r="O1535" s="253">
        <v>0.61878170300488911</v>
      </c>
      <c r="P1535" s="253">
        <v>0.59800000000000009</v>
      </c>
      <c r="Q1535" s="253">
        <v>0.65067567567567575</v>
      </c>
      <c r="R1535" s="253">
        <v>0.62144606078064235</v>
      </c>
      <c r="S1535" s="253">
        <v>0.59</v>
      </c>
      <c r="T1535" s="253">
        <v>0.64122137404580148</v>
      </c>
      <c r="U1535" s="253">
        <v>0.6302880658436214</v>
      </c>
      <c r="V1535" s="253">
        <v>0.73279069767441862</v>
      </c>
      <c r="W1535" s="253"/>
      <c r="X1535" s="253">
        <v>0.58823529411764708</v>
      </c>
      <c r="Y1535" s="253">
        <v>0.60718749999999999</v>
      </c>
      <c r="Z1535" s="253">
        <v>0.65461538461538471</v>
      </c>
      <c r="AA1535" s="253"/>
      <c r="AB1535" s="253"/>
      <c r="AC1535" s="253"/>
      <c r="AD1535" s="253"/>
      <c r="AE1535" s="253">
        <v>73</v>
      </c>
    </row>
    <row r="1536" spans="1:31">
      <c r="A1536" s="33">
        <v>1535</v>
      </c>
      <c r="B1536" s="69" t="s">
        <v>1430</v>
      </c>
      <c r="C1536" s="69" t="s">
        <v>1038</v>
      </c>
      <c r="D1536" s="56">
        <v>42870</v>
      </c>
      <c r="E1536" s="33" t="s">
        <v>1134</v>
      </c>
      <c r="F1536" s="69" t="s">
        <v>725</v>
      </c>
      <c r="G1536" s="69" t="str">
        <f t="shared" si="23"/>
        <v>E-Commerce</v>
      </c>
      <c r="H1536" s="69" t="s">
        <v>749</v>
      </c>
      <c r="I1536" s="69" t="s">
        <v>749</v>
      </c>
      <c r="J1536" s="69" t="s">
        <v>1430</v>
      </c>
      <c r="K1536" s="69" t="s">
        <v>1315</v>
      </c>
      <c r="L1536" s="253">
        <v>0.53920279720279718</v>
      </c>
      <c r="M1536" s="253">
        <v>0.54272698733489178</v>
      </c>
      <c r="N1536" s="253">
        <v>0.54602546564242871</v>
      </c>
      <c r="O1536" s="253">
        <v>0.56584559236725296</v>
      </c>
      <c r="P1536" s="253">
        <v>0.51727272727272722</v>
      </c>
      <c r="Q1536" s="253">
        <v>0.52229729729729724</v>
      </c>
      <c r="R1536" s="253">
        <v>0.5399251044217197</v>
      </c>
      <c r="S1536" s="253">
        <v>0.51875000000000004</v>
      </c>
      <c r="T1536" s="253">
        <v>0.58053435114503815</v>
      </c>
      <c r="U1536" s="253">
        <v>0.52469135802469136</v>
      </c>
      <c r="V1536" s="253">
        <v>0.55418604651162795</v>
      </c>
      <c r="W1536" s="253"/>
      <c r="X1536" s="253">
        <v>0.51882352941176468</v>
      </c>
      <c r="Y1536" s="253">
        <v>0.56177083333333333</v>
      </c>
      <c r="Z1536" s="253">
        <v>0.62692307692307692</v>
      </c>
      <c r="AA1536" s="253"/>
      <c r="AB1536" s="253"/>
      <c r="AC1536" s="253"/>
      <c r="AD1536" s="253"/>
      <c r="AE1536" s="253"/>
    </row>
    <row r="1537" spans="1:31">
      <c r="A1537" s="33">
        <v>1536</v>
      </c>
      <c r="B1537" s="69" t="s">
        <v>1430</v>
      </c>
      <c r="C1537" s="69" t="s">
        <v>1038</v>
      </c>
      <c r="D1537" s="56">
        <v>42870</v>
      </c>
      <c r="E1537" s="33" t="s">
        <v>824</v>
      </c>
      <c r="F1537" s="69" t="s">
        <v>725</v>
      </c>
      <c r="G1537" s="69" t="str">
        <f t="shared" si="23"/>
        <v>E-Commerce</v>
      </c>
      <c r="H1537" s="69" t="s">
        <v>749</v>
      </c>
      <c r="I1537" s="69" t="s">
        <v>749</v>
      </c>
      <c r="J1537" s="69" t="s">
        <v>1430</v>
      </c>
      <c r="K1537" s="69" t="s">
        <v>1199</v>
      </c>
      <c r="L1537" s="253">
        <v>0.57798881118881118</v>
      </c>
      <c r="M1537" s="253">
        <v>0.60053859823396938</v>
      </c>
      <c r="N1537" s="253">
        <v>0.64543196885194154</v>
      </c>
      <c r="O1537" s="253">
        <v>0.62427107303281781</v>
      </c>
      <c r="P1537" s="253">
        <v>0.56690909090909081</v>
      </c>
      <c r="Q1537" s="253">
        <v>0.60675675675675678</v>
      </c>
      <c r="R1537" s="253">
        <v>0.581996255221086</v>
      </c>
      <c r="S1537" s="253">
        <v>0.51451923076923078</v>
      </c>
      <c r="T1537" s="253">
        <v>0.65152671755725189</v>
      </c>
      <c r="U1537" s="253">
        <v>0.64362139917695471</v>
      </c>
      <c r="V1537" s="253">
        <v>0.6597674418604651</v>
      </c>
      <c r="W1537" s="253"/>
      <c r="X1537" s="253">
        <v>0.59764705882352942</v>
      </c>
      <c r="Y1537" s="253">
        <v>0.64604166666666674</v>
      </c>
      <c r="Z1537" s="253">
        <v>0.62230769230769234</v>
      </c>
      <c r="AA1537" s="253"/>
      <c r="AB1537" s="253"/>
      <c r="AC1537" s="253"/>
      <c r="AD1537" s="253"/>
      <c r="AE1537" s="253"/>
    </row>
    <row r="1538" spans="1:31">
      <c r="A1538" s="33">
        <v>1537</v>
      </c>
      <c r="B1538" s="69" t="s">
        <v>1430</v>
      </c>
      <c r="C1538" s="69" t="s">
        <v>1038</v>
      </c>
      <c r="D1538" s="56">
        <v>42870</v>
      </c>
      <c r="E1538" s="33" t="s">
        <v>824</v>
      </c>
      <c r="F1538" s="69" t="s">
        <v>725</v>
      </c>
      <c r="G1538" s="69" t="str">
        <f t="shared" ref="G1538:G1601" si="24">IF(V1538&gt;0,IF(W1538&gt;0,"Both","E-Commerce"),IF(W1538=0, "ERROR","User Registration"))</f>
        <v>E-Commerce</v>
      </c>
      <c r="H1538" s="69" t="s">
        <v>749</v>
      </c>
      <c r="I1538" s="69" t="s">
        <v>749</v>
      </c>
      <c r="J1538" s="69" t="s">
        <v>1430</v>
      </c>
      <c r="K1538" s="69" t="s">
        <v>1200</v>
      </c>
      <c r="L1538" s="253">
        <v>0.55926713286713292</v>
      </c>
      <c r="M1538" s="253">
        <v>0.5909659125159914</v>
      </c>
      <c r="N1538" s="253">
        <v>0.5937651268020625</v>
      </c>
      <c r="O1538" s="253">
        <v>0.61411765000550467</v>
      </c>
      <c r="P1538" s="253">
        <v>0.55254545454545456</v>
      </c>
      <c r="Q1538" s="253">
        <v>0.59810810810810822</v>
      </c>
      <c r="R1538" s="253">
        <v>0.60369436842863311</v>
      </c>
      <c r="S1538" s="253">
        <v>0.61874999999999991</v>
      </c>
      <c r="T1538" s="253">
        <v>0.60152671755725184</v>
      </c>
      <c r="U1538" s="253">
        <v>0.5458847736625515</v>
      </c>
      <c r="V1538" s="253">
        <v>0.58395348837209304</v>
      </c>
      <c r="W1538" s="253"/>
      <c r="X1538" s="253">
        <v>0.62647058823529411</v>
      </c>
      <c r="Y1538" s="253">
        <v>0.62572916666666667</v>
      </c>
      <c r="Z1538" s="253">
        <v>0.58615384615384614</v>
      </c>
      <c r="AA1538" s="253"/>
      <c r="AB1538" s="253"/>
      <c r="AC1538" s="253"/>
      <c r="AD1538" s="253"/>
      <c r="AE1538" s="253"/>
    </row>
    <row r="1539" spans="1:31">
      <c r="A1539" s="33">
        <v>1538</v>
      </c>
      <c r="B1539" s="69" t="s">
        <v>1430</v>
      </c>
      <c r="C1539" s="69" t="s">
        <v>1038</v>
      </c>
      <c r="D1539" s="56">
        <v>42870</v>
      </c>
      <c r="E1539" s="33" t="s">
        <v>824</v>
      </c>
      <c r="F1539" s="69" t="s">
        <v>725</v>
      </c>
      <c r="G1539" s="69" t="str">
        <f t="shared" si="24"/>
        <v>E-Commerce</v>
      </c>
      <c r="H1539" s="69" t="s">
        <v>749</v>
      </c>
      <c r="I1539" s="69" t="s">
        <v>749</v>
      </c>
      <c r="J1539" s="69" t="s">
        <v>1430</v>
      </c>
      <c r="K1539" s="69" t="s">
        <v>1042</v>
      </c>
      <c r="L1539" s="253">
        <v>0.56093706293706302</v>
      </c>
      <c r="M1539" s="253">
        <v>0.59236099604029002</v>
      </c>
      <c r="N1539" s="253">
        <v>0.63729874776386408</v>
      </c>
      <c r="O1539" s="253">
        <v>0.63227414839769858</v>
      </c>
      <c r="P1539" s="253">
        <v>0.55636363636363639</v>
      </c>
      <c r="Q1539" s="253">
        <v>0.58378378378378382</v>
      </c>
      <c r="R1539" s="253">
        <v>0.57408901051418704</v>
      </c>
      <c r="S1539" s="253">
        <v>0.63317307692307689</v>
      </c>
      <c r="T1539" s="253">
        <v>0.56755725190839701</v>
      </c>
      <c r="U1539" s="253">
        <v>0.60497942386831272</v>
      </c>
      <c r="V1539" s="253">
        <v>0.63348837209302322</v>
      </c>
      <c r="W1539" s="253"/>
      <c r="X1539" s="253">
        <v>0.65</v>
      </c>
      <c r="Y1539" s="253">
        <v>0.6645833333333333</v>
      </c>
      <c r="Z1539" s="253">
        <v>0.57923076923076922</v>
      </c>
      <c r="AA1539" s="253"/>
      <c r="AB1539" s="253"/>
      <c r="AC1539" s="253"/>
      <c r="AD1539" s="253"/>
      <c r="AE1539" s="253"/>
    </row>
    <row r="1540" spans="1:31">
      <c r="A1540" s="33">
        <v>1539</v>
      </c>
      <c r="B1540" s="69" t="s">
        <v>1425</v>
      </c>
      <c r="C1540" s="69" t="s">
        <v>791</v>
      </c>
      <c r="D1540" s="56">
        <v>42872</v>
      </c>
      <c r="E1540" s="33" t="s">
        <v>724</v>
      </c>
      <c r="F1540" s="69" t="s">
        <v>380</v>
      </c>
      <c r="G1540" s="69" t="str">
        <f t="shared" si="24"/>
        <v>E-Commerce</v>
      </c>
      <c r="H1540" s="69" t="s">
        <v>364</v>
      </c>
      <c r="I1540" s="69" t="s">
        <v>1426</v>
      </c>
      <c r="J1540" s="69" t="s">
        <v>1425</v>
      </c>
      <c r="K1540" s="69" t="s">
        <v>654</v>
      </c>
      <c r="L1540" s="253">
        <v>0.66713286713286701</v>
      </c>
      <c r="M1540" s="253">
        <v>0.71946252965216206</v>
      </c>
      <c r="N1540" s="253">
        <v>0.69255813953488377</v>
      </c>
      <c r="O1540" s="253">
        <v>0.64576758170297688</v>
      </c>
      <c r="P1540" s="253">
        <v>0.67545454545454531</v>
      </c>
      <c r="Q1540" s="253">
        <v>0.70121621621621621</v>
      </c>
      <c r="R1540" s="253">
        <v>0.73156416534639201</v>
      </c>
      <c r="S1540" s="253">
        <v>0.68820754716981136</v>
      </c>
      <c r="T1540" s="253">
        <v>0.75076335877862588</v>
      </c>
      <c r="U1540" s="253">
        <v>0.76242798353909469</v>
      </c>
      <c r="V1540" s="253">
        <v>0.69255813953488377</v>
      </c>
      <c r="W1540" s="253"/>
      <c r="X1540" s="253">
        <v>0.69255813953488377</v>
      </c>
      <c r="Y1540" s="253">
        <v>0.62239583333333337</v>
      </c>
      <c r="Z1540" s="253">
        <v>0.63384615384615384</v>
      </c>
      <c r="AA1540" s="253"/>
      <c r="AB1540" s="253"/>
      <c r="AC1540" s="253"/>
      <c r="AD1540" s="253"/>
      <c r="AE1540" s="253"/>
    </row>
    <row r="1541" spans="1:31">
      <c r="A1541" s="33">
        <v>1540</v>
      </c>
      <c r="B1541" s="69" t="s">
        <v>1425</v>
      </c>
      <c r="C1541" s="69" t="s">
        <v>791</v>
      </c>
      <c r="D1541" s="56">
        <v>42872</v>
      </c>
      <c r="E1541" s="33" t="s">
        <v>724</v>
      </c>
      <c r="F1541" s="69" t="s">
        <v>380</v>
      </c>
      <c r="G1541" s="69" t="str">
        <f t="shared" si="24"/>
        <v>E-Commerce</v>
      </c>
      <c r="H1541" s="69" t="s">
        <v>364</v>
      </c>
      <c r="I1541" s="69" t="s">
        <v>1426</v>
      </c>
      <c r="J1541" s="69" t="s">
        <v>1425</v>
      </c>
      <c r="K1541" s="69" t="s">
        <v>78</v>
      </c>
      <c r="L1541" s="253">
        <v>0.63249999999999995</v>
      </c>
      <c r="M1541" s="253">
        <v>0.68300000000000005</v>
      </c>
      <c r="N1541" s="253">
        <v>0.72667000000000004</v>
      </c>
      <c r="O1541" s="253">
        <v>0.626</v>
      </c>
      <c r="P1541" s="253">
        <v>0.623</v>
      </c>
      <c r="Q1541" s="253">
        <v>0.67849999999999999</v>
      </c>
      <c r="R1541" s="253">
        <v>0.71499999999999997</v>
      </c>
      <c r="S1541" s="253">
        <v>0.65149999999999997</v>
      </c>
      <c r="T1541" s="253">
        <v>0.70669999999999999</v>
      </c>
      <c r="U1541" s="253">
        <v>0.65</v>
      </c>
      <c r="V1541" s="253">
        <v>0.72670000000000001</v>
      </c>
      <c r="W1541" s="253"/>
      <c r="X1541" s="253">
        <v>0.72670000000000001</v>
      </c>
      <c r="Y1541" s="253">
        <v>0.62780000000000002</v>
      </c>
      <c r="Z1541" s="253">
        <v>0.64049999999999996</v>
      </c>
      <c r="AA1541" s="253"/>
      <c r="AB1541" s="253"/>
      <c r="AC1541" s="253"/>
      <c r="AD1541" s="253"/>
      <c r="AE1541" s="253"/>
    </row>
    <row r="1542" spans="1:31">
      <c r="A1542" s="33">
        <v>1541</v>
      </c>
      <c r="B1542" s="69" t="s">
        <v>1425</v>
      </c>
      <c r="C1542" s="69" t="s">
        <v>791</v>
      </c>
      <c r="D1542" s="56">
        <v>42872</v>
      </c>
      <c r="E1542" s="33" t="s">
        <v>724</v>
      </c>
      <c r="F1542" s="69" t="s">
        <v>380</v>
      </c>
      <c r="G1542" s="69" t="str">
        <f t="shared" si="24"/>
        <v>E-Commerce</v>
      </c>
      <c r="H1542" s="69" t="s">
        <v>364</v>
      </c>
      <c r="I1542" s="69" t="s">
        <v>1426</v>
      </c>
      <c r="J1542" s="69" t="s">
        <v>1425</v>
      </c>
      <c r="K1542" s="69" t="s">
        <v>1427</v>
      </c>
      <c r="L1542" s="253">
        <v>0.65800559440559436</v>
      </c>
      <c r="M1542" s="253">
        <v>0.67756007047893152</v>
      </c>
      <c r="N1542" s="253">
        <v>0.62330232558139531</v>
      </c>
      <c r="O1542" s="253">
        <v>0.70951001679084236</v>
      </c>
      <c r="P1542" s="253">
        <v>0.65654545454545454</v>
      </c>
      <c r="Q1542" s="253">
        <v>0.60743243243243239</v>
      </c>
      <c r="R1542" s="253">
        <v>0.66606078064237362</v>
      </c>
      <c r="S1542" s="253">
        <v>0.75245283018867914</v>
      </c>
      <c r="T1542" s="253">
        <v>0.67137404580152671</v>
      </c>
      <c r="U1542" s="253">
        <v>0.69444444444444453</v>
      </c>
      <c r="V1542" s="253">
        <v>0.62330232558139531</v>
      </c>
      <c r="W1542" s="253"/>
      <c r="X1542" s="253">
        <v>0.62330232558139531</v>
      </c>
      <c r="Y1542" s="253">
        <v>0.73781249999999998</v>
      </c>
      <c r="Z1542" s="253">
        <v>0.66384615384615386</v>
      </c>
      <c r="AA1542" s="253"/>
      <c r="AB1542" s="253"/>
      <c r="AC1542" s="253"/>
      <c r="AD1542" s="253"/>
      <c r="AE1542" s="253"/>
    </row>
    <row r="1543" spans="1:31">
      <c r="A1543" s="33">
        <v>1542</v>
      </c>
      <c r="B1543" s="69" t="s">
        <v>1425</v>
      </c>
      <c r="C1543" s="69" t="s">
        <v>791</v>
      </c>
      <c r="D1543" s="56">
        <v>42872</v>
      </c>
      <c r="E1543" s="33" t="s">
        <v>724</v>
      </c>
      <c r="F1543" s="69" t="s">
        <v>380</v>
      </c>
      <c r="G1543" s="69" t="str">
        <f t="shared" si="24"/>
        <v>E-Commerce</v>
      </c>
      <c r="H1543" s="69" t="s">
        <v>364</v>
      </c>
      <c r="I1543" s="69" t="s">
        <v>1426</v>
      </c>
      <c r="J1543" s="69" t="s">
        <v>1425</v>
      </c>
      <c r="K1543" s="69" t="s">
        <v>55</v>
      </c>
      <c r="L1543" s="253">
        <v>0.67129230769230774</v>
      </c>
      <c r="M1543" s="253">
        <v>0.65870600014019753</v>
      </c>
      <c r="N1543" s="253">
        <v>0.68716194885825532</v>
      </c>
      <c r="O1543" s="253">
        <v>0.60229966465652973</v>
      </c>
      <c r="P1543" s="253">
        <v>0.68200000000000005</v>
      </c>
      <c r="Q1543" s="253">
        <v>0.6258108108108108</v>
      </c>
      <c r="R1543" s="253">
        <v>0.65526429497335437</v>
      </c>
      <c r="S1543" s="253">
        <v>0.62924528301886795</v>
      </c>
      <c r="T1543" s="253">
        <v>0.65763358778625958</v>
      </c>
      <c r="U1543" s="253">
        <v>0.72477366255144038</v>
      </c>
      <c r="V1543" s="253">
        <v>0.68860465116279079</v>
      </c>
      <c r="W1543" s="253"/>
      <c r="X1543" s="253">
        <v>0.68235294117647061</v>
      </c>
      <c r="Y1543" s="253">
        <v>0.57881250000000006</v>
      </c>
      <c r="Z1543" s="253">
        <v>0.62846153846153852</v>
      </c>
      <c r="AA1543" s="253"/>
      <c r="AB1543" s="253"/>
      <c r="AC1543" s="253"/>
      <c r="AD1543" s="253"/>
      <c r="AE1543" s="253"/>
    </row>
    <row r="1544" spans="1:31">
      <c r="A1544" s="33">
        <v>1543</v>
      </c>
      <c r="B1544" s="69" t="s">
        <v>1425</v>
      </c>
      <c r="C1544" s="69" t="s">
        <v>791</v>
      </c>
      <c r="D1544" s="56">
        <v>42872</v>
      </c>
      <c r="E1544" s="33" t="s">
        <v>724</v>
      </c>
      <c r="F1544" s="69" t="s">
        <v>380</v>
      </c>
      <c r="G1544" s="69" t="str">
        <f t="shared" si="24"/>
        <v>E-Commerce</v>
      </c>
      <c r="H1544" s="69" t="s">
        <v>364</v>
      </c>
      <c r="I1544" s="69" t="s">
        <v>1426</v>
      </c>
      <c r="J1544" s="69" t="s">
        <v>1425</v>
      </c>
      <c r="K1544" s="69" t="s">
        <v>1425</v>
      </c>
      <c r="L1544" s="253">
        <v>0.65399160839160841</v>
      </c>
      <c r="M1544" s="253">
        <v>0.63629554510566977</v>
      </c>
      <c r="N1544" s="253">
        <v>0.66734294433336827</v>
      </c>
      <c r="O1544" s="253">
        <v>0.64343809676898545</v>
      </c>
      <c r="P1544" s="253">
        <v>0.65018181818181831</v>
      </c>
      <c r="Q1544" s="253">
        <v>0.58635135135135141</v>
      </c>
      <c r="R1544" s="253">
        <v>0.64045081376926394</v>
      </c>
      <c r="S1544" s="253">
        <v>0.63537735849056598</v>
      </c>
      <c r="T1544" s="253">
        <v>0.64312977099236646</v>
      </c>
      <c r="U1544" s="253">
        <v>0.65555555555555556</v>
      </c>
      <c r="V1544" s="253">
        <v>0.65860465116279066</v>
      </c>
      <c r="W1544" s="253"/>
      <c r="X1544" s="253">
        <v>0.69647058823529406</v>
      </c>
      <c r="Y1544" s="253">
        <v>0.64281250000000001</v>
      </c>
      <c r="Z1544" s="253">
        <v>0.66923076923076918</v>
      </c>
      <c r="AA1544" s="253"/>
      <c r="AB1544" s="253"/>
      <c r="AC1544" s="253"/>
      <c r="AD1544" s="253"/>
      <c r="AE1544" s="253"/>
    </row>
    <row r="1545" spans="1:31">
      <c r="A1545" s="33">
        <v>1544</v>
      </c>
      <c r="B1545" s="69" t="s">
        <v>1425</v>
      </c>
      <c r="C1545" s="69" t="s">
        <v>791</v>
      </c>
      <c r="D1545" s="56">
        <v>42872</v>
      </c>
      <c r="E1545" s="33" t="s">
        <v>724</v>
      </c>
      <c r="F1545" s="69" t="s">
        <v>380</v>
      </c>
      <c r="G1545" s="69" t="str">
        <f t="shared" si="24"/>
        <v>E-Commerce</v>
      </c>
      <c r="H1545" s="69" t="s">
        <v>364</v>
      </c>
      <c r="I1545" s="69" t="s">
        <v>1426</v>
      </c>
      <c r="J1545" s="69" t="s">
        <v>1425</v>
      </c>
      <c r="K1545" s="69" t="s">
        <v>393</v>
      </c>
      <c r="L1545" s="253">
        <v>0.68992167832167839</v>
      </c>
      <c r="M1545" s="253">
        <v>0.65490055339420172</v>
      </c>
      <c r="N1545" s="253">
        <v>0.66980322003577819</v>
      </c>
      <c r="O1545" s="253">
        <v>0.61395900218958888</v>
      </c>
      <c r="P1545" s="253">
        <v>0.6883636363636364</v>
      </c>
      <c r="Q1545" s="253">
        <v>0.62364864864864866</v>
      </c>
      <c r="R1545" s="253">
        <v>0.63548754140861285</v>
      </c>
      <c r="S1545" s="253">
        <v>0.60150943396226408</v>
      </c>
      <c r="T1545" s="253">
        <v>0.68969465648854955</v>
      </c>
      <c r="U1545" s="253">
        <v>0.70465020576131687</v>
      </c>
      <c r="V1545" s="253">
        <v>0.64874418604651163</v>
      </c>
      <c r="W1545" s="253"/>
      <c r="X1545" s="253">
        <v>0.74</v>
      </c>
      <c r="Y1545" s="253">
        <v>0.5852708333333333</v>
      </c>
      <c r="Z1545" s="253">
        <v>0.69615384615384612</v>
      </c>
      <c r="AA1545" s="253"/>
      <c r="AB1545" s="253"/>
      <c r="AC1545" s="253"/>
      <c r="AD1545" s="253"/>
      <c r="AE1545" s="253"/>
    </row>
    <row r="1546" spans="1:31">
      <c r="A1546" s="33">
        <v>1545</v>
      </c>
      <c r="B1546" s="69" t="s">
        <v>1425</v>
      </c>
      <c r="C1546" s="69" t="s">
        <v>791</v>
      </c>
      <c r="D1546" s="56">
        <v>42872</v>
      </c>
      <c r="E1546" s="33" t="s">
        <v>724</v>
      </c>
      <c r="F1546" s="69" t="s">
        <v>380</v>
      </c>
      <c r="G1546" s="69" t="str">
        <f t="shared" si="24"/>
        <v>E-Commerce</v>
      </c>
      <c r="H1546" s="69" t="s">
        <v>364</v>
      </c>
      <c r="I1546" s="69" t="s">
        <v>1426</v>
      </c>
      <c r="J1546" s="69" t="s">
        <v>1425</v>
      </c>
      <c r="K1546" s="69" t="s">
        <v>1428</v>
      </c>
      <c r="L1546" s="253">
        <v>0.58190769230769246</v>
      </c>
      <c r="M1546" s="253">
        <v>0.54323941190595193</v>
      </c>
      <c r="N1546" s="253">
        <v>0.56304114490161006</v>
      </c>
      <c r="O1546" s="253">
        <v>0.49330524575943152</v>
      </c>
      <c r="P1546" s="253">
        <v>0.57200000000000017</v>
      </c>
      <c r="Q1546" s="253">
        <v>0.51972972972972975</v>
      </c>
      <c r="R1546" s="253">
        <v>0.62793461039896292</v>
      </c>
      <c r="S1546" s="253">
        <v>0.46264150943396226</v>
      </c>
      <c r="T1546" s="253">
        <v>0.58435114503816787</v>
      </c>
      <c r="U1546" s="253">
        <v>0.48584362139917697</v>
      </c>
      <c r="V1546" s="253">
        <v>0.56395348837209303</v>
      </c>
      <c r="W1546" s="253"/>
      <c r="X1546" s="253">
        <v>0.56000000000000005</v>
      </c>
      <c r="Y1546" s="253">
        <v>0.42833333333333334</v>
      </c>
      <c r="Z1546" s="253">
        <v>0.62153846153846148</v>
      </c>
      <c r="AA1546" s="253"/>
      <c r="AB1546" s="253"/>
      <c r="AC1546" s="253"/>
      <c r="AD1546" s="253"/>
      <c r="AE1546" s="253"/>
    </row>
    <row r="1547" spans="1:31">
      <c r="A1547" s="33">
        <v>1546</v>
      </c>
      <c r="B1547" s="69" t="s">
        <v>1425</v>
      </c>
      <c r="C1547" s="69" t="s">
        <v>791</v>
      </c>
      <c r="D1547" s="56">
        <v>42872</v>
      </c>
      <c r="E1547" s="33" t="s">
        <v>724</v>
      </c>
      <c r="F1547" s="69" t="s">
        <v>380</v>
      </c>
      <c r="G1547" s="69" t="str">
        <f t="shared" si="24"/>
        <v>E-Commerce</v>
      </c>
      <c r="H1547" s="69" t="s">
        <v>364</v>
      </c>
      <c r="I1547" s="69" t="s">
        <v>1426</v>
      </c>
      <c r="J1547" s="69" t="s">
        <v>1425</v>
      </c>
      <c r="K1547" s="69" t="s">
        <v>1429</v>
      </c>
      <c r="L1547" s="253">
        <v>0.61736223776223786</v>
      </c>
      <c r="M1547" s="253">
        <v>0.61746568889122366</v>
      </c>
      <c r="N1547" s="253">
        <v>0.67186046511627917</v>
      </c>
      <c r="O1547" s="253">
        <v>0.619080122068839</v>
      </c>
      <c r="P1547" s="253">
        <v>0.59381818181818191</v>
      </c>
      <c r="Q1547" s="253">
        <v>0.56621621621621632</v>
      </c>
      <c r="R1547" s="253">
        <v>0.58654904220077775</v>
      </c>
      <c r="S1547" s="253">
        <v>0.66084905660377358</v>
      </c>
      <c r="T1547" s="253">
        <v>0.64923664122137403</v>
      </c>
      <c r="U1547" s="253">
        <v>0.59798353909465018</v>
      </c>
      <c r="V1547" s="253">
        <v>0.67186046511627917</v>
      </c>
      <c r="W1547" s="253"/>
      <c r="X1547" s="253">
        <v>0.67186046511627917</v>
      </c>
      <c r="Y1547" s="253">
        <v>0.59895833333333337</v>
      </c>
      <c r="Z1547" s="253">
        <v>0.71153846153846156</v>
      </c>
      <c r="AA1547" s="253"/>
      <c r="AB1547" s="253"/>
      <c r="AC1547" s="253"/>
      <c r="AD1547" s="253"/>
      <c r="AE1547" s="253"/>
    </row>
    <row r="1548" spans="1:31">
      <c r="A1548" s="33">
        <v>1547</v>
      </c>
      <c r="B1548" s="69" t="s">
        <v>1419</v>
      </c>
      <c r="C1548" s="69" t="s">
        <v>1420</v>
      </c>
      <c r="D1548" s="56">
        <v>42873</v>
      </c>
      <c r="E1548" s="33" t="s">
        <v>724</v>
      </c>
      <c r="F1548" s="69" t="s">
        <v>755</v>
      </c>
      <c r="G1548" s="69" t="str">
        <f t="shared" si="24"/>
        <v>User Registration</v>
      </c>
      <c r="H1548" s="69" t="s">
        <v>808</v>
      </c>
      <c r="I1548" s="69" t="s">
        <v>1421</v>
      </c>
      <c r="J1548" s="69" t="s">
        <v>1419</v>
      </c>
      <c r="K1548" s="69" t="s">
        <v>1419</v>
      </c>
      <c r="L1548" s="253">
        <v>0.58707972027972022</v>
      </c>
      <c r="M1548" s="253">
        <v>0.56959389643945191</v>
      </c>
      <c r="N1548" s="253">
        <v>0.51034482758620692</v>
      </c>
      <c r="O1548" s="253">
        <v>0.58704016385938962</v>
      </c>
      <c r="P1548" s="253">
        <v>0.58327272727272717</v>
      </c>
      <c r="Q1548" s="253">
        <v>0.52621621621621617</v>
      </c>
      <c r="R1548" s="253">
        <v>0.56325572059413886</v>
      </c>
      <c r="S1548" s="253">
        <v>0.57836538461538456</v>
      </c>
      <c r="T1548" s="253">
        <v>0.56808510638297871</v>
      </c>
      <c r="U1548" s="253">
        <v>0.59143678160919533</v>
      </c>
      <c r="V1548" s="253"/>
      <c r="W1548" s="253">
        <v>0.51034482758620692</v>
      </c>
      <c r="X1548" s="253"/>
      <c r="Y1548" s="253">
        <v>0.59416666666666662</v>
      </c>
      <c r="Z1548" s="253">
        <v>0.60230769230769232</v>
      </c>
      <c r="AA1548" s="253"/>
      <c r="AB1548" s="253"/>
      <c r="AC1548" s="253"/>
      <c r="AD1548" s="253"/>
      <c r="AE1548" s="253"/>
    </row>
    <row r="1549" spans="1:31">
      <c r="A1549" s="33">
        <v>1548</v>
      </c>
      <c r="B1549" s="69" t="s">
        <v>1419</v>
      </c>
      <c r="C1549" s="69" t="s">
        <v>1420</v>
      </c>
      <c r="D1549" s="56">
        <v>42873</v>
      </c>
      <c r="E1549" s="33" t="s">
        <v>724</v>
      </c>
      <c r="F1549" s="69" t="s">
        <v>755</v>
      </c>
      <c r="G1549" s="69" t="str">
        <f t="shared" si="24"/>
        <v>User Registration</v>
      </c>
      <c r="H1549" s="69" t="s">
        <v>808</v>
      </c>
      <c r="I1549" s="69" t="s">
        <v>1421</v>
      </c>
      <c r="J1549" s="69" t="s">
        <v>1419</v>
      </c>
      <c r="K1549" s="69" t="s">
        <v>1422</v>
      </c>
      <c r="L1549" s="253">
        <v>0.60400000000000009</v>
      </c>
      <c r="M1549" s="253">
        <v>0.60349361155292192</v>
      </c>
      <c r="N1549" s="253">
        <v>0.65156250000000004</v>
      </c>
      <c r="O1549" s="253">
        <v>0.5746571023054895</v>
      </c>
      <c r="P1549" s="253">
        <v>0.6100000000000001</v>
      </c>
      <c r="Q1549" s="253">
        <v>0.57716216216216221</v>
      </c>
      <c r="R1549" s="253">
        <v>0.61134082697711756</v>
      </c>
      <c r="S1549" s="253">
        <v>0.61057692307692313</v>
      </c>
      <c r="T1549" s="253">
        <v>0.61170212765957444</v>
      </c>
      <c r="U1549" s="253">
        <v>0.6155172413793103</v>
      </c>
      <c r="V1549" s="253"/>
      <c r="W1549" s="253">
        <v>0.65156250000000004</v>
      </c>
      <c r="X1549" s="253"/>
      <c r="Y1549" s="253">
        <v>0.56187500000000001</v>
      </c>
      <c r="Z1549" s="253">
        <v>0.58000000000000007</v>
      </c>
      <c r="AA1549" s="253"/>
      <c r="AB1549" s="253"/>
      <c r="AC1549" s="253"/>
      <c r="AD1549" s="253"/>
      <c r="AE1549" s="253"/>
    </row>
    <row r="1550" spans="1:31">
      <c r="A1550" s="33">
        <v>1549</v>
      </c>
      <c r="B1550" s="69" t="s">
        <v>1419</v>
      </c>
      <c r="C1550" s="69" t="s">
        <v>1420</v>
      </c>
      <c r="D1550" s="56">
        <v>42873</v>
      </c>
      <c r="E1550" s="33" t="s">
        <v>724</v>
      </c>
      <c r="F1550" s="69" t="s">
        <v>755</v>
      </c>
      <c r="G1550" s="69" t="str">
        <f t="shared" si="24"/>
        <v>User Registration</v>
      </c>
      <c r="H1550" s="69" t="s">
        <v>808</v>
      </c>
      <c r="I1550" s="69" t="s">
        <v>1421</v>
      </c>
      <c r="J1550" s="69" t="s">
        <v>1419</v>
      </c>
      <c r="K1550" s="69" t="s">
        <v>1423</v>
      </c>
      <c r="L1550" s="253">
        <v>0.62938461538461543</v>
      </c>
      <c r="M1550" s="253">
        <v>0.63512087075265944</v>
      </c>
      <c r="N1550" s="253">
        <v>0.58250000000000002</v>
      </c>
      <c r="O1550" s="253">
        <v>0.61676690981340665</v>
      </c>
      <c r="P1550" s="253">
        <v>0.63000000000000012</v>
      </c>
      <c r="Q1550" s="253">
        <v>0.5127027027027028</v>
      </c>
      <c r="R1550" s="253">
        <v>0.65475712565234856</v>
      </c>
      <c r="S1550" s="253">
        <v>0.67163461538461533</v>
      </c>
      <c r="T1550" s="253">
        <v>0.66340425531914893</v>
      </c>
      <c r="U1550" s="253">
        <v>0.67051724137931035</v>
      </c>
      <c r="V1550" s="253"/>
      <c r="W1550" s="253">
        <v>0.58250000000000002</v>
      </c>
      <c r="X1550" s="253"/>
      <c r="Y1550" s="253">
        <v>0.61104166666666671</v>
      </c>
      <c r="Z1550" s="253">
        <v>0.62692307692307692</v>
      </c>
      <c r="AA1550" s="253"/>
      <c r="AB1550" s="253"/>
      <c r="AC1550" s="253"/>
      <c r="AD1550" s="253"/>
      <c r="AE1550" s="253"/>
    </row>
    <row r="1551" spans="1:31">
      <c r="A1551" s="33">
        <v>1550</v>
      </c>
      <c r="B1551" s="69" t="s">
        <v>1419</v>
      </c>
      <c r="C1551" s="69" t="s">
        <v>1420</v>
      </c>
      <c r="D1551" s="56">
        <v>42873</v>
      </c>
      <c r="E1551" s="33" t="s">
        <v>724</v>
      </c>
      <c r="F1551" s="69" t="s">
        <v>755</v>
      </c>
      <c r="G1551" s="69" t="str">
        <f t="shared" si="24"/>
        <v>User Registration</v>
      </c>
      <c r="H1551" s="69" t="s">
        <v>808</v>
      </c>
      <c r="I1551" s="69" t="s">
        <v>1421</v>
      </c>
      <c r="J1551" s="69" t="s">
        <v>1419</v>
      </c>
      <c r="K1551" s="69" t="s">
        <v>1424</v>
      </c>
      <c r="L1551" s="253">
        <v>0.5937986013986013</v>
      </c>
      <c r="M1551" s="253">
        <v>0.60577897379472101</v>
      </c>
      <c r="N1551" s="253">
        <v>0.54655172413793107</v>
      </c>
      <c r="O1551" s="253">
        <v>0.61736833147412695</v>
      </c>
      <c r="P1551" s="253">
        <v>0.59436363636363632</v>
      </c>
      <c r="Q1551" s="253">
        <v>0.56081081081081086</v>
      </c>
      <c r="R1551" s="253">
        <v>0.58492573263749503</v>
      </c>
      <c r="S1551" s="253">
        <v>0.63269230769230778</v>
      </c>
      <c r="T1551" s="253">
        <v>0.63670212765957446</v>
      </c>
      <c r="U1551" s="253">
        <v>0.62821839080459774</v>
      </c>
      <c r="V1551" s="253"/>
      <c r="W1551" s="253">
        <v>0.54655172413793107</v>
      </c>
      <c r="X1551" s="253"/>
      <c r="Y1551" s="253">
        <v>0.63572916666666657</v>
      </c>
      <c r="Z1551" s="253">
        <v>0.59153846153846146</v>
      </c>
      <c r="AA1551" s="253"/>
      <c r="AB1551" s="253"/>
      <c r="AC1551" s="253"/>
      <c r="AD1551" s="253"/>
      <c r="AE1551" s="253"/>
    </row>
    <row r="1552" spans="1:31">
      <c r="A1552" s="33">
        <v>1551</v>
      </c>
      <c r="B1552" s="69" t="s">
        <v>1413</v>
      </c>
      <c r="C1552" s="69" t="s">
        <v>740</v>
      </c>
      <c r="D1552" s="56">
        <v>42874</v>
      </c>
      <c r="E1552" s="33" t="s">
        <v>1414</v>
      </c>
      <c r="F1552" s="69" t="s">
        <v>532</v>
      </c>
      <c r="G1552" s="69" t="str">
        <f t="shared" si="24"/>
        <v>Both</v>
      </c>
      <c r="H1552" s="69" t="s">
        <v>508</v>
      </c>
      <c r="I1552" s="69" t="s">
        <v>508</v>
      </c>
      <c r="J1552" s="69" t="s">
        <v>1413</v>
      </c>
      <c r="K1552" s="69" t="s">
        <v>1413</v>
      </c>
      <c r="L1552" s="253">
        <v>0.51453426573426564</v>
      </c>
      <c r="M1552" s="253">
        <v>0.52513222216137878</v>
      </c>
      <c r="N1552" s="253">
        <v>0.52879579623412631</v>
      </c>
      <c r="O1552" s="253">
        <v>0.52705737846400658</v>
      </c>
      <c r="P1552" s="253">
        <v>0.49509090909090903</v>
      </c>
      <c r="Q1552" s="253">
        <v>0.46675675675675682</v>
      </c>
      <c r="R1552" s="253">
        <v>0.55537936571657975</v>
      </c>
      <c r="S1552" s="253">
        <v>0.49896907216494846</v>
      </c>
      <c r="T1552" s="253">
        <v>0.51117021276595753</v>
      </c>
      <c r="U1552" s="253">
        <v>0.54402298850574704</v>
      </c>
      <c r="V1552" s="253">
        <v>0.12046511627906978</v>
      </c>
      <c r="W1552" s="253">
        <v>0.52225806451612899</v>
      </c>
      <c r="X1552" s="253">
        <v>0.5505882352941176</v>
      </c>
      <c r="Y1552" s="253">
        <v>0.51065677966101697</v>
      </c>
      <c r="Z1552" s="253">
        <v>0.59230769230769231</v>
      </c>
      <c r="AA1552" s="253"/>
      <c r="AB1552" s="253"/>
      <c r="AC1552" s="253"/>
      <c r="AD1552" s="253"/>
      <c r="AE1552" s="253"/>
    </row>
    <row r="1553" spans="1:31">
      <c r="A1553" s="33">
        <v>1552</v>
      </c>
      <c r="B1553" s="69" t="s">
        <v>1413</v>
      </c>
      <c r="C1553" s="69" t="s">
        <v>740</v>
      </c>
      <c r="D1553" s="56">
        <v>42874</v>
      </c>
      <c r="E1553" s="33" t="s">
        <v>1414</v>
      </c>
      <c r="F1553" s="69" t="s">
        <v>532</v>
      </c>
      <c r="G1553" s="69" t="str">
        <f t="shared" si="24"/>
        <v>Both</v>
      </c>
      <c r="H1553" s="69" t="s">
        <v>508</v>
      </c>
      <c r="I1553" s="69" t="s">
        <v>508</v>
      </c>
      <c r="J1553" s="69" t="s">
        <v>1413</v>
      </c>
      <c r="K1553" s="69" t="s">
        <v>1415</v>
      </c>
      <c r="L1553" s="253">
        <v>0.48274242424242425</v>
      </c>
      <c r="M1553" s="253">
        <v>0.54853751923861194</v>
      </c>
      <c r="N1553" s="253">
        <v>0.56136370728662821</v>
      </c>
      <c r="O1553" s="253">
        <v>0.53085708120706809</v>
      </c>
      <c r="P1553" s="253">
        <v>0.48363636363636364</v>
      </c>
      <c r="Q1553" s="253">
        <v>0.57567567567567557</v>
      </c>
      <c r="R1553" s="253">
        <v>0.61727017262143713</v>
      </c>
      <c r="S1553" s="253">
        <v>0.52113402061855663</v>
      </c>
      <c r="T1553" s="253">
        <v>0.58351063829787231</v>
      </c>
      <c r="U1553" s="253">
        <v>0.48678160919540231</v>
      </c>
      <c r="V1553" s="253">
        <v>0.12232558139534884</v>
      </c>
      <c r="W1553" s="253">
        <v>0.55965517241379314</v>
      </c>
      <c r="X1553" s="253">
        <v>0.56705882352941173</v>
      </c>
      <c r="Y1553" s="253">
        <v>0.52557203389830509</v>
      </c>
      <c r="Z1553" s="253">
        <v>0.47916666666666669</v>
      </c>
      <c r="AA1553" s="253"/>
      <c r="AB1553" s="253"/>
      <c r="AC1553" s="253"/>
      <c r="AD1553" s="253"/>
      <c r="AE1553" s="253"/>
    </row>
    <row r="1554" spans="1:31">
      <c r="A1554" s="33">
        <v>1553</v>
      </c>
      <c r="B1554" s="69" t="s">
        <v>1413</v>
      </c>
      <c r="C1554" s="69" t="s">
        <v>740</v>
      </c>
      <c r="D1554" s="56">
        <v>42874</v>
      </c>
      <c r="E1554" s="33" t="s">
        <v>1414</v>
      </c>
      <c r="F1554" s="69" t="s">
        <v>532</v>
      </c>
      <c r="G1554" s="69" t="str">
        <f t="shared" si="24"/>
        <v>Both</v>
      </c>
      <c r="H1554" s="69" t="s">
        <v>508</v>
      </c>
      <c r="I1554" s="69" t="s">
        <v>508</v>
      </c>
      <c r="J1554" s="69" t="s">
        <v>1413</v>
      </c>
      <c r="K1554" s="69" t="s">
        <v>1416</v>
      </c>
      <c r="L1554" s="253">
        <v>0.60685594405594412</v>
      </c>
      <c r="M1554" s="253">
        <v>0.61897795872753081</v>
      </c>
      <c r="N1554" s="253">
        <v>0.58600249648931191</v>
      </c>
      <c r="O1554" s="253">
        <v>0.60019717471618217</v>
      </c>
      <c r="P1554" s="253">
        <v>0.60145454545454546</v>
      </c>
      <c r="Q1554" s="253">
        <v>0.60540540540540533</v>
      </c>
      <c r="R1554" s="253">
        <v>0.65837013247691689</v>
      </c>
      <c r="S1554" s="253">
        <v>0.58247422680412375</v>
      </c>
      <c r="T1554" s="253">
        <v>0.65478723404255323</v>
      </c>
      <c r="U1554" s="253">
        <v>0.59436781609195399</v>
      </c>
      <c r="V1554" s="253">
        <v>0.13581395348837208</v>
      </c>
      <c r="W1554" s="253">
        <v>0.58586206896551729</v>
      </c>
      <c r="X1554" s="253">
        <v>0.58647058823529419</v>
      </c>
      <c r="Y1554" s="253">
        <v>0.58133474576271182</v>
      </c>
      <c r="Z1554" s="253">
        <v>0.62846153846153852</v>
      </c>
      <c r="AA1554" s="253"/>
      <c r="AB1554" s="253"/>
      <c r="AC1554" s="253"/>
      <c r="AD1554" s="253"/>
      <c r="AE1554" s="253"/>
    </row>
    <row r="1555" spans="1:31">
      <c r="A1555" s="33">
        <v>1554</v>
      </c>
      <c r="B1555" s="69" t="s">
        <v>1413</v>
      </c>
      <c r="C1555" s="69" t="s">
        <v>740</v>
      </c>
      <c r="D1555" s="56">
        <v>42874</v>
      </c>
      <c r="E1555" s="33" t="s">
        <v>1414</v>
      </c>
      <c r="F1555" s="69" t="s">
        <v>532</v>
      </c>
      <c r="G1555" s="69" t="str">
        <f t="shared" si="24"/>
        <v>Both</v>
      </c>
      <c r="H1555" s="69" t="s">
        <v>508</v>
      </c>
      <c r="I1555" s="69" t="s">
        <v>508</v>
      </c>
      <c r="J1555" s="69" t="s">
        <v>1413</v>
      </c>
      <c r="K1555" s="69" t="s">
        <v>1417</v>
      </c>
      <c r="L1555" s="253">
        <v>0.55214545454545461</v>
      </c>
      <c r="M1555" s="253">
        <v>0.52975160996619497</v>
      </c>
      <c r="N1555" s="253">
        <v>0.54552036199095011</v>
      </c>
      <c r="O1555" s="253">
        <v>0.54552137941786849</v>
      </c>
      <c r="P1555" s="253">
        <v>0.54018181818181821</v>
      </c>
      <c r="Q1555" s="253">
        <v>0.50878378378378375</v>
      </c>
      <c r="R1555" s="253">
        <v>0.54599759132878356</v>
      </c>
      <c r="S1555" s="253">
        <v>0.51185567010309274</v>
      </c>
      <c r="T1555" s="253">
        <v>0.52659574468085102</v>
      </c>
      <c r="U1555" s="253">
        <v>0.51839080459770115</v>
      </c>
      <c r="V1555" s="253">
        <v>0.11488372093023255</v>
      </c>
      <c r="W1555" s="253">
        <v>0.56499999999999995</v>
      </c>
      <c r="X1555" s="253">
        <v>0.48058823529411765</v>
      </c>
      <c r="Y1555" s="253">
        <v>0.53612288135593211</v>
      </c>
      <c r="Z1555" s="253">
        <v>0.6</v>
      </c>
      <c r="AA1555" s="253"/>
      <c r="AB1555" s="253"/>
      <c r="AC1555" s="253"/>
      <c r="AD1555" s="253"/>
      <c r="AE1555" s="253"/>
    </row>
    <row r="1556" spans="1:31">
      <c r="A1556" s="33">
        <v>1555</v>
      </c>
      <c r="B1556" s="69" t="s">
        <v>1413</v>
      </c>
      <c r="C1556" s="69" t="s">
        <v>740</v>
      </c>
      <c r="D1556" s="56">
        <v>42874</v>
      </c>
      <c r="E1556" s="33" t="s">
        <v>1414</v>
      </c>
      <c r="F1556" s="69" t="s">
        <v>532</v>
      </c>
      <c r="G1556" s="69" t="str">
        <f t="shared" si="24"/>
        <v>Both</v>
      </c>
      <c r="H1556" s="69" t="s">
        <v>508</v>
      </c>
      <c r="I1556" s="69" t="s">
        <v>508</v>
      </c>
      <c r="J1556" s="69" t="s">
        <v>1413</v>
      </c>
      <c r="K1556" s="69" t="s">
        <v>1418</v>
      </c>
      <c r="L1556" s="253">
        <v>0.58130349650349644</v>
      </c>
      <c r="M1556" s="253">
        <v>0.60102124684479241</v>
      </c>
      <c r="N1556" s="253">
        <v>0.52626774847870195</v>
      </c>
      <c r="O1556" s="253">
        <v>0.57567870994347803</v>
      </c>
      <c r="P1556" s="253">
        <v>0.56509090909090898</v>
      </c>
      <c r="Q1556" s="253">
        <v>0.52959459459459457</v>
      </c>
      <c r="R1556" s="253">
        <v>0.64745082296266554</v>
      </c>
      <c r="S1556" s="253">
        <v>0.55154639175257736</v>
      </c>
      <c r="T1556" s="253">
        <v>0.61382978723404258</v>
      </c>
      <c r="U1556" s="253">
        <v>0.62557471264367814</v>
      </c>
      <c r="V1556" s="253">
        <v>0.11162790697674418</v>
      </c>
      <c r="W1556" s="253">
        <v>0.52620689655172426</v>
      </c>
      <c r="X1556" s="253">
        <v>0.52647058823529413</v>
      </c>
      <c r="Y1556" s="253">
        <v>0.54720338983050842</v>
      </c>
      <c r="Z1556" s="253">
        <v>0.64615384615384619</v>
      </c>
      <c r="AA1556" s="253"/>
      <c r="AB1556" s="253"/>
      <c r="AC1556" s="253"/>
      <c r="AD1556" s="253"/>
      <c r="AE1556" s="253"/>
    </row>
    <row r="1557" spans="1:31">
      <c r="A1557" s="33">
        <v>1556</v>
      </c>
      <c r="B1557" s="69" t="s">
        <v>1411</v>
      </c>
      <c r="C1557" s="69" t="s">
        <v>740</v>
      </c>
      <c r="D1557" s="56">
        <v>42877</v>
      </c>
      <c r="E1557" s="33" t="s">
        <v>724</v>
      </c>
      <c r="F1557" s="69" t="s">
        <v>532</v>
      </c>
      <c r="G1557" s="69" t="str">
        <f t="shared" si="24"/>
        <v>E-Commerce</v>
      </c>
      <c r="H1557" s="69" t="s">
        <v>364</v>
      </c>
      <c r="I1557" s="69" t="s">
        <v>1412</v>
      </c>
      <c r="J1557" s="69" t="s">
        <v>1411</v>
      </c>
      <c r="K1557" s="69" t="s">
        <v>666</v>
      </c>
      <c r="L1557" s="253">
        <v>63.048391608391604</v>
      </c>
      <c r="M1557" s="253">
        <v>64.920117614211918</v>
      </c>
      <c r="N1557" s="253">
        <v>71.904872145638222</v>
      </c>
      <c r="O1557" s="253">
        <v>62.629881187599608</v>
      </c>
      <c r="P1557" s="253">
        <v>63.618181818181817</v>
      </c>
      <c r="Q1557" s="253">
        <v>68.108108108108112</v>
      </c>
      <c r="R1557" s="253">
        <v>67.272072591098961</v>
      </c>
      <c r="S1557" s="253">
        <v>60.518867924528294</v>
      </c>
      <c r="T1557" s="253">
        <v>64.84732824427482</v>
      </c>
      <c r="U1557" s="253">
        <v>65.242798353909464</v>
      </c>
      <c r="V1557" s="253">
        <v>69.511627906976742</v>
      </c>
      <c r="W1557" s="253"/>
      <c r="X1557" s="253">
        <v>79.882352941176478</v>
      </c>
      <c r="Y1557" s="253">
        <v>61.922916666666673</v>
      </c>
      <c r="Z1557" s="253">
        <v>60.769230769230766</v>
      </c>
      <c r="AA1557" s="253"/>
      <c r="AB1557" s="253"/>
      <c r="AC1557" s="253"/>
      <c r="AD1557" s="253"/>
      <c r="AE1557" s="253"/>
    </row>
    <row r="1558" spans="1:31">
      <c r="A1558" s="33">
        <v>1557</v>
      </c>
      <c r="B1558" s="69" t="s">
        <v>1411</v>
      </c>
      <c r="C1558" s="69" t="s">
        <v>740</v>
      </c>
      <c r="D1558" s="56">
        <v>42877</v>
      </c>
      <c r="E1558" s="33" t="s">
        <v>724</v>
      </c>
      <c r="F1558" s="69" t="s">
        <v>532</v>
      </c>
      <c r="G1558" s="69" t="str">
        <f t="shared" si="24"/>
        <v>E-Commerce</v>
      </c>
      <c r="H1558" s="69" t="s">
        <v>364</v>
      </c>
      <c r="I1558" s="69" t="s">
        <v>1412</v>
      </c>
      <c r="J1558" s="69" t="s">
        <v>1411</v>
      </c>
      <c r="K1558" s="69" t="s">
        <v>55</v>
      </c>
      <c r="L1558" s="253">
        <v>67.129230769230773</v>
      </c>
      <c r="M1558" s="253">
        <v>66.276952361394962</v>
      </c>
      <c r="N1558" s="253">
        <v>68.42986425339366</v>
      </c>
      <c r="O1558" s="253">
        <v>60.336718081753816</v>
      </c>
      <c r="P1558" s="253">
        <v>68.2</v>
      </c>
      <c r="Q1558" s="253">
        <v>62.581081081081081</v>
      </c>
      <c r="R1558" s="253">
        <v>66.433818234192714</v>
      </c>
      <c r="S1558" s="253">
        <v>62.924528301886795</v>
      </c>
      <c r="T1558" s="253">
        <v>67.36641221374046</v>
      </c>
      <c r="U1558" s="253">
        <v>72.477366255144034</v>
      </c>
      <c r="V1558" s="253">
        <v>69</v>
      </c>
      <c r="W1558" s="253"/>
      <c r="X1558" s="253">
        <v>66.529411764705884</v>
      </c>
      <c r="Y1558" s="253">
        <v>57.881250000000009</v>
      </c>
      <c r="Z1558" s="253">
        <v>62.846153846153854</v>
      </c>
      <c r="AA1558" s="253"/>
      <c r="AB1558" s="253"/>
      <c r="AC1558" s="253"/>
      <c r="AD1558" s="253"/>
      <c r="AE1558" s="253"/>
    </row>
    <row r="1559" spans="1:31">
      <c r="A1559" s="33">
        <v>1558</v>
      </c>
      <c r="B1559" s="69" t="s">
        <v>1411</v>
      </c>
      <c r="C1559" s="69" t="s">
        <v>740</v>
      </c>
      <c r="D1559" s="56">
        <v>42877</v>
      </c>
      <c r="E1559" s="33" t="s">
        <v>724</v>
      </c>
      <c r="F1559" s="69" t="s">
        <v>532</v>
      </c>
      <c r="G1559" s="69" t="str">
        <f t="shared" si="24"/>
        <v>E-Commerce</v>
      </c>
      <c r="H1559" s="69" t="s">
        <v>364</v>
      </c>
      <c r="I1559" s="69" t="s">
        <v>1412</v>
      </c>
      <c r="J1559" s="69" t="s">
        <v>1411</v>
      </c>
      <c r="K1559" s="69" t="s">
        <v>665</v>
      </c>
      <c r="L1559" s="253">
        <v>62.174545454545459</v>
      </c>
      <c r="M1559" s="253">
        <v>66.025839483504072</v>
      </c>
      <c r="N1559" s="253">
        <v>62.494896348521507</v>
      </c>
      <c r="O1559" s="253">
        <v>61.839264947077197</v>
      </c>
      <c r="P1559" s="253">
        <v>62.218181818181826</v>
      </c>
      <c r="Q1559" s="253">
        <v>71.297297297297291</v>
      </c>
      <c r="R1559" s="253">
        <v>65.922799942388025</v>
      </c>
      <c r="S1559" s="253">
        <v>63.603773584905667</v>
      </c>
      <c r="T1559" s="253">
        <v>63.396946564885489</v>
      </c>
      <c r="U1559" s="253">
        <v>67.037037037037038</v>
      </c>
      <c r="V1559" s="253">
        <v>65.413953488372087</v>
      </c>
      <c r="W1559" s="253"/>
      <c r="X1559" s="253">
        <v>52.764705882352935</v>
      </c>
      <c r="Y1559" s="253">
        <v>59.852083333333326</v>
      </c>
      <c r="Z1559" s="253">
        <v>62</v>
      </c>
      <c r="AA1559" s="253"/>
      <c r="AB1559" s="253"/>
      <c r="AC1559" s="253"/>
      <c r="AD1559" s="253"/>
      <c r="AE1559" s="253"/>
    </row>
    <row r="1560" spans="1:31">
      <c r="A1560" s="33">
        <v>1559</v>
      </c>
      <c r="B1560" s="69" t="s">
        <v>1411</v>
      </c>
      <c r="C1560" s="69" t="s">
        <v>740</v>
      </c>
      <c r="D1560" s="56">
        <v>42877</v>
      </c>
      <c r="E1560" s="33" t="s">
        <v>724</v>
      </c>
      <c r="F1560" s="69" t="s">
        <v>532</v>
      </c>
      <c r="G1560" s="69" t="str">
        <f t="shared" si="24"/>
        <v>E-Commerce</v>
      </c>
      <c r="H1560" s="69" t="s">
        <v>364</v>
      </c>
      <c r="I1560" s="69" t="s">
        <v>1412</v>
      </c>
      <c r="J1560" s="69" t="s">
        <v>1411</v>
      </c>
      <c r="K1560" s="69" t="s">
        <v>393</v>
      </c>
      <c r="L1560" s="253">
        <v>68.992167832167837</v>
      </c>
      <c r="M1560" s="253">
        <v>65.838357351456082</v>
      </c>
      <c r="N1560" s="253">
        <v>67.842786488477316</v>
      </c>
      <c r="O1560" s="253">
        <v>61.487401604188193</v>
      </c>
      <c r="P1560" s="253">
        <v>68.836363636363643</v>
      </c>
      <c r="Q1560" s="253">
        <v>62.364864864864863</v>
      </c>
      <c r="R1560" s="253">
        <v>64.326515915310381</v>
      </c>
      <c r="S1560" s="253">
        <v>60.15094339622641</v>
      </c>
      <c r="T1560" s="253">
        <v>70.343511450381683</v>
      </c>
      <c r="U1560" s="253">
        <v>70.465020576131693</v>
      </c>
      <c r="V1560" s="253">
        <v>65.572093023255803</v>
      </c>
      <c r="W1560" s="253"/>
      <c r="X1560" s="253">
        <v>75.411764705882348</v>
      </c>
      <c r="Y1560" s="253">
        <v>58.52708333333333</v>
      </c>
      <c r="Z1560" s="253">
        <v>69.615384615384613</v>
      </c>
      <c r="AA1560" s="253"/>
      <c r="AB1560" s="253"/>
      <c r="AC1560" s="253"/>
      <c r="AD1560" s="253"/>
      <c r="AE1560" s="253"/>
    </row>
    <row r="1561" spans="1:31">
      <c r="A1561" s="33">
        <v>1560</v>
      </c>
      <c r="B1561" s="69" t="s">
        <v>1411</v>
      </c>
      <c r="C1561" s="69" t="s">
        <v>740</v>
      </c>
      <c r="D1561" s="56">
        <v>42877</v>
      </c>
      <c r="E1561" s="33" t="s">
        <v>724</v>
      </c>
      <c r="F1561" s="69" t="s">
        <v>532</v>
      </c>
      <c r="G1561" s="69" t="str">
        <f t="shared" si="24"/>
        <v>E-Commerce</v>
      </c>
      <c r="H1561" s="69" t="s">
        <v>364</v>
      </c>
      <c r="I1561" s="69" t="s">
        <v>1412</v>
      </c>
      <c r="J1561" s="69" t="s">
        <v>1411</v>
      </c>
      <c r="K1561" s="69" t="s">
        <v>1411</v>
      </c>
      <c r="L1561" s="253">
        <v>59.228811188811171</v>
      </c>
      <c r="M1561" s="253">
        <v>57.646666895745476</v>
      </c>
      <c r="N1561" s="253">
        <v>64.014521729980004</v>
      </c>
      <c r="O1561" s="253">
        <v>56.562957012632317</v>
      </c>
      <c r="P1561" s="253">
        <v>59.709090909090889</v>
      </c>
      <c r="Q1561" s="253">
        <v>57.378378378378372</v>
      </c>
      <c r="R1561" s="253">
        <v>58.529454126458305</v>
      </c>
      <c r="S1561" s="253">
        <v>54.584905660377359</v>
      </c>
      <c r="T1561" s="253">
        <v>61.068702290076338</v>
      </c>
      <c r="U1561" s="253">
        <v>57.510288065843625</v>
      </c>
      <c r="V1561" s="253">
        <v>62.395348837209305</v>
      </c>
      <c r="W1561" s="253"/>
      <c r="X1561" s="253">
        <v>69.411764705882348</v>
      </c>
      <c r="Y1561" s="253">
        <v>56.0625</v>
      </c>
      <c r="Z1561" s="253">
        <v>57.307692307692299</v>
      </c>
      <c r="AA1561" s="253"/>
      <c r="AB1561" s="253"/>
      <c r="AC1561" s="253"/>
      <c r="AD1561" s="253"/>
      <c r="AE1561" s="253"/>
    </row>
    <row r="1562" spans="1:31">
      <c r="A1562" s="33">
        <v>1561</v>
      </c>
      <c r="B1562" s="69" t="s">
        <v>1404</v>
      </c>
      <c r="C1562" s="69" t="s">
        <v>740</v>
      </c>
      <c r="D1562" s="56">
        <v>42878</v>
      </c>
      <c r="E1562" s="33" t="s">
        <v>724</v>
      </c>
      <c r="F1562" s="69" t="s">
        <v>532</v>
      </c>
      <c r="G1562" s="69" t="str">
        <f t="shared" si="24"/>
        <v>E-Commerce</v>
      </c>
      <c r="H1562" s="69" t="s">
        <v>1405</v>
      </c>
      <c r="I1562" s="69" t="s">
        <v>969</v>
      </c>
      <c r="J1562" s="69" t="s">
        <v>1404</v>
      </c>
      <c r="K1562" s="69" t="s">
        <v>1406</v>
      </c>
      <c r="L1562" s="253">
        <v>62.485034965034956</v>
      </c>
      <c r="M1562" s="253">
        <v>62.177237477174295</v>
      </c>
      <c r="N1562" s="253">
        <v>61.674418604651159</v>
      </c>
      <c r="O1562" s="253">
        <v>63.989116379640365</v>
      </c>
      <c r="P1562" s="253">
        <v>61.490909090909085</v>
      </c>
      <c r="Q1562" s="253">
        <v>63.027027027027025</v>
      </c>
      <c r="R1562" s="253">
        <v>61.657784819242401</v>
      </c>
      <c r="S1562" s="253">
        <v>60.138613861386133</v>
      </c>
      <c r="T1562" s="253">
        <v>62.595419847328245</v>
      </c>
      <c r="U1562" s="253">
        <v>61.683127572016474</v>
      </c>
      <c r="V1562" s="253">
        <v>61.674418604651159</v>
      </c>
      <c r="W1562" s="253"/>
      <c r="X1562" s="253"/>
      <c r="Y1562" s="253">
        <v>64.194915254237287</v>
      </c>
      <c r="Z1562" s="253">
        <v>66.461538461538453</v>
      </c>
      <c r="AA1562" s="253"/>
      <c r="AB1562" s="253"/>
      <c r="AC1562" s="253"/>
      <c r="AD1562" s="253"/>
      <c r="AE1562" s="253"/>
    </row>
    <row r="1563" spans="1:31">
      <c r="A1563" s="33">
        <v>1562</v>
      </c>
      <c r="B1563" s="69" t="s">
        <v>1404</v>
      </c>
      <c r="C1563" s="69" t="s">
        <v>740</v>
      </c>
      <c r="D1563" s="56">
        <v>42878</v>
      </c>
      <c r="E1563" s="33" t="s">
        <v>724</v>
      </c>
      <c r="F1563" s="69" t="s">
        <v>532</v>
      </c>
      <c r="G1563" s="69" t="str">
        <f t="shared" si="24"/>
        <v>E-Commerce</v>
      </c>
      <c r="H1563" s="69" t="s">
        <v>1405</v>
      </c>
      <c r="I1563" s="69" t="s">
        <v>969</v>
      </c>
      <c r="J1563" s="69" t="s">
        <v>1404</v>
      </c>
      <c r="K1563" s="69" t="s">
        <v>1407</v>
      </c>
      <c r="L1563" s="253">
        <v>60.048391608391604</v>
      </c>
      <c r="M1563" s="253">
        <v>60.639239162862708</v>
      </c>
      <c r="N1563" s="253">
        <v>60.604651162790702</v>
      </c>
      <c r="O1563" s="253">
        <v>60.830075226606169</v>
      </c>
      <c r="P1563" s="253">
        <v>60.618181818181817</v>
      </c>
      <c r="Q1563" s="253">
        <v>60.810810810810807</v>
      </c>
      <c r="R1563" s="253">
        <v>60.060492582457144</v>
      </c>
      <c r="S1563" s="253">
        <v>61.227722772277225</v>
      </c>
      <c r="T1563" s="253">
        <v>61.106870229007626</v>
      </c>
      <c r="U1563" s="253">
        <v>61.477366255144041</v>
      </c>
      <c r="V1563" s="253">
        <v>60.604651162790702</v>
      </c>
      <c r="W1563" s="253"/>
      <c r="X1563" s="253"/>
      <c r="Y1563" s="253">
        <v>61.864406779661017</v>
      </c>
      <c r="Z1563" s="253">
        <v>57.769230769230759</v>
      </c>
      <c r="AA1563" s="253"/>
      <c r="AB1563" s="253"/>
      <c r="AC1563" s="253"/>
      <c r="AD1563" s="253"/>
      <c r="AE1563" s="253"/>
    </row>
    <row r="1564" spans="1:31">
      <c r="A1564" s="33">
        <v>1563</v>
      </c>
      <c r="B1564" s="69" t="s">
        <v>1404</v>
      </c>
      <c r="C1564" s="69" t="s">
        <v>740</v>
      </c>
      <c r="D1564" s="56">
        <v>42878</v>
      </c>
      <c r="E1564" s="33" t="s">
        <v>724</v>
      </c>
      <c r="F1564" s="69" t="s">
        <v>532</v>
      </c>
      <c r="G1564" s="69" t="str">
        <f t="shared" si="24"/>
        <v>E-Commerce</v>
      </c>
      <c r="H1564" s="69" t="s">
        <v>1405</v>
      </c>
      <c r="I1564" s="69" t="s">
        <v>969</v>
      </c>
      <c r="J1564" s="69" t="s">
        <v>1404</v>
      </c>
      <c r="K1564" s="69" t="s">
        <v>1408</v>
      </c>
      <c r="L1564" s="253">
        <v>56.128391608391617</v>
      </c>
      <c r="M1564" s="253">
        <v>60.012235097033972</v>
      </c>
      <c r="N1564" s="253">
        <v>57.418604651162795</v>
      </c>
      <c r="O1564" s="253">
        <v>58.531529423814511</v>
      </c>
      <c r="P1564" s="253">
        <v>56.218181818181819</v>
      </c>
      <c r="Q1564" s="253">
        <v>67.378378378378386</v>
      </c>
      <c r="R1564" s="253">
        <v>58.045513466801104</v>
      </c>
      <c r="S1564" s="253">
        <v>53.686868686868685</v>
      </c>
      <c r="T1564" s="253">
        <v>57.213740458015273</v>
      </c>
      <c r="U1564" s="253">
        <v>64.522633744855966</v>
      </c>
      <c r="V1564" s="253">
        <v>57.418604651162795</v>
      </c>
      <c r="W1564" s="253"/>
      <c r="X1564" s="253"/>
      <c r="Y1564" s="253">
        <v>59.057203389830505</v>
      </c>
      <c r="Z1564" s="253">
        <v>55.769230769230766</v>
      </c>
      <c r="AA1564" s="253"/>
      <c r="AB1564" s="253"/>
      <c r="AC1564" s="253"/>
      <c r="AD1564" s="253"/>
      <c r="AE1564" s="253"/>
    </row>
    <row r="1565" spans="1:31">
      <c r="A1565" s="33">
        <v>1564</v>
      </c>
      <c r="B1565" s="69" t="s">
        <v>1404</v>
      </c>
      <c r="C1565" s="69" t="s">
        <v>740</v>
      </c>
      <c r="D1565" s="56">
        <v>42878</v>
      </c>
      <c r="E1565" s="33" t="s">
        <v>969</v>
      </c>
      <c r="F1565" s="69" t="s">
        <v>532</v>
      </c>
      <c r="G1565" s="69" t="str">
        <f t="shared" si="24"/>
        <v>E-Commerce</v>
      </c>
      <c r="H1565" s="69" t="s">
        <v>1405</v>
      </c>
      <c r="I1565" s="69" t="s">
        <v>969</v>
      </c>
      <c r="J1565" s="69" t="s">
        <v>1404</v>
      </c>
      <c r="K1565" s="69" t="s">
        <v>1409</v>
      </c>
      <c r="L1565" s="253">
        <v>55.772307692307706</v>
      </c>
      <c r="M1565" s="253">
        <v>57.485241962362153</v>
      </c>
      <c r="N1565" s="253">
        <v>53.023255813953483</v>
      </c>
      <c r="O1565" s="253">
        <v>57.162806579223968</v>
      </c>
      <c r="P1565" s="253">
        <v>54.600000000000016</v>
      </c>
      <c r="Q1565" s="253">
        <v>55.662162162162154</v>
      </c>
      <c r="R1565" s="253">
        <v>57.023476883191705</v>
      </c>
      <c r="S1565" s="253">
        <v>57.178217821782169</v>
      </c>
      <c r="T1565" s="253">
        <v>59.274809160305338</v>
      </c>
      <c r="U1565" s="253">
        <v>57.386831275720169</v>
      </c>
      <c r="V1565" s="253">
        <v>53.023255813953483</v>
      </c>
      <c r="W1565" s="253"/>
      <c r="X1565" s="253"/>
      <c r="Y1565" s="253">
        <v>56.349576271186443</v>
      </c>
      <c r="Z1565" s="253">
        <v>60.461538461538453</v>
      </c>
      <c r="AA1565" s="253"/>
      <c r="AB1565" s="253"/>
      <c r="AC1565" s="253"/>
      <c r="AD1565" s="253"/>
      <c r="AE1565" s="253"/>
    </row>
    <row r="1566" spans="1:31">
      <c r="A1566" s="33">
        <v>1565</v>
      </c>
      <c r="B1566" s="69" t="s">
        <v>1404</v>
      </c>
      <c r="C1566" s="69" t="s">
        <v>740</v>
      </c>
      <c r="D1566" s="56">
        <v>42878</v>
      </c>
      <c r="E1566" s="33" t="s">
        <v>724</v>
      </c>
      <c r="F1566" s="69" t="s">
        <v>532</v>
      </c>
      <c r="G1566" s="69" t="str">
        <f t="shared" si="24"/>
        <v>E-Commerce</v>
      </c>
      <c r="H1566" s="69" t="s">
        <v>1405</v>
      </c>
      <c r="I1566" s="69" t="s">
        <v>969</v>
      </c>
      <c r="J1566" s="69" t="s">
        <v>1404</v>
      </c>
      <c r="K1566" s="69" t="s">
        <v>1410</v>
      </c>
      <c r="L1566" s="253">
        <v>59.403916083916073</v>
      </c>
      <c r="M1566" s="253">
        <v>59.732797628344422</v>
      </c>
      <c r="N1566" s="253">
        <v>59.906976744186032</v>
      </c>
      <c r="O1566" s="253">
        <v>61.428657824845999</v>
      </c>
      <c r="P1566" s="253">
        <v>58.581818181818178</v>
      </c>
      <c r="Q1566" s="253">
        <v>59.689189189189186</v>
      </c>
      <c r="R1566" s="253">
        <v>56.558404148062792</v>
      </c>
      <c r="S1566" s="253">
        <v>62.21782178217822</v>
      </c>
      <c r="T1566" s="253">
        <v>60.419847328244281</v>
      </c>
      <c r="U1566" s="253">
        <v>59.358024691358011</v>
      </c>
      <c r="V1566" s="253">
        <v>59.906976744186032</v>
      </c>
      <c r="W1566" s="253"/>
      <c r="X1566" s="253"/>
      <c r="Y1566" s="253">
        <v>62.118644067796602</v>
      </c>
      <c r="Z1566" s="253">
        <v>62.692307692307693</v>
      </c>
      <c r="AA1566" s="253"/>
      <c r="AB1566" s="253"/>
      <c r="AC1566" s="253"/>
      <c r="AD1566" s="253"/>
      <c r="AE1566" s="253"/>
    </row>
    <row r="1567" spans="1:31">
      <c r="A1567" s="33">
        <v>1566</v>
      </c>
      <c r="B1567" s="69" t="s">
        <v>1399</v>
      </c>
      <c r="C1567" s="69" t="s">
        <v>740</v>
      </c>
      <c r="D1567" s="56">
        <v>42879</v>
      </c>
      <c r="E1567" s="33" t="s">
        <v>724</v>
      </c>
      <c r="F1567" s="69" t="s">
        <v>532</v>
      </c>
      <c r="G1567" s="69" t="str">
        <f t="shared" si="24"/>
        <v>User Registration</v>
      </c>
      <c r="H1567" s="69" t="s">
        <v>494</v>
      </c>
      <c r="I1567" s="69" t="s">
        <v>1400</v>
      </c>
      <c r="J1567" s="69" t="s">
        <v>1399</v>
      </c>
      <c r="K1567" s="69" t="s">
        <v>1320</v>
      </c>
      <c r="L1567" s="253">
        <v>64.521678321678337</v>
      </c>
      <c r="M1567" s="253">
        <v>65.9305218724799</v>
      </c>
      <c r="N1567" s="253">
        <v>66.875</v>
      </c>
      <c r="O1567" s="253">
        <v>62.195203907410189</v>
      </c>
      <c r="P1567" s="253">
        <v>64.363636363636374</v>
      </c>
      <c r="Q1567" s="253">
        <v>67.121621621621614</v>
      </c>
      <c r="R1567" s="253">
        <v>65.038137294259329</v>
      </c>
      <c r="S1567" s="253">
        <v>65.588235294117652</v>
      </c>
      <c r="T1567" s="253">
        <v>64.734042553191486</v>
      </c>
      <c r="U1567" s="253">
        <v>67.172413793103445</v>
      </c>
      <c r="V1567" s="253"/>
      <c r="W1567" s="253">
        <v>66.875</v>
      </c>
      <c r="X1567" s="253">
        <v>55.294117647058826</v>
      </c>
      <c r="Y1567" s="253">
        <v>59.907079646017692</v>
      </c>
      <c r="Z1567" s="253">
        <v>65.153846153846146</v>
      </c>
      <c r="AA1567" s="253"/>
      <c r="AB1567" s="253"/>
      <c r="AC1567" s="253"/>
      <c r="AD1567" s="253"/>
      <c r="AE1567" s="253"/>
    </row>
    <row r="1568" spans="1:31">
      <c r="A1568" s="33">
        <v>1567</v>
      </c>
      <c r="B1568" s="69" t="s">
        <v>1399</v>
      </c>
      <c r="C1568" s="69" t="s">
        <v>740</v>
      </c>
      <c r="D1568" s="56">
        <v>42879</v>
      </c>
      <c r="E1568" s="33" t="s">
        <v>1401</v>
      </c>
      <c r="F1568" s="69" t="s">
        <v>532</v>
      </c>
      <c r="G1568" s="69" t="str">
        <f t="shared" si="24"/>
        <v>User Registration</v>
      </c>
      <c r="H1568" s="69" t="s">
        <v>494</v>
      </c>
      <c r="I1568" s="69" t="s">
        <v>1400</v>
      </c>
      <c r="J1568" s="69" t="s">
        <v>1399</v>
      </c>
      <c r="K1568" s="69" t="s">
        <v>1402</v>
      </c>
      <c r="L1568" s="253">
        <v>60.461258741258746</v>
      </c>
      <c r="M1568" s="253">
        <v>60.62713374331048</v>
      </c>
      <c r="N1568" s="253">
        <v>57.77419354838711</v>
      </c>
      <c r="O1568" s="253">
        <v>55.613600507847927</v>
      </c>
      <c r="P1568" s="253">
        <v>61.672727272727279</v>
      </c>
      <c r="Q1568" s="253">
        <v>60.270270270270267</v>
      </c>
      <c r="R1568" s="253">
        <v>62.434765154556402</v>
      </c>
      <c r="S1568" s="253">
        <v>55.392156862745097</v>
      </c>
      <c r="T1568" s="253">
        <v>63.968085106382972</v>
      </c>
      <c r="U1568" s="253">
        <v>63.293103448275858</v>
      </c>
      <c r="V1568" s="253"/>
      <c r="W1568" s="253">
        <v>57.77419354838711</v>
      </c>
      <c r="X1568" s="253"/>
      <c r="Y1568" s="253">
        <v>53.805309734513273</v>
      </c>
      <c r="Z1568" s="253">
        <v>55.615384615384613</v>
      </c>
      <c r="AA1568" s="253"/>
      <c r="AB1568" s="253"/>
      <c r="AC1568" s="253"/>
      <c r="AD1568" s="253"/>
      <c r="AE1568" s="253"/>
    </row>
    <row r="1569" spans="1:31">
      <c r="A1569" s="33">
        <v>1568</v>
      </c>
      <c r="B1569" s="69" t="s">
        <v>1399</v>
      </c>
      <c r="C1569" s="69" t="s">
        <v>740</v>
      </c>
      <c r="D1569" s="56">
        <v>42879</v>
      </c>
      <c r="E1569" s="33" t="s">
        <v>724</v>
      </c>
      <c r="F1569" s="69" t="s">
        <v>532</v>
      </c>
      <c r="G1569" s="69" t="str">
        <f t="shared" si="24"/>
        <v>User Registration</v>
      </c>
      <c r="H1569" s="69" t="s">
        <v>494</v>
      </c>
      <c r="I1569" s="69" t="s">
        <v>1400</v>
      </c>
      <c r="J1569" s="69" t="s">
        <v>1399</v>
      </c>
      <c r="K1569" s="69" t="s">
        <v>1162</v>
      </c>
      <c r="L1569" s="253">
        <v>65.809230769230766</v>
      </c>
      <c r="M1569" s="253">
        <v>62.830075058686916</v>
      </c>
      <c r="N1569" s="253">
        <v>55.499999999999993</v>
      </c>
      <c r="O1569" s="253">
        <v>65.739201878456313</v>
      </c>
      <c r="P1569" s="253">
        <v>65.8</v>
      </c>
      <c r="Q1569" s="253">
        <v>56.743243243243242</v>
      </c>
      <c r="R1569" s="253">
        <v>63.269771176234443</v>
      </c>
      <c r="S1569" s="253">
        <v>68.382352941176464</v>
      </c>
      <c r="T1569" s="253">
        <v>62.776595744680854</v>
      </c>
      <c r="U1569" s="253">
        <v>61.643678160919542</v>
      </c>
      <c r="V1569" s="253"/>
      <c r="W1569" s="253">
        <v>55.499999999999993</v>
      </c>
      <c r="X1569" s="253"/>
      <c r="Y1569" s="253">
        <v>66.836283185840713</v>
      </c>
      <c r="Z1569" s="253">
        <v>65.84615384615384</v>
      </c>
      <c r="AA1569" s="253"/>
      <c r="AB1569" s="253"/>
      <c r="AC1569" s="253"/>
      <c r="AD1569" s="253"/>
      <c r="AE1569" s="253"/>
    </row>
    <row r="1570" spans="1:31">
      <c r="A1570" s="33">
        <v>1569</v>
      </c>
      <c r="B1570" s="69" t="s">
        <v>1399</v>
      </c>
      <c r="C1570" s="69" t="s">
        <v>740</v>
      </c>
      <c r="D1570" s="56">
        <v>42879</v>
      </c>
      <c r="E1570" s="33" t="s">
        <v>1401</v>
      </c>
      <c r="F1570" s="69" t="s">
        <v>532</v>
      </c>
      <c r="G1570" s="69" t="str">
        <f t="shared" si="24"/>
        <v>User Registration</v>
      </c>
      <c r="H1570" s="69" t="s">
        <v>494</v>
      </c>
      <c r="I1570" s="69" t="s">
        <v>1400</v>
      </c>
      <c r="J1570" s="69" t="s">
        <v>1399</v>
      </c>
      <c r="K1570" s="69" t="s">
        <v>1403</v>
      </c>
      <c r="L1570" s="253">
        <v>56.196923076923063</v>
      </c>
      <c r="M1570" s="253">
        <v>62.571451767701355</v>
      </c>
      <c r="N1570" s="253">
        <v>62.354838709677416</v>
      </c>
      <c r="O1570" s="253">
        <v>61.310198986494065</v>
      </c>
      <c r="P1570" s="253">
        <v>56.399999999999991</v>
      </c>
      <c r="Q1570" s="253">
        <v>63.932432432432435</v>
      </c>
      <c r="R1570" s="253">
        <v>66.932958651144119</v>
      </c>
      <c r="S1570" s="253">
        <v>59.117647058823529</v>
      </c>
      <c r="T1570" s="253">
        <v>68.414893617021278</v>
      </c>
      <c r="U1570" s="253">
        <v>59.252873563218401</v>
      </c>
      <c r="V1570" s="253"/>
      <c r="W1570" s="253">
        <v>62.354838709677416</v>
      </c>
      <c r="X1570" s="253"/>
      <c r="Y1570" s="253">
        <v>61.920353982300881</v>
      </c>
      <c r="Z1570" s="253">
        <v>55.384615384615387</v>
      </c>
      <c r="AA1570" s="253"/>
      <c r="AB1570" s="253"/>
      <c r="AC1570" s="253"/>
      <c r="AD1570" s="253"/>
      <c r="AE1570" s="253"/>
    </row>
    <row r="1571" spans="1:31">
      <c r="A1571" s="33">
        <v>1570</v>
      </c>
      <c r="B1571" s="69" t="s">
        <v>1399</v>
      </c>
      <c r="C1571" s="69" t="s">
        <v>740</v>
      </c>
      <c r="D1571" s="56">
        <v>42879</v>
      </c>
      <c r="E1571" s="33" t="s">
        <v>1401</v>
      </c>
      <c r="F1571" s="69" t="s">
        <v>532</v>
      </c>
      <c r="G1571" s="69" t="str">
        <f t="shared" si="24"/>
        <v>User Registration</v>
      </c>
      <c r="H1571" s="69" t="s">
        <v>494</v>
      </c>
      <c r="I1571" s="69" t="s">
        <v>1400</v>
      </c>
      <c r="J1571" s="69" t="s">
        <v>1399</v>
      </c>
      <c r="K1571" s="69" t="s">
        <v>1399</v>
      </c>
      <c r="L1571" s="253">
        <v>60.973986013986</v>
      </c>
      <c r="M1571" s="253">
        <v>58.853543228019774</v>
      </c>
      <c r="N1571" s="253">
        <v>53.419354838709673</v>
      </c>
      <c r="O1571" s="253">
        <v>59.06223868633905</v>
      </c>
      <c r="P1571" s="253">
        <v>60.563636363636348</v>
      </c>
      <c r="Q1571" s="253">
        <v>58.648648648648638</v>
      </c>
      <c r="R1571" s="253">
        <v>61.301582471089475</v>
      </c>
      <c r="S1571" s="253">
        <v>56.862745098039213</v>
      </c>
      <c r="T1571" s="253">
        <v>57.516129032258064</v>
      </c>
      <c r="U1571" s="253">
        <v>57.459770114942522</v>
      </c>
      <c r="V1571" s="253"/>
      <c r="W1571" s="253">
        <v>53.419354838709673</v>
      </c>
      <c r="X1571" s="253"/>
      <c r="Y1571" s="253">
        <v>57.809734513274336</v>
      </c>
      <c r="Z1571" s="253">
        <v>62.615384615384606</v>
      </c>
      <c r="AA1571" s="253"/>
      <c r="AB1571" s="253"/>
      <c r="AC1571" s="253"/>
      <c r="AD1571" s="253"/>
      <c r="AE1571" s="253"/>
    </row>
    <row r="1572" spans="1:31">
      <c r="A1572" s="33">
        <v>1571</v>
      </c>
      <c r="B1572" s="69" t="s">
        <v>394</v>
      </c>
      <c r="C1572" s="69" t="s">
        <v>1398</v>
      </c>
      <c r="D1572" s="56">
        <v>42885</v>
      </c>
      <c r="E1572" s="33" t="s">
        <v>724</v>
      </c>
      <c r="F1572" s="69" t="s">
        <v>380</v>
      </c>
      <c r="G1572" s="69" t="str">
        <f t="shared" si="24"/>
        <v>User Registration</v>
      </c>
      <c r="H1572" s="69" t="s">
        <v>494</v>
      </c>
      <c r="I1572" s="69" t="s">
        <v>1182</v>
      </c>
      <c r="J1572" s="69" t="s">
        <v>394</v>
      </c>
      <c r="K1572" s="69" t="s">
        <v>369</v>
      </c>
      <c r="L1572" s="253">
        <v>61.933706293706294</v>
      </c>
      <c r="M1572" s="253">
        <v>62.611471900301993</v>
      </c>
      <c r="N1572" s="253">
        <v>63.233597285067873</v>
      </c>
      <c r="O1572" s="253">
        <v>61.135489829665012</v>
      </c>
      <c r="P1572" s="253">
        <v>62.43636363636363</v>
      </c>
      <c r="Q1572" s="253">
        <v>61.824324324324316</v>
      </c>
      <c r="R1572" s="253">
        <v>67.10558008831795</v>
      </c>
      <c r="S1572" s="253">
        <v>57.303921568627445</v>
      </c>
      <c r="T1572" s="253">
        <v>62.553191489361701</v>
      </c>
      <c r="U1572" s="253">
        <v>64.103448275862064</v>
      </c>
      <c r="V1572" s="253"/>
      <c r="W1572" s="253">
        <v>61.062499999999993</v>
      </c>
      <c r="X1572" s="253">
        <v>70.470588235294116</v>
      </c>
      <c r="Y1572" s="253">
        <v>60.619469026548678</v>
      </c>
      <c r="Z1572" s="253">
        <v>59.923076923076913</v>
      </c>
      <c r="AA1572" s="253"/>
      <c r="AB1572" s="253"/>
      <c r="AC1572" s="253"/>
      <c r="AD1572" s="253"/>
      <c r="AE1572" s="253"/>
    </row>
    <row r="1573" spans="1:31">
      <c r="A1573" s="33">
        <v>1572</v>
      </c>
      <c r="B1573" s="69" t="s">
        <v>394</v>
      </c>
      <c r="C1573" s="69" t="s">
        <v>1398</v>
      </c>
      <c r="D1573" s="56">
        <v>42885</v>
      </c>
      <c r="E1573" s="33" t="s">
        <v>724</v>
      </c>
      <c r="F1573" s="69" t="s">
        <v>380</v>
      </c>
      <c r="G1573" s="69" t="str">
        <f t="shared" si="24"/>
        <v>User Registration</v>
      </c>
      <c r="H1573" s="69" t="s">
        <v>494</v>
      </c>
      <c r="I1573" s="69" t="s">
        <v>1182</v>
      </c>
      <c r="J1573" s="69" t="s">
        <v>394</v>
      </c>
      <c r="K1573" s="69" t="s">
        <v>1159</v>
      </c>
      <c r="L1573" s="253">
        <v>66.706013986013986</v>
      </c>
      <c r="M1573" s="253">
        <v>68.720287015811934</v>
      </c>
      <c r="N1573" s="253">
        <v>66.956165158371036</v>
      </c>
      <c r="O1573" s="253">
        <v>62.306240630060628</v>
      </c>
      <c r="P1573" s="253">
        <v>68.036363636363632</v>
      </c>
      <c r="Q1573" s="253">
        <v>68.729729729729726</v>
      </c>
      <c r="R1573" s="253">
        <v>71.663990365315115</v>
      </c>
      <c r="S1573" s="253">
        <v>69.85294117647058</v>
      </c>
      <c r="T1573" s="253">
        <v>75.106382978723389</v>
      </c>
      <c r="U1573" s="253">
        <v>63.965517241379295</v>
      </c>
      <c r="V1573" s="253"/>
      <c r="W1573" s="253">
        <v>65.53125</v>
      </c>
      <c r="X1573" s="253">
        <v>71.705882352941174</v>
      </c>
      <c r="Y1573" s="253">
        <v>59.314159292035406</v>
      </c>
      <c r="Z1573" s="253">
        <v>61.38461538461538</v>
      </c>
      <c r="AA1573" s="253"/>
      <c r="AB1573" s="253"/>
      <c r="AC1573" s="253"/>
      <c r="AD1573" s="253"/>
      <c r="AE1573" s="253"/>
    </row>
    <row r="1574" spans="1:31">
      <c r="A1574" s="33">
        <v>1573</v>
      </c>
      <c r="B1574" s="69" t="s">
        <v>394</v>
      </c>
      <c r="C1574" s="69" t="s">
        <v>1398</v>
      </c>
      <c r="D1574" s="56">
        <v>42885</v>
      </c>
      <c r="E1574" s="33" t="s">
        <v>724</v>
      </c>
      <c r="F1574" s="69" t="s">
        <v>380</v>
      </c>
      <c r="G1574" s="69" t="str">
        <f t="shared" si="24"/>
        <v>User Registration</v>
      </c>
      <c r="H1574" s="69" t="s">
        <v>494</v>
      </c>
      <c r="I1574" s="69" t="s">
        <v>1182</v>
      </c>
      <c r="J1574" s="69" t="s">
        <v>394</v>
      </c>
      <c r="K1574" s="69" t="s">
        <v>394</v>
      </c>
      <c r="L1574" s="253">
        <v>73.101258741258746</v>
      </c>
      <c r="M1574" s="253">
        <v>65.689730905917585</v>
      </c>
      <c r="N1574" s="253">
        <v>69.400452488687776</v>
      </c>
      <c r="O1574" s="253">
        <v>64.321307708124834</v>
      </c>
      <c r="P1574" s="253">
        <v>73.472727272727283</v>
      </c>
      <c r="Q1574" s="253">
        <v>60.689189189189193</v>
      </c>
      <c r="R1574" s="253">
        <v>62.591328783621037</v>
      </c>
      <c r="S1574" s="253">
        <v>76.372549019607845</v>
      </c>
      <c r="T1574" s="253">
        <v>63.244680851063826</v>
      </c>
      <c r="U1574" s="253">
        <v>63.339080459770116</v>
      </c>
      <c r="V1574" s="253"/>
      <c r="W1574" s="253">
        <v>66.75</v>
      </c>
      <c r="X1574" s="253">
        <v>78.235294117647058</v>
      </c>
      <c r="Y1574" s="253">
        <v>61.637168141592923</v>
      </c>
      <c r="Z1574" s="253">
        <v>71.615384615384613</v>
      </c>
      <c r="AA1574" s="253"/>
      <c r="AB1574" s="253"/>
      <c r="AC1574" s="253"/>
      <c r="AD1574" s="253"/>
      <c r="AE1574" s="253"/>
    </row>
    <row r="1575" spans="1:31">
      <c r="A1575" s="33">
        <v>1574</v>
      </c>
      <c r="B1575" s="69" t="s">
        <v>394</v>
      </c>
      <c r="C1575" s="69" t="s">
        <v>1398</v>
      </c>
      <c r="D1575" s="56">
        <v>42885</v>
      </c>
      <c r="E1575" s="33" t="s">
        <v>724</v>
      </c>
      <c r="F1575" s="69" t="s">
        <v>380</v>
      </c>
      <c r="G1575" s="69" t="str">
        <f t="shared" si="24"/>
        <v>User Registration</v>
      </c>
      <c r="H1575" s="69" t="s">
        <v>494</v>
      </c>
      <c r="I1575" s="69" t="s">
        <v>1182</v>
      </c>
      <c r="J1575" s="69" t="s">
        <v>394</v>
      </c>
      <c r="K1575" s="69" t="s">
        <v>1324</v>
      </c>
      <c r="L1575" s="253">
        <v>62.352447552447551</v>
      </c>
      <c r="M1575" s="253">
        <v>60.717547831210517</v>
      </c>
      <c r="N1575" s="253">
        <v>58.430712669683246</v>
      </c>
      <c r="O1575" s="253">
        <v>58.509721959694168</v>
      </c>
      <c r="P1575" s="253">
        <v>62.363636363636367</v>
      </c>
      <c r="Q1575" s="253">
        <v>59.337837837837839</v>
      </c>
      <c r="R1575" s="253">
        <v>65.135287033319941</v>
      </c>
      <c r="S1575" s="253">
        <v>52.647058823529399</v>
      </c>
      <c r="T1575" s="253">
        <v>62.87234042553191</v>
      </c>
      <c r="U1575" s="253">
        <v>61.931034482758626</v>
      </c>
      <c r="V1575" s="253"/>
      <c r="W1575" s="253">
        <v>57.218749999999993</v>
      </c>
      <c r="X1575" s="253">
        <v>62.470588235294123</v>
      </c>
      <c r="Y1575" s="253">
        <v>56.548672566371678</v>
      </c>
      <c r="Z1575" s="253">
        <v>62.307692307692307</v>
      </c>
      <c r="AA1575" s="253"/>
      <c r="AB1575" s="253"/>
      <c r="AC1575" s="253"/>
      <c r="AD1575" s="253"/>
      <c r="AE1575" s="253"/>
    </row>
    <row r="1576" spans="1:31">
      <c r="A1576" s="33">
        <v>1575</v>
      </c>
      <c r="B1576" s="69" t="s">
        <v>394</v>
      </c>
      <c r="C1576" s="69" t="s">
        <v>1398</v>
      </c>
      <c r="D1576" s="56">
        <v>42885</v>
      </c>
      <c r="E1576" s="33" t="s">
        <v>724</v>
      </c>
      <c r="F1576" s="69" t="s">
        <v>380</v>
      </c>
      <c r="G1576" s="69" t="str">
        <f t="shared" si="24"/>
        <v>User Registration</v>
      </c>
      <c r="H1576" s="69" t="s">
        <v>494</v>
      </c>
      <c r="I1576" s="69" t="s">
        <v>1182</v>
      </c>
      <c r="J1576" s="69" t="s">
        <v>394</v>
      </c>
      <c r="K1576" s="69" t="s">
        <v>1320</v>
      </c>
      <c r="L1576" s="253">
        <v>63.377062937062931</v>
      </c>
      <c r="M1576" s="253">
        <v>63.721795177845074</v>
      </c>
      <c r="N1576" s="253">
        <v>53.88716063348415</v>
      </c>
      <c r="O1576" s="253">
        <v>61.827122641748069</v>
      </c>
      <c r="P1576" s="253">
        <v>63.163636363636364</v>
      </c>
      <c r="Q1576" s="253">
        <v>65.797297297297305</v>
      </c>
      <c r="R1576" s="253">
        <v>66.01244480128463</v>
      </c>
      <c r="S1576" s="253">
        <v>59.705882352941174</v>
      </c>
      <c r="T1576" s="253">
        <v>66.755319148936167</v>
      </c>
      <c r="U1576" s="253">
        <v>60.959770114942522</v>
      </c>
      <c r="V1576" s="253"/>
      <c r="W1576" s="253">
        <v>53.90625</v>
      </c>
      <c r="X1576" s="253">
        <v>53.823529411764703</v>
      </c>
      <c r="Y1576" s="253">
        <v>60.084070796460175</v>
      </c>
      <c r="Z1576" s="253">
        <v>64.230769230769241</v>
      </c>
      <c r="AA1576" s="253"/>
      <c r="AB1576" s="253"/>
      <c r="AC1576" s="253"/>
      <c r="AD1576" s="253"/>
      <c r="AE1576" s="253"/>
    </row>
    <row r="1577" spans="1:31">
      <c r="A1577" s="33">
        <v>1576</v>
      </c>
      <c r="B1577" s="69" t="s">
        <v>394</v>
      </c>
      <c r="C1577" s="69" t="s">
        <v>1398</v>
      </c>
      <c r="D1577" s="56">
        <v>42885</v>
      </c>
      <c r="E1577" s="33" t="s">
        <v>724</v>
      </c>
      <c r="F1577" s="69" t="s">
        <v>380</v>
      </c>
      <c r="G1577" s="69" t="str">
        <f t="shared" si="24"/>
        <v>User Registration</v>
      </c>
      <c r="H1577" s="69" t="s">
        <v>494</v>
      </c>
      <c r="I1577" s="69" t="s">
        <v>1182</v>
      </c>
      <c r="J1577" s="69" t="s">
        <v>394</v>
      </c>
      <c r="K1577" s="69" t="s">
        <v>1158</v>
      </c>
      <c r="L1577" s="253">
        <v>64.88</v>
      </c>
      <c r="M1577" s="253">
        <v>67.759359539448084</v>
      </c>
      <c r="N1577" s="253">
        <v>66.426753393665166</v>
      </c>
      <c r="O1577" s="253">
        <v>67.779550172039137</v>
      </c>
      <c r="P1577" s="253">
        <v>64.599999999999994</v>
      </c>
      <c r="Q1577" s="253">
        <v>71.824324324324323</v>
      </c>
      <c r="R1577" s="253">
        <v>75.166599759132879</v>
      </c>
      <c r="S1577" s="253">
        <v>61.519607843137258</v>
      </c>
      <c r="T1577" s="253">
        <v>75.627659574468083</v>
      </c>
      <c r="U1577" s="253">
        <v>58.074712643678168</v>
      </c>
      <c r="V1577" s="253"/>
      <c r="W1577" s="253">
        <v>67.03125</v>
      </c>
      <c r="X1577" s="253">
        <v>64.411764705882362</v>
      </c>
      <c r="Y1577" s="253">
        <v>67.057522123893804</v>
      </c>
      <c r="Z1577" s="253">
        <v>66</v>
      </c>
      <c r="AA1577" s="253"/>
      <c r="AB1577" s="253"/>
      <c r="AC1577" s="253"/>
      <c r="AD1577" s="253"/>
      <c r="AE1577" s="253"/>
    </row>
    <row r="1578" spans="1:31">
      <c r="A1578" s="33">
        <v>1577</v>
      </c>
      <c r="B1578" s="69" t="s">
        <v>394</v>
      </c>
      <c r="C1578" s="69" t="s">
        <v>1398</v>
      </c>
      <c r="D1578" s="56">
        <v>42885</v>
      </c>
      <c r="E1578" s="33" t="s">
        <v>724</v>
      </c>
      <c r="F1578" s="69" t="s">
        <v>380</v>
      </c>
      <c r="G1578" s="69" t="str">
        <f t="shared" si="24"/>
        <v>User Registration</v>
      </c>
      <c r="H1578" s="69" t="s">
        <v>494</v>
      </c>
      <c r="I1578" s="69" t="s">
        <v>1182</v>
      </c>
      <c r="J1578" s="69" t="s">
        <v>394</v>
      </c>
      <c r="K1578" s="69" t="s">
        <v>386</v>
      </c>
      <c r="L1578" s="253">
        <v>59.285874125874116</v>
      </c>
      <c r="M1578" s="253">
        <v>57.664650756384617</v>
      </c>
      <c r="N1578" s="253">
        <v>65.527432126696837</v>
      </c>
      <c r="O1578" s="253">
        <v>53.706971584650873</v>
      </c>
      <c r="P1578" s="253">
        <v>59.472727272727262</v>
      </c>
      <c r="Q1578" s="253">
        <v>56.229729729729726</v>
      </c>
      <c r="R1578" s="253">
        <v>61.574468085106382</v>
      </c>
      <c r="S1578" s="253">
        <v>52.205882352941181</v>
      </c>
      <c r="T1578" s="253">
        <v>60.414893617021271</v>
      </c>
      <c r="U1578" s="253">
        <v>57.270114942528728</v>
      </c>
      <c r="V1578" s="253"/>
      <c r="W1578" s="253">
        <v>65.15625</v>
      </c>
      <c r="X1578" s="253">
        <v>66.764705882352942</v>
      </c>
      <c r="Y1578" s="253">
        <v>50.58185840707965</v>
      </c>
      <c r="Z1578" s="253">
        <v>58.53846153846154</v>
      </c>
      <c r="AA1578" s="253"/>
      <c r="AB1578" s="253"/>
      <c r="AC1578" s="253"/>
      <c r="AD1578" s="253"/>
      <c r="AE1578" s="253"/>
    </row>
    <row r="1579" spans="1:31">
      <c r="A1579" s="33">
        <v>1578</v>
      </c>
      <c r="B1579" s="69" t="s">
        <v>394</v>
      </c>
      <c r="C1579" s="69" t="s">
        <v>1398</v>
      </c>
      <c r="D1579" s="56">
        <v>42885</v>
      </c>
      <c r="E1579" s="33" t="s">
        <v>724</v>
      </c>
      <c r="F1579" s="69" t="s">
        <v>380</v>
      </c>
      <c r="G1579" s="69" t="str">
        <f t="shared" si="24"/>
        <v>User Registration</v>
      </c>
      <c r="H1579" s="69" t="s">
        <v>494</v>
      </c>
      <c r="I1579" s="69" t="s">
        <v>1182</v>
      </c>
      <c r="J1579" s="69" t="s">
        <v>394</v>
      </c>
      <c r="K1579" s="69" t="s">
        <v>1329</v>
      </c>
      <c r="L1579" s="253">
        <v>63.420419580419569</v>
      </c>
      <c r="M1579" s="253">
        <v>60.797841195550816</v>
      </c>
      <c r="N1579" s="253">
        <v>67.974830316742086</v>
      </c>
      <c r="O1579" s="253">
        <v>58.973294512538601</v>
      </c>
      <c r="P1579" s="253">
        <v>64.890909090909076</v>
      </c>
      <c r="Q1579" s="253">
        <v>63.932432432432435</v>
      </c>
      <c r="R1579" s="253">
        <v>64.671617824167001</v>
      </c>
      <c r="S1579" s="253">
        <v>58.137254901960773</v>
      </c>
      <c r="T1579" s="253">
        <v>63.553191489361701</v>
      </c>
      <c r="U1579" s="253">
        <v>56.195402298850574</v>
      </c>
      <c r="V1579" s="253"/>
      <c r="W1579" s="253">
        <v>67.84375</v>
      </c>
      <c r="X1579" s="253">
        <v>68.411764705882348</v>
      </c>
      <c r="Y1579" s="253">
        <v>57.851769911504427</v>
      </c>
      <c r="Z1579" s="253">
        <v>57.53846153846154</v>
      </c>
      <c r="AA1579" s="253"/>
      <c r="AB1579" s="253"/>
      <c r="AC1579" s="253"/>
      <c r="AD1579" s="253"/>
      <c r="AE1579" s="253"/>
    </row>
    <row r="1580" spans="1:31">
      <c r="A1580" s="33">
        <v>1579</v>
      </c>
      <c r="B1580" s="69" t="s">
        <v>394</v>
      </c>
      <c r="C1580" s="69" t="s">
        <v>1398</v>
      </c>
      <c r="D1580" s="56">
        <v>42885</v>
      </c>
      <c r="E1580" s="33" t="s">
        <v>724</v>
      </c>
      <c r="F1580" s="69" t="s">
        <v>380</v>
      </c>
      <c r="G1580" s="69" t="str">
        <f t="shared" si="24"/>
        <v>User Registration</v>
      </c>
      <c r="H1580" s="69" t="s">
        <v>494</v>
      </c>
      <c r="I1580" s="69" t="s">
        <v>1182</v>
      </c>
      <c r="J1580" s="69" t="s">
        <v>394</v>
      </c>
      <c r="K1580" s="69" t="s">
        <v>1327</v>
      </c>
      <c r="L1580" s="253">
        <v>61.649510489510497</v>
      </c>
      <c r="M1580" s="253">
        <v>57.993143850349327</v>
      </c>
      <c r="N1580" s="253">
        <v>48.197115384615387</v>
      </c>
      <c r="O1580" s="253">
        <v>55.160463919307389</v>
      </c>
      <c r="P1580" s="253">
        <v>62.927272727272729</v>
      </c>
      <c r="Q1580" s="253">
        <v>59.702702702702716</v>
      </c>
      <c r="R1580" s="253">
        <v>60.863107185869126</v>
      </c>
      <c r="S1580" s="253">
        <v>55.931372549019606</v>
      </c>
      <c r="T1580" s="253">
        <v>60.691489361702118</v>
      </c>
      <c r="U1580" s="253">
        <v>54.367816091954026</v>
      </c>
      <c r="V1580" s="253"/>
      <c r="W1580" s="253">
        <v>62.65625</v>
      </c>
      <c r="X1580" s="253"/>
      <c r="Y1580" s="253">
        <v>53.075221238938049</v>
      </c>
      <c r="Z1580" s="253">
        <v>56.538461538461533</v>
      </c>
      <c r="AA1580" s="253"/>
      <c r="AB1580" s="253"/>
      <c r="AC1580" s="253"/>
      <c r="AD1580" s="253"/>
      <c r="AE1580" s="253"/>
    </row>
    <row r="1581" spans="1:31">
      <c r="A1581" s="33">
        <v>1580</v>
      </c>
      <c r="B1581" s="69" t="s">
        <v>394</v>
      </c>
      <c r="C1581" s="69" t="s">
        <v>1398</v>
      </c>
      <c r="D1581" s="56">
        <v>42885</v>
      </c>
      <c r="E1581" s="33" t="s">
        <v>724</v>
      </c>
      <c r="F1581" s="69" t="s">
        <v>380</v>
      </c>
      <c r="G1581" s="69" t="str">
        <f t="shared" si="24"/>
        <v>User Registration</v>
      </c>
      <c r="H1581" s="69" t="s">
        <v>494</v>
      </c>
      <c r="I1581" s="69" t="s">
        <v>1182</v>
      </c>
      <c r="J1581" s="69" t="s">
        <v>394</v>
      </c>
      <c r="K1581" s="69" t="s">
        <v>1160</v>
      </c>
      <c r="L1581" s="253">
        <v>58.59244755244756</v>
      </c>
      <c r="M1581" s="253">
        <v>55.383129012157646</v>
      </c>
      <c r="N1581" s="253">
        <v>55.396776018099544</v>
      </c>
      <c r="O1581" s="253">
        <v>56.348481333441967</v>
      </c>
      <c r="P1581" s="253">
        <v>59.163636363636364</v>
      </c>
      <c r="Q1581" s="253">
        <v>54.391891891891895</v>
      </c>
      <c r="R1581" s="253">
        <v>58.492573263749492</v>
      </c>
      <c r="S1581" s="253">
        <v>53.774509803921568</v>
      </c>
      <c r="T1581" s="253">
        <v>58.670212765957437</v>
      </c>
      <c r="U1581" s="253">
        <v>52.011494252873554</v>
      </c>
      <c r="V1581" s="253"/>
      <c r="W1581" s="253">
        <v>56.46875</v>
      </c>
      <c r="X1581" s="253">
        <v>51.823529411764703</v>
      </c>
      <c r="Y1581" s="253">
        <v>56.384955752212392</v>
      </c>
      <c r="Z1581" s="253">
        <v>56.307692307692314</v>
      </c>
      <c r="AA1581" s="253"/>
      <c r="AB1581" s="253"/>
      <c r="AC1581" s="253"/>
      <c r="AD1581" s="253"/>
      <c r="AE1581" s="253"/>
    </row>
    <row r="1582" spans="1:31">
      <c r="A1582" s="33">
        <v>1581</v>
      </c>
      <c r="B1582" s="69" t="s">
        <v>1391</v>
      </c>
      <c r="C1582" s="69" t="s">
        <v>791</v>
      </c>
      <c r="D1582" s="56">
        <v>42887</v>
      </c>
      <c r="E1582" s="33" t="s">
        <v>724</v>
      </c>
      <c r="F1582" s="69" t="s">
        <v>380</v>
      </c>
      <c r="G1582" s="69" t="str">
        <f t="shared" si="24"/>
        <v>E-Commerce</v>
      </c>
      <c r="H1582" s="69" t="s">
        <v>1392</v>
      </c>
      <c r="I1582" s="69" t="s">
        <v>1393</v>
      </c>
      <c r="J1582" s="69" t="s">
        <v>1391</v>
      </c>
      <c r="K1582" s="69" t="s">
        <v>1394</v>
      </c>
      <c r="L1582" s="253">
        <v>0.62813986013986012</v>
      </c>
      <c r="M1582" s="253">
        <v>0.66480317294409064</v>
      </c>
      <c r="N1582" s="253">
        <v>0.60837004405286355</v>
      </c>
      <c r="O1582" s="253">
        <v>0.6125657671237752</v>
      </c>
      <c r="P1582" s="253">
        <v>0.62363636363636366</v>
      </c>
      <c r="Q1582" s="253">
        <v>0.69878378378378381</v>
      </c>
      <c r="R1582" s="253">
        <v>0.61793172979979849</v>
      </c>
      <c r="S1582" s="253"/>
      <c r="T1582" s="253">
        <v>0.68167938931297722</v>
      </c>
      <c r="U1582" s="253">
        <v>0.67425925925925922</v>
      </c>
      <c r="V1582" s="253">
        <v>0.60837004405286355</v>
      </c>
      <c r="W1582" s="253"/>
      <c r="X1582" s="253"/>
      <c r="Y1582" s="253">
        <v>0.58662499999999995</v>
      </c>
      <c r="Z1582" s="253">
        <v>0.64615384615384619</v>
      </c>
      <c r="AA1582" s="253"/>
      <c r="AB1582" s="253"/>
      <c r="AC1582" s="253"/>
      <c r="AD1582" s="253"/>
      <c r="AE1582" s="253"/>
    </row>
    <row r="1583" spans="1:31">
      <c r="A1583" s="33">
        <v>1582</v>
      </c>
      <c r="B1583" s="69" t="s">
        <v>1391</v>
      </c>
      <c r="C1583" s="69" t="s">
        <v>791</v>
      </c>
      <c r="D1583" s="56">
        <v>42887</v>
      </c>
      <c r="E1583" s="33" t="s">
        <v>724</v>
      </c>
      <c r="F1583" s="69" t="s">
        <v>380</v>
      </c>
      <c r="G1583" s="69" t="str">
        <f t="shared" si="24"/>
        <v>E-Commerce</v>
      </c>
      <c r="H1583" s="69" t="s">
        <v>1392</v>
      </c>
      <c r="I1583" s="69" t="s">
        <v>1393</v>
      </c>
      <c r="J1583" s="69" t="s">
        <v>1391</v>
      </c>
      <c r="K1583" s="69" t="s">
        <v>1395</v>
      </c>
      <c r="L1583" s="253">
        <v>0.59497902097902111</v>
      </c>
      <c r="M1583" s="253">
        <v>0.65404120910227148</v>
      </c>
      <c r="N1583" s="253">
        <v>0.59911894273127742</v>
      </c>
      <c r="O1583" s="253">
        <v>0.61626148219678412</v>
      </c>
      <c r="P1583" s="253">
        <v>0.59545454545454557</v>
      </c>
      <c r="Q1583" s="253">
        <v>0.67756756756756753</v>
      </c>
      <c r="R1583" s="253">
        <v>0.60878870805127461</v>
      </c>
      <c r="S1583" s="253"/>
      <c r="T1583" s="253">
        <v>0.65152671755725189</v>
      </c>
      <c r="U1583" s="253">
        <v>0.683111111111111</v>
      </c>
      <c r="V1583" s="253">
        <v>0.59911894273127742</v>
      </c>
      <c r="W1583" s="253"/>
      <c r="X1583" s="253"/>
      <c r="Y1583" s="253">
        <v>0.61189583333333342</v>
      </c>
      <c r="Z1583" s="253">
        <v>0.59307692307692306</v>
      </c>
      <c r="AA1583" s="253"/>
      <c r="AB1583" s="253"/>
      <c r="AC1583" s="253"/>
      <c r="AD1583" s="253"/>
      <c r="AE1583" s="253"/>
    </row>
    <row r="1584" spans="1:31">
      <c r="A1584" s="33">
        <v>1583</v>
      </c>
      <c r="B1584" s="69" t="s">
        <v>1391</v>
      </c>
      <c r="C1584" s="69" t="s">
        <v>791</v>
      </c>
      <c r="D1584" s="56">
        <v>42887</v>
      </c>
      <c r="E1584" s="33" t="s">
        <v>724</v>
      </c>
      <c r="F1584" s="69" t="s">
        <v>380</v>
      </c>
      <c r="G1584" s="69" t="str">
        <f t="shared" si="24"/>
        <v>E-Commerce</v>
      </c>
      <c r="H1584" s="69" t="s">
        <v>1392</v>
      </c>
      <c r="I1584" s="69" t="s">
        <v>1393</v>
      </c>
      <c r="J1584" s="69" t="s">
        <v>1391</v>
      </c>
      <c r="K1584" s="69" t="s">
        <v>1396</v>
      </c>
      <c r="L1584" s="253">
        <v>0.60009790209790204</v>
      </c>
      <c r="M1584" s="253">
        <v>0.62140685965708975</v>
      </c>
      <c r="N1584" s="253">
        <v>0.54470046082949308</v>
      </c>
      <c r="O1584" s="253">
        <v>0.5531008372011974</v>
      </c>
      <c r="P1584" s="253">
        <v>0.61454545454545451</v>
      </c>
      <c r="Q1584" s="253">
        <v>0.60135135135135132</v>
      </c>
      <c r="R1584" s="253">
        <v>0.60025925392481638</v>
      </c>
      <c r="S1584" s="253"/>
      <c r="T1584" s="253">
        <v>0.64045801526717561</v>
      </c>
      <c r="U1584" s="253">
        <v>0.65329629629629637</v>
      </c>
      <c r="V1584" s="253">
        <v>0.54470046082949308</v>
      </c>
      <c r="W1584" s="253"/>
      <c r="X1584" s="253"/>
      <c r="Y1584" s="253">
        <v>0.53206249999999999</v>
      </c>
      <c r="Z1584" s="253">
        <v>0.54230769230769227</v>
      </c>
      <c r="AA1584" s="253"/>
      <c r="AB1584" s="253"/>
      <c r="AC1584" s="253"/>
      <c r="AD1584" s="253"/>
      <c r="AE1584" s="253"/>
    </row>
    <row r="1585" spans="1:31">
      <c r="A1585" s="33">
        <v>1584</v>
      </c>
      <c r="B1585" s="69" t="s">
        <v>1391</v>
      </c>
      <c r="C1585" s="69" t="s">
        <v>791</v>
      </c>
      <c r="D1585" s="56">
        <v>42887</v>
      </c>
      <c r="E1585" s="33" t="s">
        <v>724</v>
      </c>
      <c r="F1585" s="69" t="s">
        <v>380</v>
      </c>
      <c r="G1585" s="69" t="str">
        <f t="shared" si="24"/>
        <v>E-Commerce</v>
      </c>
      <c r="H1585" s="69" t="s">
        <v>1392</v>
      </c>
      <c r="I1585" s="69" t="s">
        <v>1393</v>
      </c>
      <c r="J1585" s="69" t="s">
        <v>1391</v>
      </c>
      <c r="K1585" s="69" t="s">
        <v>1391</v>
      </c>
      <c r="L1585" s="253">
        <v>0.57874125874125881</v>
      </c>
      <c r="M1585" s="253">
        <v>0.60317905607038214</v>
      </c>
      <c r="N1585" s="253">
        <v>0.57224669603524236</v>
      </c>
      <c r="O1585" s="253">
        <v>0.59086497825618911</v>
      </c>
      <c r="P1585" s="253">
        <v>0.56727272727272737</v>
      </c>
      <c r="Q1585" s="253">
        <v>0.59472972972972971</v>
      </c>
      <c r="R1585" s="253">
        <v>0.57145326227855386</v>
      </c>
      <c r="S1585" s="253"/>
      <c r="T1585" s="253">
        <v>0.62290076335877853</v>
      </c>
      <c r="U1585" s="253">
        <v>0.61322222222222211</v>
      </c>
      <c r="V1585" s="253">
        <v>0.57224669603524236</v>
      </c>
      <c r="W1585" s="253"/>
      <c r="X1585" s="253"/>
      <c r="Y1585" s="253">
        <v>0.58200000000000007</v>
      </c>
      <c r="Z1585" s="253">
        <v>0.62461538461538468</v>
      </c>
      <c r="AA1585" s="253"/>
      <c r="AB1585" s="253"/>
      <c r="AC1585" s="253"/>
      <c r="AD1585" s="253">
        <v>66</v>
      </c>
      <c r="AE1585" s="253"/>
    </row>
    <row r="1586" spans="1:31">
      <c r="A1586" s="33">
        <v>1585</v>
      </c>
      <c r="B1586" s="69" t="s">
        <v>1391</v>
      </c>
      <c r="C1586" s="69" t="s">
        <v>791</v>
      </c>
      <c r="D1586" s="56">
        <v>42887</v>
      </c>
      <c r="E1586" s="33" t="s">
        <v>724</v>
      </c>
      <c r="F1586" s="69" t="s">
        <v>380</v>
      </c>
      <c r="G1586" s="69" t="str">
        <f t="shared" si="24"/>
        <v>E-Commerce</v>
      </c>
      <c r="H1586" s="69" t="s">
        <v>1392</v>
      </c>
      <c r="I1586" s="69" t="s">
        <v>1393</v>
      </c>
      <c r="J1586" s="69" t="s">
        <v>1391</v>
      </c>
      <c r="K1586" s="69" t="s">
        <v>1397</v>
      </c>
      <c r="L1586" s="253">
        <v>0.63647832167832152</v>
      </c>
      <c r="M1586" s="253">
        <v>0.60759646313908655</v>
      </c>
      <c r="N1586" s="253">
        <v>0.65616740088105729</v>
      </c>
      <c r="O1586" s="253">
        <v>0.57641259317007842</v>
      </c>
      <c r="P1586" s="253">
        <v>0.62963636363636355</v>
      </c>
      <c r="Q1586" s="253">
        <v>0.61378378378378384</v>
      </c>
      <c r="R1586" s="253">
        <v>0.54332277113639638</v>
      </c>
      <c r="S1586" s="253"/>
      <c r="T1586" s="253">
        <v>0.60687022900763354</v>
      </c>
      <c r="U1586" s="253">
        <v>0.62829629629629624</v>
      </c>
      <c r="V1586" s="253">
        <v>0.65616740088105729</v>
      </c>
      <c r="W1586" s="253"/>
      <c r="X1586" s="253"/>
      <c r="Y1586" s="253">
        <v>0.54787499999999989</v>
      </c>
      <c r="Z1586" s="253">
        <v>0.66384615384615386</v>
      </c>
      <c r="AA1586" s="253"/>
      <c r="AB1586" s="253"/>
      <c r="AC1586" s="253"/>
      <c r="AD1586" s="253">
        <v>72</v>
      </c>
      <c r="AE1586" s="253"/>
    </row>
    <row r="1587" spans="1:31">
      <c r="A1587" s="33">
        <v>1586</v>
      </c>
      <c r="B1587" s="69" t="s">
        <v>1383</v>
      </c>
      <c r="C1587" s="69" t="s">
        <v>791</v>
      </c>
      <c r="D1587" s="56">
        <v>42888</v>
      </c>
      <c r="E1587" s="33" t="s">
        <v>724</v>
      </c>
      <c r="F1587" s="69" t="s">
        <v>380</v>
      </c>
      <c r="G1587" s="69" t="str">
        <f t="shared" si="24"/>
        <v>E-Commerce</v>
      </c>
      <c r="H1587" s="69" t="s">
        <v>1384</v>
      </c>
      <c r="I1587" s="69" t="s">
        <v>1385</v>
      </c>
      <c r="J1587" s="69" t="s">
        <v>1386</v>
      </c>
      <c r="K1587" s="69" t="s">
        <v>1387</v>
      </c>
      <c r="L1587" s="253">
        <v>62.81398601398601</v>
      </c>
      <c r="M1587" s="253">
        <v>66.480317294409062</v>
      </c>
      <c r="N1587" s="253">
        <v>60.837004405286351</v>
      </c>
      <c r="O1587" s="253">
        <v>61.256576712377516</v>
      </c>
      <c r="P1587" s="253">
        <v>62.363636363636367</v>
      </c>
      <c r="Q1587" s="253">
        <v>69.878378378378386</v>
      </c>
      <c r="R1587" s="253">
        <v>61.79317297997985</v>
      </c>
      <c r="S1587" s="253">
        <v>67.556603773584897</v>
      </c>
      <c r="T1587" s="253">
        <v>68.167938931297726</v>
      </c>
      <c r="U1587" s="253">
        <v>67.425925925925924</v>
      </c>
      <c r="V1587" s="253">
        <v>60.837004405286351</v>
      </c>
      <c r="W1587" s="253"/>
      <c r="X1587" s="253"/>
      <c r="Y1587" s="253">
        <v>58.662499999999994</v>
      </c>
      <c r="Z1587" s="253">
        <v>64.615384615384613</v>
      </c>
      <c r="AA1587" s="253"/>
      <c r="AB1587" s="253"/>
      <c r="AC1587" s="253"/>
      <c r="AD1587" s="253">
        <v>52</v>
      </c>
      <c r="AE1587" s="253"/>
    </row>
    <row r="1588" spans="1:31">
      <c r="A1588" s="33">
        <v>1587</v>
      </c>
      <c r="B1588" s="69" t="s">
        <v>1383</v>
      </c>
      <c r="C1588" s="69" t="s">
        <v>791</v>
      </c>
      <c r="D1588" s="56">
        <v>42888</v>
      </c>
      <c r="E1588" s="33" t="s">
        <v>724</v>
      </c>
      <c r="F1588" s="69" t="s">
        <v>380</v>
      </c>
      <c r="G1588" s="69" t="str">
        <f t="shared" si="24"/>
        <v>E-Commerce</v>
      </c>
      <c r="H1588" s="69" t="s">
        <v>1384</v>
      </c>
      <c r="I1588" s="69" t="s">
        <v>1385</v>
      </c>
      <c r="J1588" s="69" t="s">
        <v>1386</v>
      </c>
      <c r="K1588" s="69" t="s">
        <v>1388</v>
      </c>
      <c r="L1588" s="253">
        <v>59.497902097902113</v>
      </c>
      <c r="M1588" s="253">
        <v>65.404120910227149</v>
      </c>
      <c r="N1588" s="253">
        <v>59.911894273127743</v>
      </c>
      <c r="O1588" s="253">
        <v>61.626148219678413</v>
      </c>
      <c r="P1588" s="253">
        <v>59.545454545454554</v>
      </c>
      <c r="Q1588" s="253">
        <v>67.756756756756758</v>
      </c>
      <c r="R1588" s="253">
        <v>60.878870805127463</v>
      </c>
      <c r="S1588" s="253">
        <v>66.632075471698101</v>
      </c>
      <c r="T1588" s="253">
        <v>65.152671755725194</v>
      </c>
      <c r="U1588" s="253">
        <v>68.311111111111103</v>
      </c>
      <c r="V1588" s="253">
        <v>59.911894273127743</v>
      </c>
      <c r="W1588" s="253"/>
      <c r="X1588" s="253"/>
      <c r="Y1588" s="253">
        <v>61.189583333333339</v>
      </c>
      <c r="Z1588" s="253">
        <v>59.307692307692307</v>
      </c>
      <c r="AA1588" s="253"/>
      <c r="AB1588" s="253"/>
      <c r="AC1588" s="253"/>
      <c r="AD1588" s="253">
        <v>50</v>
      </c>
      <c r="AE1588" s="253"/>
    </row>
    <row r="1589" spans="1:31">
      <c r="A1589" s="33">
        <v>1588</v>
      </c>
      <c r="B1589" s="69" t="s">
        <v>1383</v>
      </c>
      <c r="C1589" s="69" t="s">
        <v>791</v>
      </c>
      <c r="D1589" s="56">
        <v>42888</v>
      </c>
      <c r="E1589" s="33" t="s">
        <v>724</v>
      </c>
      <c r="F1589" s="69" t="s">
        <v>380</v>
      </c>
      <c r="G1589" s="69" t="str">
        <f t="shared" si="24"/>
        <v>E-Commerce</v>
      </c>
      <c r="H1589" s="69" t="s">
        <v>1384</v>
      </c>
      <c r="I1589" s="69" t="s">
        <v>1385</v>
      </c>
      <c r="J1589" s="69" t="s">
        <v>1386</v>
      </c>
      <c r="K1589" s="69" t="s">
        <v>1389</v>
      </c>
      <c r="L1589" s="253">
        <v>60.009790209790204</v>
      </c>
      <c r="M1589" s="253">
        <v>62.140685965708975</v>
      </c>
      <c r="N1589" s="253">
        <v>54.47004608294931</v>
      </c>
      <c r="O1589" s="253">
        <v>55.310083720119742</v>
      </c>
      <c r="P1589" s="253">
        <v>61.454545454545446</v>
      </c>
      <c r="Q1589" s="253">
        <v>60.13513513513513</v>
      </c>
      <c r="R1589" s="253">
        <v>60.025925392481639</v>
      </c>
      <c r="S1589" s="253">
        <v>64.877358490566039</v>
      </c>
      <c r="T1589" s="253">
        <v>64.045801526717554</v>
      </c>
      <c r="U1589" s="253">
        <v>65.329629629629636</v>
      </c>
      <c r="V1589" s="253">
        <v>54.47004608294931</v>
      </c>
      <c r="W1589" s="253"/>
      <c r="X1589" s="253"/>
      <c r="Y1589" s="253">
        <v>53.206249999999997</v>
      </c>
      <c r="Z1589" s="253">
        <v>54.230769230769226</v>
      </c>
      <c r="AA1589" s="253"/>
      <c r="AB1589" s="253"/>
      <c r="AC1589" s="253"/>
      <c r="AD1589" s="253">
        <v>65</v>
      </c>
      <c r="AE1589" s="253"/>
    </row>
    <row r="1590" spans="1:31">
      <c r="A1590" s="33">
        <v>1589</v>
      </c>
      <c r="B1590" s="69" t="s">
        <v>1383</v>
      </c>
      <c r="C1590" s="69" t="s">
        <v>791</v>
      </c>
      <c r="D1590" s="56">
        <v>42888</v>
      </c>
      <c r="E1590" s="33" t="s">
        <v>724</v>
      </c>
      <c r="F1590" s="69" t="s">
        <v>380</v>
      </c>
      <c r="G1590" s="69" t="str">
        <f t="shared" si="24"/>
        <v>E-Commerce</v>
      </c>
      <c r="H1590" s="69" t="s">
        <v>1384</v>
      </c>
      <c r="I1590" s="69" t="s">
        <v>1385</v>
      </c>
      <c r="J1590" s="69" t="s">
        <v>1386</v>
      </c>
      <c r="K1590" s="69" t="s">
        <v>1386</v>
      </c>
      <c r="L1590" s="253">
        <v>57.87412587412588</v>
      </c>
      <c r="M1590" s="253">
        <v>60.317905607038213</v>
      </c>
      <c r="N1590" s="253">
        <v>57.224669603524234</v>
      </c>
      <c r="O1590" s="253">
        <v>59.086497825618913</v>
      </c>
      <c r="P1590" s="253">
        <v>56.727272727272734</v>
      </c>
      <c r="Q1590" s="253">
        <v>59.472972972972968</v>
      </c>
      <c r="R1590" s="253">
        <v>57.145326227855385</v>
      </c>
      <c r="S1590" s="253">
        <v>61.867924528301877</v>
      </c>
      <c r="T1590" s="253">
        <v>62.290076335877849</v>
      </c>
      <c r="U1590" s="253">
        <v>61.322222222222209</v>
      </c>
      <c r="V1590" s="253">
        <v>57.224669603524234</v>
      </c>
      <c r="W1590" s="253"/>
      <c r="X1590" s="253"/>
      <c r="Y1590" s="253">
        <v>58.2</v>
      </c>
      <c r="Z1590" s="253">
        <v>62.461538461538467</v>
      </c>
      <c r="AA1590" s="253"/>
      <c r="AB1590" s="253"/>
      <c r="AC1590" s="253"/>
      <c r="AD1590" s="253"/>
      <c r="AE1590" s="253"/>
    </row>
    <row r="1591" spans="1:31">
      <c r="A1591" s="33">
        <v>1590</v>
      </c>
      <c r="B1591" s="69" t="s">
        <v>1383</v>
      </c>
      <c r="C1591" s="69" t="s">
        <v>791</v>
      </c>
      <c r="D1591" s="56">
        <v>42888</v>
      </c>
      <c r="E1591" s="33" t="s">
        <v>724</v>
      </c>
      <c r="F1591" s="69" t="s">
        <v>380</v>
      </c>
      <c r="G1591" s="69" t="str">
        <f t="shared" si="24"/>
        <v>E-Commerce</v>
      </c>
      <c r="H1591" s="69" t="s">
        <v>1384</v>
      </c>
      <c r="I1591" s="69" t="s">
        <v>1385</v>
      </c>
      <c r="J1591" s="69" t="s">
        <v>1386</v>
      </c>
      <c r="K1591" s="69" t="s">
        <v>1390</v>
      </c>
      <c r="L1591" s="253">
        <v>63.647832167832149</v>
      </c>
      <c r="M1591" s="253">
        <v>60.759646313908654</v>
      </c>
      <c r="N1591" s="253">
        <v>65.616740088105729</v>
      </c>
      <c r="O1591" s="253">
        <v>57.641259317007844</v>
      </c>
      <c r="P1591" s="253">
        <v>62.963636363636354</v>
      </c>
      <c r="Q1591" s="253">
        <v>61.378378378378386</v>
      </c>
      <c r="R1591" s="253">
        <v>54.332277113639634</v>
      </c>
      <c r="S1591" s="253">
        <v>65.226415094339615</v>
      </c>
      <c r="T1591" s="253">
        <v>60.687022900763353</v>
      </c>
      <c r="U1591" s="253">
        <v>62.829629629629622</v>
      </c>
      <c r="V1591" s="253">
        <v>65.616740088105729</v>
      </c>
      <c r="W1591" s="253"/>
      <c r="X1591" s="253"/>
      <c r="Y1591" s="253">
        <v>54.787499999999987</v>
      </c>
      <c r="Z1591" s="253">
        <v>66.384615384615387</v>
      </c>
      <c r="AA1591" s="253"/>
      <c r="AB1591" s="253"/>
      <c r="AC1591" s="253"/>
      <c r="AD1591" s="253"/>
      <c r="AE1591" s="253"/>
    </row>
    <row r="1592" spans="1:31">
      <c r="A1592" s="33">
        <v>1591</v>
      </c>
      <c r="B1592" s="69" t="s">
        <v>1377</v>
      </c>
      <c r="C1592" s="69" t="s">
        <v>735</v>
      </c>
      <c r="D1592" s="56">
        <v>42898</v>
      </c>
      <c r="E1592" s="33" t="s">
        <v>724</v>
      </c>
      <c r="F1592" s="69" t="s">
        <v>374</v>
      </c>
      <c r="G1592" s="69" t="str">
        <f t="shared" si="24"/>
        <v>E-Commerce</v>
      </c>
      <c r="H1592" s="69" t="s">
        <v>364</v>
      </c>
      <c r="I1592" s="69" t="s">
        <v>1378</v>
      </c>
      <c r="J1592" s="69" t="s">
        <v>1377</v>
      </c>
      <c r="K1592" s="69" t="s">
        <v>1377</v>
      </c>
      <c r="L1592" s="253">
        <v>0.60580700419580413</v>
      </c>
      <c r="M1592" s="253">
        <v>0.60597339604419576</v>
      </c>
      <c r="N1592" s="253">
        <v>0.59222140376723131</v>
      </c>
      <c r="O1592" s="253">
        <v>0.59836320878161997</v>
      </c>
      <c r="P1592" s="253">
        <v>0.59860490909090891</v>
      </c>
      <c r="Q1592" s="253">
        <v>0.5674256756756757</v>
      </c>
      <c r="R1592" s="253">
        <v>0.57978705170675504</v>
      </c>
      <c r="S1592" s="253">
        <v>0.59924528301886792</v>
      </c>
      <c r="T1592" s="253">
        <v>0.61374045801526722</v>
      </c>
      <c r="U1592" s="253">
        <v>0.65226337448559668</v>
      </c>
      <c r="V1592" s="253">
        <v>0.58953488372093021</v>
      </c>
      <c r="W1592" s="253"/>
      <c r="X1592" s="253">
        <v>0.60117647058823531</v>
      </c>
      <c r="Y1592" s="253">
        <v>0.59420833333333323</v>
      </c>
      <c r="Z1592" s="253">
        <v>0.63461538461538458</v>
      </c>
      <c r="AA1592" s="253"/>
      <c r="AB1592" s="253"/>
      <c r="AC1592" s="253"/>
      <c r="AD1592" s="253"/>
      <c r="AE1592" s="253"/>
    </row>
    <row r="1593" spans="1:31">
      <c r="A1593" s="33">
        <v>1592</v>
      </c>
      <c r="B1593" s="69" t="s">
        <v>1377</v>
      </c>
      <c r="C1593" s="69" t="s">
        <v>735</v>
      </c>
      <c r="D1593" s="56">
        <v>42898</v>
      </c>
      <c r="E1593" s="33" t="s">
        <v>724</v>
      </c>
      <c r="F1593" s="69" t="s">
        <v>374</v>
      </c>
      <c r="G1593" s="69" t="str">
        <f t="shared" si="24"/>
        <v>E-Commerce</v>
      </c>
      <c r="H1593" s="69" t="s">
        <v>364</v>
      </c>
      <c r="I1593" s="69" t="s">
        <v>1378</v>
      </c>
      <c r="J1593" s="69" t="s">
        <v>1377</v>
      </c>
      <c r="K1593" s="69" t="s">
        <v>728</v>
      </c>
      <c r="L1593" s="253">
        <v>0.64438041958041947</v>
      </c>
      <c r="M1593" s="253">
        <v>0.64619046112098388</v>
      </c>
      <c r="N1593" s="253">
        <v>0.690948121645796</v>
      </c>
      <c r="O1593" s="253">
        <v>0.58646890781174776</v>
      </c>
      <c r="P1593" s="253">
        <v>0.64509090909090905</v>
      </c>
      <c r="Q1593" s="253">
        <v>0.70148648648648648</v>
      </c>
      <c r="R1593" s="253">
        <v>0.6465792884920063</v>
      </c>
      <c r="S1593" s="253">
        <v>0.54381443298969068</v>
      </c>
      <c r="T1593" s="253">
        <v>0.65229007633587777</v>
      </c>
      <c r="U1593" s="253">
        <v>0.68166666666666664</v>
      </c>
      <c r="V1593" s="253">
        <v>0.70023255813953489</v>
      </c>
      <c r="W1593" s="253"/>
      <c r="X1593" s="253">
        <v>0.66</v>
      </c>
      <c r="Y1593" s="253">
        <v>0.55068965517241386</v>
      </c>
      <c r="Z1593" s="253">
        <v>0.64153846153846161</v>
      </c>
      <c r="AA1593" s="253"/>
      <c r="AB1593" s="253"/>
      <c r="AC1593" s="253"/>
      <c r="AD1593" s="253"/>
      <c r="AE1593" s="253"/>
    </row>
    <row r="1594" spans="1:31">
      <c r="A1594" s="33">
        <v>1593</v>
      </c>
      <c r="B1594" s="69" t="s">
        <v>1377</v>
      </c>
      <c r="C1594" s="69" t="s">
        <v>735</v>
      </c>
      <c r="D1594" s="56">
        <v>42898</v>
      </c>
      <c r="E1594" s="33" t="s">
        <v>724</v>
      </c>
      <c r="F1594" s="69" t="s">
        <v>374</v>
      </c>
      <c r="G1594" s="69" t="str">
        <f t="shared" si="24"/>
        <v>E-Commerce</v>
      </c>
      <c r="H1594" s="69" t="s">
        <v>364</v>
      </c>
      <c r="I1594" s="69" t="s">
        <v>1378</v>
      </c>
      <c r="J1594" s="69" t="s">
        <v>1377</v>
      </c>
      <c r="K1594" s="69" t="s">
        <v>1379</v>
      </c>
      <c r="L1594" s="253">
        <v>0.62345074125874134</v>
      </c>
      <c r="M1594" s="253">
        <v>0.64242895916339637</v>
      </c>
      <c r="N1594" s="253">
        <v>0.67228243712511837</v>
      </c>
      <c r="O1594" s="253">
        <v>0.57836589028084184</v>
      </c>
      <c r="P1594" s="253">
        <v>0.6129672727272728</v>
      </c>
      <c r="Q1594" s="253">
        <v>0.6714871621621622</v>
      </c>
      <c r="R1594" s="253">
        <v>0.6851610254933026</v>
      </c>
      <c r="S1594" s="253">
        <v>0.53113207547169816</v>
      </c>
      <c r="T1594" s="253">
        <v>0.68435114503816796</v>
      </c>
      <c r="U1594" s="253">
        <v>0.6311522633744856</v>
      </c>
      <c r="V1594" s="253">
        <v>0.67279069767441868</v>
      </c>
      <c r="W1594" s="253"/>
      <c r="X1594" s="253">
        <v>0.6705882352941176</v>
      </c>
      <c r="Y1594" s="253">
        <v>0.52631250000000007</v>
      </c>
      <c r="Z1594" s="253">
        <v>0.66538461538461535</v>
      </c>
      <c r="AA1594" s="253"/>
      <c r="AB1594" s="253"/>
      <c r="AC1594" s="253"/>
      <c r="AD1594" s="253"/>
      <c r="AE1594" s="253"/>
    </row>
    <row r="1595" spans="1:31">
      <c r="A1595" s="33">
        <v>1594</v>
      </c>
      <c r="B1595" s="69" t="s">
        <v>1377</v>
      </c>
      <c r="C1595" s="69" t="s">
        <v>735</v>
      </c>
      <c r="D1595" s="56">
        <v>42898</v>
      </c>
      <c r="E1595" s="33" t="s">
        <v>724</v>
      </c>
      <c r="F1595" s="69" t="s">
        <v>374</v>
      </c>
      <c r="G1595" s="69" t="str">
        <f t="shared" si="24"/>
        <v>E-Commerce</v>
      </c>
      <c r="H1595" s="69" t="s">
        <v>364</v>
      </c>
      <c r="I1595" s="69" t="s">
        <v>1378</v>
      </c>
      <c r="J1595" s="69" t="s">
        <v>1377</v>
      </c>
      <c r="K1595" s="69" t="s">
        <v>1380</v>
      </c>
      <c r="L1595" s="253">
        <v>0.57776503496503495</v>
      </c>
      <c r="M1595" s="253">
        <v>0.60521996533469491</v>
      </c>
      <c r="N1595" s="253">
        <v>0.63708513101125952</v>
      </c>
      <c r="O1595" s="253">
        <v>0.61875630303263607</v>
      </c>
      <c r="P1595" s="253">
        <v>0.5750909090909091</v>
      </c>
      <c r="Q1595" s="253">
        <v>0.58040540540540531</v>
      </c>
      <c r="R1595" s="253">
        <v>0.59294973354457725</v>
      </c>
      <c r="S1595" s="253">
        <v>0.67254901960784308</v>
      </c>
      <c r="T1595" s="253">
        <v>0.63587786259541978</v>
      </c>
      <c r="U1595" s="253">
        <v>0.57178723404255316</v>
      </c>
      <c r="V1595" s="253">
        <v>0.62209302325581395</v>
      </c>
      <c r="W1595" s="253"/>
      <c r="X1595" s="253">
        <v>0.68705882352941172</v>
      </c>
      <c r="Y1595" s="253">
        <v>0.63146186440677954</v>
      </c>
      <c r="Z1595" s="253">
        <v>0.58846153846153848</v>
      </c>
      <c r="AA1595" s="253"/>
      <c r="AB1595" s="253"/>
      <c r="AC1595" s="253"/>
      <c r="AD1595" s="253"/>
      <c r="AE1595" s="253"/>
    </row>
    <row r="1596" spans="1:31">
      <c r="A1596" s="33">
        <v>1595</v>
      </c>
      <c r="B1596" s="69" t="s">
        <v>1377</v>
      </c>
      <c r="C1596" s="69" t="s">
        <v>735</v>
      </c>
      <c r="D1596" s="56">
        <v>42898</v>
      </c>
      <c r="E1596" s="33" t="s">
        <v>724</v>
      </c>
      <c r="F1596" s="69" t="s">
        <v>374</v>
      </c>
      <c r="G1596" s="69" t="str">
        <f t="shared" si="24"/>
        <v>E-Commerce</v>
      </c>
      <c r="H1596" s="69" t="s">
        <v>364</v>
      </c>
      <c r="I1596" s="69" t="s">
        <v>1378</v>
      </c>
      <c r="J1596" s="69" t="s">
        <v>1377</v>
      </c>
      <c r="K1596" s="69" t="s">
        <v>1381</v>
      </c>
      <c r="L1596" s="253">
        <v>0.60874966153846166</v>
      </c>
      <c r="M1596" s="253">
        <v>0.6287985491324376</v>
      </c>
      <c r="N1596" s="253">
        <v>0.60329369672734934</v>
      </c>
      <c r="O1596" s="253">
        <v>0.58288194505959001</v>
      </c>
      <c r="P1596" s="253">
        <v>0.62151400000000012</v>
      </c>
      <c r="Q1596" s="253">
        <v>0.62689189189189187</v>
      </c>
      <c r="R1596" s="253">
        <v>0.63372792740890105</v>
      </c>
      <c r="S1596" s="253">
        <v>0.65094339622641506</v>
      </c>
      <c r="T1596" s="253">
        <v>0.6301526717557252</v>
      </c>
      <c r="U1596" s="253">
        <v>0.63530864197530845</v>
      </c>
      <c r="V1596" s="253">
        <v>0.60604651162790701</v>
      </c>
      <c r="W1596" s="253"/>
      <c r="X1596" s="253">
        <v>0.59411764705882353</v>
      </c>
      <c r="Y1596" s="253">
        <v>0.56906249999999992</v>
      </c>
      <c r="Z1596" s="253">
        <v>0.55769230769230771</v>
      </c>
      <c r="AA1596" s="253"/>
      <c r="AB1596" s="253"/>
      <c r="AC1596" s="253"/>
      <c r="AD1596" s="253"/>
      <c r="AE1596" s="253"/>
    </row>
    <row r="1597" spans="1:31">
      <c r="A1597" s="33">
        <v>1596</v>
      </c>
      <c r="B1597" s="69" t="s">
        <v>1377</v>
      </c>
      <c r="C1597" s="69" t="s">
        <v>735</v>
      </c>
      <c r="D1597" s="56">
        <v>42898</v>
      </c>
      <c r="E1597" s="33" t="s">
        <v>724</v>
      </c>
      <c r="F1597" s="69" t="s">
        <v>374</v>
      </c>
      <c r="G1597" s="69" t="str">
        <f t="shared" si="24"/>
        <v>E-Commerce</v>
      </c>
      <c r="H1597" s="69" t="s">
        <v>364</v>
      </c>
      <c r="I1597" s="69" t="s">
        <v>1378</v>
      </c>
      <c r="J1597" s="69" t="s">
        <v>1377</v>
      </c>
      <c r="K1597" s="69" t="s">
        <v>1382</v>
      </c>
      <c r="L1597" s="253">
        <v>0.60330909090909091</v>
      </c>
      <c r="M1597" s="253">
        <v>0.61635530637236813</v>
      </c>
      <c r="N1597" s="253">
        <v>0.62027465011049143</v>
      </c>
      <c r="O1597" s="253">
        <v>0.58998073424709541</v>
      </c>
      <c r="P1597" s="253">
        <v>0.59163636363636363</v>
      </c>
      <c r="Q1597" s="253">
        <v>0.60837162162162162</v>
      </c>
      <c r="R1597" s="253">
        <v>0.65394642085553811</v>
      </c>
      <c r="S1597" s="253">
        <v>0.54528301886792452</v>
      </c>
      <c r="T1597" s="253">
        <v>0.66030534351145043</v>
      </c>
      <c r="U1597" s="253">
        <v>0.60218106995884779</v>
      </c>
      <c r="V1597" s="253">
        <v>0.63465116279069766</v>
      </c>
      <c r="W1597" s="253"/>
      <c r="X1597" s="253">
        <v>0.57235294117647062</v>
      </c>
      <c r="Y1597" s="253">
        <v>0.56181250000000005</v>
      </c>
      <c r="Z1597" s="253">
        <v>0.65</v>
      </c>
      <c r="AA1597" s="253"/>
      <c r="AB1597" s="253"/>
      <c r="AC1597" s="253"/>
      <c r="AD1597" s="253"/>
      <c r="AE1597" s="253"/>
    </row>
    <row r="1598" spans="1:31">
      <c r="A1598" s="33">
        <v>1597</v>
      </c>
      <c r="B1598" s="69" t="s">
        <v>1375</v>
      </c>
      <c r="C1598" s="69" t="s">
        <v>740</v>
      </c>
      <c r="D1598" s="56">
        <v>42901</v>
      </c>
      <c r="E1598" s="33" t="s">
        <v>724</v>
      </c>
      <c r="F1598" s="69" t="s">
        <v>532</v>
      </c>
      <c r="G1598" s="69" t="str">
        <f t="shared" si="24"/>
        <v>E-Commerce</v>
      </c>
      <c r="H1598" s="69" t="s">
        <v>364</v>
      </c>
      <c r="I1598" s="69" t="s">
        <v>741</v>
      </c>
      <c r="J1598" s="69" t="s">
        <v>1375</v>
      </c>
      <c r="K1598" s="69" t="s">
        <v>1375</v>
      </c>
      <c r="L1598" s="253">
        <v>0.55714405594405592</v>
      </c>
      <c r="M1598" s="253">
        <v>0.54582557002179166</v>
      </c>
      <c r="N1598" s="253">
        <v>0.54933579642160324</v>
      </c>
      <c r="O1598" s="253">
        <v>0.57994387938911185</v>
      </c>
      <c r="P1598" s="253">
        <v>0.54854545454545456</v>
      </c>
      <c r="Q1598" s="253">
        <v>0.54309859154929574</v>
      </c>
      <c r="R1598" s="253">
        <v>0.53500643500643497</v>
      </c>
      <c r="S1598" s="253">
        <v>0.63551401869158874</v>
      </c>
      <c r="T1598" s="253">
        <v>0.54142857142857137</v>
      </c>
      <c r="U1598" s="253">
        <v>0.47142857142857142</v>
      </c>
      <c r="V1598" s="253">
        <v>0.54472477064220182</v>
      </c>
      <c r="W1598" s="253">
        <v>0</v>
      </c>
      <c r="X1598" s="253">
        <v>0.56470588235294117</v>
      </c>
      <c r="Y1598" s="253">
        <v>0.58358050847457621</v>
      </c>
      <c r="Z1598" s="253">
        <v>0.59153846153846146</v>
      </c>
      <c r="AA1598" s="253"/>
      <c r="AB1598" s="253"/>
      <c r="AC1598" s="253"/>
      <c r="AD1598" s="253"/>
      <c r="AE1598" s="253"/>
    </row>
    <row r="1599" spans="1:31">
      <c r="A1599" s="33">
        <v>1598</v>
      </c>
      <c r="B1599" s="69" t="s">
        <v>1375</v>
      </c>
      <c r="C1599" s="69" t="s">
        <v>740</v>
      </c>
      <c r="D1599" s="56">
        <v>42901</v>
      </c>
      <c r="E1599" s="33" t="s">
        <v>724</v>
      </c>
      <c r="F1599" s="69" t="s">
        <v>532</v>
      </c>
      <c r="G1599" s="69" t="str">
        <f t="shared" si="24"/>
        <v>E-Commerce</v>
      </c>
      <c r="H1599" s="69" t="s">
        <v>364</v>
      </c>
      <c r="I1599" s="69" t="s">
        <v>741</v>
      </c>
      <c r="J1599" s="69" t="s">
        <v>1375</v>
      </c>
      <c r="K1599" s="69" t="s">
        <v>1376</v>
      </c>
      <c r="L1599" s="253">
        <v>0.62763636363636355</v>
      </c>
      <c r="M1599" s="253">
        <v>0.68272293606350443</v>
      </c>
      <c r="N1599" s="253">
        <v>0.55921288014311266</v>
      </c>
      <c r="O1599" s="253">
        <v>0.62095087577836561</v>
      </c>
      <c r="P1599" s="253">
        <v>0.6245454545454544</v>
      </c>
      <c r="Q1599" s="253">
        <v>0.68828124999999996</v>
      </c>
      <c r="R1599" s="253">
        <v>0.71618287373004363</v>
      </c>
      <c r="S1599" s="253">
        <v>0.6511111111111112</v>
      </c>
      <c r="T1599" s="253">
        <v>0.70692307692307699</v>
      </c>
      <c r="U1599" s="253">
        <v>0.67267489711934159</v>
      </c>
      <c r="V1599" s="253">
        <v>0.72697674418604652</v>
      </c>
      <c r="W1599" s="253">
        <v>0</v>
      </c>
      <c r="X1599" s="253">
        <v>0</v>
      </c>
      <c r="Y1599" s="253">
        <v>0.58644067796610166</v>
      </c>
      <c r="Z1599" s="253">
        <v>0.64</v>
      </c>
      <c r="AA1599" s="253"/>
      <c r="AB1599" s="253"/>
      <c r="AC1599" s="253"/>
      <c r="AD1599" s="253"/>
      <c r="AE1599" s="253"/>
    </row>
    <row r="1600" spans="1:31">
      <c r="A1600" s="33">
        <v>1599</v>
      </c>
      <c r="B1600" s="69" t="s">
        <v>1375</v>
      </c>
      <c r="C1600" s="69" t="s">
        <v>740</v>
      </c>
      <c r="D1600" s="56">
        <v>42901</v>
      </c>
      <c r="E1600" s="33" t="s">
        <v>724</v>
      </c>
      <c r="F1600" s="69" t="s">
        <v>532</v>
      </c>
      <c r="G1600" s="69" t="str">
        <f t="shared" si="24"/>
        <v>E-Commerce</v>
      </c>
      <c r="H1600" s="69" t="s">
        <v>364</v>
      </c>
      <c r="I1600" s="69" t="s">
        <v>741</v>
      </c>
      <c r="J1600" s="69" t="s">
        <v>1375</v>
      </c>
      <c r="K1600" s="69" t="s">
        <v>745</v>
      </c>
      <c r="L1600" s="253">
        <v>0.59116643356643361</v>
      </c>
      <c r="M1600" s="253">
        <v>0.62605317423465245</v>
      </c>
      <c r="N1600" s="253">
        <v>0.67164888538336998</v>
      </c>
      <c r="O1600" s="253">
        <v>0.64124497029107708</v>
      </c>
      <c r="P1600" s="253">
        <v>0.58472727272727276</v>
      </c>
      <c r="Q1600" s="253">
        <v>0.60323943661971824</v>
      </c>
      <c r="R1600" s="253">
        <v>0.67104247104247117</v>
      </c>
      <c r="S1600" s="253">
        <v>0.66121495327102808</v>
      </c>
      <c r="T1600" s="253">
        <v>0.61642857142857144</v>
      </c>
      <c r="U1600" s="253">
        <v>0.58061224489795915</v>
      </c>
      <c r="V1600" s="253">
        <v>0.66490825688073385</v>
      </c>
      <c r="W1600" s="253">
        <v>0</v>
      </c>
      <c r="X1600" s="253">
        <v>0.69411764705882351</v>
      </c>
      <c r="Y1600" s="253">
        <v>0.64438559322033895</v>
      </c>
      <c r="Z1600" s="253">
        <v>0.61692307692307691</v>
      </c>
      <c r="AA1600" s="253"/>
      <c r="AB1600" s="253"/>
      <c r="AC1600" s="253"/>
      <c r="AD1600" s="253"/>
      <c r="AE1600" s="253"/>
    </row>
    <row r="1601" spans="1:31">
      <c r="A1601" s="33">
        <v>1600</v>
      </c>
      <c r="B1601" s="69" t="s">
        <v>1375</v>
      </c>
      <c r="C1601" s="69" t="s">
        <v>740</v>
      </c>
      <c r="D1601" s="56">
        <v>42901</v>
      </c>
      <c r="E1601" s="33" t="s">
        <v>724</v>
      </c>
      <c r="F1601" s="69" t="s">
        <v>532</v>
      </c>
      <c r="G1601" s="69" t="str">
        <f t="shared" si="24"/>
        <v>E-Commerce</v>
      </c>
      <c r="H1601" s="69" t="s">
        <v>364</v>
      </c>
      <c r="I1601" s="69" t="s">
        <v>741</v>
      </c>
      <c r="J1601" s="69" t="s">
        <v>1375</v>
      </c>
      <c r="K1601" s="69" t="s">
        <v>55</v>
      </c>
      <c r="L1601" s="253">
        <v>0.64511048951048966</v>
      </c>
      <c r="M1601" s="253">
        <v>0.6551184987452594</v>
      </c>
      <c r="N1601" s="253">
        <v>0.68017020216696422</v>
      </c>
      <c r="O1601" s="253">
        <v>0.60837563798468952</v>
      </c>
      <c r="P1601" s="253">
        <v>0.64927272727272733</v>
      </c>
      <c r="Q1601" s="253">
        <v>0.61704225352112674</v>
      </c>
      <c r="R1601" s="253">
        <v>0.65733590733590741</v>
      </c>
      <c r="S1601" s="253">
        <v>0.61216216216216224</v>
      </c>
      <c r="T1601" s="253">
        <v>0.66607142857142854</v>
      </c>
      <c r="U1601" s="253">
        <v>0.7218181818181818</v>
      </c>
      <c r="V1601" s="253">
        <v>0.68463302752293576</v>
      </c>
      <c r="W1601" s="253">
        <v>0</v>
      </c>
      <c r="X1601" s="253">
        <v>0.66529411764705892</v>
      </c>
      <c r="Y1601" s="253">
        <v>0.59131250000000013</v>
      </c>
      <c r="Z1601" s="253">
        <v>0.62846153846153852</v>
      </c>
      <c r="AA1601" s="253"/>
      <c r="AB1601" s="253"/>
      <c r="AC1601" s="253"/>
      <c r="AD1601" s="253"/>
      <c r="AE1601" s="253"/>
    </row>
    <row r="1602" spans="1:31">
      <c r="A1602" s="33">
        <v>1601</v>
      </c>
      <c r="B1602" s="69" t="s">
        <v>1375</v>
      </c>
      <c r="C1602" s="69" t="s">
        <v>740</v>
      </c>
      <c r="D1602" s="56">
        <v>42901</v>
      </c>
      <c r="E1602" s="33" t="s">
        <v>724</v>
      </c>
      <c r="F1602" s="69" t="s">
        <v>532</v>
      </c>
      <c r="G1602" s="69" t="str">
        <f t="shared" ref="G1602:G1665" si="25">IF(V1602&gt;0,IF(W1602&gt;0,"Both","E-Commerce"),IF(W1602=0, "ERROR","User Registration"))</f>
        <v>E-Commerce</v>
      </c>
      <c r="H1602" s="69" t="s">
        <v>364</v>
      </c>
      <c r="I1602" s="69" t="s">
        <v>741</v>
      </c>
      <c r="J1602" s="69" t="s">
        <v>1375</v>
      </c>
      <c r="K1602" s="69" t="s">
        <v>393</v>
      </c>
      <c r="L1602" s="253">
        <v>0.66810349650349654</v>
      </c>
      <c r="M1602" s="253">
        <v>0.65466186049807829</v>
      </c>
      <c r="N1602" s="253">
        <v>0.67783801735231841</v>
      </c>
      <c r="O1602" s="253">
        <v>0.62644948807024203</v>
      </c>
      <c r="P1602" s="253">
        <v>0.66109090909090917</v>
      </c>
      <c r="Q1602" s="253">
        <v>0.63239436619718303</v>
      </c>
      <c r="R1602" s="253">
        <v>0.64293436293436301</v>
      </c>
      <c r="S1602" s="253">
        <v>0.57666666666666655</v>
      </c>
      <c r="T1602" s="253">
        <v>0.69392857142857145</v>
      </c>
      <c r="U1602" s="253">
        <v>0.70644268774703556</v>
      </c>
      <c r="V1602" s="253">
        <v>0.65495412844036693</v>
      </c>
      <c r="W1602" s="253">
        <v>0</v>
      </c>
      <c r="X1602" s="253">
        <v>0.75411764705882345</v>
      </c>
      <c r="Y1602" s="253">
        <v>0.60662499999999997</v>
      </c>
      <c r="Z1602" s="253">
        <v>0.69615384615384612</v>
      </c>
      <c r="AA1602" s="253"/>
      <c r="AB1602" s="253"/>
      <c r="AC1602" s="253"/>
      <c r="AD1602" s="253"/>
      <c r="AE1602" s="253"/>
    </row>
    <row r="1603" spans="1:31">
      <c r="A1603" s="33">
        <v>1602</v>
      </c>
      <c r="B1603" s="69" t="s">
        <v>1366</v>
      </c>
      <c r="C1603" s="69" t="s">
        <v>1367</v>
      </c>
      <c r="D1603" s="56">
        <v>42905</v>
      </c>
      <c r="E1603" s="33" t="s">
        <v>724</v>
      </c>
      <c r="F1603" s="69" t="s">
        <v>725</v>
      </c>
      <c r="G1603" s="69" t="str">
        <f t="shared" si="25"/>
        <v>User Registration</v>
      </c>
      <c r="H1603" s="69" t="s">
        <v>493</v>
      </c>
      <c r="I1603" s="69" t="s">
        <v>999</v>
      </c>
      <c r="J1603" s="69" t="s">
        <v>1366</v>
      </c>
      <c r="K1603" s="69" t="s">
        <v>1366</v>
      </c>
      <c r="L1603" s="253">
        <v>0.56821818181818173</v>
      </c>
      <c r="M1603" s="253">
        <v>0.60518060982369903</v>
      </c>
      <c r="N1603" s="253">
        <v>0.58309408644094241</v>
      </c>
      <c r="O1603" s="253">
        <v>0.57847523932323508</v>
      </c>
      <c r="P1603" s="253">
        <v>0.59527272727272718</v>
      </c>
      <c r="Q1603" s="253">
        <v>0.61351351351351346</v>
      </c>
      <c r="R1603" s="253">
        <v>0.64487870619946097</v>
      </c>
      <c r="S1603" s="253">
        <v>0.57835051546391758</v>
      </c>
      <c r="T1603" s="253">
        <v>0.62261904761904763</v>
      </c>
      <c r="U1603" s="253">
        <v>0.62788944723618101</v>
      </c>
      <c r="V1603" s="253"/>
      <c r="W1603" s="253">
        <v>0.59655172413793101</v>
      </c>
      <c r="X1603" s="253">
        <v>0.53823529411764703</v>
      </c>
      <c r="Y1603" s="253">
        <v>0.59724576271186436</v>
      </c>
      <c r="Z1603" s="253">
        <v>0.46</v>
      </c>
      <c r="AA1603" s="253"/>
      <c r="AB1603" s="253"/>
      <c r="AC1603" s="253"/>
      <c r="AD1603" s="253"/>
      <c r="AE1603" s="253"/>
    </row>
    <row r="1604" spans="1:31">
      <c r="A1604" s="33">
        <v>1603</v>
      </c>
      <c r="B1604" s="69" t="s">
        <v>1366</v>
      </c>
      <c r="C1604" s="69" t="s">
        <v>1367</v>
      </c>
      <c r="D1604" s="56">
        <v>42905</v>
      </c>
      <c r="E1604" s="33" t="s">
        <v>724</v>
      </c>
      <c r="F1604" s="69" t="s">
        <v>725</v>
      </c>
      <c r="G1604" s="69" t="str">
        <f t="shared" si="25"/>
        <v>User Registration</v>
      </c>
      <c r="H1604" s="69" t="s">
        <v>493</v>
      </c>
      <c r="I1604" s="69" t="s">
        <v>999</v>
      </c>
      <c r="J1604" s="69" t="s">
        <v>1366</v>
      </c>
      <c r="K1604" s="69" t="s">
        <v>1368</v>
      </c>
      <c r="L1604" s="253">
        <v>0.58145454545454545</v>
      </c>
      <c r="M1604" s="253">
        <v>0.56152100590719456</v>
      </c>
      <c r="N1604" s="253">
        <v>0.54291777188328905</v>
      </c>
      <c r="O1604" s="253">
        <v>0.58516504702303707</v>
      </c>
      <c r="P1604" s="253">
        <v>0.62181818181818183</v>
      </c>
      <c r="Q1604" s="253">
        <v>0.54662162162162142</v>
      </c>
      <c r="R1604" s="253">
        <v>0.56690084303492572</v>
      </c>
      <c r="S1604" s="253">
        <v>0.63195876288659791</v>
      </c>
      <c r="T1604" s="253">
        <v>0.55319148936170215</v>
      </c>
      <c r="U1604" s="253">
        <v>0.57331658291457288</v>
      </c>
      <c r="V1604" s="253"/>
      <c r="W1604" s="253">
        <v>0.54379310344827581</v>
      </c>
      <c r="X1604" s="253">
        <v>0.54</v>
      </c>
      <c r="Y1604" s="253">
        <v>0.63754237288135596</v>
      </c>
      <c r="Z1604" s="253">
        <v>0.42</v>
      </c>
      <c r="AA1604" s="253"/>
      <c r="AB1604" s="253"/>
      <c r="AC1604" s="253"/>
      <c r="AD1604" s="253"/>
      <c r="AE1604" s="253"/>
    </row>
    <row r="1605" spans="1:31">
      <c r="A1605" s="33">
        <v>1604</v>
      </c>
      <c r="B1605" s="69" t="s">
        <v>1366</v>
      </c>
      <c r="C1605" s="69" t="s">
        <v>1367</v>
      </c>
      <c r="D1605" s="56">
        <v>42905</v>
      </c>
      <c r="E1605" s="33" t="s">
        <v>724</v>
      </c>
      <c r="F1605" s="69" t="s">
        <v>725</v>
      </c>
      <c r="G1605" s="69" t="str">
        <f t="shared" si="25"/>
        <v>User Registration</v>
      </c>
      <c r="H1605" s="69" t="s">
        <v>493</v>
      </c>
      <c r="I1605" s="69" t="s">
        <v>999</v>
      </c>
      <c r="J1605" s="69" t="s">
        <v>1366</v>
      </c>
      <c r="K1605" s="69" t="s">
        <v>1369</v>
      </c>
      <c r="L1605" s="253">
        <v>0.61850389610389611</v>
      </c>
      <c r="M1605" s="253">
        <v>0.58105248807080834</v>
      </c>
      <c r="N1605" s="253">
        <v>0.57374434389140272</v>
      </c>
      <c r="O1605" s="253">
        <v>0.58377850808779863</v>
      </c>
      <c r="P1605" s="253">
        <v>0.65527272727272723</v>
      </c>
      <c r="Q1605" s="253">
        <v>0.55864864864864872</v>
      </c>
      <c r="R1605" s="253">
        <v>0.61123243677238048</v>
      </c>
      <c r="S1605" s="253">
        <v>0.59536082474226804</v>
      </c>
      <c r="T1605" s="253">
        <v>0.60851063829787233</v>
      </c>
      <c r="U1605" s="253">
        <v>0.58472361809045226</v>
      </c>
      <c r="V1605" s="253"/>
      <c r="W1605" s="253">
        <v>0.57874999999999999</v>
      </c>
      <c r="X1605" s="253">
        <v>0.55705882352941183</v>
      </c>
      <c r="Y1605" s="253">
        <v>0.61334745762711862</v>
      </c>
      <c r="Z1605" s="253">
        <v>0.47142857142857142</v>
      </c>
      <c r="AA1605" s="253"/>
      <c r="AB1605" s="253"/>
      <c r="AC1605" s="253"/>
      <c r="AD1605" s="253"/>
      <c r="AE1605" s="253"/>
    </row>
    <row r="1606" spans="1:31">
      <c r="A1606" s="33">
        <v>1605</v>
      </c>
      <c r="B1606" s="69" t="s">
        <v>1366</v>
      </c>
      <c r="C1606" s="69" t="s">
        <v>1367</v>
      </c>
      <c r="D1606" s="56">
        <v>42905</v>
      </c>
      <c r="E1606" s="33" t="s">
        <v>724</v>
      </c>
      <c r="F1606" s="69" t="s">
        <v>725</v>
      </c>
      <c r="G1606" s="69" t="str">
        <f t="shared" si="25"/>
        <v>User Registration</v>
      </c>
      <c r="H1606" s="69" t="s">
        <v>493</v>
      </c>
      <c r="I1606" s="69" t="s">
        <v>999</v>
      </c>
      <c r="J1606" s="69" t="s">
        <v>1366</v>
      </c>
      <c r="K1606" s="69" t="s">
        <v>1370</v>
      </c>
      <c r="L1606" s="253">
        <v>0.61396363636363638</v>
      </c>
      <c r="M1606" s="253">
        <v>0.63676080027628579</v>
      </c>
      <c r="N1606" s="253">
        <v>0.65563894523326582</v>
      </c>
      <c r="O1606" s="253">
        <v>0.61833105300415636</v>
      </c>
      <c r="P1606" s="253">
        <v>0.6474545454545455</v>
      </c>
      <c r="Q1606" s="253">
        <v>0.62959459459459455</v>
      </c>
      <c r="R1606" s="253">
        <v>0.66576819407008103</v>
      </c>
      <c r="S1606" s="253">
        <v>0.64545454545454539</v>
      </c>
      <c r="T1606" s="253">
        <v>0.6428571428571429</v>
      </c>
      <c r="U1606" s="253">
        <v>0.66557788944723617</v>
      </c>
      <c r="V1606" s="253"/>
      <c r="W1606" s="253">
        <v>0.65344827586206911</v>
      </c>
      <c r="X1606" s="253">
        <v>0.66294117647058826</v>
      </c>
      <c r="Y1606" s="253">
        <v>0.64650423728813566</v>
      </c>
      <c r="Z1606" s="253">
        <v>0.48</v>
      </c>
      <c r="AA1606" s="253"/>
      <c r="AB1606" s="253"/>
      <c r="AC1606" s="253"/>
      <c r="AD1606" s="253"/>
      <c r="AE1606" s="253"/>
    </row>
    <row r="1607" spans="1:31">
      <c r="A1607" s="33">
        <v>1606</v>
      </c>
      <c r="B1607" s="69" t="s">
        <v>1366</v>
      </c>
      <c r="C1607" s="69" t="s">
        <v>1367</v>
      </c>
      <c r="D1607" s="56">
        <v>42905</v>
      </c>
      <c r="E1607" s="33" t="s">
        <v>724</v>
      </c>
      <c r="F1607" s="69" t="s">
        <v>725</v>
      </c>
      <c r="G1607" s="69" t="str">
        <f t="shared" si="25"/>
        <v>User Registration</v>
      </c>
      <c r="H1607" s="69" t="s">
        <v>493</v>
      </c>
      <c r="I1607" s="69" t="s">
        <v>999</v>
      </c>
      <c r="J1607" s="69" t="s">
        <v>1366</v>
      </c>
      <c r="K1607" s="69" t="s">
        <v>1371</v>
      </c>
      <c r="L1607" s="253">
        <v>0.57164242424242417</v>
      </c>
      <c r="M1607" s="253">
        <v>0.56924797357730916</v>
      </c>
      <c r="N1607" s="253">
        <v>0.63457579185520352</v>
      </c>
      <c r="O1607" s="253">
        <v>0.56470294359333262</v>
      </c>
      <c r="P1607" s="253">
        <v>0.59163636363636363</v>
      </c>
      <c r="Q1607" s="253">
        <v>0.54027027027027019</v>
      </c>
      <c r="R1607" s="253">
        <v>0.60394219189080689</v>
      </c>
      <c r="S1607" s="253">
        <v>0.58865979381443301</v>
      </c>
      <c r="T1607" s="253">
        <v>0.58829787234042552</v>
      </c>
      <c r="U1607" s="253">
        <v>0.56180904522613062</v>
      </c>
      <c r="V1607" s="253"/>
      <c r="W1607" s="253">
        <v>0.63312499999999994</v>
      </c>
      <c r="X1607" s="253">
        <v>0.63941176470588235</v>
      </c>
      <c r="Y1607" s="253">
        <v>0.57881355932203382</v>
      </c>
      <c r="Z1607" s="253">
        <v>0.49166666666666664</v>
      </c>
      <c r="AA1607" s="253"/>
      <c r="AB1607" s="253"/>
      <c r="AC1607" s="253"/>
      <c r="AD1607" s="253"/>
      <c r="AE1607" s="253"/>
    </row>
    <row r="1608" spans="1:31">
      <c r="A1608" s="33">
        <v>1607</v>
      </c>
      <c r="B1608" s="69" t="s">
        <v>1366</v>
      </c>
      <c r="C1608" s="69" t="s">
        <v>1367</v>
      </c>
      <c r="D1608" s="56">
        <v>42905</v>
      </c>
      <c r="E1608" s="33" t="s">
        <v>724</v>
      </c>
      <c r="F1608" s="69" t="s">
        <v>725</v>
      </c>
      <c r="G1608" s="69" t="str">
        <f t="shared" si="25"/>
        <v>User Registration</v>
      </c>
      <c r="H1608" s="69" t="s">
        <v>493</v>
      </c>
      <c r="I1608" s="69" t="s">
        <v>999</v>
      </c>
      <c r="J1608" s="69" t="s">
        <v>1366</v>
      </c>
      <c r="K1608" s="69" t="s">
        <v>1372</v>
      </c>
      <c r="L1608" s="253">
        <v>0.62018787878787873</v>
      </c>
      <c r="M1608" s="253">
        <v>0.60915902434841229</v>
      </c>
      <c r="N1608" s="253">
        <v>0.59</v>
      </c>
      <c r="O1608" s="253">
        <v>0.55937133995338395</v>
      </c>
      <c r="P1608" s="253">
        <v>0.63981818181818173</v>
      </c>
      <c r="Q1608" s="253">
        <v>0.6854054054054054</v>
      </c>
      <c r="R1608" s="253">
        <v>0.63369272237196772</v>
      </c>
      <c r="S1608" s="253">
        <v>0.52474226804123714</v>
      </c>
      <c r="T1608" s="253">
        <v>0.57619047619047625</v>
      </c>
      <c r="U1608" s="253">
        <v>0.63793969849246235</v>
      </c>
      <c r="V1608" s="253"/>
      <c r="W1608" s="253">
        <v>0.59</v>
      </c>
      <c r="X1608" s="253">
        <v>0.59</v>
      </c>
      <c r="Y1608" s="253">
        <v>0.54067796610169494</v>
      </c>
      <c r="Z1608" s="253">
        <v>0.54166666666666663</v>
      </c>
      <c r="AA1608" s="253"/>
      <c r="AB1608" s="253"/>
      <c r="AC1608" s="253"/>
      <c r="AD1608" s="253"/>
      <c r="AE1608" s="253"/>
    </row>
    <row r="1609" spans="1:31">
      <c r="A1609" s="33">
        <v>1608</v>
      </c>
      <c r="B1609" s="69" t="s">
        <v>1366</v>
      </c>
      <c r="C1609" s="69" t="s">
        <v>1367</v>
      </c>
      <c r="D1609" s="56">
        <v>42905</v>
      </c>
      <c r="E1609" s="33" t="s">
        <v>724</v>
      </c>
      <c r="F1609" s="69" t="s">
        <v>725</v>
      </c>
      <c r="G1609" s="69" t="str">
        <f t="shared" si="25"/>
        <v>User Registration</v>
      </c>
      <c r="H1609" s="69" t="s">
        <v>493</v>
      </c>
      <c r="I1609" s="69" t="s">
        <v>999</v>
      </c>
      <c r="J1609" s="69" t="s">
        <v>1366</v>
      </c>
      <c r="K1609" s="69" t="s">
        <v>1373</v>
      </c>
      <c r="L1609" s="253">
        <v>0.60690909090909095</v>
      </c>
      <c r="M1609" s="253">
        <v>0.61059109161152425</v>
      </c>
      <c r="N1609" s="253">
        <v>0.56951923076923072</v>
      </c>
      <c r="O1609" s="253">
        <v>0.58073845965606186</v>
      </c>
      <c r="P1609" s="253">
        <v>0.63363636363636366</v>
      </c>
      <c r="Q1609" s="253">
        <v>0.63729729729729723</v>
      </c>
      <c r="R1609" s="253">
        <v>0.62313127258129264</v>
      </c>
      <c r="S1609" s="253">
        <v>0.57268041237113398</v>
      </c>
      <c r="T1609" s="253">
        <v>0.60053191489361701</v>
      </c>
      <c r="U1609" s="253">
        <v>0.65728643216080396</v>
      </c>
      <c r="V1609" s="253"/>
      <c r="W1609" s="253">
        <v>0.56937499999999996</v>
      </c>
      <c r="X1609" s="253">
        <v>0.56999999999999995</v>
      </c>
      <c r="Y1609" s="253">
        <v>0.5916313559322034</v>
      </c>
      <c r="Z1609" s="253">
        <v>0.5</v>
      </c>
      <c r="AA1609" s="253"/>
      <c r="AB1609" s="253"/>
      <c r="AC1609" s="253"/>
      <c r="AD1609" s="253"/>
      <c r="AE1609" s="253"/>
    </row>
    <row r="1610" spans="1:31">
      <c r="A1610" s="33">
        <v>1609</v>
      </c>
      <c r="B1610" s="69" t="s">
        <v>1366</v>
      </c>
      <c r="C1610" s="69" t="s">
        <v>1367</v>
      </c>
      <c r="D1610" s="56">
        <v>42905</v>
      </c>
      <c r="E1610" s="33" t="s">
        <v>724</v>
      </c>
      <c r="F1610" s="69" t="s">
        <v>725</v>
      </c>
      <c r="G1610" s="69" t="str">
        <f t="shared" si="25"/>
        <v>User Registration</v>
      </c>
      <c r="H1610" s="69" t="s">
        <v>493</v>
      </c>
      <c r="I1610" s="69" t="s">
        <v>999</v>
      </c>
      <c r="J1610" s="69" t="s">
        <v>1366</v>
      </c>
      <c r="K1610" s="69" t="s">
        <v>1374</v>
      </c>
      <c r="L1610" s="253">
        <v>0.65349999999999997</v>
      </c>
      <c r="M1610" s="253">
        <v>0.65329731929943824</v>
      </c>
      <c r="N1610" s="253">
        <v>0.6423872679045094</v>
      </c>
      <c r="O1610" s="253">
        <v>0.61042152138334393</v>
      </c>
      <c r="P1610" s="253">
        <v>0.69</v>
      </c>
      <c r="Q1610" s="253">
        <v>0.64878378378378376</v>
      </c>
      <c r="R1610" s="253">
        <v>0.70074267362505016</v>
      </c>
      <c r="S1610" s="253">
        <v>0.62113402061855671</v>
      </c>
      <c r="T1610" s="253">
        <v>0.65797872340425534</v>
      </c>
      <c r="U1610" s="253">
        <v>0.6907035175879398</v>
      </c>
      <c r="V1610" s="253"/>
      <c r="W1610" s="253">
        <v>0.64310344827586219</v>
      </c>
      <c r="X1610" s="253">
        <v>0.64</v>
      </c>
      <c r="Y1610" s="253">
        <v>0.61832627118644068</v>
      </c>
      <c r="Z1610" s="253">
        <v>0.50750000000000006</v>
      </c>
      <c r="AA1610" s="253"/>
      <c r="AB1610" s="253"/>
      <c r="AC1610" s="253"/>
      <c r="AD1610" s="253"/>
      <c r="AE1610" s="253"/>
    </row>
    <row r="1611" spans="1:31">
      <c r="A1611" s="33">
        <v>1610</v>
      </c>
      <c r="B1611" s="69" t="s">
        <v>1110</v>
      </c>
      <c r="C1611" s="69" t="s">
        <v>791</v>
      </c>
      <c r="D1611" s="56">
        <v>42906</v>
      </c>
      <c r="E1611" s="33" t="s">
        <v>724</v>
      </c>
      <c r="F1611" s="69" t="s">
        <v>380</v>
      </c>
      <c r="G1611" s="69" t="str">
        <f t="shared" si="25"/>
        <v>User Registration</v>
      </c>
      <c r="H1611" s="69" t="s">
        <v>508</v>
      </c>
      <c r="I1611" s="69" t="s">
        <v>922</v>
      </c>
      <c r="J1611" s="69" t="s">
        <v>1110</v>
      </c>
      <c r="K1611" s="69" t="s">
        <v>1110</v>
      </c>
      <c r="L1611" s="253">
        <v>0.6123664335664335</v>
      </c>
      <c r="M1611" s="253">
        <v>0.63774855881335346</v>
      </c>
      <c r="N1611" s="253">
        <v>0.63724830316742087</v>
      </c>
      <c r="O1611" s="253">
        <v>0.63164188314467018</v>
      </c>
      <c r="P1611" s="253">
        <v>0.61872727272727268</v>
      </c>
      <c r="Q1611" s="253">
        <v>0.63243243243243241</v>
      </c>
      <c r="R1611" s="253">
        <v>0.61653954235246888</v>
      </c>
      <c r="S1611" s="253">
        <v>0.66443298969072173</v>
      </c>
      <c r="T1611" s="253">
        <v>0.64255319148936174</v>
      </c>
      <c r="U1611" s="253">
        <v>0.6593103448275861</v>
      </c>
      <c r="V1611" s="253"/>
      <c r="W1611" s="253">
        <v>0.63218750000000001</v>
      </c>
      <c r="X1611" s="253">
        <v>0.65411764705882347</v>
      </c>
      <c r="Y1611" s="253">
        <v>0.64471982758620694</v>
      </c>
      <c r="Z1611" s="253">
        <v>0.58692307692307688</v>
      </c>
      <c r="AA1611" s="253"/>
      <c r="AB1611" s="253"/>
      <c r="AC1611" s="253"/>
      <c r="AD1611" s="253"/>
      <c r="AE1611" s="253"/>
    </row>
    <row r="1612" spans="1:31">
      <c r="A1612" s="33">
        <v>1611</v>
      </c>
      <c r="B1612" s="69" t="s">
        <v>1110</v>
      </c>
      <c r="C1612" s="69" t="s">
        <v>791</v>
      </c>
      <c r="D1612" s="56">
        <v>42906</v>
      </c>
      <c r="E1612" s="33" t="s">
        <v>724</v>
      </c>
      <c r="F1612" s="69" t="s">
        <v>380</v>
      </c>
      <c r="G1612" s="69" t="str">
        <f t="shared" si="25"/>
        <v>User Registration</v>
      </c>
      <c r="H1612" s="69" t="s">
        <v>508</v>
      </c>
      <c r="I1612" s="69" t="s">
        <v>922</v>
      </c>
      <c r="J1612" s="69" t="s">
        <v>1110</v>
      </c>
      <c r="K1612" s="69" t="s">
        <v>1363</v>
      </c>
      <c r="L1612" s="253">
        <v>0.58123916083916083</v>
      </c>
      <c r="M1612" s="253">
        <v>0.59663963392053065</v>
      </c>
      <c r="N1612" s="253">
        <v>0.64353506787330317</v>
      </c>
      <c r="O1612" s="253">
        <v>0.62247004056629307</v>
      </c>
      <c r="P1612" s="253">
        <v>0.5898181818181818</v>
      </c>
      <c r="Q1612" s="253">
        <v>0.57027027027027033</v>
      </c>
      <c r="R1612" s="253">
        <v>0.57344439983942197</v>
      </c>
      <c r="S1612" s="253">
        <v>0.59690721649484546</v>
      </c>
      <c r="T1612" s="253">
        <v>0.63308510638297866</v>
      </c>
      <c r="U1612" s="253">
        <v>0.63873563218390816</v>
      </c>
      <c r="V1612" s="253"/>
      <c r="W1612" s="253">
        <v>0.64812500000000006</v>
      </c>
      <c r="X1612" s="253">
        <v>0.628235294117647</v>
      </c>
      <c r="Y1612" s="253">
        <v>0.66271551724137923</v>
      </c>
      <c r="Z1612" s="253">
        <v>0.54692307692307685</v>
      </c>
      <c r="AA1612" s="253"/>
      <c r="AB1612" s="253"/>
      <c r="AC1612" s="253"/>
      <c r="AD1612" s="253"/>
      <c r="AE1612" s="253"/>
    </row>
    <row r="1613" spans="1:31">
      <c r="A1613" s="33">
        <v>1612</v>
      </c>
      <c r="B1613" s="69" t="s">
        <v>1110</v>
      </c>
      <c r="C1613" s="69" t="s">
        <v>791</v>
      </c>
      <c r="D1613" s="56">
        <v>42906</v>
      </c>
      <c r="E1613" s="33" t="s">
        <v>724</v>
      </c>
      <c r="F1613" s="69" t="s">
        <v>380</v>
      </c>
      <c r="G1613" s="69" t="str">
        <f t="shared" si="25"/>
        <v>User Registration</v>
      </c>
      <c r="H1613" s="69" t="s">
        <v>508</v>
      </c>
      <c r="I1613" s="69" t="s">
        <v>922</v>
      </c>
      <c r="J1613" s="69" t="s">
        <v>1110</v>
      </c>
      <c r="K1613" s="69" t="s">
        <v>1364</v>
      </c>
      <c r="L1613" s="253">
        <v>0.63547132867132872</v>
      </c>
      <c r="M1613" s="253">
        <v>0.58606243341062225</v>
      </c>
      <c r="N1613" s="253">
        <v>0.64527997737556564</v>
      </c>
      <c r="O1613" s="253">
        <v>0.58200207749016497</v>
      </c>
      <c r="P1613" s="253">
        <v>0.64145454545454539</v>
      </c>
      <c r="Q1613" s="253">
        <v>0.55405405405405406</v>
      </c>
      <c r="R1613" s="253">
        <v>0.5806101967081494</v>
      </c>
      <c r="S1613" s="253">
        <v>0.61030927835051552</v>
      </c>
      <c r="T1613" s="253">
        <v>0.57074468085106378</v>
      </c>
      <c r="U1613" s="253">
        <v>0.59672413793103452</v>
      </c>
      <c r="V1613" s="253"/>
      <c r="W1613" s="253">
        <v>0.66468749999999999</v>
      </c>
      <c r="X1613" s="253">
        <v>0.58058823529411763</v>
      </c>
      <c r="Y1613" s="253">
        <v>0.57338362068965509</v>
      </c>
      <c r="Z1613" s="253">
        <v>0.61153846153846159</v>
      </c>
      <c r="AA1613" s="253"/>
      <c r="AB1613" s="253"/>
      <c r="AC1613" s="253"/>
      <c r="AD1613" s="253"/>
      <c r="AE1613" s="253"/>
    </row>
    <row r="1614" spans="1:31">
      <c r="A1614" s="33">
        <v>1613</v>
      </c>
      <c r="B1614" s="69" t="s">
        <v>1110</v>
      </c>
      <c r="C1614" s="69" t="s">
        <v>791</v>
      </c>
      <c r="D1614" s="56">
        <v>42906</v>
      </c>
      <c r="E1614" s="33" t="s">
        <v>724</v>
      </c>
      <c r="F1614" s="69" t="s">
        <v>380</v>
      </c>
      <c r="G1614" s="69" t="str">
        <f t="shared" si="25"/>
        <v>User Registration</v>
      </c>
      <c r="H1614" s="69" t="s">
        <v>508</v>
      </c>
      <c r="I1614" s="69" t="s">
        <v>922</v>
      </c>
      <c r="J1614" s="69" t="s">
        <v>1110</v>
      </c>
      <c r="K1614" s="69" t="s">
        <v>1365</v>
      </c>
      <c r="L1614" s="253">
        <v>0.56546013986013977</v>
      </c>
      <c r="M1614" s="253">
        <v>0.60261889292508686</v>
      </c>
      <c r="N1614" s="253">
        <v>0.59894513574660646</v>
      </c>
      <c r="O1614" s="253">
        <v>0.57432328440844294</v>
      </c>
      <c r="P1614" s="253">
        <v>0.56836363636363629</v>
      </c>
      <c r="Q1614" s="253">
        <v>0.60405405405405399</v>
      </c>
      <c r="R1614" s="253">
        <v>0.65244881573665203</v>
      </c>
      <c r="S1614" s="253">
        <v>0.57835051546391758</v>
      </c>
      <c r="T1614" s="253">
        <v>0.61265957446808517</v>
      </c>
      <c r="U1614" s="253">
        <v>0.58454022988505738</v>
      </c>
      <c r="V1614" s="253"/>
      <c r="W1614" s="253">
        <v>0.59968750000000004</v>
      </c>
      <c r="X1614" s="253">
        <v>0.59647058823529409</v>
      </c>
      <c r="Y1614" s="253">
        <v>0.56146551724137927</v>
      </c>
      <c r="Z1614" s="253">
        <v>0.55384615384615388</v>
      </c>
      <c r="AA1614" s="253"/>
      <c r="AB1614" s="253"/>
      <c r="AC1614" s="253"/>
      <c r="AD1614" s="253"/>
      <c r="AE1614" s="253"/>
    </row>
    <row r="1615" spans="1:31">
      <c r="A1615" s="33">
        <v>1614</v>
      </c>
      <c r="B1615" s="69" t="s">
        <v>1110</v>
      </c>
      <c r="C1615" s="69" t="s">
        <v>791</v>
      </c>
      <c r="D1615" s="56">
        <v>42906</v>
      </c>
      <c r="E1615" s="33" t="s">
        <v>724</v>
      </c>
      <c r="F1615" s="69" t="s">
        <v>380</v>
      </c>
      <c r="G1615" s="69" t="str">
        <f t="shared" si="25"/>
        <v>User Registration</v>
      </c>
      <c r="H1615" s="69" t="s">
        <v>508</v>
      </c>
      <c r="I1615" s="69" t="s">
        <v>922</v>
      </c>
      <c r="J1615" s="69" t="s">
        <v>1110</v>
      </c>
      <c r="K1615" s="69" t="s">
        <v>1109</v>
      </c>
      <c r="L1615" s="253">
        <v>0.6227636363636363</v>
      </c>
      <c r="M1615" s="253">
        <v>0.58939459570066444</v>
      </c>
      <c r="N1615" s="253">
        <v>0.6102092760180996</v>
      </c>
      <c r="O1615" s="253">
        <v>0.59372779233831596</v>
      </c>
      <c r="P1615" s="253">
        <v>0.63345454545454538</v>
      </c>
      <c r="Q1615" s="253">
        <v>0.58716216216216222</v>
      </c>
      <c r="R1615" s="253">
        <v>0.60470493777599343</v>
      </c>
      <c r="S1615" s="253">
        <v>0.5642156862745098</v>
      </c>
      <c r="T1615" s="253">
        <v>0.65797872340425534</v>
      </c>
      <c r="U1615" s="253">
        <v>0.55862068965517231</v>
      </c>
      <c r="V1615" s="253"/>
      <c r="W1615" s="253">
        <v>0.61062499999999997</v>
      </c>
      <c r="X1615" s="253">
        <v>0.60882352941176465</v>
      </c>
      <c r="Y1615" s="253">
        <v>0.59925847457627124</v>
      </c>
      <c r="Z1615" s="253">
        <v>0.58000000000000007</v>
      </c>
      <c r="AA1615" s="253"/>
      <c r="AB1615" s="253"/>
      <c r="AC1615" s="253"/>
      <c r="AD1615" s="253"/>
      <c r="AE1615" s="253"/>
    </row>
    <row r="1616" spans="1:31">
      <c r="A1616" s="33">
        <v>1615</v>
      </c>
      <c r="B1616" s="69" t="s">
        <v>1358</v>
      </c>
      <c r="C1616" s="69" t="s">
        <v>1214</v>
      </c>
      <c r="D1616" s="56">
        <v>42907</v>
      </c>
      <c r="E1616" s="33" t="s">
        <v>724</v>
      </c>
      <c r="F1616" s="69" t="s">
        <v>725</v>
      </c>
      <c r="G1616" s="69" t="str">
        <f t="shared" si="25"/>
        <v>User Registration</v>
      </c>
      <c r="H1616" s="69" t="s">
        <v>807</v>
      </c>
      <c r="I1616" s="69" t="s">
        <v>1359</v>
      </c>
      <c r="J1616" s="69" t="s">
        <v>1358</v>
      </c>
      <c r="K1616" s="69" t="s">
        <v>1360</v>
      </c>
      <c r="L1616" s="253">
        <v>0.62041678321678329</v>
      </c>
      <c r="M1616" s="253">
        <v>0.65055221686627573</v>
      </c>
      <c r="N1616" s="253">
        <v>0.62968749999999996</v>
      </c>
      <c r="O1616" s="253">
        <v>0.63436087902875693</v>
      </c>
      <c r="P1616" s="253">
        <v>0.62763636363636377</v>
      </c>
      <c r="Q1616" s="253">
        <v>0.63749999999999996</v>
      </c>
      <c r="R1616" s="253">
        <v>0.65608189482135693</v>
      </c>
      <c r="S1616" s="253">
        <v>0.63798076923076918</v>
      </c>
      <c r="T1616" s="253">
        <v>0.67074468085106376</v>
      </c>
      <c r="U1616" s="253">
        <v>0.67701149425287355</v>
      </c>
      <c r="V1616" s="253"/>
      <c r="W1616" s="253">
        <v>0.62968749999999996</v>
      </c>
      <c r="X1616" s="253"/>
      <c r="Y1616" s="253">
        <v>0.64218750000000002</v>
      </c>
      <c r="Z1616" s="253">
        <v>0.59153846153846157</v>
      </c>
      <c r="AA1616" s="253"/>
      <c r="AB1616" s="253"/>
      <c r="AC1616" s="253"/>
      <c r="AD1616" s="253"/>
      <c r="AE1616" s="253"/>
    </row>
    <row r="1617" spans="1:31">
      <c r="A1617" s="33">
        <v>1616</v>
      </c>
      <c r="B1617" s="69" t="s">
        <v>1358</v>
      </c>
      <c r="C1617" s="69" t="s">
        <v>1214</v>
      </c>
      <c r="D1617" s="56">
        <v>42907</v>
      </c>
      <c r="E1617" s="33" t="s">
        <v>724</v>
      </c>
      <c r="F1617" s="69" t="s">
        <v>725</v>
      </c>
      <c r="G1617" s="69" t="str">
        <f t="shared" si="25"/>
        <v>User Registration</v>
      </c>
      <c r="H1617" s="69" t="s">
        <v>807</v>
      </c>
      <c r="I1617" s="69" t="s">
        <v>1359</v>
      </c>
      <c r="J1617" s="69" t="s">
        <v>1358</v>
      </c>
      <c r="K1617" s="69" t="s">
        <v>810</v>
      </c>
      <c r="L1617" s="253">
        <v>0.61287272727272724</v>
      </c>
      <c r="M1617" s="253">
        <v>0.63295935920524771</v>
      </c>
      <c r="N1617" s="253">
        <v>0.54031249999999997</v>
      </c>
      <c r="O1617" s="253">
        <v>0.6512968096115811</v>
      </c>
      <c r="P1617" s="253">
        <v>0.61609090909090902</v>
      </c>
      <c r="Q1617" s="253">
        <v>0.62013513513513518</v>
      </c>
      <c r="R1617" s="253">
        <v>0.61189281413087115</v>
      </c>
      <c r="S1617" s="253">
        <v>0.71249999999999991</v>
      </c>
      <c r="T1617" s="253">
        <v>0.63351063829787235</v>
      </c>
      <c r="U1617" s="253">
        <v>0.6135057471264368</v>
      </c>
      <c r="V1617" s="253"/>
      <c r="W1617" s="253">
        <v>0.54031249999999997</v>
      </c>
      <c r="X1617" s="253"/>
      <c r="Y1617" s="253">
        <v>0.67156250000000006</v>
      </c>
      <c r="Z1617" s="253">
        <v>0.6</v>
      </c>
      <c r="AA1617" s="253"/>
      <c r="AB1617" s="253"/>
      <c r="AC1617" s="253"/>
      <c r="AD1617" s="253"/>
      <c r="AE1617" s="253"/>
    </row>
    <row r="1618" spans="1:31">
      <c r="A1618" s="33">
        <v>1617</v>
      </c>
      <c r="B1618" s="69" t="s">
        <v>1358</v>
      </c>
      <c r="C1618" s="69" t="s">
        <v>1214</v>
      </c>
      <c r="D1618" s="56">
        <v>42907</v>
      </c>
      <c r="E1618" s="33" t="s">
        <v>724</v>
      </c>
      <c r="F1618" s="69" t="s">
        <v>725</v>
      </c>
      <c r="G1618" s="69" t="str">
        <f t="shared" si="25"/>
        <v>User Registration</v>
      </c>
      <c r="H1618" s="69" t="s">
        <v>807</v>
      </c>
      <c r="I1618" s="69" t="s">
        <v>1359</v>
      </c>
      <c r="J1618" s="69" t="s">
        <v>1358</v>
      </c>
      <c r="K1618" s="69" t="s">
        <v>1361</v>
      </c>
      <c r="L1618" s="253">
        <v>0.67475244755244745</v>
      </c>
      <c r="M1618" s="253">
        <v>0.6351945195353309</v>
      </c>
      <c r="N1618" s="253">
        <v>0.66187499999999999</v>
      </c>
      <c r="O1618" s="253">
        <v>0.61771760707795142</v>
      </c>
      <c r="P1618" s="253">
        <v>0.6853636363636364</v>
      </c>
      <c r="Q1618" s="253">
        <v>0.65709459459459452</v>
      </c>
      <c r="R1618" s="253">
        <v>0.64153954235246879</v>
      </c>
      <c r="S1618" s="253">
        <v>0.65576923076923077</v>
      </c>
      <c r="T1618" s="253">
        <v>0.5925531914893617</v>
      </c>
      <c r="U1618" s="253">
        <v>0.62160919540229886</v>
      </c>
      <c r="V1618" s="253"/>
      <c r="W1618" s="253">
        <v>0.66187499999999999</v>
      </c>
      <c r="X1618" s="253"/>
      <c r="Y1618" s="253">
        <v>0.60083333333333344</v>
      </c>
      <c r="Z1618" s="253">
        <v>0.63230769230769224</v>
      </c>
      <c r="AA1618" s="253"/>
      <c r="AB1618" s="253"/>
      <c r="AC1618" s="253"/>
      <c r="AD1618" s="253"/>
      <c r="AE1618" s="253"/>
    </row>
    <row r="1619" spans="1:31">
      <c r="A1619" s="33">
        <v>1618</v>
      </c>
      <c r="B1619" s="69" t="s">
        <v>1358</v>
      </c>
      <c r="C1619" s="69" t="s">
        <v>1214</v>
      </c>
      <c r="D1619" s="56">
        <v>42907</v>
      </c>
      <c r="E1619" s="33" t="s">
        <v>724</v>
      </c>
      <c r="F1619" s="69" t="s">
        <v>725</v>
      </c>
      <c r="G1619" s="69" t="str">
        <f t="shared" si="25"/>
        <v>User Registration</v>
      </c>
      <c r="H1619" s="69" t="s">
        <v>807</v>
      </c>
      <c r="I1619" s="69" t="s">
        <v>1359</v>
      </c>
      <c r="J1619" s="69" t="s">
        <v>1358</v>
      </c>
      <c r="K1619" s="69" t="s">
        <v>1358</v>
      </c>
      <c r="L1619" s="253">
        <v>0.5804850349650349</v>
      </c>
      <c r="M1619" s="253">
        <v>0.59507512450768441</v>
      </c>
      <c r="N1619" s="253">
        <v>0.57937499999999997</v>
      </c>
      <c r="O1619" s="253">
        <v>0.60639260989597199</v>
      </c>
      <c r="P1619" s="253">
        <v>0.58349090909090906</v>
      </c>
      <c r="Q1619" s="253">
        <v>0.58851351351351344</v>
      </c>
      <c r="R1619" s="253">
        <v>0.55814933761541552</v>
      </c>
      <c r="S1619" s="253">
        <v>0.62451923076923077</v>
      </c>
      <c r="T1619" s="253">
        <v>0.60106382978723405</v>
      </c>
      <c r="U1619" s="253">
        <v>0.62074712643678165</v>
      </c>
      <c r="V1619" s="253"/>
      <c r="W1619" s="253">
        <v>0.57937499999999997</v>
      </c>
      <c r="X1619" s="253"/>
      <c r="Y1619" s="253">
        <v>0.62739583333333326</v>
      </c>
      <c r="Z1619" s="253">
        <v>0.56846153846153835</v>
      </c>
      <c r="AA1619" s="253"/>
      <c r="AB1619" s="253"/>
      <c r="AC1619" s="253"/>
      <c r="AD1619" s="253"/>
      <c r="AE1619" s="253"/>
    </row>
    <row r="1620" spans="1:31">
      <c r="A1620" s="33">
        <v>1619</v>
      </c>
      <c r="B1620" s="69" t="s">
        <v>1358</v>
      </c>
      <c r="C1620" s="69" t="s">
        <v>1214</v>
      </c>
      <c r="D1620" s="56">
        <v>42907</v>
      </c>
      <c r="E1620" s="33" t="s">
        <v>724</v>
      </c>
      <c r="F1620" s="69" t="s">
        <v>725</v>
      </c>
      <c r="G1620" s="69" t="str">
        <f t="shared" si="25"/>
        <v>User Registration</v>
      </c>
      <c r="H1620" s="69" t="s">
        <v>807</v>
      </c>
      <c r="I1620" s="69" t="s">
        <v>1359</v>
      </c>
      <c r="J1620" s="69" t="s">
        <v>1358</v>
      </c>
      <c r="K1620" s="69" t="s">
        <v>1362</v>
      </c>
      <c r="L1620" s="253">
        <v>0.64313846153846155</v>
      </c>
      <c r="M1620" s="253">
        <v>0.62043951172028133</v>
      </c>
      <c r="N1620" s="253">
        <v>0.59375</v>
      </c>
      <c r="O1620" s="253">
        <v>0.57568765308156522</v>
      </c>
      <c r="P1620" s="253">
        <v>0.65199999999999991</v>
      </c>
      <c r="Q1620" s="253">
        <v>0.53986486486486496</v>
      </c>
      <c r="R1620" s="253">
        <v>0.62757928542753916</v>
      </c>
      <c r="S1620" s="253">
        <v>0.57692307692307687</v>
      </c>
      <c r="T1620" s="253">
        <v>0.65372340425531916</v>
      </c>
      <c r="U1620" s="253">
        <v>0.69770114942528738</v>
      </c>
      <c r="V1620" s="253"/>
      <c r="W1620" s="253">
        <v>0.59375</v>
      </c>
      <c r="X1620" s="253"/>
      <c r="Y1620" s="253">
        <v>0.55916666666666659</v>
      </c>
      <c r="Z1620" s="253">
        <v>0.60769230769230764</v>
      </c>
      <c r="AA1620" s="253"/>
      <c r="AB1620" s="253"/>
      <c r="AC1620" s="253"/>
      <c r="AD1620" s="253"/>
      <c r="AE1620" s="253">
        <v>56.000000000000007</v>
      </c>
    </row>
    <row r="1621" spans="1:31">
      <c r="A1621" s="33">
        <v>1620</v>
      </c>
      <c r="B1621" s="69" t="s">
        <v>1352</v>
      </c>
      <c r="C1621" s="69" t="s">
        <v>1232</v>
      </c>
      <c r="D1621" s="56">
        <v>42908</v>
      </c>
      <c r="E1621" s="33" t="s">
        <v>724</v>
      </c>
      <c r="F1621" s="69" t="s">
        <v>532</v>
      </c>
      <c r="G1621" s="69" t="str">
        <f t="shared" si="25"/>
        <v>Both</v>
      </c>
      <c r="H1621" s="69" t="s">
        <v>364</v>
      </c>
      <c r="I1621" s="69" t="s">
        <v>1353</v>
      </c>
      <c r="J1621" s="69" t="s">
        <v>1352</v>
      </c>
      <c r="K1621" s="69" t="s">
        <v>1352</v>
      </c>
      <c r="L1621" s="253">
        <v>0.61983496503496494</v>
      </c>
      <c r="M1621" s="253">
        <v>0.62370867886680215</v>
      </c>
      <c r="N1621" s="253">
        <v>0.64621277491318529</v>
      </c>
      <c r="O1621" s="253">
        <v>0.59383301017732015</v>
      </c>
      <c r="P1621" s="253">
        <v>0.61690909090909085</v>
      </c>
      <c r="Q1621" s="253">
        <v>0.64135135135135135</v>
      </c>
      <c r="R1621" s="253">
        <v>0.62859138700849782</v>
      </c>
      <c r="S1621" s="253">
        <v>0.57425742574257421</v>
      </c>
      <c r="T1621" s="253">
        <v>0.64351145038167945</v>
      </c>
      <c r="U1621" s="253">
        <v>0.6292592592592593</v>
      </c>
      <c r="V1621" s="253">
        <v>0.63748837209302323</v>
      </c>
      <c r="W1621" s="253">
        <v>0.10625</v>
      </c>
      <c r="X1621" s="253">
        <v>0.67529411764705882</v>
      </c>
      <c r="Y1621" s="253">
        <v>0.57277542372881363</v>
      </c>
      <c r="Z1621" s="253">
        <v>0.63153846153846149</v>
      </c>
      <c r="AA1621" s="253"/>
      <c r="AB1621" s="253"/>
      <c r="AC1621" s="253"/>
      <c r="AD1621" s="253"/>
      <c r="AE1621" s="253"/>
    </row>
    <row r="1622" spans="1:31">
      <c r="A1622" s="33">
        <v>1621</v>
      </c>
      <c r="B1622" s="69" t="s">
        <v>1352</v>
      </c>
      <c r="C1622" s="69" t="s">
        <v>1232</v>
      </c>
      <c r="D1622" s="56">
        <v>42908</v>
      </c>
      <c r="E1622" s="33" t="s">
        <v>724</v>
      </c>
      <c r="F1622" s="69" t="s">
        <v>532</v>
      </c>
      <c r="G1622" s="69" t="str">
        <f t="shared" si="25"/>
        <v>Both</v>
      </c>
      <c r="H1622" s="69" t="s">
        <v>364</v>
      </c>
      <c r="I1622" s="69" t="s">
        <v>1353</v>
      </c>
      <c r="J1622" s="69" t="s">
        <v>1352</v>
      </c>
      <c r="K1622" s="69" t="s">
        <v>1354</v>
      </c>
      <c r="L1622" s="253">
        <v>0.60667132867132867</v>
      </c>
      <c r="M1622" s="253">
        <v>0.62585718552764213</v>
      </c>
      <c r="N1622" s="253">
        <v>0.614186046511628</v>
      </c>
      <c r="O1622" s="253">
        <v>0.60540478174749579</v>
      </c>
      <c r="P1622" s="253">
        <v>0.60545454545454547</v>
      </c>
      <c r="Q1622" s="253">
        <v>0.61391891891891903</v>
      </c>
      <c r="R1622" s="253">
        <v>0.65149071006769399</v>
      </c>
      <c r="S1622" s="253">
        <v>0.60849056603773577</v>
      </c>
      <c r="T1622" s="253">
        <v>0.65763358778625947</v>
      </c>
      <c r="U1622" s="253">
        <v>0.61032921810699592</v>
      </c>
      <c r="V1622" s="253">
        <v>0.614186046511628</v>
      </c>
      <c r="W1622" s="253">
        <v>0.1</v>
      </c>
      <c r="X1622" s="253">
        <v>0.614186046511628</v>
      </c>
      <c r="Y1622" s="253">
        <v>0.59318750000000009</v>
      </c>
      <c r="Z1622" s="253">
        <v>0.61153846153846159</v>
      </c>
      <c r="AA1622" s="253"/>
      <c r="AB1622" s="253"/>
      <c r="AC1622" s="253"/>
      <c r="AD1622" s="253"/>
      <c r="AE1622" s="253"/>
    </row>
    <row r="1623" spans="1:31">
      <c r="A1623" s="33">
        <v>1622</v>
      </c>
      <c r="B1623" s="69" t="s">
        <v>1352</v>
      </c>
      <c r="C1623" s="69" t="s">
        <v>1232</v>
      </c>
      <c r="D1623" s="56">
        <v>42908</v>
      </c>
      <c r="E1623" s="33" t="s">
        <v>724</v>
      </c>
      <c r="F1623" s="69" t="s">
        <v>532</v>
      </c>
      <c r="G1623" s="69" t="str">
        <f t="shared" si="25"/>
        <v>Both</v>
      </c>
      <c r="H1623" s="69" t="s">
        <v>364</v>
      </c>
      <c r="I1623" s="69" t="s">
        <v>1353</v>
      </c>
      <c r="J1623" s="69" t="s">
        <v>1352</v>
      </c>
      <c r="K1623" s="69" t="s">
        <v>1355</v>
      </c>
      <c r="L1623" s="253">
        <v>0.65621818181818181</v>
      </c>
      <c r="M1623" s="253">
        <v>0.67504763245531585</v>
      </c>
      <c r="N1623" s="253">
        <v>0.62325581395348839</v>
      </c>
      <c r="O1623" s="253">
        <v>0.63657479614265322</v>
      </c>
      <c r="P1623" s="253">
        <v>0.65527272727272723</v>
      </c>
      <c r="Q1623" s="253">
        <v>0.70472972972972969</v>
      </c>
      <c r="R1623" s="253">
        <v>0.66857986461183938</v>
      </c>
      <c r="S1623" s="253">
        <v>0.69113207547169819</v>
      </c>
      <c r="T1623" s="253">
        <v>0.63282442748091594</v>
      </c>
      <c r="U1623" s="253">
        <v>0.67625514403292186</v>
      </c>
      <c r="V1623" s="253">
        <v>0.62325581395348839</v>
      </c>
      <c r="W1623" s="253">
        <v>0.1015625</v>
      </c>
      <c r="X1623" s="253">
        <v>0.62325581395348839</v>
      </c>
      <c r="Y1623" s="253">
        <v>0.61087499999999995</v>
      </c>
      <c r="Z1623" s="253">
        <v>0.66</v>
      </c>
      <c r="AA1623" s="253"/>
      <c r="AB1623" s="253"/>
      <c r="AC1623" s="253"/>
      <c r="AD1623" s="253"/>
      <c r="AE1623" s="253"/>
    </row>
    <row r="1624" spans="1:31">
      <c r="A1624" s="33">
        <v>1623</v>
      </c>
      <c r="B1624" s="69" t="s">
        <v>1352</v>
      </c>
      <c r="C1624" s="69" t="s">
        <v>1232</v>
      </c>
      <c r="D1624" s="56">
        <v>42908</v>
      </c>
      <c r="E1624" s="33" t="s">
        <v>724</v>
      </c>
      <c r="F1624" s="69" t="s">
        <v>532</v>
      </c>
      <c r="G1624" s="69" t="str">
        <f t="shared" si="25"/>
        <v>Both</v>
      </c>
      <c r="H1624" s="69" t="s">
        <v>364</v>
      </c>
      <c r="I1624" s="69" t="s">
        <v>1353</v>
      </c>
      <c r="J1624" s="69" t="s">
        <v>1352</v>
      </c>
      <c r="K1624" s="69" t="s">
        <v>1356</v>
      </c>
      <c r="L1624" s="253">
        <v>0.63310209790209793</v>
      </c>
      <c r="M1624" s="253">
        <v>0.61462414591154957</v>
      </c>
      <c r="N1624" s="253">
        <v>0.58187624960538786</v>
      </c>
      <c r="O1624" s="253">
        <v>0.60241717954915464</v>
      </c>
      <c r="P1624" s="253">
        <v>0.62945454545454549</v>
      </c>
      <c r="Q1624" s="253">
        <v>0.63581081081081092</v>
      </c>
      <c r="R1624" s="253">
        <v>0.57689759469969759</v>
      </c>
      <c r="S1624" s="253">
        <v>0.6736633663366336</v>
      </c>
      <c r="T1624" s="253">
        <v>0.5725190839694656</v>
      </c>
      <c r="U1624" s="253">
        <v>0.60020576131687242</v>
      </c>
      <c r="V1624" s="253">
        <v>0.57767441860465119</v>
      </c>
      <c r="W1624" s="253">
        <v>9.0624999999999983E-2</v>
      </c>
      <c r="X1624" s="253">
        <v>0.59588235294117653</v>
      </c>
      <c r="Y1624" s="253">
        <v>0.58347457627118648</v>
      </c>
      <c r="Z1624" s="253">
        <v>0.64769230769230768</v>
      </c>
      <c r="AA1624" s="253"/>
      <c r="AB1624" s="253"/>
      <c r="AC1624" s="253"/>
      <c r="AD1624" s="253"/>
      <c r="AE1624" s="253"/>
    </row>
    <row r="1625" spans="1:31">
      <c r="A1625" s="33">
        <v>1624</v>
      </c>
      <c r="B1625" s="69" t="s">
        <v>1352</v>
      </c>
      <c r="C1625" s="69" t="s">
        <v>1232</v>
      </c>
      <c r="D1625" s="56">
        <v>42908</v>
      </c>
      <c r="E1625" s="33" t="s">
        <v>724</v>
      </c>
      <c r="F1625" s="69" t="s">
        <v>532</v>
      </c>
      <c r="G1625" s="69" t="str">
        <f t="shared" si="25"/>
        <v>Both</v>
      </c>
      <c r="H1625" s="69" t="s">
        <v>364</v>
      </c>
      <c r="I1625" s="69" t="s">
        <v>1353</v>
      </c>
      <c r="J1625" s="69" t="s">
        <v>1352</v>
      </c>
      <c r="K1625" s="69" t="s">
        <v>1357</v>
      </c>
      <c r="L1625" s="253">
        <v>0.61161398601398598</v>
      </c>
      <c r="M1625" s="253">
        <v>0.63470270673250628</v>
      </c>
      <c r="N1625" s="253">
        <v>0.60837209302325579</v>
      </c>
      <c r="O1625" s="253">
        <v>0.65258350284125821</v>
      </c>
      <c r="P1625" s="253">
        <v>0.61836363636363634</v>
      </c>
      <c r="Q1625" s="253">
        <v>0.62094594594594599</v>
      </c>
      <c r="R1625" s="253">
        <v>0.67899179029238077</v>
      </c>
      <c r="S1625" s="253">
        <v>0.68301886792452837</v>
      </c>
      <c r="T1625" s="253">
        <v>0.61488549618320609</v>
      </c>
      <c r="U1625" s="253">
        <v>0.59469135802469131</v>
      </c>
      <c r="V1625" s="253">
        <v>0.60837209302325579</v>
      </c>
      <c r="W1625" s="253">
        <v>9.6875000000000003E-2</v>
      </c>
      <c r="X1625" s="253">
        <v>0.60837209302325579</v>
      </c>
      <c r="Y1625" s="253">
        <v>0.66781250000000003</v>
      </c>
      <c r="Z1625" s="253">
        <v>0.58461538461538454</v>
      </c>
      <c r="AA1625" s="253"/>
      <c r="AB1625" s="253"/>
      <c r="AC1625" s="253"/>
      <c r="AD1625" s="253"/>
      <c r="AE1625" s="253"/>
    </row>
    <row r="1626" spans="1:31">
      <c r="A1626" s="33">
        <v>1625</v>
      </c>
      <c r="B1626" s="69" t="s">
        <v>734</v>
      </c>
      <c r="C1626" s="69" t="s">
        <v>960</v>
      </c>
      <c r="D1626" s="56">
        <v>42912</v>
      </c>
      <c r="E1626" s="33" t="s">
        <v>724</v>
      </c>
      <c r="F1626" s="69" t="s">
        <v>532</v>
      </c>
      <c r="G1626" s="69" t="str">
        <f t="shared" si="25"/>
        <v>Both</v>
      </c>
      <c r="H1626" s="69" t="s">
        <v>364</v>
      </c>
      <c r="I1626" s="69" t="s">
        <v>1331</v>
      </c>
      <c r="J1626" s="69" t="s">
        <v>734</v>
      </c>
      <c r="K1626" s="69" t="s">
        <v>734</v>
      </c>
      <c r="L1626" s="253">
        <v>0.6204139860139859</v>
      </c>
      <c r="M1626" s="253">
        <v>0.62171108956513088</v>
      </c>
      <c r="N1626" s="253">
        <v>0.60869620119962109</v>
      </c>
      <c r="O1626" s="253">
        <v>0.61769303676621956</v>
      </c>
      <c r="P1626" s="253">
        <v>0.60436363636363621</v>
      </c>
      <c r="Q1626" s="253">
        <v>0.58904729729729743</v>
      </c>
      <c r="R1626" s="253">
        <v>0.60781794613279561</v>
      </c>
      <c r="S1626" s="253">
        <v>0.60326923076923067</v>
      </c>
      <c r="T1626" s="253">
        <v>0.65114503816793889</v>
      </c>
      <c r="U1626" s="253">
        <v>0.63366666666666671</v>
      </c>
      <c r="V1626" s="253">
        <v>0.60706976744186036</v>
      </c>
      <c r="W1626" s="253">
        <v>9.375E-2</v>
      </c>
      <c r="X1626" s="253">
        <v>0.61411764705882343</v>
      </c>
      <c r="Y1626" s="253">
        <v>0.60389830508474585</v>
      </c>
      <c r="Z1626" s="253">
        <v>0.68461538461538463</v>
      </c>
      <c r="AA1626" s="253"/>
      <c r="AB1626" s="253"/>
      <c r="AC1626" s="253"/>
      <c r="AD1626" s="253"/>
      <c r="AE1626" s="253"/>
    </row>
    <row r="1627" spans="1:31">
      <c r="A1627" s="33">
        <v>1626</v>
      </c>
      <c r="B1627" s="69" t="s">
        <v>734</v>
      </c>
      <c r="C1627" s="69" t="s">
        <v>960</v>
      </c>
      <c r="D1627" s="56">
        <v>42912</v>
      </c>
      <c r="E1627" s="33" t="s">
        <v>724</v>
      </c>
      <c r="F1627" s="69" t="s">
        <v>532</v>
      </c>
      <c r="G1627" s="69" t="str">
        <f t="shared" si="25"/>
        <v>Both</v>
      </c>
      <c r="H1627" s="69" t="s">
        <v>364</v>
      </c>
      <c r="I1627" s="69" t="s">
        <v>1331</v>
      </c>
      <c r="J1627" s="69" t="s">
        <v>734</v>
      </c>
      <c r="K1627" s="69" t="s">
        <v>736</v>
      </c>
      <c r="L1627" s="253">
        <v>0.57618741258741268</v>
      </c>
      <c r="M1627" s="253">
        <v>0.593543206309881</v>
      </c>
      <c r="N1627" s="253">
        <v>0.62931916236977803</v>
      </c>
      <c r="O1627" s="253">
        <v>0.58332158189613781</v>
      </c>
      <c r="P1627" s="253">
        <v>0.55927272727272737</v>
      </c>
      <c r="Q1627" s="253">
        <v>0.57418918918918915</v>
      </c>
      <c r="R1627" s="253">
        <v>0.60347832349128616</v>
      </c>
      <c r="S1627" s="253">
        <v>0.57009615384615397</v>
      </c>
      <c r="T1627" s="253">
        <v>0.60114503816793896</v>
      </c>
      <c r="U1627" s="253">
        <v>0.59316666666666662</v>
      </c>
      <c r="V1627" s="253">
        <v>0.59823255813953491</v>
      </c>
      <c r="W1627" s="253">
        <v>9.6875000000000003E-2</v>
      </c>
      <c r="X1627" s="253">
        <v>0.73294117647058821</v>
      </c>
      <c r="Y1627" s="253">
        <v>0.56336864406779652</v>
      </c>
      <c r="Z1627" s="253">
        <v>0.64384615384615385</v>
      </c>
      <c r="AA1627" s="253"/>
      <c r="AB1627" s="253"/>
      <c r="AC1627" s="253"/>
      <c r="AD1627" s="253"/>
      <c r="AE1627" s="253"/>
    </row>
    <row r="1628" spans="1:31">
      <c r="A1628" s="33">
        <v>1627</v>
      </c>
      <c r="B1628" s="69" t="s">
        <v>734</v>
      </c>
      <c r="C1628" s="69" t="s">
        <v>960</v>
      </c>
      <c r="D1628" s="56">
        <v>42912</v>
      </c>
      <c r="E1628" s="33" t="s">
        <v>724</v>
      </c>
      <c r="F1628" s="69" t="s">
        <v>532</v>
      </c>
      <c r="G1628" s="69" t="str">
        <f t="shared" si="25"/>
        <v>Both</v>
      </c>
      <c r="H1628" s="69" t="s">
        <v>364</v>
      </c>
      <c r="I1628" s="69" t="s">
        <v>1331</v>
      </c>
      <c r="J1628" s="69" t="s">
        <v>734</v>
      </c>
      <c r="K1628" s="69" t="s">
        <v>737</v>
      </c>
      <c r="L1628" s="253">
        <v>0.57991328671328679</v>
      </c>
      <c r="M1628" s="253">
        <v>0.60427113567760926</v>
      </c>
      <c r="N1628" s="253">
        <v>0.61035357255603495</v>
      </c>
      <c r="O1628" s="253">
        <v>0.56688488317428631</v>
      </c>
      <c r="P1628" s="253">
        <v>0.56854545454545458</v>
      </c>
      <c r="Q1628" s="253">
        <v>0.6001283783783784</v>
      </c>
      <c r="R1628" s="253">
        <v>0.62688463200345668</v>
      </c>
      <c r="S1628" s="253">
        <v>0.53750000000000009</v>
      </c>
      <c r="T1628" s="253">
        <v>0.6354961832061069</v>
      </c>
      <c r="U1628" s="253">
        <v>0.61120833333333324</v>
      </c>
      <c r="V1628" s="253">
        <v>0.61893023255813961</v>
      </c>
      <c r="W1628" s="253">
        <v>0.10312499999999999</v>
      </c>
      <c r="X1628" s="253">
        <v>0.58176470588235296</v>
      </c>
      <c r="Y1628" s="253">
        <v>0.53694915254237285</v>
      </c>
      <c r="Z1628" s="253">
        <v>0.62538461538461532</v>
      </c>
      <c r="AA1628" s="253"/>
      <c r="AB1628" s="253"/>
      <c r="AC1628" s="253"/>
      <c r="AD1628" s="253"/>
      <c r="AE1628" s="253"/>
    </row>
    <row r="1629" spans="1:31">
      <c r="A1629" s="33">
        <v>1628</v>
      </c>
      <c r="B1629" s="69" t="s">
        <v>734</v>
      </c>
      <c r="C1629" s="69" t="s">
        <v>960</v>
      </c>
      <c r="D1629" s="56">
        <v>42912</v>
      </c>
      <c r="E1629" s="33" t="s">
        <v>724</v>
      </c>
      <c r="F1629" s="69" t="s">
        <v>532</v>
      </c>
      <c r="G1629" s="69" t="str">
        <f t="shared" si="25"/>
        <v>Both</v>
      </c>
      <c r="H1629" s="69" t="s">
        <v>364</v>
      </c>
      <c r="I1629" s="69" t="s">
        <v>1331</v>
      </c>
      <c r="J1629" s="69" t="s">
        <v>734</v>
      </c>
      <c r="K1629" s="69" t="s">
        <v>733</v>
      </c>
      <c r="L1629" s="253">
        <v>0.59398041958041958</v>
      </c>
      <c r="M1629" s="253">
        <v>0.64352046623600634</v>
      </c>
      <c r="N1629" s="253">
        <v>0.63235294117647056</v>
      </c>
      <c r="O1629" s="253">
        <v>0.60765022826822634</v>
      </c>
      <c r="P1629" s="253">
        <v>0.5770909090909091</v>
      </c>
      <c r="Q1629" s="253">
        <v>0.59324324324324318</v>
      </c>
      <c r="R1629" s="253">
        <v>0.6326083825435691</v>
      </c>
      <c r="S1629" s="253">
        <v>0.63846153846153852</v>
      </c>
      <c r="T1629" s="253">
        <v>0.64427480916030544</v>
      </c>
      <c r="U1629" s="253">
        <v>0.69104166666666667</v>
      </c>
      <c r="V1629" s="253">
        <v>0.65</v>
      </c>
      <c r="W1629" s="253">
        <v>0.1015625</v>
      </c>
      <c r="X1629" s="253">
        <v>0.57352941176470584</v>
      </c>
      <c r="Y1629" s="253">
        <v>0.58485169491525424</v>
      </c>
      <c r="Z1629" s="253">
        <v>0.66153846153846152</v>
      </c>
      <c r="AA1629" s="253"/>
      <c r="AB1629" s="253"/>
      <c r="AC1629" s="253"/>
      <c r="AD1629" s="253"/>
      <c r="AE1629" s="253"/>
    </row>
    <row r="1630" spans="1:31">
      <c r="A1630" s="33">
        <v>1629</v>
      </c>
      <c r="B1630" s="69" t="s">
        <v>734</v>
      </c>
      <c r="C1630" s="69" t="s">
        <v>960</v>
      </c>
      <c r="D1630" s="56">
        <v>42912</v>
      </c>
      <c r="E1630" s="33" t="s">
        <v>724</v>
      </c>
      <c r="F1630" s="69" t="s">
        <v>532</v>
      </c>
      <c r="G1630" s="69" t="str">
        <f t="shared" si="25"/>
        <v>Both</v>
      </c>
      <c r="H1630" s="69" t="s">
        <v>364</v>
      </c>
      <c r="I1630" s="69" t="s">
        <v>1331</v>
      </c>
      <c r="J1630" s="69" t="s">
        <v>734</v>
      </c>
      <c r="K1630" s="69" t="s">
        <v>669</v>
      </c>
      <c r="L1630" s="253">
        <v>0.66184615384615397</v>
      </c>
      <c r="M1630" s="253">
        <v>0.69678303474088166</v>
      </c>
      <c r="N1630" s="253">
        <v>0.69719141323792477</v>
      </c>
      <c r="O1630" s="253">
        <v>0.66434848764277687</v>
      </c>
      <c r="P1630" s="253">
        <v>0.66000000000000014</v>
      </c>
      <c r="Q1630" s="253">
        <v>0.68067567567567577</v>
      </c>
      <c r="R1630" s="253">
        <v>0.70251332277113632</v>
      </c>
      <c r="S1630" s="253">
        <v>0.66874999999999984</v>
      </c>
      <c r="T1630" s="253">
        <v>0.70610687022900764</v>
      </c>
      <c r="U1630" s="253">
        <v>0.73179166666666662</v>
      </c>
      <c r="V1630" s="253">
        <v>0.7053488372093023</v>
      </c>
      <c r="W1630" s="253">
        <v>0.1140625</v>
      </c>
      <c r="X1630" s="253">
        <v>0.67</v>
      </c>
      <c r="Y1630" s="253">
        <v>0.65317796610169498</v>
      </c>
      <c r="Z1630" s="253">
        <v>0.66923076923076918</v>
      </c>
      <c r="AA1630" s="253"/>
      <c r="AB1630" s="253"/>
      <c r="AC1630" s="253"/>
      <c r="AD1630" s="253"/>
      <c r="AE1630" s="253"/>
    </row>
    <row r="1631" spans="1:31">
      <c r="A1631" s="33">
        <v>1630</v>
      </c>
      <c r="B1631" s="69" t="s">
        <v>734</v>
      </c>
      <c r="C1631" s="69" t="s">
        <v>960</v>
      </c>
      <c r="D1631" s="56">
        <v>42912</v>
      </c>
      <c r="E1631" s="33" t="s">
        <v>724</v>
      </c>
      <c r="F1631" s="69" t="s">
        <v>532</v>
      </c>
      <c r="G1631" s="69" t="str">
        <f t="shared" si="25"/>
        <v>Both</v>
      </c>
      <c r="H1631" s="69" t="s">
        <v>364</v>
      </c>
      <c r="I1631" s="69" t="s">
        <v>1331</v>
      </c>
      <c r="J1631" s="69" t="s">
        <v>734</v>
      </c>
      <c r="K1631" s="69" t="s">
        <v>732</v>
      </c>
      <c r="L1631" s="253">
        <v>0.65079499860139844</v>
      </c>
      <c r="M1631" s="253">
        <v>0.66697964956101641</v>
      </c>
      <c r="N1631" s="253">
        <v>0.60151741555298333</v>
      </c>
      <c r="O1631" s="253">
        <v>0.61853630836326623</v>
      </c>
      <c r="P1631" s="253">
        <v>0.65387836363636354</v>
      </c>
      <c r="Q1631" s="253">
        <v>0.61445945945945946</v>
      </c>
      <c r="R1631" s="253">
        <v>0.66340907388736847</v>
      </c>
      <c r="S1631" s="253">
        <v>0.6876923076923076</v>
      </c>
      <c r="T1631" s="253">
        <v>0.68091603053435101</v>
      </c>
      <c r="U1631" s="253">
        <v>0.69904166666666678</v>
      </c>
      <c r="V1631" s="253">
        <v>0.58432558139534885</v>
      </c>
      <c r="W1631" s="253">
        <v>9.0624999999999983E-2</v>
      </c>
      <c r="X1631" s="253">
        <v>0.6588235294117647</v>
      </c>
      <c r="Y1631" s="253">
        <v>0.59707627118644069</v>
      </c>
      <c r="Z1631" s="253">
        <v>0.63846153846153841</v>
      </c>
      <c r="AA1631" s="253"/>
      <c r="AB1631" s="253"/>
      <c r="AC1631" s="253"/>
      <c r="AD1631" s="253"/>
      <c r="AE1631" s="253"/>
    </row>
    <row r="1632" spans="1:31">
      <c r="A1632" s="33">
        <v>1631</v>
      </c>
      <c r="B1632" s="69" t="s">
        <v>734</v>
      </c>
      <c r="C1632" s="69" t="s">
        <v>960</v>
      </c>
      <c r="D1632" s="56">
        <v>42912</v>
      </c>
      <c r="E1632" s="33" t="s">
        <v>724</v>
      </c>
      <c r="F1632" s="69" t="s">
        <v>532</v>
      </c>
      <c r="G1632" s="69" t="str">
        <f t="shared" si="25"/>
        <v>Both</v>
      </c>
      <c r="H1632" s="69" t="s">
        <v>364</v>
      </c>
      <c r="I1632" s="69" t="s">
        <v>1331</v>
      </c>
      <c r="J1632" s="69" t="s">
        <v>734</v>
      </c>
      <c r="K1632" s="69" t="s">
        <v>738</v>
      </c>
      <c r="L1632" s="253">
        <v>0.59945309090909094</v>
      </c>
      <c r="M1632" s="253">
        <v>0.62343035014424397</v>
      </c>
      <c r="N1632" s="253">
        <v>0.57618541513206356</v>
      </c>
      <c r="O1632" s="253">
        <v>0.60289660845322268</v>
      </c>
      <c r="P1632" s="253">
        <v>0.5918163636363637</v>
      </c>
      <c r="Q1632" s="253">
        <v>0.60648648648648651</v>
      </c>
      <c r="R1632" s="253">
        <v>0.59414129338902488</v>
      </c>
      <c r="S1632" s="253">
        <v>0.67405660377358489</v>
      </c>
      <c r="T1632" s="253">
        <v>0.5885496183206107</v>
      </c>
      <c r="U1632" s="253">
        <v>0.64407407407407413</v>
      </c>
      <c r="V1632" s="253">
        <v>0.56251162790697684</v>
      </c>
      <c r="W1632" s="253">
        <v>8.5937500000000014E-2</v>
      </c>
      <c r="X1632" s="253">
        <v>0.62176470588235289</v>
      </c>
      <c r="Y1632" s="253">
        <v>0.58904166666666657</v>
      </c>
      <c r="Z1632" s="253">
        <v>0.63</v>
      </c>
      <c r="AA1632" s="253"/>
      <c r="AB1632" s="253"/>
      <c r="AC1632" s="253"/>
      <c r="AD1632" s="253"/>
      <c r="AE1632" s="253"/>
    </row>
    <row r="1633" spans="1:31">
      <c r="A1633" s="33">
        <v>1632</v>
      </c>
      <c r="B1633" s="69" t="s">
        <v>734</v>
      </c>
      <c r="C1633" s="69" t="s">
        <v>960</v>
      </c>
      <c r="D1633" s="56">
        <v>42912</v>
      </c>
      <c r="E1633" s="33" t="s">
        <v>724</v>
      </c>
      <c r="F1633" s="69" t="s">
        <v>532</v>
      </c>
      <c r="G1633" s="69" t="str">
        <f t="shared" si="25"/>
        <v>Both</v>
      </c>
      <c r="H1633" s="69" t="s">
        <v>364</v>
      </c>
      <c r="I1633" s="69" t="s">
        <v>1331</v>
      </c>
      <c r="J1633" s="69" t="s">
        <v>734</v>
      </c>
      <c r="K1633" s="69" t="s">
        <v>1350</v>
      </c>
      <c r="L1633" s="253">
        <v>0.64011188811188813</v>
      </c>
      <c r="M1633" s="253">
        <v>0.63013133945306599</v>
      </c>
      <c r="N1633" s="253">
        <v>0.66653106508875748</v>
      </c>
      <c r="O1633" s="253">
        <v>0.60576357070482967</v>
      </c>
      <c r="P1633" s="253">
        <v>0.63090909090909086</v>
      </c>
      <c r="Q1633" s="253">
        <v>0.65067567567567575</v>
      </c>
      <c r="R1633" s="253">
        <v>0.6532392337606221</v>
      </c>
      <c r="S1633" s="253">
        <v>0.56323529411764706</v>
      </c>
      <c r="T1633" s="253">
        <v>0.6293893129770991</v>
      </c>
      <c r="U1633" s="253">
        <v>0.62583333333333324</v>
      </c>
      <c r="V1633" s="253">
        <v>0.65649038461538467</v>
      </c>
      <c r="W1633" s="253">
        <v>0.10781250000000001</v>
      </c>
      <c r="X1633" s="253">
        <v>0.7</v>
      </c>
      <c r="Y1633" s="253">
        <v>0.57468220338983056</v>
      </c>
      <c r="Z1633" s="253">
        <v>0.67692307692307696</v>
      </c>
      <c r="AA1633" s="253"/>
      <c r="AB1633" s="253"/>
      <c r="AC1633" s="253"/>
      <c r="AD1633" s="253"/>
      <c r="AE1633" s="253"/>
    </row>
    <row r="1634" spans="1:31">
      <c r="A1634" s="33">
        <v>1633</v>
      </c>
      <c r="B1634" s="69" t="s">
        <v>734</v>
      </c>
      <c r="C1634" s="69" t="s">
        <v>960</v>
      </c>
      <c r="D1634" s="56">
        <v>42912</v>
      </c>
      <c r="E1634" s="33" t="s">
        <v>724</v>
      </c>
      <c r="F1634" s="69" t="s">
        <v>532</v>
      </c>
      <c r="G1634" s="69" t="str">
        <f t="shared" si="25"/>
        <v>Both</v>
      </c>
      <c r="H1634" s="69" t="s">
        <v>364</v>
      </c>
      <c r="I1634" s="69" t="s">
        <v>1331</v>
      </c>
      <c r="J1634" s="69" t="s">
        <v>734</v>
      </c>
      <c r="K1634" s="69" t="s">
        <v>1351</v>
      </c>
      <c r="L1634" s="253">
        <v>0.61859816503496501</v>
      </c>
      <c r="M1634" s="253">
        <v>0.63553999929125204</v>
      </c>
      <c r="N1634" s="253">
        <v>0.62725349889508597</v>
      </c>
      <c r="O1634" s="253">
        <v>0.5926658363387427</v>
      </c>
      <c r="P1634" s="253">
        <v>0.61036309090909091</v>
      </c>
      <c r="Q1634" s="253">
        <v>0.65972972972972976</v>
      </c>
      <c r="R1634" s="253">
        <v>0.65871818378222691</v>
      </c>
      <c r="S1634" s="253">
        <v>0.55603773584905658</v>
      </c>
      <c r="T1634" s="253">
        <v>0.61374045801526722</v>
      </c>
      <c r="U1634" s="253">
        <v>0.66329218106995869</v>
      </c>
      <c r="V1634" s="253">
        <v>0.63948837209302345</v>
      </c>
      <c r="W1634" s="253">
        <v>0.10625</v>
      </c>
      <c r="X1634" s="253">
        <v>0.58647058823529419</v>
      </c>
      <c r="Y1634" s="253">
        <v>0.55874999999999997</v>
      </c>
      <c r="Z1634" s="253">
        <v>0.65153846153846151</v>
      </c>
      <c r="AA1634" s="253"/>
      <c r="AB1634" s="253"/>
      <c r="AC1634" s="253"/>
      <c r="AD1634" s="253"/>
      <c r="AE1634" s="253"/>
    </row>
    <row r="1635" spans="1:31">
      <c r="A1635" s="33">
        <v>1634</v>
      </c>
      <c r="B1635" s="69" t="s">
        <v>734</v>
      </c>
      <c r="C1635" s="69" t="s">
        <v>960</v>
      </c>
      <c r="D1635" s="56">
        <v>42912</v>
      </c>
      <c r="E1635" s="33" t="s">
        <v>724</v>
      </c>
      <c r="F1635" s="69" t="s">
        <v>532</v>
      </c>
      <c r="G1635" s="69" t="str">
        <f t="shared" si="25"/>
        <v>Both</v>
      </c>
      <c r="H1635" s="69" t="s">
        <v>364</v>
      </c>
      <c r="I1635" s="69" t="s">
        <v>1331</v>
      </c>
      <c r="J1635" s="69" t="s">
        <v>734</v>
      </c>
      <c r="K1635" s="69" t="s">
        <v>727</v>
      </c>
      <c r="L1635" s="253">
        <v>0.65471328671328677</v>
      </c>
      <c r="M1635" s="253">
        <v>0.63896620264079662</v>
      </c>
      <c r="N1635" s="253">
        <v>0.62248342628643583</v>
      </c>
      <c r="O1635" s="253">
        <v>0.59806810396481747</v>
      </c>
      <c r="P1635" s="253">
        <v>0.66454545454545455</v>
      </c>
      <c r="Q1635" s="253">
        <v>0.63216216216216203</v>
      </c>
      <c r="R1635" s="253">
        <v>0.61808440155552358</v>
      </c>
      <c r="S1635" s="253">
        <v>0.64433962264150957</v>
      </c>
      <c r="T1635" s="253">
        <v>0.62328244274809164</v>
      </c>
      <c r="U1635" s="253">
        <v>0.67983539094650214</v>
      </c>
      <c r="V1635" s="253">
        <v>0.62958139534883717</v>
      </c>
      <c r="W1635" s="253">
        <v>0.1</v>
      </c>
      <c r="X1635" s="253">
        <v>0.59882352941176464</v>
      </c>
      <c r="Y1635" s="253">
        <v>0.58083333333333331</v>
      </c>
      <c r="Z1635" s="253">
        <v>0.61538461538461542</v>
      </c>
      <c r="AA1635" s="253"/>
      <c r="AB1635" s="253"/>
      <c r="AC1635" s="253"/>
      <c r="AD1635" s="253"/>
      <c r="AE1635" s="253"/>
    </row>
    <row r="1636" spans="1:31">
      <c r="A1636" s="33">
        <v>1635</v>
      </c>
      <c r="B1636" s="69" t="s">
        <v>1323</v>
      </c>
      <c r="C1636" s="69" t="s">
        <v>740</v>
      </c>
      <c r="D1636" s="56">
        <v>42921</v>
      </c>
      <c r="E1636" s="33" t="s">
        <v>862</v>
      </c>
      <c r="F1636" s="69" t="s">
        <v>532</v>
      </c>
      <c r="G1636" s="69" t="str">
        <f t="shared" si="25"/>
        <v>Both</v>
      </c>
      <c r="H1636" s="69" t="s">
        <v>749</v>
      </c>
      <c r="I1636" s="69" t="s">
        <v>749</v>
      </c>
      <c r="J1636" s="69" t="s">
        <v>1323</v>
      </c>
      <c r="K1636" s="69" t="s">
        <v>1323</v>
      </c>
      <c r="L1636" s="253">
        <v>0.6496055944055944</v>
      </c>
      <c r="M1636" s="253">
        <v>0.59628772181703193</v>
      </c>
      <c r="N1636" s="253">
        <v>0.61108597285067867</v>
      </c>
      <c r="O1636" s="253">
        <v>0.60882212263126989</v>
      </c>
      <c r="P1636" s="253">
        <v>0.64854545454545454</v>
      </c>
      <c r="Q1636" s="253">
        <v>0.62972972972972963</v>
      </c>
      <c r="R1636" s="253">
        <v>0.59967593259397955</v>
      </c>
      <c r="S1636" s="253">
        <v>0.54622641509433956</v>
      </c>
      <c r="T1636" s="253">
        <v>0.57442748091603058</v>
      </c>
      <c r="U1636" s="253">
        <v>0.58415637860082303</v>
      </c>
      <c r="V1636" s="253">
        <v>0.64</v>
      </c>
      <c r="W1636" s="253">
        <v>9.6875000000000003E-2</v>
      </c>
      <c r="X1636" s="253">
        <v>0.51470588235294112</v>
      </c>
      <c r="Y1636" s="253">
        <v>0.61364583333333322</v>
      </c>
      <c r="Z1636" s="253">
        <v>0.65384615384615385</v>
      </c>
      <c r="AA1636" s="253"/>
      <c r="AB1636" s="253"/>
      <c r="AC1636" s="253"/>
      <c r="AD1636" s="253"/>
      <c r="AE1636" s="253"/>
    </row>
    <row r="1637" spans="1:31">
      <c r="A1637" s="33">
        <v>1636</v>
      </c>
      <c r="B1637" s="69" t="s">
        <v>1323</v>
      </c>
      <c r="C1637" s="69" t="s">
        <v>740</v>
      </c>
      <c r="D1637" s="56">
        <v>42921</v>
      </c>
      <c r="E1637" s="33" t="s">
        <v>862</v>
      </c>
      <c r="F1637" s="69" t="s">
        <v>532</v>
      </c>
      <c r="G1637" s="69" t="str">
        <f t="shared" si="25"/>
        <v>Both</v>
      </c>
      <c r="H1637" s="69" t="s">
        <v>749</v>
      </c>
      <c r="I1637" s="69" t="s">
        <v>749</v>
      </c>
      <c r="J1637" s="69" t="s">
        <v>1323</v>
      </c>
      <c r="K1637" s="69" t="s">
        <v>1346</v>
      </c>
      <c r="L1637" s="253">
        <v>0.65207272727272725</v>
      </c>
      <c r="M1637" s="253">
        <v>0.61364216297530427</v>
      </c>
      <c r="N1637" s="253">
        <v>0.62131221719457008</v>
      </c>
      <c r="O1637" s="253">
        <v>0.65130510999057556</v>
      </c>
      <c r="P1637" s="253">
        <v>0.65509090909090906</v>
      </c>
      <c r="Q1637" s="253">
        <v>0.6216216216216216</v>
      </c>
      <c r="R1637" s="253">
        <v>0.60108598588506412</v>
      </c>
      <c r="S1637" s="253">
        <v>0.6504716981132076</v>
      </c>
      <c r="T1637" s="253">
        <v>0.5572519083969466</v>
      </c>
      <c r="U1637" s="253">
        <v>0.58580246913580247</v>
      </c>
      <c r="V1637" s="253">
        <v>0.66</v>
      </c>
      <c r="W1637" s="253">
        <v>0.109375</v>
      </c>
      <c r="X1637" s="253">
        <v>0.4923529411764706</v>
      </c>
      <c r="Y1637" s="253">
        <v>0.7005434782608696</v>
      </c>
      <c r="Z1637" s="253">
        <v>0.64</v>
      </c>
      <c r="AA1637" s="253"/>
      <c r="AB1637" s="253"/>
      <c r="AC1637" s="253"/>
      <c r="AD1637" s="253"/>
      <c r="AE1637" s="253"/>
    </row>
    <row r="1638" spans="1:31">
      <c r="A1638" s="33">
        <v>1637</v>
      </c>
      <c r="B1638" s="69" t="s">
        <v>1323</v>
      </c>
      <c r="C1638" s="69" t="s">
        <v>740</v>
      </c>
      <c r="D1638" s="56">
        <v>42921</v>
      </c>
      <c r="E1638" s="33" t="s">
        <v>862</v>
      </c>
      <c r="F1638" s="69" t="s">
        <v>532</v>
      </c>
      <c r="G1638" s="69" t="str">
        <f t="shared" si="25"/>
        <v>Both</v>
      </c>
      <c r="H1638" s="69" t="s">
        <v>749</v>
      </c>
      <c r="I1638" s="69" t="s">
        <v>749</v>
      </c>
      <c r="J1638" s="69" t="s">
        <v>1323</v>
      </c>
      <c r="K1638" s="69" t="s">
        <v>1347</v>
      </c>
      <c r="L1638" s="253">
        <v>0.60184615384615381</v>
      </c>
      <c r="M1638" s="253">
        <v>0.56930432299149003</v>
      </c>
      <c r="N1638" s="253">
        <v>0.60895927601809952</v>
      </c>
      <c r="O1638" s="253">
        <v>0.58958463576182318</v>
      </c>
      <c r="P1638" s="253">
        <v>0.61</v>
      </c>
      <c r="Q1638" s="253">
        <v>0.625</v>
      </c>
      <c r="R1638" s="253">
        <v>0.5934106294109176</v>
      </c>
      <c r="S1638" s="253">
        <v>0.5254716981132076</v>
      </c>
      <c r="T1638" s="253">
        <v>0.51335877862595425</v>
      </c>
      <c r="U1638" s="253">
        <v>0.55843621399176946</v>
      </c>
      <c r="V1638" s="253">
        <v>0.63</v>
      </c>
      <c r="W1638" s="253">
        <v>0.1015625</v>
      </c>
      <c r="X1638" s="253">
        <v>0.5388235294117647</v>
      </c>
      <c r="Y1638" s="253">
        <v>0.61336956521739139</v>
      </c>
      <c r="Z1638" s="253">
        <v>0.56923076923076921</v>
      </c>
      <c r="AA1638" s="253"/>
      <c r="AB1638" s="253"/>
      <c r="AC1638" s="253"/>
      <c r="AD1638" s="253"/>
      <c r="AE1638" s="253"/>
    </row>
    <row r="1639" spans="1:31">
      <c r="A1639" s="33">
        <v>1638</v>
      </c>
      <c r="B1639" s="69" t="s">
        <v>1323</v>
      </c>
      <c r="C1639" s="69" t="s">
        <v>740</v>
      </c>
      <c r="D1639" s="56">
        <v>42921</v>
      </c>
      <c r="E1639" s="33" t="s">
        <v>862</v>
      </c>
      <c r="F1639" s="69" t="s">
        <v>532</v>
      </c>
      <c r="G1639" s="69" t="str">
        <f t="shared" si="25"/>
        <v>Both</v>
      </c>
      <c r="H1639" s="69" t="s">
        <v>749</v>
      </c>
      <c r="I1639" s="69" t="s">
        <v>749</v>
      </c>
      <c r="J1639" s="69" t="s">
        <v>1323</v>
      </c>
      <c r="K1639" s="69" t="s">
        <v>1348</v>
      </c>
      <c r="L1639" s="253">
        <v>0.60805909090909094</v>
      </c>
      <c r="M1639" s="253">
        <v>0.55774353768286511</v>
      </c>
      <c r="N1639" s="253">
        <v>0.6</v>
      </c>
      <c r="O1639" s="253">
        <v>0.60472146267666749</v>
      </c>
      <c r="P1639" s="253">
        <v>0.61163636363636364</v>
      </c>
      <c r="Q1639" s="253">
        <v>0.58310810810810809</v>
      </c>
      <c r="R1639" s="253">
        <v>0.57600460895866346</v>
      </c>
      <c r="S1639" s="253">
        <v>0.53915094339622638</v>
      </c>
      <c r="T1639" s="253">
        <v>0.49427480916030536</v>
      </c>
      <c r="U1639" s="253">
        <v>0.60967078189300417</v>
      </c>
      <c r="V1639" s="253">
        <v>0.6</v>
      </c>
      <c r="W1639" s="253">
        <v>9.375E-2</v>
      </c>
      <c r="X1639" s="253">
        <v>0.6</v>
      </c>
      <c r="Y1639" s="253">
        <v>0.62000000000000011</v>
      </c>
      <c r="Z1639" s="253">
        <v>0.59375</v>
      </c>
      <c r="AA1639" s="253"/>
      <c r="AB1639" s="253"/>
      <c r="AC1639" s="253"/>
      <c r="AD1639" s="253"/>
      <c r="AE1639" s="253"/>
    </row>
    <row r="1640" spans="1:31">
      <c r="A1640" s="33">
        <v>1639</v>
      </c>
      <c r="B1640" s="69" t="s">
        <v>1323</v>
      </c>
      <c r="C1640" s="69" t="s">
        <v>740</v>
      </c>
      <c r="D1640" s="56">
        <v>42921</v>
      </c>
      <c r="E1640" s="33" t="s">
        <v>862</v>
      </c>
      <c r="F1640" s="69" t="s">
        <v>532</v>
      </c>
      <c r="G1640" s="69" t="str">
        <f t="shared" si="25"/>
        <v>Both</v>
      </c>
      <c r="H1640" s="69" t="s">
        <v>749</v>
      </c>
      <c r="I1640" s="69" t="s">
        <v>749</v>
      </c>
      <c r="J1640" s="69" t="s">
        <v>1323</v>
      </c>
      <c r="K1640" s="69" t="s">
        <v>1349</v>
      </c>
      <c r="L1640" s="253">
        <v>0.5863272727272727</v>
      </c>
      <c r="M1640" s="253">
        <v>0.54220223399188461</v>
      </c>
      <c r="N1640" s="253">
        <v>0.62</v>
      </c>
      <c r="O1640" s="253">
        <v>0.54359509041632303</v>
      </c>
      <c r="P1640" s="253">
        <v>0.58290909090909082</v>
      </c>
      <c r="Q1640" s="253">
        <v>0.59054054054054061</v>
      </c>
      <c r="R1640" s="253">
        <v>0.55248458808144962</v>
      </c>
      <c r="S1640" s="253">
        <v>0.50047169811320757</v>
      </c>
      <c r="T1640" s="253">
        <v>0.4777227722772277</v>
      </c>
      <c r="U1640" s="253">
        <v>0.52283950617283947</v>
      </c>
      <c r="V1640" s="253">
        <v>0.62</v>
      </c>
      <c r="W1640" s="253">
        <v>9.375E-2</v>
      </c>
      <c r="X1640" s="253">
        <v>0.62</v>
      </c>
      <c r="Y1640" s="253">
        <v>0.53489130434782606</v>
      </c>
      <c r="Z1640" s="253">
        <v>0.6</v>
      </c>
      <c r="AA1640" s="253"/>
      <c r="AB1640" s="253"/>
      <c r="AC1640" s="253"/>
      <c r="AD1640" s="253"/>
      <c r="AE1640" s="253"/>
    </row>
    <row r="1641" spans="1:31">
      <c r="A1641" s="33">
        <v>1640</v>
      </c>
      <c r="B1641" s="69" t="s">
        <v>1341</v>
      </c>
      <c r="C1641" s="69" t="s">
        <v>791</v>
      </c>
      <c r="D1641" s="258">
        <v>42928</v>
      </c>
      <c r="E1641" s="33" t="s">
        <v>824</v>
      </c>
      <c r="F1641" s="69" t="s">
        <v>380</v>
      </c>
      <c r="G1641" s="69" t="str">
        <f t="shared" si="25"/>
        <v>User Registration</v>
      </c>
      <c r="H1641" s="69" t="s">
        <v>508</v>
      </c>
      <c r="I1641" s="69" t="s">
        <v>962</v>
      </c>
      <c r="J1641" s="69" t="s">
        <v>1341</v>
      </c>
      <c r="K1641" s="259" t="s">
        <v>924</v>
      </c>
      <c r="L1641" s="253">
        <v>68.194685314685302</v>
      </c>
      <c r="M1641" s="253">
        <v>66.336396266817914</v>
      </c>
      <c r="N1641" s="253">
        <v>73.055858948353887</v>
      </c>
      <c r="O1641" s="253">
        <v>61.69563990903567</v>
      </c>
      <c r="P1641" s="253">
        <v>71.781818181818167</v>
      </c>
      <c r="Q1641" s="253">
        <v>67.972972972972968</v>
      </c>
      <c r="R1641" s="253">
        <v>67.733493157526723</v>
      </c>
      <c r="S1641" s="253">
        <v>57.999999999999993</v>
      </c>
      <c r="T1641" s="253">
        <v>69.893617021276597</v>
      </c>
      <c r="U1641" s="253">
        <v>73.160919540229884</v>
      </c>
      <c r="V1641" s="253"/>
      <c r="W1641" s="253">
        <v>77.413793103448285</v>
      </c>
      <c r="X1641" s="253">
        <v>58.529411764705884</v>
      </c>
      <c r="Y1641" s="253">
        <v>62.584745762711854</v>
      </c>
      <c r="Z1641" s="253">
        <v>53.84615384615384</v>
      </c>
      <c r="AA1641" s="253"/>
      <c r="AB1641" s="253"/>
      <c r="AC1641" s="253"/>
      <c r="AD1641" s="253"/>
      <c r="AE1641" s="253"/>
    </row>
    <row r="1642" spans="1:31">
      <c r="A1642" s="33">
        <v>1641</v>
      </c>
      <c r="B1642" s="69" t="s">
        <v>1341</v>
      </c>
      <c r="C1642" s="69" t="s">
        <v>791</v>
      </c>
      <c r="D1642" s="258">
        <v>42928</v>
      </c>
      <c r="E1642" s="33" t="s">
        <v>824</v>
      </c>
      <c r="F1642" s="69" t="s">
        <v>380</v>
      </c>
      <c r="G1642" s="69" t="str">
        <f t="shared" si="25"/>
        <v>User Registration</v>
      </c>
      <c r="H1642" s="69" t="s">
        <v>508</v>
      </c>
      <c r="I1642" s="69" t="s">
        <v>962</v>
      </c>
      <c r="J1642" s="69" t="s">
        <v>1341</v>
      </c>
      <c r="K1642" s="259" t="s">
        <v>924</v>
      </c>
      <c r="L1642" s="253">
        <v>68.194685314685302</v>
      </c>
      <c r="M1642" s="253">
        <v>66.336396266817914</v>
      </c>
      <c r="N1642" s="253">
        <v>77.413793103448285</v>
      </c>
      <c r="O1642" s="253">
        <v>61.69563990903567</v>
      </c>
      <c r="P1642" s="253">
        <v>71.781818181818167</v>
      </c>
      <c r="Q1642" s="253">
        <v>67.972972972972968</v>
      </c>
      <c r="R1642" s="253">
        <v>67.733493157526723</v>
      </c>
      <c r="S1642" s="253">
        <v>57.999999999999993</v>
      </c>
      <c r="T1642" s="253">
        <v>69.893617021276597</v>
      </c>
      <c r="U1642" s="253">
        <v>73.160919540229884</v>
      </c>
      <c r="V1642" s="253"/>
      <c r="W1642" s="253">
        <v>77.413793103448285</v>
      </c>
      <c r="X1642" s="253">
        <v>58.529411764705884</v>
      </c>
      <c r="Y1642" s="253">
        <v>62.584745762711854</v>
      </c>
      <c r="Z1642" s="253">
        <v>53.84615384615384</v>
      </c>
      <c r="AA1642" s="253"/>
      <c r="AB1642" s="253"/>
      <c r="AC1642" s="253"/>
      <c r="AD1642" s="253"/>
      <c r="AE1642" s="253"/>
    </row>
    <row r="1643" spans="1:31">
      <c r="A1643" s="33">
        <v>1642</v>
      </c>
      <c r="B1643" s="69" t="s">
        <v>1341</v>
      </c>
      <c r="C1643" s="69" t="s">
        <v>791</v>
      </c>
      <c r="D1643" s="56">
        <v>42928</v>
      </c>
      <c r="E1643" s="33" t="s">
        <v>824</v>
      </c>
      <c r="F1643" s="69" t="s">
        <v>380</v>
      </c>
      <c r="G1643" s="69" t="str">
        <f t="shared" si="25"/>
        <v>User Registration</v>
      </c>
      <c r="H1643" s="69" t="s">
        <v>508</v>
      </c>
      <c r="I1643" s="69" t="s">
        <v>962</v>
      </c>
      <c r="J1643" s="69" t="s">
        <v>1341</v>
      </c>
      <c r="K1643" s="69" t="s">
        <v>1342</v>
      </c>
      <c r="L1643" s="253">
        <v>69.193006993006989</v>
      </c>
      <c r="M1643" s="253">
        <v>63.982891018074163</v>
      </c>
      <c r="N1643" s="253">
        <v>66.259322827274147</v>
      </c>
      <c r="O1643" s="253">
        <v>62.39963927657017</v>
      </c>
      <c r="P1643" s="253">
        <v>70.818181818181813</v>
      </c>
      <c r="Q1643" s="253">
        <v>61.148648648648653</v>
      </c>
      <c r="R1643" s="253">
        <v>66.013385276196175</v>
      </c>
      <c r="S1643" s="253">
        <v>60.04999999999999</v>
      </c>
      <c r="T1643" s="253">
        <v>64.840425531914889</v>
      </c>
      <c r="U1643" s="253">
        <v>67.367816091954026</v>
      </c>
      <c r="V1643" s="253"/>
      <c r="W1643" s="253">
        <v>65.172413793103445</v>
      </c>
      <c r="X1643" s="253">
        <v>69.882352941176478</v>
      </c>
      <c r="Y1643" s="253">
        <v>61.949152542372872</v>
      </c>
      <c r="Z1643" s="253">
        <v>62.692307692307693</v>
      </c>
      <c r="AA1643" s="253"/>
      <c r="AB1643" s="253"/>
      <c r="AC1643" s="253"/>
      <c r="AD1643" s="253"/>
      <c r="AE1643" s="253"/>
    </row>
    <row r="1644" spans="1:31">
      <c r="A1644" s="33">
        <v>1643</v>
      </c>
      <c r="B1644" s="69" t="s">
        <v>1341</v>
      </c>
      <c r="C1644" s="69" t="s">
        <v>791</v>
      </c>
      <c r="D1644" s="56">
        <v>42928</v>
      </c>
      <c r="E1644" s="33" t="s">
        <v>824</v>
      </c>
      <c r="F1644" s="69" t="s">
        <v>380</v>
      </c>
      <c r="G1644" s="69" t="str">
        <f t="shared" si="25"/>
        <v>User Registration</v>
      </c>
      <c r="H1644" s="69" t="s">
        <v>508</v>
      </c>
      <c r="I1644" s="69" t="s">
        <v>962</v>
      </c>
      <c r="J1644" s="69" t="s">
        <v>1341</v>
      </c>
      <c r="K1644" s="69" t="s">
        <v>1342</v>
      </c>
      <c r="L1644" s="253">
        <v>69.193006993006989</v>
      </c>
      <c r="M1644" s="253">
        <v>63.982891018074163</v>
      </c>
      <c r="N1644" s="253">
        <v>65.172413793103445</v>
      </c>
      <c r="O1644" s="253">
        <v>62.39963927657017</v>
      </c>
      <c r="P1644" s="253">
        <v>70.818181818181813</v>
      </c>
      <c r="Q1644" s="253">
        <v>61.148648648648653</v>
      </c>
      <c r="R1644" s="253">
        <v>66.013385276196175</v>
      </c>
      <c r="S1644" s="253">
        <v>60.04999999999999</v>
      </c>
      <c r="T1644" s="253">
        <v>64.840425531914889</v>
      </c>
      <c r="U1644" s="253">
        <v>67.367816091954026</v>
      </c>
      <c r="V1644" s="253"/>
      <c r="W1644" s="253">
        <v>65.172413793103445</v>
      </c>
      <c r="X1644" s="253">
        <v>69.882352941176478</v>
      </c>
      <c r="Y1644" s="253">
        <v>61.949152542372872</v>
      </c>
      <c r="Z1644" s="253">
        <v>62.692307692307693</v>
      </c>
      <c r="AA1644" s="253"/>
      <c r="AB1644" s="253"/>
      <c r="AC1644" s="253"/>
      <c r="AD1644" s="253"/>
      <c r="AE1644" s="253"/>
    </row>
    <row r="1645" spans="1:31">
      <c r="A1645" s="33">
        <v>1644</v>
      </c>
      <c r="B1645" s="69" t="s">
        <v>1341</v>
      </c>
      <c r="C1645" s="69" t="s">
        <v>791</v>
      </c>
      <c r="D1645" s="56">
        <v>42928</v>
      </c>
      <c r="E1645" s="33" t="s">
        <v>824</v>
      </c>
      <c r="F1645" s="69" t="s">
        <v>380</v>
      </c>
      <c r="G1645" s="69" t="str">
        <f t="shared" si="25"/>
        <v>User Registration</v>
      </c>
      <c r="H1645" s="69" t="s">
        <v>508</v>
      </c>
      <c r="I1645" s="69" t="s">
        <v>962</v>
      </c>
      <c r="J1645" s="69" t="s">
        <v>1341</v>
      </c>
      <c r="K1645" s="69" t="s">
        <v>1343</v>
      </c>
      <c r="L1645" s="253">
        <v>56.2</v>
      </c>
      <c r="M1645" s="253">
        <v>58.481051343137615</v>
      </c>
      <c r="N1645" s="253">
        <v>57.256504524886871</v>
      </c>
      <c r="O1645" s="253">
        <v>54.654917945464639</v>
      </c>
      <c r="P1645" s="253">
        <v>57.999999999999993</v>
      </c>
      <c r="Q1645" s="253">
        <v>58.094594594594597</v>
      </c>
      <c r="R1645" s="253">
        <v>61.744081510338646</v>
      </c>
      <c r="S1645" s="253">
        <v>57.499999999999993</v>
      </c>
      <c r="T1645" s="253">
        <v>56.59574468085107</v>
      </c>
      <c r="U1645" s="253">
        <v>61.235632183908038</v>
      </c>
      <c r="V1645" s="253"/>
      <c r="W1645" s="253">
        <v>56.46875</v>
      </c>
      <c r="X1645" s="253">
        <v>59.882352941176464</v>
      </c>
      <c r="Y1645" s="253">
        <v>54.305084745762713</v>
      </c>
      <c r="Z1645" s="253">
        <v>49.000000000000007</v>
      </c>
      <c r="AA1645" s="253"/>
      <c r="AB1645" s="253"/>
      <c r="AC1645" s="253"/>
      <c r="AD1645" s="253"/>
      <c r="AE1645" s="253"/>
    </row>
    <row r="1646" spans="1:31">
      <c r="A1646" s="33">
        <v>1645</v>
      </c>
      <c r="B1646" s="69" t="s">
        <v>1341</v>
      </c>
      <c r="C1646" s="69" t="s">
        <v>791</v>
      </c>
      <c r="D1646" s="56">
        <v>42928</v>
      </c>
      <c r="E1646" s="33" t="s">
        <v>824</v>
      </c>
      <c r="F1646" s="69" t="s">
        <v>380</v>
      </c>
      <c r="G1646" s="69" t="str">
        <f t="shared" si="25"/>
        <v>User Registration</v>
      </c>
      <c r="H1646" s="69" t="s">
        <v>508</v>
      </c>
      <c r="I1646" s="69" t="s">
        <v>962</v>
      </c>
      <c r="J1646" s="69" t="s">
        <v>1341</v>
      </c>
      <c r="K1646" s="69" t="s">
        <v>1343</v>
      </c>
      <c r="L1646" s="253">
        <v>56.2</v>
      </c>
      <c r="M1646" s="253">
        <v>58.481051343137615</v>
      </c>
      <c r="N1646" s="253">
        <v>56.46875</v>
      </c>
      <c r="O1646" s="253">
        <v>54.654917945464639</v>
      </c>
      <c r="P1646" s="253">
        <v>57.999999999999993</v>
      </c>
      <c r="Q1646" s="253">
        <v>58.094594594594597</v>
      </c>
      <c r="R1646" s="253">
        <v>61.744081510338646</v>
      </c>
      <c r="S1646" s="253">
        <v>57.499999999999993</v>
      </c>
      <c r="T1646" s="253">
        <v>56.59574468085107</v>
      </c>
      <c r="U1646" s="253">
        <v>61.235632183908038</v>
      </c>
      <c r="V1646" s="253"/>
      <c r="W1646" s="253">
        <v>56.46875</v>
      </c>
      <c r="X1646" s="253">
        <v>59.882352941176464</v>
      </c>
      <c r="Y1646" s="253">
        <v>54.305084745762713</v>
      </c>
      <c r="Z1646" s="253">
        <v>49.000000000000007</v>
      </c>
      <c r="AA1646" s="253"/>
      <c r="AB1646" s="253"/>
      <c r="AC1646" s="253"/>
      <c r="AD1646" s="253"/>
      <c r="AE1646" s="253"/>
    </row>
    <row r="1647" spans="1:31">
      <c r="A1647" s="33">
        <v>1646</v>
      </c>
      <c r="B1647" s="69" t="s">
        <v>1341</v>
      </c>
      <c r="C1647" s="69" t="s">
        <v>791</v>
      </c>
      <c r="D1647" s="258">
        <v>42928</v>
      </c>
      <c r="E1647" s="33" t="s">
        <v>824</v>
      </c>
      <c r="F1647" s="69" t="s">
        <v>380</v>
      </c>
      <c r="G1647" s="69" t="str">
        <f t="shared" si="25"/>
        <v>User Registration</v>
      </c>
      <c r="H1647" s="69" t="s">
        <v>508</v>
      </c>
      <c r="I1647" s="69" t="s">
        <v>962</v>
      </c>
      <c r="J1647" s="69" t="s">
        <v>1341</v>
      </c>
      <c r="K1647" s="259" t="s">
        <v>1341</v>
      </c>
      <c r="L1647" s="253">
        <v>55.777062937062922</v>
      </c>
      <c r="M1647" s="253">
        <v>56.378541682801895</v>
      </c>
      <c r="N1647" s="253">
        <v>58.891402714932127</v>
      </c>
      <c r="O1647" s="253">
        <v>57.208929783036652</v>
      </c>
      <c r="P1647" s="253">
        <v>55.163636363636357</v>
      </c>
      <c r="Q1647" s="253">
        <v>50</v>
      </c>
      <c r="R1647" s="253">
        <v>51.599240835081403</v>
      </c>
      <c r="S1647" s="253">
        <v>65</v>
      </c>
      <c r="T1647" s="253">
        <v>54.255319148936167</v>
      </c>
      <c r="U1647" s="253">
        <v>59.896551724137922</v>
      </c>
      <c r="V1647" s="253"/>
      <c r="W1647" s="253">
        <v>58.999999999999993</v>
      </c>
      <c r="X1647" s="253">
        <v>58.529411764705884</v>
      </c>
      <c r="Y1647" s="253">
        <v>57.96610169491526</v>
      </c>
      <c r="Z1647" s="253">
        <v>58.230769230769226</v>
      </c>
      <c r="AA1647" s="253"/>
      <c r="AB1647" s="253"/>
      <c r="AC1647" s="253"/>
      <c r="AD1647" s="253"/>
      <c r="AE1647" s="253"/>
    </row>
    <row r="1648" spans="1:31">
      <c r="A1648" s="33">
        <v>1647</v>
      </c>
      <c r="B1648" s="69" t="s">
        <v>1341</v>
      </c>
      <c r="C1648" s="69" t="s">
        <v>791</v>
      </c>
      <c r="D1648" s="258">
        <v>42928</v>
      </c>
      <c r="E1648" s="33" t="s">
        <v>824</v>
      </c>
      <c r="F1648" s="69" t="s">
        <v>380</v>
      </c>
      <c r="G1648" s="69" t="str">
        <f t="shared" si="25"/>
        <v>User Registration</v>
      </c>
      <c r="H1648" s="69" t="s">
        <v>508</v>
      </c>
      <c r="I1648" s="69" t="s">
        <v>962</v>
      </c>
      <c r="J1648" s="69" t="s">
        <v>1341</v>
      </c>
      <c r="K1648" s="259" t="s">
        <v>1341</v>
      </c>
      <c r="L1648" s="253">
        <v>55.777062937062922</v>
      </c>
      <c r="M1648" s="253">
        <v>56.378541682801895</v>
      </c>
      <c r="N1648" s="253">
        <v>58.999999999999993</v>
      </c>
      <c r="O1648" s="253">
        <v>57.208929783036652</v>
      </c>
      <c r="P1648" s="253">
        <v>55.163636363636357</v>
      </c>
      <c r="Q1648" s="253">
        <v>50</v>
      </c>
      <c r="R1648" s="253">
        <v>51.599240835081403</v>
      </c>
      <c r="S1648" s="253">
        <v>65</v>
      </c>
      <c r="T1648" s="253">
        <v>54.255319148936167</v>
      </c>
      <c r="U1648" s="253">
        <v>59.896551724137922</v>
      </c>
      <c r="V1648" s="253"/>
      <c r="W1648" s="253">
        <v>58.999999999999993</v>
      </c>
      <c r="X1648" s="253">
        <v>58.529411764705884</v>
      </c>
      <c r="Y1648" s="253">
        <v>57.96610169491526</v>
      </c>
      <c r="Z1648" s="253">
        <v>58.230769230769226</v>
      </c>
      <c r="AA1648" s="253"/>
      <c r="AB1648" s="253"/>
      <c r="AC1648" s="253"/>
      <c r="AD1648" s="253"/>
      <c r="AE1648" s="253"/>
    </row>
    <row r="1649" spans="1:31">
      <c r="A1649" s="33">
        <v>1648</v>
      </c>
      <c r="B1649" s="69" t="s">
        <v>1341</v>
      </c>
      <c r="C1649" s="69" t="s">
        <v>791</v>
      </c>
      <c r="D1649" s="258">
        <v>42928</v>
      </c>
      <c r="E1649" s="33" t="s">
        <v>824</v>
      </c>
      <c r="F1649" s="69" t="s">
        <v>380</v>
      </c>
      <c r="G1649" s="69" t="str">
        <f t="shared" si="25"/>
        <v>User Registration</v>
      </c>
      <c r="H1649" s="69" t="s">
        <v>508</v>
      </c>
      <c r="I1649" s="69" t="s">
        <v>962</v>
      </c>
      <c r="J1649" s="69" t="s">
        <v>1341</v>
      </c>
      <c r="K1649" s="259" t="s">
        <v>1344</v>
      </c>
      <c r="L1649" s="253">
        <v>52.592727272727267</v>
      </c>
      <c r="M1649" s="253">
        <v>54.732815166334177</v>
      </c>
      <c r="N1649" s="253">
        <v>57.3133484162896</v>
      </c>
      <c r="O1649" s="253">
        <v>57.097591380989087</v>
      </c>
      <c r="P1649" s="253">
        <v>51.490909090909085</v>
      </c>
      <c r="Q1649" s="253">
        <v>51.945945945945944</v>
      </c>
      <c r="R1649" s="253">
        <v>51.6044351213665</v>
      </c>
      <c r="S1649" s="253">
        <v>54.25</v>
      </c>
      <c r="T1649" s="253">
        <v>55.797872340425535</v>
      </c>
      <c r="U1649" s="253">
        <v>58.931034482758626</v>
      </c>
      <c r="V1649" s="253"/>
      <c r="W1649" s="253">
        <v>60.125000000000007</v>
      </c>
      <c r="X1649" s="253">
        <v>47.941176470588239</v>
      </c>
      <c r="Y1649" s="253">
        <v>59.025423728813564</v>
      </c>
      <c r="Z1649" s="253">
        <v>56.999999999999993</v>
      </c>
      <c r="AA1649" s="253"/>
      <c r="AB1649" s="253"/>
      <c r="AC1649" s="253"/>
      <c r="AD1649" s="253"/>
      <c r="AE1649" s="253"/>
    </row>
    <row r="1650" spans="1:31">
      <c r="A1650" s="33">
        <v>1649</v>
      </c>
      <c r="B1650" s="69" t="s">
        <v>1341</v>
      </c>
      <c r="C1650" s="69" t="s">
        <v>791</v>
      </c>
      <c r="D1650" s="258">
        <v>42928</v>
      </c>
      <c r="E1650" s="33" t="s">
        <v>824</v>
      </c>
      <c r="F1650" s="69" t="s">
        <v>380</v>
      </c>
      <c r="G1650" s="69" t="str">
        <f t="shared" si="25"/>
        <v>User Registration</v>
      </c>
      <c r="H1650" s="69" t="s">
        <v>508</v>
      </c>
      <c r="I1650" s="69" t="s">
        <v>962</v>
      </c>
      <c r="J1650" s="69" t="s">
        <v>1341</v>
      </c>
      <c r="K1650" s="259" t="s">
        <v>1344</v>
      </c>
      <c r="L1650" s="253">
        <v>52.592727272727267</v>
      </c>
      <c r="M1650" s="253">
        <v>54.732815166334177</v>
      </c>
      <c r="N1650" s="253">
        <v>60.125000000000007</v>
      </c>
      <c r="O1650" s="253">
        <v>57.097591380989087</v>
      </c>
      <c r="P1650" s="253">
        <v>51.490909090909085</v>
      </c>
      <c r="Q1650" s="253">
        <v>51.945945945945944</v>
      </c>
      <c r="R1650" s="253">
        <v>51.6044351213665</v>
      </c>
      <c r="S1650" s="253">
        <v>54.25</v>
      </c>
      <c r="T1650" s="253">
        <v>55.797872340425535</v>
      </c>
      <c r="U1650" s="253">
        <v>58.931034482758626</v>
      </c>
      <c r="V1650" s="253"/>
      <c r="W1650" s="253">
        <v>60.125000000000007</v>
      </c>
      <c r="X1650" s="253">
        <v>47.941176470588239</v>
      </c>
      <c r="Y1650" s="253">
        <v>59.025423728813564</v>
      </c>
      <c r="Z1650" s="253">
        <v>56.999999999999993</v>
      </c>
      <c r="AA1650" s="253"/>
      <c r="AB1650" s="253"/>
      <c r="AC1650" s="253"/>
      <c r="AD1650" s="253"/>
      <c r="AE1650" s="253"/>
    </row>
    <row r="1651" spans="1:31">
      <c r="A1651" s="33">
        <v>1650</v>
      </c>
      <c r="B1651" s="69" t="s">
        <v>1341</v>
      </c>
      <c r="C1651" s="69" t="s">
        <v>791</v>
      </c>
      <c r="D1651" s="258">
        <v>42928</v>
      </c>
      <c r="E1651" s="33" t="s">
        <v>824</v>
      </c>
      <c r="F1651" s="69" t="s">
        <v>380</v>
      </c>
      <c r="G1651" s="69" t="str">
        <f t="shared" si="25"/>
        <v>User Registration</v>
      </c>
      <c r="H1651" s="69" t="s">
        <v>508</v>
      </c>
      <c r="I1651" s="69" t="s">
        <v>962</v>
      </c>
      <c r="J1651" s="69" t="s">
        <v>1341</v>
      </c>
      <c r="K1651" s="259" t="s">
        <v>1345</v>
      </c>
      <c r="L1651" s="253">
        <v>53.425454545454528</v>
      </c>
      <c r="M1651" s="253">
        <v>52.804054705106608</v>
      </c>
      <c r="N1651" s="253">
        <v>64.383484162895925</v>
      </c>
      <c r="O1651" s="253">
        <v>55.022242373140571</v>
      </c>
      <c r="P1651" s="253">
        <v>53.781818181818174</v>
      </c>
      <c r="Q1651" s="253">
        <v>56.594594594594589</v>
      </c>
      <c r="R1651" s="253">
        <v>51.309559484566982</v>
      </c>
      <c r="S1651" s="253">
        <v>48.3</v>
      </c>
      <c r="T1651" s="253">
        <v>53.074468085106382</v>
      </c>
      <c r="U1651" s="253">
        <v>55.028735632183903</v>
      </c>
      <c r="V1651" s="253"/>
      <c r="W1651" s="253">
        <v>64.375</v>
      </c>
      <c r="X1651" s="253">
        <v>64.411764705882362</v>
      </c>
      <c r="Y1651" s="253">
        <v>57.186440677966111</v>
      </c>
      <c r="Z1651" s="253">
        <v>52</v>
      </c>
      <c r="AA1651" s="253"/>
      <c r="AB1651" s="253"/>
      <c r="AC1651" s="253"/>
      <c r="AD1651" s="253"/>
      <c r="AE1651" s="253"/>
    </row>
    <row r="1652" spans="1:31">
      <c r="A1652" s="33">
        <v>1651</v>
      </c>
      <c r="B1652" s="69" t="s">
        <v>1341</v>
      </c>
      <c r="C1652" s="69" t="s">
        <v>791</v>
      </c>
      <c r="D1652" s="258">
        <v>42928</v>
      </c>
      <c r="E1652" s="33" t="s">
        <v>824</v>
      </c>
      <c r="F1652" s="69" t="s">
        <v>380</v>
      </c>
      <c r="G1652" s="69" t="str">
        <f t="shared" si="25"/>
        <v>User Registration</v>
      </c>
      <c r="H1652" s="69" t="s">
        <v>508</v>
      </c>
      <c r="I1652" s="69" t="s">
        <v>962</v>
      </c>
      <c r="J1652" s="69" t="s">
        <v>1341</v>
      </c>
      <c r="K1652" s="259" t="s">
        <v>1345</v>
      </c>
      <c r="L1652" s="253">
        <v>53.425454545454528</v>
      </c>
      <c r="M1652" s="253">
        <v>52.804054705106608</v>
      </c>
      <c r="N1652" s="253">
        <v>64.375</v>
      </c>
      <c r="O1652" s="253">
        <v>55.022242373140571</v>
      </c>
      <c r="P1652" s="253">
        <v>53.781818181818174</v>
      </c>
      <c r="Q1652" s="253">
        <v>56.594594594594589</v>
      </c>
      <c r="R1652" s="253">
        <v>51.309559484566982</v>
      </c>
      <c r="S1652" s="253">
        <v>48.3</v>
      </c>
      <c r="T1652" s="253">
        <v>53.074468085106382</v>
      </c>
      <c r="U1652" s="253">
        <v>55.028735632183903</v>
      </c>
      <c r="V1652" s="253"/>
      <c r="W1652" s="253">
        <v>64.375</v>
      </c>
      <c r="X1652" s="253">
        <v>64.411764705882362</v>
      </c>
      <c r="Y1652" s="253">
        <v>57.186440677966111</v>
      </c>
      <c r="Z1652" s="253">
        <v>52</v>
      </c>
      <c r="AA1652" s="253"/>
      <c r="AB1652" s="253"/>
      <c r="AC1652" s="253"/>
      <c r="AD1652" s="253"/>
      <c r="AE1652" s="253"/>
    </row>
    <row r="1653" spans="1:31">
      <c r="A1653" s="33">
        <v>1652</v>
      </c>
      <c r="B1653" s="69" t="s">
        <v>1274</v>
      </c>
      <c r="C1653" s="69" t="s">
        <v>791</v>
      </c>
      <c r="D1653" s="56">
        <v>42933</v>
      </c>
      <c r="E1653" s="33" t="s">
        <v>724</v>
      </c>
      <c r="F1653" s="69" t="s">
        <v>380</v>
      </c>
      <c r="G1653" s="69" t="str">
        <f t="shared" si="25"/>
        <v>User Registration</v>
      </c>
      <c r="H1653" s="69" t="s">
        <v>494</v>
      </c>
      <c r="I1653" s="69" t="s">
        <v>1182</v>
      </c>
      <c r="J1653" s="69" t="s">
        <v>1274</v>
      </c>
      <c r="K1653" s="69" t="s">
        <v>1274</v>
      </c>
      <c r="L1653" s="253">
        <v>0.61161678321678326</v>
      </c>
      <c r="M1653" s="253">
        <v>0.63033590925486638</v>
      </c>
      <c r="N1653" s="253">
        <v>0.59466911764705888</v>
      </c>
      <c r="O1653" s="253">
        <v>0.61566478255077384</v>
      </c>
      <c r="P1653" s="253">
        <v>0.60163636363636375</v>
      </c>
      <c r="Q1653" s="253">
        <v>0.63527027027027028</v>
      </c>
      <c r="R1653" s="253">
        <v>0.60505018065034111</v>
      </c>
      <c r="S1653" s="253">
        <v>0.63578431372549027</v>
      </c>
      <c r="T1653" s="253">
        <v>0.60425531914893615</v>
      </c>
      <c r="U1653" s="253">
        <v>0.65448275862068961</v>
      </c>
      <c r="V1653" s="253"/>
      <c r="W1653" s="253">
        <v>0.60718749999999999</v>
      </c>
      <c r="X1653" s="253">
        <v>0.55294117647058827</v>
      </c>
      <c r="Y1653" s="253">
        <v>0.60305309734513268</v>
      </c>
      <c r="Z1653" s="253">
        <v>0.65153846153846151</v>
      </c>
      <c r="AA1653" s="253"/>
      <c r="AB1653" s="253"/>
      <c r="AC1653" s="253"/>
      <c r="AD1653" s="253"/>
      <c r="AE1653" s="253"/>
    </row>
    <row r="1654" spans="1:31">
      <c r="A1654" s="33">
        <v>1653</v>
      </c>
      <c r="B1654" s="69" t="s">
        <v>1274</v>
      </c>
      <c r="C1654" s="69" t="s">
        <v>791</v>
      </c>
      <c r="D1654" s="56">
        <v>42933</v>
      </c>
      <c r="E1654" s="33" t="s">
        <v>724</v>
      </c>
      <c r="F1654" s="69" t="s">
        <v>380</v>
      </c>
      <c r="G1654" s="69" t="str">
        <f t="shared" si="25"/>
        <v>User Registration</v>
      </c>
      <c r="H1654" s="69" t="s">
        <v>494</v>
      </c>
      <c r="I1654" s="69" t="s">
        <v>1182</v>
      </c>
      <c r="J1654" s="69" t="s">
        <v>1274</v>
      </c>
      <c r="K1654" s="69" t="s">
        <v>1159</v>
      </c>
      <c r="L1654" s="253">
        <v>0.6670601398601399</v>
      </c>
      <c r="M1654" s="253">
        <v>0.68652870402962196</v>
      </c>
      <c r="N1654" s="253">
        <v>0.66956165158371039</v>
      </c>
      <c r="O1654" s="253">
        <v>0.62288529812293136</v>
      </c>
      <c r="P1654" s="253">
        <v>0.68036363636363639</v>
      </c>
      <c r="Q1654" s="253">
        <v>0.68729729729729727</v>
      </c>
      <c r="R1654" s="253">
        <v>0.71513448414291436</v>
      </c>
      <c r="S1654" s="253">
        <v>0.69852941176470584</v>
      </c>
      <c r="T1654" s="253">
        <v>0.74840425531914889</v>
      </c>
      <c r="U1654" s="253">
        <v>0.63965517241379299</v>
      </c>
      <c r="V1654" s="253"/>
      <c r="W1654" s="253">
        <v>0.65531249999999996</v>
      </c>
      <c r="X1654" s="253">
        <v>0.71705882352941175</v>
      </c>
      <c r="Y1654" s="253">
        <v>0.59314159292035407</v>
      </c>
      <c r="Z1654" s="253">
        <v>0.61384615384615382</v>
      </c>
      <c r="AA1654" s="253"/>
      <c r="AB1654" s="253"/>
      <c r="AC1654" s="253"/>
      <c r="AD1654" s="253"/>
      <c r="AE1654" s="253"/>
    </row>
    <row r="1655" spans="1:31">
      <c r="A1655" s="33">
        <v>1654</v>
      </c>
      <c r="B1655" s="69" t="s">
        <v>1274</v>
      </c>
      <c r="C1655" s="69" t="s">
        <v>791</v>
      </c>
      <c r="D1655" s="56">
        <v>42933</v>
      </c>
      <c r="E1655" s="33" t="s">
        <v>724</v>
      </c>
      <c r="F1655" s="69" t="s">
        <v>380</v>
      </c>
      <c r="G1655" s="69" t="str">
        <f t="shared" si="25"/>
        <v>User Registration</v>
      </c>
      <c r="H1655" s="69" t="s">
        <v>494</v>
      </c>
      <c r="I1655" s="69" t="s">
        <v>1182</v>
      </c>
      <c r="J1655" s="69" t="s">
        <v>1274</v>
      </c>
      <c r="K1655" s="69" t="s">
        <v>394</v>
      </c>
      <c r="L1655" s="253">
        <v>0.72984895104895098</v>
      </c>
      <c r="M1655" s="253">
        <v>0.65628205065064438</v>
      </c>
      <c r="N1655" s="253">
        <v>0.69809106334841631</v>
      </c>
      <c r="O1655" s="253">
        <v>0.64288011370721942</v>
      </c>
      <c r="P1655" s="253">
        <v>0.7332727272727273</v>
      </c>
      <c r="Q1655" s="253">
        <v>0.60689189189189197</v>
      </c>
      <c r="R1655" s="253">
        <v>0.62308309915696514</v>
      </c>
      <c r="S1655" s="253">
        <v>0.76372549019607849</v>
      </c>
      <c r="T1655" s="253">
        <v>0.63244680851063828</v>
      </c>
      <c r="U1655" s="253">
        <v>0.63339080459770114</v>
      </c>
      <c r="V1655" s="253"/>
      <c r="W1655" s="253">
        <v>0.67281250000000004</v>
      </c>
      <c r="X1655" s="253">
        <v>0.78235294117647058</v>
      </c>
      <c r="Y1655" s="253">
        <v>0.61637168141592924</v>
      </c>
      <c r="Z1655" s="253">
        <v>0.71615384615384614</v>
      </c>
      <c r="AA1655" s="253"/>
      <c r="AB1655" s="253"/>
      <c r="AC1655" s="253"/>
      <c r="AD1655" s="253"/>
      <c r="AE1655" s="253"/>
    </row>
    <row r="1656" spans="1:31">
      <c r="A1656" s="33">
        <v>1655</v>
      </c>
      <c r="B1656" s="69" t="s">
        <v>1274</v>
      </c>
      <c r="C1656" s="69" t="s">
        <v>791</v>
      </c>
      <c r="D1656" s="56">
        <v>42933</v>
      </c>
      <c r="E1656" s="33" t="s">
        <v>724</v>
      </c>
      <c r="F1656" s="69" t="s">
        <v>380</v>
      </c>
      <c r="G1656" s="69" t="str">
        <f t="shared" si="25"/>
        <v>User Registration</v>
      </c>
      <c r="H1656" s="69" t="s">
        <v>494</v>
      </c>
      <c r="I1656" s="69" t="s">
        <v>1182</v>
      </c>
      <c r="J1656" s="69" t="s">
        <v>1274</v>
      </c>
      <c r="K1656" s="69" t="s">
        <v>1158</v>
      </c>
      <c r="L1656" s="253">
        <v>0.64879999999999993</v>
      </c>
      <c r="M1656" s="253">
        <v>0.67759359539448083</v>
      </c>
      <c r="N1656" s="253">
        <v>0.68830599547511317</v>
      </c>
      <c r="O1656" s="253">
        <v>0.67779550172039138</v>
      </c>
      <c r="P1656" s="253">
        <v>0.64600000000000002</v>
      </c>
      <c r="Q1656" s="253">
        <v>0.71824324324324318</v>
      </c>
      <c r="R1656" s="253">
        <v>0.75166599759132879</v>
      </c>
      <c r="S1656" s="253">
        <v>0.61519607843137258</v>
      </c>
      <c r="T1656" s="253">
        <v>0.75627659574468087</v>
      </c>
      <c r="U1656" s="253">
        <v>0.58074712643678172</v>
      </c>
      <c r="V1656" s="253"/>
      <c r="W1656" s="253">
        <v>0.70156249999999998</v>
      </c>
      <c r="X1656" s="253">
        <v>0.64411764705882357</v>
      </c>
      <c r="Y1656" s="253">
        <v>0.67057522123893809</v>
      </c>
      <c r="Z1656" s="253">
        <v>0.66</v>
      </c>
      <c r="AA1656" s="253"/>
      <c r="AB1656" s="253"/>
      <c r="AC1656" s="253"/>
      <c r="AD1656" s="253"/>
      <c r="AE1656" s="253"/>
    </row>
    <row r="1657" spans="1:31">
      <c r="A1657" s="33">
        <v>1656</v>
      </c>
      <c r="B1657" s="69" t="s">
        <v>1274</v>
      </c>
      <c r="C1657" s="69" t="s">
        <v>791</v>
      </c>
      <c r="D1657" s="56">
        <v>42933</v>
      </c>
      <c r="E1657" s="33" t="s">
        <v>724</v>
      </c>
      <c r="F1657" s="69" t="s">
        <v>380</v>
      </c>
      <c r="G1657" s="69" t="str">
        <f t="shared" si="25"/>
        <v>User Registration</v>
      </c>
      <c r="H1657" s="69" t="s">
        <v>494</v>
      </c>
      <c r="I1657" s="69" t="s">
        <v>1182</v>
      </c>
      <c r="J1657" s="69" t="s">
        <v>1274</v>
      </c>
      <c r="K1657" s="69" t="s">
        <v>1160</v>
      </c>
      <c r="L1657" s="253">
        <v>0.58665174825174826</v>
      </c>
      <c r="M1657" s="253">
        <v>0.55440649930542307</v>
      </c>
      <c r="N1657" s="253">
        <v>0.568899886877828</v>
      </c>
      <c r="O1657" s="253">
        <v>0.56330770515674466</v>
      </c>
      <c r="P1657" s="253">
        <v>0.59254545454545449</v>
      </c>
      <c r="Q1657" s="253">
        <v>0.54391891891891897</v>
      </c>
      <c r="R1657" s="253">
        <v>0.58342031312725817</v>
      </c>
      <c r="S1657" s="253">
        <v>0.53774509803921566</v>
      </c>
      <c r="T1657" s="253">
        <v>0.58404255319148946</v>
      </c>
      <c r="U1657" s="253">
        <v>0.52586206896551724</v>
      </c>
      <c r="V1657" s="253"/>
      <c r="W1657" s="253">
        <v>0.56468750000000001</v>
      </c>
      <c r="X1657" s="253">
        <v>0.58294117647058818</v>
      </c>
      <c r="Y1657" s="253">
        <v>0.56384955752212396</v>
      </c>
      <c r="Z1657" s="253">
        <v>0.56307692307692314</v>
      </c>
      <c r="AA1657" s="253"/>
      <c r="AB1657" s="253"/>
      <c r="AC1657" s="253"/>
      <c r="AD1657" s="253"/>
      <c r="AE1657" s="253"/>
    </row>
    <row r="1658" spans="1:31">
      <c r="A1658" s="33">
        <v>1657</v>
      </c>
      <c r="B1658" s="69" t="s">
        <v>1274</v>
      </c>
      <c r="C1658" s="69" t="s">
        <v>791</v>
      </c>
      <c r="D1658" s="56">
        <v>42933</v>
      </c>
      <c r="E1658" s="33" t="s">
        <v>724</v>
      </c>
      <c r="F1658" s="69" t="s">
        <v>380</v>
      </c>
      <c r="G1658" s="69" t="str">
        <f t="shared" si="25"/>
        <v>User Registration</v>
      </c>
      <c r="H1658" s="69" t="s">
        <v>494</v>
      </c>
      <c r="I1658" s="69" t="s">
        <v>1182</v>
      </c>
      <c r="J1658" s="69" t="s">
        <v>1274</v>
      </c>
      <c r="K1658" s="69" t="s">
        <v>1161</v>
      </c>
      <c r="L1658" s="253">
        <v>0.55602237762237749</v>
      </c>
      <c r="M1658" s="253">
        <v>0.54164955431951933</v>
      </c>
      <c r="N1658" s="253">
        <v>0.53358031674208151</v>
      </c>
      <c r="O1658" s="253">
        <v>0.57617011488346803</v>
      </c>
      <c r="P1658" s="253">
        <v>0.54618181818181799</v>
      </c>
      <c r="Q1658" s="253">
        <v>0.49175675675675679</v>
      </c>
      <c r="R1658" s="253">
        <v>0.56580891208350059</v>
      </c>
      <c r="S1658" s="253">
        <v>0.57009803921568636</v>
      </c>
      <c r="T1658" s="253">
        <v>0.55159574468085104</v>
      </c>
      <c r="U1658" s="253">
        <v>0.50718390804597702</v>
      </c>
      <c r="V1658" s="253"/>
      <c r="W1658" s="253">
        <v>0.54312499999999997</v>
      </c>
      <c r="X1658" s="253">
        <v>0.501764705882353</v>
      </c>
      <c r="Y1658" s="253">
        <v>0.58152654867256637</v>
      </c>
      <c r="Z1658" s="253">
        <v>0.5953846153846154</v>
      </c>
      <c r="AA1658" s="253"/>
      <c r="AB1658" s="253"/>
      <c r="AC1658" s="253"/>
      <c r="AD1658" s="253"/>
      <c r="AE1658" s="253"/>
    </row>
    <row r="1659" spans="1:31">
      <c r="A1659" s="33">
        <v>1658</v>
      </c>
      <c r="B1659" s="69" t="s">
        <v>779</v>
      </c>
      <c r="C1659" s="69" t="s">
        <v>83</v>
      </c>
      <c r="D1659" s="56">
        <v>42934</v>
      </c>
      <c r="E1659" s="33" t="s">
        <v>724</v>
      </c>
      <c r="G1659" s="69" t="str">
        <f t="shared" si="25"/>
        <v>E-Commerce</v>
      </c>
      <c r="H1659" s="69" t="s">
        <v>364</v>
      </c>
      <c r="I1659" s="69" t="s">
        <v>1337</v>
      </c>
      <c r="J1659" s="69" t="s">
        <v>779</v>
      </c>
      <c r="K1659" s="69" t="s">
        <v>654</v>
      </c>
      <c r="L1659" s="253">
        <v>67.255832167832153</v>
      </c>
      <c r="M1659" s="253">
        <v>74.45</v>
      </c>
      <c r="N1659" s="253">
        <v>69.259999999999991</v>
      </c>
      <c r="O1659" s="253">
        <v>65.048155515063044</v>
      </c>
      <c r="P1659" s="253">
        <v>67.54545454545449</v>
      </c>
      <c r="Q1659" s="253">
        <v>70.1216216216216</v>
      </c>
      <c r="R1659" s="253">
        <v>77.16</v>
      </c>
      <c r="S1659" s="253">
        <v>68.820754716981128</v>
      </c>
      <c r="T1659" s="253">
        <v>78.58</v>
      </c>
      <c r="U1659" s="253">
        <v>76.242798353909464</v>
      </c>
      <c r="V1659" s="253">
        <v>69.255813953488371</v>
      </c>
      <c r="W1659" s="253"/>
      <c r="X1659" s="253">
        <v>69.255813953488371</v>
      </c>
      <c r="Y1659" s="253">
        <v>62.239583333333336</v>
      </c>
      <c r="Z1659" s="253">
        <v>63.38461538461538</v>
      </c>
      <c r="AA1659" s="253"/>
      <c r="AB1659" s="253"/>
      <c r="AC1659" s="253"/>
      <c r="AD1659" s="253"/>
      <c r="AE1659" s="253"/>
    </row>
    <row r="1660" spans="1:31">
      <c r="A1660" s="33">
        <v>1659</v>
      </c>
      <c r="B1660" s="69" t="s">
        <v>779</v>
      </c>
      <c r="C1660" s="69" t="s">
        <v>506</v>
      </c>
      <c r="D1660" s="56">
        <v>42934</v>
      </c>
      <c r="E1660" s="33" t="s">
        <v>724</v>
      </c>
      <c r="G1660" s="69" t="str">
        <f t="shared" si="25"/>
        <v>E-Commerce</v>
      </c>
      <c r="H1660" s="69" t="s">
        <v>364</v>
      </c>
      <c r="I1660" s="69" t="s">
        <v>1337</v>
      </c>
      <c r="J1660" s="69" t="s">
        <v>779</v>
      </c>
      <c r="K1660" s="151" t="s">
        <v>654</v>
      </c>
      <c r="L1660" s="253">
        <v>67.255832167832153</v>
      </c>
      <c r="M1660" s="253">
        <v>74.45</v>
      </c>
      <c r="N1660" s="253">
        <v>69.259999999999991</v>
      </c>
      <c r="O1660" s="253">
        <v>65.048155515063044</v>
      </c>
      <c r="P1660" s="253">
        <v>67.54545454545449</v>
      </c>
      <c r="Q1660" s="253">
        <v>70.1216216216216</v>
      </c>
      <c r="R1660" s="253">
        <v>77.16</v>
      </c>
      <c r="S1660" s="253">
        <v>68.820754716981128</v>
      </c>
      <c r="T1660" s="253">
        <v>78.58</v>
      </c>
      <c r="U1660" s="253">
        <v>76.242798353909464</v>
      </c>
      <c r="V1660" s="253">
        <v>69.255813953488371</v>
      </c>
      <c r="W1660" s="253"/>
      <c r="X1660" s="253">
        <v>69.255813953488371</v>
      </c>
      <c r="Y1660" s="253">
        <v>62.239583333333336</v>
      </c>
      <c r="Z1660" s="253">
        <v>63.38461538461538</v>
      </c>
      <c r="AA1660" s="253"/>
      <c r="AB1660" s="253"/>
      <c r="AC1660" s="253"/>
      <c r="AD1660" s="253"/>
      <c r="AE1660" s="253"/>
    </row>
    <row r="1661" spans="1:31">
      <c r="A1661" s="33">
        <v>1660</v>
      </c>
      <c r="B1661" s="69" t="s">
        <v>1338</v>
      </c>
      <c r="C1661" s="69" t="s">
        <v>66</v>
      </c>
      <c r="D1661" s="56">
        <v>42934</v>
      </c>
      <c r="E1661" s="33" t="s">
        <v>724</v>
      </c>
      <c r="G1661" s="69" t="str">
        <f t="shared" si="25"/>
        <v>E-Commerce</v>
      </c>
      <c r="H1661" s="69" t="s">
        <v>364</v>
      </c>
      <c r="I1661" s="69" t="s">
        <v>364</v>
      </c>
      <c r="J1661" s="69" t="s">
        <v>1338</v>
      </c>
      <c r="K1661" s="69" t="s">
        <v>78</v>
      </c>
      <c r="L1661" s="253">
        <v>63.249999999999993</v>
      </c>
      <c r="M1661" s="253">
        <v>68.3</v>
      </c>
      <c r="N1661" s="253">
        <v>73.899999999999991</v>
      </c>
      <c r="O1661" s="253">
        <v>62.6</v>
      </c>
      <c r="P1661" s="253">
        <v>62.3</v>
      </c>
      <c r="Q1661" s="253">
        <v>67.849999999999994</v>
      </c>
      <c r="R1661" s="253">
        <v>71.5</v>
      </c>
      <c r="S1661" s="253">
        <v>65.149999999999991</v>
      </c>
      <c r="T1661" s="253">
        <v>70.67</v>
      </c>
      <c r="U1661" s="253">
        <v>65</v>
      </c>
      <c r="V1661" s="253">
        <v>73.67</v>
      </c>
      <c r="W1661" s="253"/>
      <c r="X1661" s="253"/>
      <c r="Y1661" s="253">
        <v>62.78</v>
      </c>
      <c r="Z1661" s="253">
        <v>64.05</v>
      </c>
      <c r="AA1661" s="253"/>
      <c r="AB1661" s="253"/>
      <c r="AC1661" s="253"/>
      <c r="AD1661" s="253"/>
      <c r="AE1661" s="253"/>
    </row>
    <row r="1662" spans="1:31">
      <c r="A1662" s="33">
        <v>1661</v>
      </c>
      <c r="B1662" s="69" t="s">
        <v>779</v>
      </c>
      <c r="C1662" s="69" t="s">
        <v>496</v>
      </c>
      <c r="D1662" s="56">
        <v>42934</v>
      </c>
      <c r="E1662" s="33" t="s">
        <v>724</v>
      </c>
      <c r="G1662" s="69" t="str">
        <f t="shared" si="25"/>
        <v>E-Commerce</v>
      </c>
      <c r="H1662" s="69" t="s">
        <v>364</v>
      </c>
      <c r="I1662" s="69" t="s">
        <v>364</v>
      </c>
      <c r="J1662" s="69" t="s">
        <v>779</v>
      </c>
      <c r="K1662" s="69" t="s">
        <v>389</v>
      </c>
      <c r="L1662" s="253">
        <v>70.200580551523956</v>
      </c>
      <c r="M1662" s="253">
        <v>71.764639871973941</v>
      </c>
      <c r="N1662" s="253">
        <v>68.243712511838382</v>
      </c>
      <c r="O1662" s="253">
        <v>74.039999999999992</v>
      </c>
      <c r="P1662" s="253">
        <v>74.962264150943398</v>
      </c>
      <c r="Q1662" s="253">
        <v>70.337837837837839</v>
      </c>
      <c r="R1662" s="253">
        <v>69.62545480487978</v>
      </c>
      <c r="S1662" s="253">
        <v>78.773584905660371</v>
      </c>
      <c r="T1662" s="253">
        <v>61.832061068702295</v>
      </c>
      <c r="U1662" s="253">
        <v>83.641975308641975</v>
      </c>
      <c r="V1662" s="253">
        <v>68.069767441860478</v>
      </c>
      <c r="W1662" s="253"/>
      <c r="X1662" s="253">
        <v>68.82352941176471</v>
      </c>
      <c r="Y1662" s="253">
        <v>80.291666666666671</v>
      </c>
      <c r="Z1662" s="253">
        <v>51.153846153846146</v>
      </c>
      <c r="AA1662" s="253"/>
      <c r="AB1662" s="253"/>
      <c r="AC1662" s="253"/>
      <c r="AD1662" s="253"/>
      <c r="AE1662" s="253"/>
    </row>
    <row r="1663" spans="1:31">
      <c r="A1663" s="33">
        <v>1662</v>
      </c>
      <c r="B1663" s="69" t="s">
        <v>779</v>
      </c>
      <c r="C1663" s="69" t="s">
        <v>9</v>
      </c>
      <c r="D1663" s="56">
        <v>42934</v>
      </c>
      <c r="E1663" s="33" t="s">
        <v>724</v>
      </c>
      <c r="G1663" s="69" t="str">
        <f t="shared" si="25"/>
        <v>User Registration</v>
      </c>
      <c r="H1663" s="69" t="s">
        <v>807</v>
      </c>
      <c r="I1663" s="69" t="s">
        <v>1339</v>
      </c>
      <c r="J1663" s="69" t="s">
        <v>779</v>
      </c>
      <c r="K1663" s="69" t="s">
        <v>667</v>
      </c>
      <c r="L1663" s="253">
        <v>71.184895104895105</v>
      </c>
      <c r="M1663" s="253">
        <v>71.387641489728324</v>
      </c>
      <c r="N1663" s="253">
        <v>76.875</v>
      </c>
      <c r="O1663" s="253">
        <v>71.045498706151719</v>
      </c>
      <c r="P1663" s="253">
        <v>70.327272727272728</v>
      </c>
      <c r="Q1663" s="253">
        <v>71.647727272727252</v>
      </c>
      <c r="R1663" s="253">
        <v>66.434470767224511</v>
      </c>
      <c r="S1663" s="253">
        <v>77.029702970297024</v>
      </c>
      <c r="T1663" s="253">
        <v>67.558139534883693</v>
      </c>
      <c r="U1663" s="253">
        <v>72.625698324022295</v>
      </c>
      <c r="V1663" s="253"/>
      <c r="W1663" s="253">
        <v>76.875</v>
      </c>
      <c r="X1663" s="253"/>
      <c r="Y1663" s="253">
        <v>70.238095238095227</v>
      </c>
      <c r="Z1663" s="253">
        <v>74.615384615384599</v>
      </c>
      <c r="AA1663" s="253"/>
      <c r="AB1663" s="253"/>
      <c r="AC1663" s="253"/>
      <c r="AD1663" s="253"/>
      <c r="AE1663" s="253"/>
    </row>
    <row r="1664" spans="1:31">
      <c r="A1664" s="33">
        <v>1663</v>
      </c>
      <c r="B1664" s="69" t="s">
        <v>779</v>
      </c>
      <c r="C1664" s="69" t="s">
        <v>714</v>
      </c>
      <c r="D1664" s="56">
        <v>42934</v>
      </c>
      <c r="E1664" s="33" t="s">
        <v>724</v>
      </c>
      <c r="G1664" s="69" t="str">
        <f t="shared" si="25"/>
        <v>E-Commerce</v>
      </c>
      <c r="H1664" s="69" t="s">
        <v>364</v>
      </c>
      <c r="I1664" s="69" t="s">
        <v>364</v>
      </c>
      <c r="J1664" s="69" t="s">
        <v>779</v>
      </c>
      <c r="K1664" s="69" t="s">
        <v>389</v>
      </c>
      <c r="L1664" s="253">
        <v>70.200580551523956</v>
      </c>
      <c r="M1664" s="253">
        <v>71.764639871973941</v>
      </c>
      <c r="N1664" s="253">
        <v>68.243712511838382</v>
      </c>
      <c r="O1664" s="253">
        <v>74.039999999999992</v>
      </c>
      <c r="P1664" s="253">
        <v>74.962264150943398</v>
      </c>
      <c r="Q1664" s="253">
        <v>70.337837837837839</v>
      </c>
      <c r="R1664" s="253">
        <v>69.62545480487978</v>
      </c>
      <c r="S1664" s="253">
        <v>78.773584905660371</v>
      </c>
      <c r="T1664" s="253">
        <v>61.832061068702295</v>
      </c>
      <c r="U1664" s="253">
        <v>83.641975308641975</v>
      </c>
      <c r="V1664" s="253">
        <v>68.069767441860478</v>
      </c>
      <c r="W1664" s="253"/>
      <c r="X1664" s="253">
        <v>68.82352941176471</v>
      </c>
      <c r="Y1664" s="253">
        <v>80.291666666666671</v>
      </c>
      <c r="Z1664" s="253">
        <v>51.153846153846146</v>
      </c>
      <c r="AA1664" s="253"/>
      <c r="AB1664" s="253"/>
      <c r="AC1664" s="253"/>
      <c r="AD1664" s="253"/>
      <c r="AE1664" s="253"/>
    </row>
    <row r="1665" spans="1:31">
      <c r="A1665" s="33">
        <v>1664</v>
      </c>
      <c r="B1665" s="69" t="s">
        <v>779</v>
      </c>
      <c r="C1665" s="69" t="s">
        <v>715</v>
      </c>
      <c r="D1665" s="56">
        <v>42934</v>
      </c>
      <c r="E1665" s="33" t="s">
        <v>724</v>
      </c>
      <c r="G1665" s="69" t="str">
        <f t="shared" si="25"/>
        <v>E-Commerce</v>
      </c>
      <c r="H1665" s="69" t="s">
        <v>364</v>
      </c>
      <c r="I1665" s="69" t="s">
        <v>364</v>
      </c>
      <c r="J1665" s="69" t="s">
        <v>779</v>
      </c>
      <c r="K1665" s="69" t="s">
        <v>389</v>
      </c>
      <c r="L1665" s="253">
        <v>70.200580551523956</v>
      </c>
      <c r="M1665" s="253">
        <v>71.764639871973941</v>
      </c>
      <c r="N1665" s="253">
        <v>68.243712511838382</v>
      </c>
      <c r="O1665" s="253">
        <v>74.039999999999992</v>
      </c>
      <c r="P1665" s="253">
        <v>74.962264150943398</v>
      </c>
      <c r="Q1665" s="253">
        <v>70.337837837837839</v>
      </c>
      <c r="R1665" s="253">
        <v>69.62545480487978</v>
      </c>
      <c r="S1665" s="253">
        <v>78.773584905660371</v>
      </c>
      <c r="T1665" s="253">
        <v>61.832061068702295</v>
      </c>
      <c r="U1665" s="253">
        <v>83.641975308641975</v>
      </c>
      <c r="V1665" s="253">
        <v>68.069767441860478</v>
      </c>
      <c r="W1665" s="253"/>
      <c r="X1665" s="253">
        <v>68.82352941176471</v>
      </c>
      <c r="Y1665" s="253">
        <v>80.291666666666671</v>
      </c>
      <c r="Z1665" s="253">
        <v>51.153846153846146</v>
      </c>
      <c r="AA1665" s="253"/>
      <c r="AB1665" s="253"/>
      <c r="AC1665" s="253"/>
      <c r="AD1665" s="253"/>
      <c r="AE1665" s="253"/>
    </row>
    <row r="1666" spans="1:31">
      <c r="A1666" s="33">
        <v>1665</v>
      </c>
      <c r="B1666" s="69" t="s">
        <v>779</v>
      </c>
      <c r="C1666" s="69" t="s">
        <v>1340</v>
      </c>
      <c r="D1666" s="56">
        <v>42934</v>
      </c>
      <c r="E1666" s="33" t="s">
        <v>724</v>
      </c>
      <c r="G1666" s="69" t="str">
        <f t="shared" ref="G1666:G1729" si="26">IF(V1666&gt;0,IF(W1666&gt;0,"Both","E-Commerce"),IF(W1666=0, "ERROR","User Registration"))</f>
        <v>E-Commerce</v>
      </c>
      <c r="H1666" s="69" t="s">
        <v>364</v>
      </c>
      <c r="I1666" s="69" t="s">
        <v>364</v>
      </c>
      <c r="J1666" s="69" t="s">
        <v>779</v>
      </c>
      <c r="K1666" s="69" t="s">
        <v>389</v>
      </c>
      <c r="L1666" s="253">
        <v>70.200580551523956</v>
      </c>
      <c r="M1666" s="253">
        <v>71.764639871973941</v>
      </c>
      <c r="N1666" s="253">
        <v>68.243712511838382</v>
      </c>
      <c r="O1666" s="253">
        <v>74.039999999999992</v>
      </c>
      <c r="P1666" s="253">
        <v>74.962264150943398</v>
      </c>
      <c r="Q1666" s="253">
        <v>70.337837837837839</v>
      </c>
      <c r="R1666" s="253">
        <v>69.62545480487978</v>
      </c>
      <c r="S1666" s="253">
        <v>78.773584905660371</v>
      </c>
      <c r="T1666" s="253">
        <v>61.832061068702295</v>
      </c>
      <c r="U1666" s="253">
        <v>83.641975308641975</v>
      </c>
      <c r="V1666" s="253">
        <v>68.069767441860478</v>
      </c>
      <c r="W1666" s="253"/>
      <c r="X1666" s="253">
        <v>68.82352941176471</v>
      </c>
      <c r="Y1666" s="253">
        <v>80.291666666666671</v>
      </c>
      <c r="Z1666" s="253">
        <v>51.153846153846146</v>
      </c>
      <c r="AA1666" s="253"/>
      <c r="AB1666" s="253"/>
      <c r="AC1666" s="253"/>
      <c r="AD1666" s="253"/>
      <c r="AE1666" s="253"/>
    </row>
    <row r="1667" spans="1:31">
      <c r="A1667" s="33">
        <v>1666</v>
      </c>
      <c r="B1667" s="69" t="s">
        <v>779</v>
      </c>
      <c r="C1667" s="69" t="s">
        <v>663</v>
      </c>
      <c r="D1667" s="56">
        <v>42934</v>
      </c>
      <c r="E1667" s="33" t="s">
        <v>724</v>
      </c>
      <c r="G1667" s="69" t="str">
        <f t="shared" si="26"/>
        <v>E-Commerce</v>
      </c>
      <c r="H1667" s="69" t="s">
        <v>364</v>
      </c>
      <c r="I1667" s="69" t="s">
        <v>364</v>
      </c>
      <c r="J1667" s="69" t="s">
        <v>779</v>
      </c>
      <c r="K1667" s="69" t="s">
        <v>666</v>
      </c>
      <c r="L1667" s="253">
        <v>63.048391608391604</v>
      </c>
      <c r="M1667" s="253">
        <v>64.920117614211918</v>
      </c>
      <c r="N1667" s="253">
        <v>71.904872145638222</v>
      </c>
      <c r="O1667" s="253">
        <v>62.629881187599608</v>
      </c>
      <c r="P1667" s="253">
        <v>63.618181818181817</v>
      </c>
      <c r="Q1667" s="253">
        <v>68.108108108108112</v>
      </c>
      <c r="R1667" s="253">
        <v>67.27207259109899</v>
      </c>
      <c r="S1667" s="253">
        <v>60.518867924528294</v>
      </c>
      <c r="T1667" s="253">
        <v>64.84732824427482</v>
      </c>
      <c r="U1667" s="253">
        <v>65.242798353909464</v>
      </c>
      <c r="V1667" s="253">
        <v>69.511627906976742</v>
      </c>
      <c r="W1667" s="253"/>
      <c r="X1667" s="253">
        <v>79.882352941176478</v>
      </c>
      <c r="Y1667" s="253">
        <v>61.922916666666673</v>
      </c>
      <c r="Z1667" s="253">
        <v>60.769230769230766</v>
      </c>
      <c r="AA1667" s="253"/>
      <c r="AB1667" s="253"/>
      <c r="AC1667" s="253"/>
      <c r="AD1667" s="253"/>
      <c r="AE1667" s="253"/>
    </row>
    <row r="1668" spans="1:31">
      <c r="A1668" s="33">
        <v>1667</v>
      </c>
      <c r="B1668" s="69" t="s">
        <v>779</v>
      </c>
      <c r="C1668" s="69" t="s">
        <v>779</v>
      </c>
      <c r="D1668" s="56">
        <v>42934</v>
      </c>
      <c r="E1668" s="33" t="s">
        <v>724</v>
      </c>
      <c r="G1668" s="69" t="str">
        <f t="shared" si="26"/>
        <v>E-Commerce</v>
      </c>
      <c r="H1668" s="69" t="s">
        <v>364</v>
      </c>
      <c r="I1668" s="69" t="s">
        <v>364</v>
      </c>
      <c r="J1668" s="69" t="s">
        <v>779</v>
      </c>
      <c r="K1668" s="69" t="s">
        <v>55</v>
      </c>
      <c r="L1668" s="253">
        <v>67.129230769230773</v>
      </c>
      <c r="M1668" s="253">
        <v>66.276952361394962</v>
      </c>
      <c r="N1668" s="253">
        <v>68.42986425339366</v>
      </c>
      <c r="O1668" s="253">
        <v>60.336718081753816</v>
      </c>
      <c r="P1668" s="253">
        <v>68.2</v>
      </c>
      <c r="Q1668" s="253">
        <v>62.581081081081102</v>
      </c>
      <c r="R1668" s="253">
        <v>66.433818234192714</v>
      </c>
      <c r="S1668" s="253">
        <v>62.924528301886795</v>
      </c>
      <c r="T1668" s="253">
        <v>67.36641221374046</v>
      </c>
      <c r="U1668" s="253">
        <v>72.477366255144005</v>
      </c>
      <c r="V1668" s="253">
        <v>69</v>
      </c>
      <c r="W1668" s="253"/>
      <c r="X1668" s="253">
        <v>66.529411764705884</v>
      </c>
      <c r="Y1668" s="253">
        <v>57.881250000000009</v>
      </c>
      <c r="Z1668" s="253">
        <v>62.846153846153854</v>
      </c>
      <c r="AA1668" s="253"/>
      <c r="AB1668" s="253"/>
      <c r="AC1668" s="253"/>
      <c r="AD1668" s="253"/>
      <c r="AE1668" s="253"/>
    </row>
    <row r="1669" spans="1:31">
      <c r="A1669" s="33">
        <v>1668</v>
      </c>
      <c r="B1669" s="69" t="s">
        <v>779</v>
      </c>
      <c r="C1669" s="69" t="s">
        <v>671</v>
      </c>
      <c r="D1669" s="56">
        <v>42934</v>
      </c>
      <c r="E1669" s="33" t="s">
        <v>724</v>
      </c>
      <c r="G1669" s="69" t="str">
        <f t="shared" si="26"/>
        <v>E-Commerce</v>
      </c>
      <c r="H1669" s="69" t="s">
        <v>364</v>
      </c>
      <c r="I1669" s="69" t="s">
        <v>1173</v>
      </c>
      <c r="J1669" s="69" t="s">
        <v>779</v>
      </c>
      <c r="K1669" s="69" t="s">
        <v>665</v>
      </c>
      <c r="L1669" s="253">
        <v>62.174545454545459</v>
      </c>
      <c r="M1669" s="253">
        <v>66.025839483504072</v>
      </c>
      <c r="N1669" s="253">
        <v>62.494896348521507</v>
      </c>
      <c r="O1669" s="253">
        <v>61.839264947077197</v>
      </c>
      <c r="P1669" s="253">
        <v>62.218181818181826</v>
      </c>
      <c r="Q1669" s="253">
        <v>75.3</v>
      </c>
      <c r="R1669" s="253">
        <v>65.922799942388025</v>
      </c>
      <c r="S1669" s="253">
        <v>63.603773584905667</v>
      </c>
      <c r="T1669" s="253">
        <v>63.396946564885489</v>
      </c>
      <c r="U1669" s="253">
        <v>67.037037037037038</v>
      </c>
      <c r="V1669" s="253">
        <v>65.413953488372087</v>
      </c>
      <c r="W1669" s="253"/>
      <c r="X1669" s="253">
        <v>52.764705882352935</v>
      </c>
      <c r="Y1669" s="253">
        <v>59.852083333333326</v>
      </c>
      <c r="Z1669" s="253">
        <v>62</v>
      </c>
      <c r="AA1669" s="253"/>
      <c r="AB1669" s="253"/>
      <c r="AC1669" s="253"/>
      <c r="AD1669" s="253"/>
      <c r="AE1669" s="253"/>
    </row>
    <row r="1670" spans="1:31">
      <c r="A1670" s="33">
        <v>1669</v>
      </c>
      <c r="B1670" s="69" t="s">
        <v>779</v>
      </c>
      <c r="C1670" s="69" t="s">
        <v>779</v>
      </c>
      <c r="D1670" s="56">
        <v>42934</v>
      </c>
      <c r="E1670" s="33" t="s">
        <v>724</v>
      </c>
      <c r="G1670" s="69" t="str">
        <f t="shared" si="26"/>
        <v>E-Commerce</v>
      </c>
      <c r="H1670" s="69" t="s">
        <v>364</v>
      </c>
      <c r="I1670" s="69" t="s">
        <v>364</v>
      </c>
      <c r="J1670" s="69" t="s">
        <v>779</v>
      </c>
      <c r="K1670" s="69" t="s">
        <v>393</v>
      </c>
      <c r="L1670" s="253">
        <v>68.992167832167837</v>
      </c>
      <c r="M1670" s="253">
        <v>65.838357351456082</v>
      </c>
      <c r="N1670" s="253">
        <v>67.842786488477316</v>
      </c>
      <c r="O1670" s="253">
        <v>61.487401604188193</v>
      </c>
      <c r="P1670" s="253">
        <v>68.836363636363643</v>
      </c>
      <c r="Q1670" s="253">
        <v>62.364864864864899</v>
      </c>
      <c r="R1670" s="253">
        <v>64.326515915310381</v>
      </c>
      <c r="S1670" s="253">
        <v>60.150943396226396</v>
      </c>
      <c r="T1670" s="253">
        <v>70.343511450381683</v>
      </c>
      <c r="U1670" s="253">
        <v>70.465020576131693</v>
      </c>
      <c r="V1670" s="253">
        <v>65.572093023255803</v>
      </c>
      <c r="W1670" s="253"/>
      <c r="X1670" s="253">
        <v>75.411764705882348</v>
      </c>
      <c r="Y1670" s="253">
        <v>58.52708333333333</v>
      </c>
      <c r="Z1670" s="253">
        <v>69.615384615384613</v>
      </c>
      <c r="AA1670" s="253"/>
      <c r="AB1670" s="253"/>
      <c r="AC1670" s="253"/>
      <c r="AD1670" s="253"/>
      <c r="AE1670" s="253"/>
    </row>
    <row r="1671" spans="1:31">
      <c r="A1671" s="33">
        <v>1670</v>
      </c>
      <c r="B1671" s="69" t="s">
        <v>779</v>
      </c>
      <c r="C1671" s="69" t="s">
        <v>779</v>
      </c>
      <c r="D1671" s="56">
        <v>42934</v>
      </c>
      <c r="E1671" s="33" t="s">
        <v>724</v>
      </c>
      <c r="G1671" s="69" t="str">
        <f t="shared" si="26"/>
        <v>E-Commerce</v>
      </c>
      <c r="H1671" s="69" t="s">
        <v>364</v>
      </c>
      <c r="I1671" s="69" t="s">
        <v>364</v>
      </c>
      <c r="J1671" s="69" t="s">
        <v>779</v>
      </c>
      <c r="K1671" s="69" t="s">
        <v>648</v>
      </c>
      <c r="L1671" s="253">
        <v>64.342657342657347</v>
      </c>
      <c r="M1671" s="253">
        <v>64.973731310264625</v>
      </c>
      <c r="N1671" s="253">
        <v>60.007892244554363</v>
      </c>
      <c r="O1671" s="253">
        <v>61.688609252248263</v>
      </c>
      <c r="P1671" s="253">
        <v>62.909090909090914</v>
      </c>
      <c r="Q1671" s="253">
        <v>60.675675675675699</v>
      </c>
      <c r="R1671" s="253">
        <v>60.383839838686448</v>
      </c>
      <c r="S1671" s="253">
        <v>65.990566037735846</v>
      </c>
      <c r="T1671" s="253">
        <v>68.511450381679381</v>
      </c>
      <c r="U1671" s="253">
        <v>68.024691358024697</v>
      </c>
      <c r="V1671" s="253">
        <v>60.627906976744192</v>
      </c>
      <c r="W1671" s="253"/>
      <c r="X1671" s="253">
        <v>57.941176470588239</v>
      </c>
      <c r="Y1671" s="253">
        <v>59.104166666666664</v>
      </c>
      <c r="Z1671" s="253">
        <v>72.08</v>
      </c>
      <c r="AA1671" s="253"/>
      <c r="AB1671" s="253"/>
      <c r="AC1671" s="253"/>
      <c r="AD1671" s="253"/>
      <c r="AE1671" s="253"/>
    </row>
    <row r="1672" spans="1:31">
      <c r="A1672" s="33">
        <v>1671</v>
      </c>
      <c r="B1672" s="69" t="s">
        <v>779</v>
      </c>
      <c r="C1672" s="69" t="s">
        <v>65</v>
      </c>
      <c r="D1672" s="56">
        <v>42934</v>
      </c>
      <c r="E1672" s="33" t="s">
        <v>724</v>
      </c>
      <c r="G1672" s="69" t="str">
        <f t="shared" si="26"/>
        <v>User Registration</v>
      </c>
      <c r="H1672" s="69" t="s">
        <v>494</v>
      </c>
      <c r="I1672" s="69" t="s">
        <v>1182</v>
      </c>
      <c r="J1672" s="69" t="s">
        <v>779</v>
      </c>
      <c r="K1672" s="69" t="s">
        <v>394</v>
      </c>
      <c r="L1672" s="253">
        <v>72.984895104895102</v>
      </c>
      <c r="M1672" s="253">
        <v>65.628205065064435</v>
      </c>
      <c r="N1672" s="253">
        <v>69.80910633484163</v>
      </c>
      <c r="O1672" s="253">
        <v>64.288011370721946</v>
      </c>
      <c r="P1672" s="253">
        <v>73.327272727272728</v>
      </c>
      <c r="Q1672" s="253">
        <v>60.689189189189193</v>
      </c>
      <c r="R1672" s="253">
        <v>62.308309915696512</v>
      </c>
      <c r="S1672" s="253">
        <v>76.372549019607845</v>
      </c>
      <c r="T1672" s="253">
        <v>63.244680851063826</v>
      </c>
      <c r="U1672" s="253">
        <v>63.339080459770116</v>
      </c>
      <c r="V1672" s="253"/>
      <c r="W1672" s="253">
        <v>67.28125</v>
      </c>
      <c r="X1672" s="253">
        <v>78.235294117647058</v>
      </c>
      <c r="Y1672" s="253">
        <v>61.637168141592923</v>
      </c>
      <c r="Z1672" s="253">
        <v>71.615384615384613</v>
      </c>
      <c r="AA1672" s="253"/>
      <c r="AB1672" s="253"/>
      <c r="AC1672" s="253"/>
      <c r="AD1672" s="253"/>
      <c r="AE1672" s="253"/>
    </row>
    <row r="1673" spans="1:31">
      <c r="A1673" s="33">
        <v>1672</v>
      </c>
      <c r="B1673" s="69" t="s">
        <v>1332</v>
      </c>
      <c r="C1673" s="69" t="s">
        <v>1330</v>
      </c>
      <c r="D1673" s="56">
        <v>42935</v>
      </c>
      <c r="E1673" s="33" t="s">
        <v>724</v>
      </c>
      <c r="F1673" s="69" t="s">
        <v>755</v>
      </c>
      <c r="G1673" s="69" t="str">
        <f t="shared" si="26"/>
        <v>User Registration</v>
      </c>
      <c r="H1673" s="69" t="s">
        <v>364</v>
      </c>
      <c r="I1673" s="69" t="s">
        <v>1333</v>
      </c>
      <c r="J1673" s="69" t="s">
        <v>1332</v>
      </c>
      <c r="K1673" s="69" t="s">
        <v>1332</v>
      </c>
      <c r="L1673" s="253">
        <v>0.5716</v>
      </c>
      <c r="M1673" s="253">
        <v>0.52133409948162646</v>
      </c>
      <c r="N1673" s="253">
        <v>0.49178571428571433</v>
      </c>
      <c r="O1673" s="253">
        <v>0.55025041046016587</v>
      </c>
      <c r="P1673" s="253">
        <v>0.56199999999999994</v>
      </c>
      <c r="Q1673" s="253">
        <v>0.41608108108108105</v>
      </c>
      <c r="R1673" s="253">
        <v>0.53103586055339125</v>
      </c>
      <c r="S1673" s="253">
        <v>0.52871287128712874</v>
      </c>
      <c r="T1673" s="253">
        <v>0.5292553191489362</v>
      </c>
      <c r="U1673" s="253">
        <v>0.54971264367816097</v>
      </c>
      <c r="V1673" s="253"/>
      <c r="W1673" s="253">
        <v>0.49178571428571427</v>
      </c>
      <c r="X1673" s="253">
        <v>0.50705882352941178</v>
      </c>
      <c r="Y1673" s="253">
        <v>0.55173913043478273</v>
      </c>
      <c r="Z1673" s="253">
        <v>0.61</v>
      </c>
      <c r="AA1673" s="253"/>
      <c r="AB1673" s="253"/>
      <c r="AC1673" s="253"/>
      <c r="AD1673" s="253"/>
      <c r="AE1673" s="253"/>
    </row>
    <row r="1674" spans="1:31">
      <c r="A1674" s="33">
        <v>1673</v>
      </c>
      <c r="B1674" s="69" t="s">
        <v>1332</v>
      </c>
      <c r="C1674" s="69" t="s">
        <v>1330</v>
      </c>
      <c r="D1674" s="56">
        <v>42935</v>
      </c>
      <c r="E1674" s="33" t="s">
        <v>724</v>
      </c>
      <c r="F1674" s="69" t="s">
        <v>755</v>
      </c>
      <c r="G1674" s="69" t="str">
        <f t="shared" si="26"/>
        <v>User Registration</v>
      </c>
      <c r="H1674" s="69" t="s">
        <v>364</v>
      </c>
      <c r="I1674" s="69" t="s">
        <v>1333</v>
      </c>
      <c r="J1674" s="69" t="s">
        <v>1332</v>
      </c>
      <c r="K1674" s="69" t="s">
        <v>1334</v>
      </c>
      <c r="L1674" s="253">
        <v>0.60161958041958041</v>
      </c>
      <c r="M1674" s="253">
        <v>0.59762065388296348</v>
      </c>
      <c r="N1674" s="253">
        <v>0.55464285714285722</v>
      </c>
      <c r="O1674" s="253">
        <v>0.5564238084658828</v>
      </c>
      <c r="P1674" s="253">
        <v>0.60490909090909095</v>
      </c>
      <c r="Q1674" s="253">
        <v>0.61891891891891893</v>
      </c>
      <c r="R1674" s="253">
        <v>0.51864948556587753</v>
      </c>
      <c r="S1674" s="253">
        <v>0.62673267326732673</v>
      </c>
      <c r="T1674" s="253">
        <v>0.57393617021276588</v>
      </c>
      <c r="U1674" s="253">
        <v>0.65413793103448281</v>
      </c>
      <c r="V1674" s="253"/>
      <c r="W1674" s="253">
        <v>0.55464285714285722</v>
      </c>
      <c r="X1674" s="253">
        <v>0.57647058823529407</v>
      </c>
      <c r="Y1674" s="253">
        <v>0.5410869565217391</v>
      </c>
      <c r="Z1674" s="253">
        <v>0.58846153846153848</v>
      </c>
      <c r="AA1674" s="253"/>
      <c r="AB1674" s="253"/>
      <c r="AC1674" s="253"/>
      <c r="AD1674" s="253"/>
      <c r="AE1674" s="253"/>
    </row>
    <row r="1675" spans="1:31">
      <c r="A1675" s="33">
        <v>1674</v>
      </c>
      <c r="B1675" s="69" t="s">
        <v>1332</v>
      </c>
      <c r="C1675" s="69" t="s">
        <v>1330</v>
      </c>
      <c r="D1675" s="56">
        <v>42935</v>
      </c>
      <c r="E1675" s="33" t="s">
        <v>724</v>
      </c>
      <c r="F1675" s="69" t="s">
        <v>755</v>
      </c>
      <c r="G1675" s="69" t="str">
        <f t="shared" si="26"/>
        <v>User Registration</v>
      </c>
      <c r="H1675" s="69" t="s">
        <v>364</v>
      </c>
      <c r="I1675" s="69" t="s">
        <v>1333</v>
      </c>
      <c r="J1675" s="69" t="s">
        <v>1332</v>
      </c>
      <c r="K1675" s="69" t="s">
        <v>1335</v>
      </c>
      <c r="L1675" s="253">
        <v>0.53834405594405599</v>
      </c>
      <c r="M1675" s="253">
        <v>0.60717452094508195</v>
      </c>
      <c r="N1675" s="253">
        <v>0.54749999999999999</v>
      </c>
      <c r="O1675" s="253">
        <v>0.57369343673962225</v>
      </c>
      <c r="P1675" s="253">
        <v>0.53254545454545454</v>
      </c>
      <c r="Q1675" s="253">
        <v>0.65405405405405403</v>
      </c>
      <c r="R1675" s="253">
        <v>0.66808510638297869</v>
      </c>
      <c r="S1675" s="253">
        <v>0.49207920792079202</v>
      </c>
      <c r="T1675" s="253">
        <v>0.63085106382978717</v>
      </c>
      <c r="U1675" s="253">
        <v>0.60488505747126442</v>
      </c>
      <c r="V1675" s="253"/>
      <c r="W1675" s="253">
        <v>0.54749999999999999</v>
      </c>
      <c r="X1675" s="253">
        <v>0.67941176470588238</v>
      </c>
      <c r="Y1675" s="253">
        <v>0.55858695652173906</v>
      </c>
      <c r="Z1675" s="253">
        <v>0.56153846153846154</v>
      </c>
      <c r="AA1675" s="253"/>
      <c r="AB1675" s="253"/>
      <c r="AC1675" s="253"/>
      <c r="AD1675" s="253"/>
      <c r="AE1675" s="253"/>
    </row>
    <row r="1676" spans="1:31">
      <c r="A1676" s="33">
        <v>1675</v>
      </c>
      <c r="B1676" s="69" t="s">
        <v>1332</v>
      </c>
      <c r="C1676" s="69" t="s">
        <v>1330</v>
      </c>
      <c r="D1676" s="56">
        <v>42935</v>
      </c>
      <c r="E1676" s="33" t="s">
        <v>724</v>
      </c>
      <c r="F1676" s="69" t="s">
        <v>755</v>
      </c>
      <c r="G1676" s="69" t="str">
        <f t="shared" si="26"/>
        <v>User Registration</v>
      </c>
      <c r="H1676" s="69" t="s">
        <v>364</v>
      </c>
      <c r="I1676" s="69" t="s">
        <v>1333</v>
      </c>
      <c r="J1676" s="69" t="s">
        <v>1332</v>
      </c>
      <c r="K1676" s="69" t="s">
        <v>1336</v>
      </c>
      <c r="L1676" s="253">
        <v>0.59877482517482505</v>
      </c>
      <c r="M1676" s="253">
        <v>0.60167473603690336</v>
      </c>
      <c r="N1676" s="253">
        <v>0.44107142857142856</v>
      </c>
      <c r="O1676" s="253">
        <v>0.61590202063446464</v>
      </c>
      <c r="P1676" s="253">
        <v>0.6065454545454545</v>
      </c>
      <c r="Q1676" s="253">
        <v>0.57851351351351354</v>
      </c>
      <c r="R1676" s="253">
        <v>0.56619718309859157</v>
      </c>
      <c r="S1676" s="253">
        <v>0.61287128712871286</v>
      </c>
      <c r="T1676" s="253">
        <v>0.65</v>
      </c>
      <c r="U1676" s="253">
        <v>0.6313218390804598</v>
      </c>
      <c r="V1676" s="253"/>
      <c r="W1676" s="253">
        <v>0.44107142857142856</v>
      </c>
      <c r="X1676" s="253">
        <v>0.58823529411764719</v>
      </c>
      <c r="Y1676" s="253">
        <v>0.64434782608695651</v>
      </c>
      <c r="Z1676" s="253">
        <v>0.56769230769230761</v>
      </c>
      <c r="AA1676" s="253"/>
      <c r="AB1676" s="253"/>
      <c r="AC1676" s="253"/>
      <c r="AD1676" s="253"/>
      <c r="AE1676" s="253"/>
    </row>
    <row r="1677" spans="1:31">
      <c r="A1677" s="33">
        <v>1676</v>
      </c>
      <c r="B1677" s="69" t="s">
        <v>369</v>
      </c>
      <c r="C1677" s="69" t="s">
        <v>791</v>
      </c>
      <c r="D1677" s="56">
        <v>42936</v>
      </c>
      <c r="E1677" s="33" t="s">
        <v>724</v>
      </c>
      <c r="F1677" s="69" t="s">
        <v>380</v>
      </c>
      <c r="G1677" s="69" t="str">
        <f t="shared" si="26"/>
        <v>User Registration</v>
      </c>
      <c r="H1677" s="69" t="s">
        <v>494</v>
      </c>
      <c r="I1677" s="69" t="s">
        <v>1182</v>
      </c>
      <c r="J1677" s="69" t="s">
        <v>369</v>
      </c>
      <c r="K1677" s="69" t="s">
        <v>369</v>
      </c>
      <c r="L1677" s="253">
        <v>61.933706293706294</v>
      </c>
      <c r="M1677" s="253">
        <v>62.409222061752786</v>
      </c>
      <c r="N1677" s="253">
        <v>63.233597285067873</v>
      </c>
      <c r="O1677" s="253">
        <v>61.08235737636253</v>
      </c>
      <c r="P1677" s="253">
        <v>62.43636363636363</v>
      </c>
      <c r="Q1677" s="253">
        <v>61.824324324324316</v>
      </c>
      <c r="R1677" s="253">
        <v>66.653954235246886</v>
      </c>
      <c r="S1677" s="253">
        <v>57.303921568627445</v>
      </c>
      <c r="T1677" s="253">
        <v>61.755319148936174</v>
      </c>
      <c r="U1677" s="253">
        <v>64.103448275862064</v>
      </c>
      <c r="V1677" s="253"/>
      <c r="W1677" s="253">
        <v>61.062499999999993</v>
      </c>
      <c r="X1677" s="253">
        <v>70.470588235294116</v>
      </c>
      <c r="Y1677" s="253">
        <v>60.619469026548678</v>
      </c>
      <c r="Z1677" s="253">
        <v>59.923076923076913</v>
      </c>
      <c r="AA1677" s="253"/>
      <c r="AB1677" s="253"/>
      <c r="AC1677" s="253"/>
      <c r="AD1677" s="253"/>
      <c r="AE1677" s="253"/>
    </row>
    <row r="1678" spans="1:31">
      <c r="A1678" s="33">
        <v>1677</v>
      </c>
      <c r="B1678" s="69" t="s">
        <v>1159</v>
      </c>
      <c r="C1678" s="69" t="s">
        <v>791</v>
      </c>
      <c r="D1678" s="56">
        <v>42936</v>
      </c>
      <c r="E1678" s="33" t="s">
        <v>724</v>
      </c>
      <c r="F1678" s="69" t="s">
        <v>380</v>
      </c>
      <c r="G1678" s="69" t="str">
        <f t="shared" si="26"/>
        <v>User Registration</v>
      </c>
      <c r="H1678" s="69" t="s">
        <v>494</v>
      </c>
      <c r="I1678" s="69" t="s">
        <v>1182</v>
      </c>
      <c r="J1678" s="69" t="s">
        <v>1159</v>
      </c>
      <c r="K1678" s="69" t="s">
        <v>1159</v>
      </c>
      <c r="L1678" s="253">
        <v>66.706013986013986</v>
      </c>
      <c r="M1678" s="253">
        <v>68.652870402962193</v>
      </c>
      <c r="N1678" s="253">
        <v>66.956165158371036</v>
      </c>
      <c r="O1678" s="253">
        <v>62.288529812293135</v>
      </c>
      <c r="P1678" s="253">
        <v>68.036363636363632</v>
      </c>
      <c r="Q1678" s="253">
        <v>68.729729729729726</v>
      </c>
      <c r="R1678" s="253">
        <v>71.513448414291432</v>
      </c>
      <c r="S1678" s="253">
        <v>69.85294117647058</v>
      </c>
      <c r="T1678" s="253">
        <v>74.840425531914889</v>
      </c>
      <c r="U1678" s="253">
        <v>63.965517241379295</v>
      </c>
      <c r="V1678" s="253"/>
      <c r="W1678" s="253">
        <v>65.53125</v>
      </c>
      <c r="X1678" s="253">
        <v>71.705882352941174</v>
      </c>
      <c r="Y1678" s="253">
        <v>59.314159292035406</v>
      </c>
      <c r="Z1678" s="253">
        <v>61.38461538461538</v>
      </c>
      <c r="AA1678" s="253"/>
      <c r="AB1678" s="253"/>
      <c r="AC1678" s="253"/>
      <c r="AD1678" s="253"/>
      <c r="AE1678" s="253"/>
    </row>
    <row r="1679" spans="1:31">
      <c r="A1679" s="33">
        <v>1678</v>
      </c>
      <c r="B1679" s="69" t="s">
        <v>394</v>
      </c>
      <c r="C1679" s="69" t="s">
        <v>791</v>
      </c>
      <c r="D1679" s="56">
        <v>42936</v>
      </c>
      <c r="E1679" s="33" t="s">
        <v>724</v>
      </c>
      <c r="F1679" s="69" t="s">
        <v>380</v>
      </c>
      <c r="G1679" s="69" t="str">
        <f t="shared" si="26"/>
        <v>User Registration</v>
      </c>
      <c r="H1679" s="69" t="s">
        <v>494</v>
      </c>
      <c r="I1679" s="69" t="s">
        <v>1182</v>
      </c>
      <c r="J1679" s="69" t="s">
        <v>394</v>
      </c>
      <c r="K1679" s="69" t="s">
        <v>394</v>
      </c>
      <c r="L1679" s="253">
        <v>72.984895104895102</v>
      </c>
      <c r="M1679" s="253">
        <v>65.628205065064435</v>
      </c>
      <c r="N1679" s="253">
        <v>69.80910633484163</v>
      </c>
      <c r="O1679" s="253">
        <v>64.288011370721946</v>
      </c>
      <c r="P1679" s="253">
        <v>73.327272727272728</v>
      </c>
      <c r="Q1679" s="253">
        <v>60.689189189189193</v>
      </c>
      <c r="R1679" s="253">
        <v>62.308309915696512</v>
      </c>
      <c r="S1679" s="253">
        <v>76.372549019607845</v>
      </c>
      <c r="T1679" s="253">
        <v>63.244680851063826</v>
      </c>
      <c r="U1679" s="253">
        <v>63.339080459770116</v>
      </c>
      <c r="V1679" s="253"/>
      <c r="W1679" s="253">
        <v>67.28125</v>
      </c>
      <c r="X1679" s="253">
        <v>78.235294117647058</v>
      </c>
      <c r="Y1679" s="253">
        <v>61.637168141592923</v>
      </c>
      <c r="Z1679" s="253">
        <v>71.615384615384613</v>
      </c>
      <c r="AA1679" s="253"/>
      <c r="AB1679" s="253"/>
      <c r="AC1679" s="253"/>
      <c r="AD1679" s="253"/>
      <c r="AE1679" s="253"/>
    </row>
    <row r="1680" spans="1:31">
      <c r="A1680" s="33">
        <v>1679</v>
      </c>
      <c r="B1680" s="69" t="s">
        <v>1324</v>
      </c>
      <c r="C1680" s="69" t="s">
        <v>791</v>
      </c>
      <c r="D1680" s="56">
        <v>42936</v>
      </c>
      <c r="E1680" s="33" t="s">
        <v>724</v>
      </c>
      <c r="F1680" s="69" t="s">
        <v>380</v>
      </c>
      <c r="G1680" s="69" t="str">
        <f t="shared" si="26"/>
        <v>User Registration</v>
      </c>
      <c r="H1680" s="69" t="s">
        <v>494</v>
      </c>
      <c r="I1680" s="69" t="s">
        <v>1182</v>
      </c>
      <c r="J1680" s="69" t="s">
        <v>1324</v>
      </c>
      <c r="K1680" s="69" t="s">
        <v>1325</v>
      </c>
      <c r="L1680" s="253">
        <v>62.352447552447551</v>
      </c>
      <c r="M1680" s="253">
        <v>61.243397411438472</v>
      </c>
      <c r="N1680" s="253">
        <v>58.430712669683246</v>
      </c>
      <c r="O1680" s="253">
        <v>58.647866338280615</v>
      </c>
      <c r="P1680" s="253">
        <v>62.363636363636367</v>
      </c>
      <c r="Q1680" s="253">
        <v>59.337837837837839</v>
      </c>
      <c r="R1680" s="253">
        <v>66.309514251304705</v>
      </c>
      <c r="S1680" s="253">
        <v>52.647058823529399</v>
      </c>
      <c r="T1680" s="253">
        <v>64.946808510638292</v>
      </c>
      <c r="U1680" s="253">
        <v>61.931034482758626</v>
      </c>
      <c r="V1680" s="253"/>
      <c r="W1680" s="253">
        <v>57.218749999999993</v>
      </c>
      <c r="X1680" s="253">
        <v>62.470588235294123</v>
      </c>
      <c r="Y1680" s="253">
        <v>56.548672566371678</v>
      </c>
      <c r="Z1680" s="253">
        <v>62.307692307692307</v>
      </c>
      <c r="AA1680" s="253"/>
      <c r="AB1680" s="253"/>
      <c r="AC1680" s="253"/>
      <c r="AD1680" s="253"/>
      <c r="AE1680" s="253"/>
    </row>
    <row r="1681" spans="1:31">
      <c r="A1681" s="33">
        <v>1680</v>
      </c>
      <c r="B1681" s="69" t="s">
        <v>1158</v>
      </c>
      <c r="C1681" s="69" t="s">
        <v>791</v>
      </c>
      <c r="D1681" s="56">
        <v>42936</v>
      </c>
      <c r="E1681" s="33" t="s">
        <v>724</v>
      </c>
      <c r="F1681" s="69" t="s">
        <v>380</v>
      </c>
      <c r="G1681" s="69" t="str">
        <f t="shared" si="26"/>
        <v>User Registration</v>
      </c>
      <c r="H1681" s="69" t="s">
        <v>494</v>
      </c>
      <c r="I1681" s="69" t="s">
        <v>1182</v>
      </c>
      <c r="J1681" s="69" t="s">
        <v>1158</v>
      </c>
      <c r="K1681" s="69" t="s">
        <v>1326</v>
      </c>
      <c r="L1681" s="253">
        <v>64.88</v>
      </c>
      <c r="M1681" s="253">
        <v>67.759359539448084</v>
      </c>
      <c r="N1681" s="253">
        <v>68.830599547511312</v>
      </c>
      <c r="O1681" s="253">
        <v>67.779550172039137</v>
      </c>
      <c r="P1681" s="253">
        <v>64.599999999999994</v>
      </c>
      <c r="Q1681" s="253">
        <v>71.824324324324323</v>
      </c>
      <c r="R1681" s="253">
        <v>75.166599759132879</v>
      </c>
      <c r="S1681" s="253">
        <v>61.519607843137258</v>
      </c>
      <c r="T1681" s="253">
        <v>75.627659574468083</v>
      </c>
      <c r="U1681" s="253">
        <v>58.074712643678168</v>
      </c>
      <c r="V1681" s="253"/>
      <c r="W1681" s="253">
        <v>70.15625</v>
      </c>
      <c r="X1681" s="253">
        <v>64.411764705882362</v>
      </c>
      <c r="Y1681" s="253">
        <v>67.057522123893804</v>
      </c>
      <c r="Z1681" s="253">
        <v>66</v>
      </c>
      <c r="AA1681" s="253"/>
      <c r="AB1681" s="253"/>
      <c r="AC1681" s="253"/>
      <c r="AD1681" s="253"/>
      <c r="AE1681" s="253"/>
    </row>
    <row r="1682" spans="1:31">
      <c r="A1682" s="33">
        <v>1681</v>
      </c>
      <c r="B1682" s="69" t="s">
        <v>1327</v>
      </c>
      <c r="C1682" s="69" t="s">
        <v>791</v>
      </c>
      <c r="D1682" s="56">
        <v>42936</v>
      </c>
      <c r="E1682" s="33" t="s">
        <v>724</v>
      </c>
      <c r="F1682" s="69" t="s">
        <v>380</v>
      </c>
      <c r="G1682" s="69" t="str">
        <f t="shared" si="26"/>
        <v>User Registration</v>
      </c>
      <c r="H1682" s="69" t="s">
        <v>494</v>
      </c>
      <c r="I1682" s="69" t="s">
        <v>1182</v>
      </c>
      <c r="J1682" s="69" t="s">
        <v>1327</v>
      </c>
      <c r="K1682" s="69" t="s">
        <v>1328</v>
      </c>
      <c r="L1682" s="253">
        <v>61.649510489510497</v>
      </c>
      <c r="M1682" s="253">
        <v>58.08839429818844</v>
      </c>
      <c r="N1682" s="253">
        <v>62.735576923076898</v>
      </c>
      <c r="O1682" s="253">
        <v>55.054199012702441</v>
      </c>
      <c r="P1682" s="253">
        <v>62.927272727272729</v>
      </c>
      <c r="Q1682" s="253">
        <v>59.702702702702716</v>
      </c>
      <c r="R1682" s="253">
        <v>59.959855479727018</v>
      </c>
      <c r="S1682" s="253">
        <v>55.931372549019606</v>
      </c>
      <c r="T1682" s="253">
        <v>59.095744680851055</v>
      </c>
      <c r="U1682" s="253">
        <v>56.666666666666664</v>
      </c>
      <c r="V1682" s="253"/>
      <c r="W1682" s="253">
        <v>62.65625</v>
      </c>
      <c r="X1682" s="253"/>
      <c r="Y1682" s="253">
        <v>53.075221238938049</v>
      </c>
      <c r="Z1682" s="253">
        <v>56.538461538461533</v>
      </c>
      <c r="AA1682" s="253"/>
      <c r="AB1682" s="253"/>
      <c r="AC1682" s="253"/>
      <c r="AD1682" s="253"/>
      <c r="AE1682" s="253"/>
    </row>
    <row r="1683" spans="1:31">
      <c r="A1683" s="33">
        <v>1682</v>
      </c>
      <c r="B1683" s="69" t="s">
        <v>1329</v>
      </c>
      <c r="C1683" s="69" t="s">
        <v>791</v>
      </c>
      <c r="D1683" s="56">
        <v>42936</v>
      </c>
      <c r="E1683" s="33" t="s">
        <v>724</v>
      </c>
      <c r="F1683" s="69" t="s">
        <v>380</v>
      </c>
      <c r="G1683" s="69" t="str">
        <f t="shared" si="26"/>
        <v>User Registration</v>
      </c>
      <c r="H1683" s="69" t="s">
        <v>494</v>
      </c>
      <c r="I1683" s="69" t="s">
        <v>1182</v>
      </c>
      <c r="J1683" s="69" t="s">
        <v>1329</v>
      </c>
      <c r="K1683" s="69" t="s">
        <v>1329</v>
      </c>
      <c r="L1683" s="253">
        <v>63.420419580419569</v>
      </c>
      <c r="M1683" s="253">
        <v>60.056258454203714</v>
      </c>
      <c r="N1683" s="253">
        <v>66.724830316742086</v>
      </c>
      <c r="O1683" s="253">
        <v>58.778475517096176</v>
      </c>
      <c r="P1683" s="253">
        <v>64.890909090909076</v>
      </c>
      <c r="Q1683" s="253">
        <v>63.932432432432435</v>
      </c>
      <c r="R1683" s="253">
        <v>63.015656362906455</v>
      </c>
      <c r="S1683" s="253">
        <v>58.137254901960773</v>
      </c>
      <c r="T1683" s="253">
        <v>60.627659574468083</v>
      </c>
      <c r="U1683" s="253">
        <v>56.195402298850574</v>
      </c>
      <c r="V1683" s="253"/>
      <c r="W1683" s="253">
        <v>66.21875</v>
      </c>
      <c r="X1683" s="253">
        <v>68.411764705882348</v>
      </c>
      <c r="Y1683" s="253">
        <v>57.851769911504427</v>
      </c>
      <c r="Z1683" s="253">
        <v>57.53846153846154</v>
      </c>
      <c r="AA1683" s="253"/>
      <c r="AB1683" s="253"/>
      <c r="AC1683" s="253"/>
      <c r="AD1683" s="253"/>
      <c r="AE1683" s="253"/>
    </row>
    <row r="1684" spans="1:31">
      <c r="A1684" s="33">
        <v>1683</v>
      </c>
      <c r="B1684" s="69" t="s">
        <v>386</v>
      </c>
      <c r="C1684" s="69" t="s">
        <v>791</v>
      </c>
      <c r="D1684" s="56">
        <v>42936</v>
      </c>
      <c r="E1684" s="33" t="s">
        <v>724</v>
      </c>
      <c r="F1684" s="69" t="s">
        <v>380</v>
      </c>
      <c r="G1684" s="69" t="str">
        <f t="shared" si="26"/>
        <v>User Registration</v>
      </c>
      <c r="H1684" s="69" t="s">
        <v>494</v>
      </c>
      <c r="I1684" s="69" t="s">
        <v>1182</v>
      </c>
      <c r="J1684" s="69" t="s">
        <v>386</v>
      </c>
      <c r="K1684" s="69" t="s">
        <v>386</v>
      </c>
      <c r="L1684" s="253">
        <v>59.213146853146846</v>
      </c>
      <c r="M1684" s="253">
        <v>56.063845378262755</v>
      </c>
      <c r="N1684" s="253">
        <v>65.527432126696837</v>
      </c>
      <c r="O1684" s="253">
        <v>53.388176864836012</v>
      </c>
      <c r="P1684" s="253">
        <v>59.381818181818176</v>
      </c>
      <c r="Q1684" s="253">
        <v>56.229729729729726</v>
      </c>
      <c r="R1684" s="253">
        <v>58.864712966680045</v>
      </c>
      <c r="S1684" s="253">
        <v>52.205882352941181</v>
      </c>
      <c r="T1684" s="253">
        <v>55.627659574468076</v>
      </c>
      <c r="U1684" s="253">
        <v>55.488505747126425</v>
      </c>
      <c r="V1684" s="253"/>
      <c r="W1684" s="253">
        <v>65.15625</v>
      </c>
      <c r="X1684" s="253">
        <v>66.764705882352942</v>
      </c>
      <c r="Y1684" s="253">
        <v>50.58185840707965</v>
      </c>
      <c r="Z1684" s="253">
        <v>58.53846153846154</v>
      </c>
      <c r="AA1684" s="253"/>
      <c r="AB1684" s="253"/>
      <c r="AC1684" s="253"/>
      <c r="AD1684" s="253"/>
      <c r="AE1684" s="253"/>
    </row>
    <row r="1685" spans="1:31">
      <c r="A1685" s="33">
        <v>1684</v>
      </c>
      <c r="B1685" s="69" t="s">
        <v>1160</v>
      </c>
      <c r="C1685" s="69" t="s">
        <v>791</v>
      </c>
      <c r="D1685" s="56">
        <v>42936</v>
      </c>
      <c r="E1685" s="33" t="s">
        <v>724</v>
      </c>
      <c r="F1685" s="69" t="s">
        <v>380</v>
      </c>
      <c r="G1685" s="69" t="str">
        <f t="shared" si="26"/>
        <v>User Registration</v>
      </c>
      <c r="H1685" s="69" t="s">
        <v>494</v>
      </c>
      <c r="I1685" s="69" t="s">
        <v>1182</v>
      </c>
      <c r="J1685" s="69" t="s">
        <v>1160</v>
      </c>
      <c r="K1685" s="69" t="s">
        <v>1160</v>
      </c>
      <c r="L1685" s="253">
        <v>58.665174825174823</v>
      </c>
      <c r="M1685" s="253">
        <v>55.440649930542307</v>
      </c>
      <c r="N1685" s="253">
        <v>56.889988687782797</v>
      </c>
      <c r="O1685" s="253">
        <v>56.330770515674466</v>
      </c>
      <c r="P1685" s="253">
        <v>59.25454545454545</v>
      </c>
      <c r="Q1685" s="253">
        <v>54.391891891891895</v>
      </c>
      <c r="R1685" s="253">
        <v>58.342031312725815</v>
      </c>
      <c r="S1685" s="253">
        <v>53.774509803921568</v>
      </c>
      <c r="T1685" s="253">
        <v>58.404255319148945</v>
      </c>
      <c r="U1685" s="253">
        <v>52.586206896551722</v>
      </c>
      <c r="V1685" s="253"/>
      <c r="W1685" s="253">
        <v>56.46875</v>
      </c>
      <c r="X1685" s="253">
        <v>58.294117647058819</v>
      </c>
      <c r="Y1685" s="253">
        <v>56.384955752212392</v>
      </c>
      <c r="Z1685" s="253">
        <v>56.307692307692314</v>
      </c>
      <c r="AA1685" s="253"/>
      <c r="AB1685" s="253"/>
      <c r="AC1685" s="253"/>
      <c r="AD1685" s="253"/>
      <c r="AE1685" s="253"/>
    </row>
    <row r="1686" spans="1:31">
      <c r="A1686" s="33">
        <v>1685</v>
      </c>
      <c r="B1686" s="69" t="s">
        <v>669</v>
      </c>
      <c r="C1686" s="69" t="s">
        <v>1330</v>
      </c>
      <c r="D1686" s="56">
        <v>42936</v>
      </c>
      <c r="E1686" s="33" t="s">
        <v>724</v>
      </c>
      <c r="F1686" s="69" t="s">
        <v>755</v>
      </c>
      <c r="G1686" s="69" t="str">
        <f t="shared" si="26"/>
        <v>E-Commerce</v>
      </c>
      <c r="H1686" s="69" t="s">
        <v>364</v>
      </c>
      <c r="I1686" s="69" t="s">
        <v>1331</v>
      </c>
      <c r="J1686" s="69" t="s">
        <v>669</v>
      </c>
      <c r="K1686" s="69" t="s">
        <v>669</v>
      </c>
      <c r="L1686" s="253">
        <v>0.66184615384615397</v>
      </c>
      <c r="M1686" s="253">
        <v>0.69678303474088166</v>
      </c>
      <c r="N1686" s="253">
        <v>0.69719141323792477</v>
      </c>
      <c r="O1686" s="253">
        <v>0.66434848764277687</v>
      </c>
      <c r="P1686" s="253">
        <v>0.66000000000000014</v>
      </c>
      <c r="Q1686" s="253">
        <v>0.68067567567567577</v>
      </c>
      <c r="R1686" s="253">
        <v>0.70251332277113632</v>
      </c>
      <c r="S1686" s="253">
        <v>0.66874999999999984</v>
      </c>
      <c r="T1686" s="253">
        <v>0.70610687022900764</v>
      </c>
      <c r="U1686" s="253">
        <v>0.73179166666666662</v>
      </c>
      <c r="V1686" s="253">
        <v>0.7053488372093023</v>
      </c>
      <c r="W1686" s="253"/>
      <c r="X1686" s="253">
        <v>0.67</v>
      </c>
      <c r="Y1686" s="253">
        <v>0.65317796610169498</v>
      </c>
      <c r="Z1686" s="253">
        <v>0.66923076923076918</v>
      </c>
      <c r="AA1686" s="253"/>
      <c r="AB1686" s="253"/>
      <c r="AC1686" s="253"/>
      <c r="AD1686" s="253"/>
      <c r="AE1686" s="253"/>
    </row>
    <row r="1687" spans="1:31">
      <c r="A1687" s="33">
        <v>1686</v>
      </c>
      <c r="B1687" s="69" t="s">
        <v>669</v>
      </c>
      <c r="C1687" s="69" t="s">
        <v>1330</v>
      </c>
      <c r="D1687" s="56">
        <v>42936</v>
      </c>
      <c r="E1687" s="33" t="s">
        <v>724</v>
      </c>
      <c r="F1687" s="69" t="s">
        <v>755</v>
      </c>
      <c r="G1687" s="69" t="str">
        <f t="shared" si="26"/>
        <v>E-Commerce</v>
      </c>
      <c r="H1687" s="69" t="s">
        <v>364</v>
      </c>
      <c r="I1687" s="69" t="s">
        <v>1331</v>
      </c>
      <c r="J1687" s="69" t="s">
        <v>669</v>
      </c>
      <c r="K1687" s="69" t="s">
        <v>728</v>
      </c>
      <c r="L1687" s="253">
        <v>0.57394685314685312</v>
      </c>
      <c r="M1687" s="253">
        <v>0.63073787263613212</v>
      </c>
      <c r="N1687" s="253">
        <v>0.6712859097127224</v>
      </c>
      <c r="O1687" s="253">
        <v>0.56970336087647022</v>
      </c>
      <c r="P1687" s="253">
        <v>0.55781818181818177</v>
      </c>
      <c r="Q1687" s="253">
        <v>0.70148648648648648</v>
      </c>
      <c r="R1687" s="253">
        <v>0.63491286187527007</v>
      </c>
      <c r="S1687" s="253">
        <v>0.51701030927835046</v>
      </c>
      <c r="T1687" s="253">
        <v>0.63167938931297707</v>
      </c>
      <c r="U1687" s="253">
        <v>0.65729166666666672</v>
      </c>
      <c r="V1687" s="253">
        <v>0.6879069767441861</v>
      </c>
      <c r="W1687" s="253"/>
      <c r="X1687" s="253">
        <v>0.61588235294117644</v>
      </c>
      <c r="Y1687" s="253">
        <v>0.52812500000000007</v>
      </c>
      <c r="Z1687" s="253">
        <v>0.63846153846153841</v>
      </c>
      <c r="AA1687" s="253"/>
      <c r="AB1687" s="253"/>
      <c r="AC1687" s="253"/>
      <c r="AD1687" s="253"/>
      <c r="AE1687" s="253"/>
    </row>
    <row r="1688" spans="1:31">
      <c r="A1688" s="33">
        <v>1687</v>
      </c>
      <c r="B1688" s="69" t="s">
        <v>669</v>
      </c>
      <c r="C1688" s="69" t="s">
        <v>1330</v>
      </c>
      <c r="D1688" s="56">
        <v>42936</v>
      </c>
      <c r="E1688" s="33" t="s">
        <v>724</v>
      </c>
      <c r="F1688" s="69" t="s">
        <v>755</v>
      </c>
      <c r="G1688" s="69" t="str">
        <f t="shared" si="26"/>
        <v>E-Commerce</v>
      </c>
      <c r="H1688" s="69" t="s">
        <v>364</v>
      </c>
      <c r="I1688" s="69" t="s">
        <v>1331</v>
      </c>
      <c r="J1688" s="69" t="s">
        <v>669</v>
      </c>
      <c r="K1688" s="69" t="s">
        <v>733</v>
      </c>
      <c r="L1688" s="253">
        <v>0.59398041958041958</v>
      </c>
      <c r="M1688" s="253">
        <v>0.64352046623600634</v>
      </c>
      <c r="N1688" s="253">
        <v>0.63235294117647056</v>
      </c>
      <c r="O1688" s="253">
        <v>0.60765022826822634</v>
      </c>
      <c r="P1688" s="253">
        <v>0.5770909090909091</v>
      </c>
      <c r="Q1688" s="253">
        <v>0.59324324324324318</v>
      </c>
      <c r="R1688" s="253">
        <v>0.6326083825435691</v>
      </c>
      <c r="S1688" s="253">
        <v>0.63846153846153852</v>
      </c>
      <c r="T1688" s="253">
        <v>0.64427480916030544</v>
      </c>
      <c r="U1688" s="253">
        <v>0.69104166666666667</v>
      </c>
      <c r="V1688" s="253">
        <v>0.65</v>
      </c>
      <c r="W1688" s="253"/>
      <c r="X1688" s="253">
        <v>0.57352941176470584</v>
      </c>
      <c r="Y1688" s="253">
        <v>0.58485169491525424</v>
      </c>
      <c r="Z1688" s="253">
        <v>0.66153846153846152</v>
      </c>
      <c r="AA1688" s="253"/>
      <c r="AB1688" s="253"/>
      <c r="AC1688" s="253"/>
      <c r="AD1688" s="253"/>
      <c r="AE1688" s="253"/>
    </row>
    <row r="1689" spans="1:31">
      <c r="A1689" s="33">
        <v>1688</v>
      </c>
      <c r="B1689" s="69" t="s">
        <v>669</v>
      </c>
      <c r="C1689" s="69" t="s">
        <v>1330</v>
      </c>
      <c r="D1689" s="56">
        <v>42936</v>
      </c>
      <c r="E1689" s="33" t="s">
        <v>724</v>
      </c>
      <c r="F1689" s="69" t="s">
        <v>755</v>
      </c>
      <c r="G1689" s="69" t="str">
        <f t="shared" si="26"/>
        <v>E-Commerce</v>
      </c>
      <c r="H1689" s="69" t="s">
        <v>364</v>
      </c>
      <c r="I1689" s="69" t="s">
        <v>1331</v>
      </c>
      <c r="J1689" s="69" t="s">
        <v>669</v>
      </c>
      <c r="K1689" s="69" t="s">
        <v>731</v>
      </c>
      <c r="L1689" s="253">
        <v>0.62151328671328665</v>
      </c>
      <c r="M1689" s="253">
        <v>0.61144066638372752</v>
      </c>
      <c r="N1689" s="253">
        <v>0.60050615595075241</v>
      </c>
      <c r="O1689" s="253">
        <v>0.57790643721164958</v>
      </c>
      <c r="P1689" s="253">
        <v>0.6105454545454545</v>
      </c>
      <c r="Q1689" s="253">
        <v>0.60027027027027025</v>
      </c>
      <c r="R1689" s="253">
        <v>0.62606078064237369</v>
      </c>
      <c r="S1689" s="253">
        <v>0.53942307692307689</v>
      </c>
      <c r="T1689" s="253">
        <v>0.67137404580152671</v>
      </c>
      <c r="U1689" s="253">
        <v>0.60583333333333333</v>
      </c>
      <c r="V1689" s="253">
        <v>0.61706976744186048</v>
      </c>
      <c r="W1689" s="253"/>
      <c r="X1689" s="253">
        <v>0.54529411764705871</v>
      </c>
      <c r="Y1689" s="253">
        <v>0.54364406779661023</v>
      </c>
      <c r="Z1689" s="253">
        <v>0.66538461538461535</v>
      </c>
      <c r="AA1689" s="253"/>
      <c r="AB1689" s="253"/>
      <c r="AC1689" s="253"/>
      <c r="AD1689" s="253"/>
      <c r="AE1689" s="253"/>
    </row>
    <row r="1690" spans="1:31">
      <c r="A1690" s="33">
        <v>1689</v>
      </c>
      <c r="B1690" s="69" t="s">
        <v>669</v>
      </c>
      <c r="C1690" s="69" t="s">
        <v>1330</v>
      </c>
      <c r="D1690" s="56">
        <v>42936</v>
      </c>
      <c r="E1690" s="33" t="s">
        <v>724</v>
      </c>
      <c r="F1690" s="69" t="s">
        <v>755</v>
      </c>
      <c r="G1690" s="69" t="str">
        <f t="shared" si="26"/>
        <v>E-Commerce</v>
      </c>
      <c r="H1690" s="69" t="s">
        <v>364</v>
      </c>
      <c r="I1690" s="69" t="s">
        <v>1331</v>
      </c>
      <c r="J1690" s="69" t="s">
        <v>669</v>
      </c>
      <c r="K1690" s="69" t="s">
        <v>727</v>
      </c>
      <c r="L1690" s="253">
        <v>0.65471328671328677</v>
      </c>
      <c r="M1690" s="253">
        <v>0.63896620264079662</v>
      </c>
      <c r="N1690" s="253">
        <v>0.62248342628643583</v>
      </c>
      <c r="O1690" s="253">
        <v>0.59806810396481747</v>
      </c>
      <c r="P1690" s="253">
        <v>0.66454545454545455</v>
      </c>
      <c r="Q1690" s="253">
        <v>0.63216216216216203</v>
      </c>
      <c r="R1690" s="253">
        <v>0.61808440155552358</v>
      </c>
      <c r="S1690" s="253">
        <v>0.64433962264150957</v>
      </c>
      <c r="T1690" s="253">
        <v>0.62328244274809164</v>
      </c>
      <c r="U1690" s="253">
        <v>0.67983539094650214</v>
      </c>
      <c r="V1690" s="253">
        <v>0.62958139534883717</v>
      </c>
      <c r="W1690" s="253"/>
      <c r="X1690" s="253">
        <v>0.59882352941176464</v>
      </c>
      <c r="Y1690" s="253">
        <v>0.58083333333333331</v>
      </c>
      <c r="Z1690" s="253">
        <v>0.61538461538461542</v>
      </c>
      <c r="AA1690" s="253"/>
      <c r="AB1690" s="253"/>
      <c r="AC1690" s="253"/>
      <c r="AD1690" s="253"/>
      <c r="AE1690" s="253"/>
    </row>
    <row r="1691" spans="1:31">
      <c r="A1691" s="33">
        <v>1690</v>
      </c>
      <c r="B1691" s="69" t="s">
        <v>669</v>
      </c>
      <c r="C1691" s="69" t="s">
        <v>1330</v>
      </c>
      <c r="D1691" s="56">
        <v>42936</v>
      </c>
      <c r="E1691" s="33" t="s">
        <v>724</v>
      </c>
      <c r="F1691" s="69" t="s">
        <v>755</v>
      </c>
      <c r="G1691" s="69" t="str">
        <f t="shared" si="26"/>
        <v>E-Commerce</v>
      </c>
      <c r="H1691" s="69" t="s">
        <v>364</v>
      </c>
      <c r="I1691" s="69" t="s">
        <v>1331</v>
      </c>
      <c r="J1691" s="69" t="s">
        <v>669</v>
      </c>
      <c r="K1691" s="69" t="s">
        <v>736</v>
      </c>
      <c r="L1691" s="253">
        <v>0.57618741258741268</v>
      </c>
      <c r="M1691" s="253">
        <v>0.593543206309881</v>
      </c>
      <c r="N1691" s="253">
        <v>0.62931916236977803</v>
      </c>
      <c r="O1691" s="253">
        <v>0.58332158189613781</v>
      </c>
      <c r="P1691" s="253">
        <v>0.55927272727272737</v>
      </c>
      <c r="Q1691" s="253">
        <v>0.57418918918918915</v>
      </c>
      <c r="R1691" s="253">
        <v>0.60347832349128616</v>
      </c>
      <c r="S1691" s="253">
        <v>0.57009615384615397</v>
      </c>
      <c r="T1691" s="253">
        <v>0.60114503816793896</v>
      </c>
      <c r="U1691" s="253">
        <v>0.59316666666666662</v>
      </c>
      <c r="V1691" s="253">
        <v>0.59823255813953491</v>
      </c>
      <c r="W1691" s="253"/>
      <c r="X1691" s="253">
        <v>0.73294117647058821</v>
      </c>
      <c r="Y1691" s="253">
        <v>0.56336864406779652</v>
      </c>
      <c r="Z1691" s="253">
        <v>0.64384615384615385</v>
      </c>
      <c r="AA1691" s="253"/>
      <c r="AB1691" s="253"/>
      <c r="AC1691" s="253"/>
      <c r="AD1691" s="253"/>
      <c r="AE1691" s="253"/>
    </row>
    <row r="1692" spans="1:31">
      <c r="A1692" s="33">
        <v>1691</v>
      </c>
      <c r="B1692" s="69" t="s">
        <v>669</v>
      </c>
      <c r="C1692" s="69" t="s">
        <v>1330</v>
      </c>
      <c r="D1692" s="56">
        <v>42936</v>
      </c>
      <c r="E1692" s="33" t="s">
        <v>724</v>
      </c>
      <c r="F1692" s="69" t="s">
        <v>755</v>
      </c>
      <c r="G1692" s="69" t="str">
        <f t="shared" si="26"/>
        <v>E-Commerce</v>
      </c>
      <c r="H1692" s="69" t="s">
        <v>364</v>
      </c>
      <c r="I1692" s="69" t="s">
        <v>1331</v>
      </c>
      <c r="J1692" s="69" t="s">
        <v>669</v>
      </c>
      <c r="K1692" s="69" t="s">
        <v>78</v>
      </c>
      <c r="L1692" s="253">
        <v>0.62650000000000006</v>
      </c>
      <c r="M1692" s="253">
        <v>0.67591739130434791</v>
      </c>
      <c r="N1692" s="253">
        <v>0.72667000000000004</v>
      </c>
      <c r="O1692" s="253">
        <v>0.6446764705882353</v>
      </c>
      <c r="P1692" s="253">
        <v>0.623</v>
      </c>
      <c r="Q1692" s="253">
        <v>0.67849999999999999</v>
      </c>
      <c r="R1692" s="253">
        <v>0.71499999999999997</v>
      </c>
      <c r="S1692" s="253">
        <v>0.65149999999999997</v>
      </c>
      <c r="T1692" s="253">
        <v>0.70669999999999999</v>
      </c>
      <c r="U1692" s="253">
        <v>0.65</v>
      </c>
      <c r="V1692" s="253">
        <v>0.72670000000000001</v>
      </c>
      <c r="W1692" s="253"/>
      <c r="X1692" s="253"/>
      <c r="Y1692" s="253">
        <v>0.62780000000000002</v>
      </c>
      <c r="Z1692" s="253">
        <v>0.64049999999999996</v>
      </c>
      <c r="AA1692" s="253"/>
      <c r="AB1692" s="253"/>
      <c r="AC1692" s="253"/>
      <c r="AD1692" s="253"/>
      <c r="AE1692" s="253"/>
    </row>
    <row r="1693" spans="1:31">
      <c r="A1693" s="33">
        <v>1692</v>
      </c>
      <c r="B1693" s="69" t="s">
        <v>669</v>
      </c>
      <c r="C1693" s="69" t="s">
        <v>1330</v>
      </c>
      <c r="D1693" s="56">
        <v>42936</v>
      </c>
      <c r="E1693" s="33" t="s">
        <v>724</v>
      </c>
      <c r="F1693" s="69" t="s">
        <v>755</v>
      </c>
      <c r="G1693" s="69" t="str">
        <f t="shared" si="26"/>
        <v>E-Commerce</v>
      </c>
      <c r="H1693" s="69" t="s">
        <v>364</v>
      </c>
      <c r="I1693" s="69" t="s">
        <v>1331</v>
      </c>
      <c r="J1693" s="69" t="s">
        <v>669</v>
      </c>
      <c r="K1693" s="69" t="s">
        <v>389</v>
      </c>
      <c r="L1693" s="253">
        <v>0.70201678321678318</v>
      </c>
      <c r="M1693" s="253">
        <v>0.71763871731705042</v>
      </c>
      <c r="N1693" s="253">
        <v>0.6819004524886878</v>
      </c>
      <c r="O1693" s="253">
        <v>0.74039999999999995</v>
      </c>
      <c r="P1693" s="253">
        <v>0.74963636363636366</v>
      </c>
      <c r="Q1693" s="253">
        <v>0.70337837837837835</v>
      </c>
      <c r="R1693" s="253">
        <v>0.69621921359642802</v>
      </c>
      <c r="S1693" s="253">
        <v>0.78773584905660377</v>
      </c>
      <c r="T1693" s="253">
        <v>0.61832061068702293</v>
      </c>
      <c r="U1693" s="253">
        <v>0.8364197530864198</v>
      </c>
      <c r="V1693" s="253">
        <v>0.67999999999999994</v>
      </c>
      <c r="W1693" s="253"/>
      <c r="X1693" s="253">
        <v>0.68823529411764706</v>
      </c>
      <c r="Y1693" s="253">
        <v>0.80291666666666672</v>
      </c>
      <c r="Z1693" s="253">
        <v>0.5115384615384615</v>
      </c>
      <c r="AA1693" s="253"/>
      <c r="AB1693" s="253"/>
      <c r="AC1693" s="253"/>
      <c r="AD1693" s="253"/>
      <c r="AE1693" s="253"/>
    </row>
    <row r="1694" spans="1:31">
      <c r="A1694" s="33">
        <v>1693</v>
      </c>
      <c r="B1694" s="69" t="s">
        <v>669</v>
      </c>
      <c r="C1694" s="69" t="s">
        <v>1330</v>
      </c>
      <c r="D1694" s="56">
        <v>42936</v>
      </c>
      <c r="E1694" s="33" t="s">
        <v>724</v>
      </c>
      <c r="F1694" s="69" t="s">
        <v>755</v>
      </c>
      <c r="G1694" s="69" t="str">
        <f t="shared" si="26"/>
        <v>E-Commerce</v>
      </c>
      <c r="H1694" s="69" t="s">
        <v>364</v>
      </c>
      <c r="I1694" s="69" t="s">
        <v>1331</v>
      </c>
      <c r="J1694" s="69" t="s">
        <v>669</v>
      </c>
      <c r="K1694" s="69" t="s">
        <v>654</v>
      </c>
      <c r="L1694" s="253">
        <v>0.67255832167832152</v>
      </c>
      <c r="M1694" s="253">
        <v>0.74450000000000005</v>
      </c>
      <c r="N1694" s="253">
        <v>0.69259999999999999</v>
      </c>
      <c r="O1694" s="253">
        <v>0.65048155515063044</v>
      </c>
      <c r="P1694" s="253">
        <v>0.68223636363636353</v>
      </c>
      <c r="Q1694" s="253">
        <v>0.70121621621621621</v>
      </c>
      <c r="R1694" s="253">
        <v>0.77163293965144741</v>
      </c>
      <c r="S1694" s="253">
        <v>0.68820754716981136</v>
      </c>
      <c r="T1694" s="253">
        <v>0.78580152671755721</v>
      </c>
      <c r="U1694" s="253">
        <v>0.76242798353909469</v>
      </c>
      <c r="V1694" s="253">
        <v>0.69255813953488377</v>
      </c>
      <c r="W1694" s="253"/>
      <c r="X1694" s="253"/>
      <c r="Y1694" s="253">
        <v>0.62239583333333337</v>
      </c>
      <c r="Z1694" s="253">
        <v>0.63384615384615384</v>
      </c>
      <c r="AA1694" s="253"/>
      <c r="AB1694" s="253"/>
      <c r="AC1694" s="253"/>
      <c r="AD1694" s="253"/>
      <c r="AE1694" s="253"/>
    </row>
    <row r="1695" spans="1:31">
      <c r="A1695" s="33">
        <v>1694</v>
      </c>
      <c r="B1695" s="69" t="s">
        <v>1323</v>
      </c>
      <c r="C1695" s="69" t="s">
        <v>823</v>
      </c>
      <c r="D1695" s="56">
        <v>42942</v>
      </c>
      <c r="E1695" s="33" t="s">
        <v>862</v>
      </c>
      <c r="F1695" s="69" t="s">
        <v>532</v>
      </c>
      <c r="G1695" s="69" t="str">
        <f t="shared" si="26"/>
        <v>E-Commerce</v>
      </c>
      <c r="H1695" s="69" t="s">
        <v>749</v>
      </c>
      <c r="I1695" s="69" t="s">
        <v>749</v>
      </c>
      <c r="J1695" s="69" t="s">
        <v>1323</v>
      </c>
      <c r="K1695" s="69" t="s">
        <v>1219</v>
      </c>
      <c r="L1695" s="253">
        <v>0.56645314685314685</v>
      </c>
      <c r="M1695" s="253">
        <v>0.58711777908348184</v>
      </c>
      <c r="N1695" s="253">
        <v>0.58836999999999995</v>
      </c>
      <c r="O1695" s="253">
        <v>0.57557145755542216</v>
      </c>
      <c r="P1695" s="253">
        <v>0.55018181818181811</v>
      </c>
      <c r="Q1695" s="253">
        <v>0.59405405405405409</v>
      </c>
      <c r="R1695" s="253">
        <v>0.59653319890537226</v>
      </c>
      <c r="S1695" s="253">
        <v>0.56060606060606055</v>
      </c>
      <c r="T1695" s="253">
        <v>0.60954198473282439</v>
      </c>
      <c r="U1695" s="253">
        <v>0.56213991769547322</v>
      </c>
      <c r="V1695" s="253">
        <v>0.58837209302325577</v>
      </c>
      <c r="W1695" s="253">
        <v>0</v>
      </c>
      <c r="X1695" s="253">
        <v>0</v>
      </c>
      <c r="Y1695" s="253">
        <v>0.55423728813559325</v>
      </c>
      <c r="Z1695" s="253">
        <v>0.63153846153846149</v>
      </c>
      <c r="AA1695" s="253"/>
      <c r="AB1695" s="253"/>
      <c r="AC1695" s="253"/>
      <c r="AD1695" s="253"/>
      <c r="AE1695" s="253"/>
    </row>
    <row r="1696" spans="1:31">
      <c r="A1696" s="33">
        <v>1695</v>
      </c>
      <c r="B1696" s="69" t="s">
        <v>1323</v>
      </c>
      <c r="C1696" s="69" t="s">
        <v>823</v>
      </c>
      <c r="D1696" s="56">
        <v>42942</v>
      </c>
      <c r="E1696" s="33" t="s">
        <v>862</v>
      </c>
      <c r="F1696" s="69" t="s">
        <v>532</v>
      </c>
      <c r="G1696" s="69" t="str">
        <f t="shared" si="26"/>
        <v>User Registration</v>
      </c>
      <c r="H1696" s="69" t="s">
        <v>749</v>
      </c>
      <c r="I1696" s="69" t="s">
        <v>749</v>
      </c>
      <c r="J1696" s="69" t="s">
        <v>1323</v>
      </c>
      <c r="K1696" s="69" t="s">
        <v>1224</v>
      </c>
      <c r="L1696" s="253">
        <v>0.59960000000000013</v>
      </c>
      <c r="M1696" s="253">
        <v>0.58711637372802961</v>
      </c>
      <c r="N1696" s="253">
        <v>0.56658371040723987</v>
      </c>
      <c r="O1696" s="253">
        <v>0.57509411764705876</v>
      </c>
      <c r="P1696" s="253">
        <v>0.60950000000000004</v>
      </c>
      <c r="Q1696" s="253">
        <v>0.56859999999999999</v>
      </c>
      <c r="R1696" s="253">
        <v>0.58299999999999996</v>
      </c>
      <c r="S1696" s="253">
        <v>0.56200000000000006</v>
      </c>
      <c r="T1696" s="253">
        <v>0.59042553191489366</v>
      </c>
      <c r="U1696" s="253">
        <v>0.63500000000000001</v>
      </c>
      <c r="V1696" s="253">
        <v>0</v>
      </c>
      <c r="W1696" s="253">
        <v>0.5675</v>
      </c>
      <c r="X1696" s="253">
        <v>0.56352941176470583</v>
      </c>
      <c r="Y1696" s="253">
        <v>0.57999999999999996</v>
      </c>
      <c r="Z1696" s="253">
        <v>0.56000000000000005</v>
      </c>
      <c r="AA1696" s="253"/>
      <c r="AB1696" s="253"/>
      <c r="AC1696" s="253">
        <v>52</v>
      </c>
      <c r="AD1696" s="253"/>
      <c r="AE1696" s="253"/>
    </row>
    <row r="1697" spans="1:31">
      <c r="A1697" s="33">
        <v>1696</v>
      </c>
      <c r="B1697" s="69" t="s">
        <v>1323</v>
      </c>
      <c r="C1697" s="69" t="s">
        <v>823</v>
      </c>
      <c r="D1697" s="56">
        <v>42942</v>
      </c>
      <c r="E1697" s="33" t="s">
        <v>862</v>
      </c>
      <c r="F1697" s="69" t="s">
        <v>532</v>
      </c>
      <c r="G1697" s="69" t="str">
        <f t="shared" si="26"/>
        <v>User Registration</v>
      </c>
      <c r="H1697" s="69" t="s">
        <v>749</v>
      </c>
      <c r="I1697" s="69" t="s">
        <v>749</v>
      </c>
      <c r="J1697" s="69" t="s">
        <v>1323</v>
      </c>
      <c r="K1697" s="69" t="s">
        <v>1226</v>
      </c>
      <c r="L1697" s="253">
        <v>0.55600000000000005</v>
      </c>
      <c r="M1697" s="253">
        <v>0.59949632843152878</v>
      </c>
      <c r="N1697" s="253">
        <v>0.53877828054298638</v>
      </c>
      <c r="O1697" s="253">
        <v>0.60295294117647058</v>
      </c>
      <c r="P1697" s="253">
        <v>0.55000000000000004</v>
      </c>
      <c r="Q1697" s="253">
        <v>0.59819999999999995</v>
      </c>
      <c r="R1697" s="253">
        <v>0.62</v>
      </c>
      <c r="S1697" s="253">
        <v>0.57199999999999995</v>
      </c>
      <c r="T1697" s="253">
        <v>0.61702127659574468</v>
      </c>
      <c r="U1697" s="253">
        <v>0.59931034482758616</v>
      </c>
      <c r="V1697" s="253">
        <v>0</v>
      </c>
      <c r="W1697" s="253">
        <v>0.54</v>
      </c>
      <c r="X1697" s="253">
        <v>0.53470588235294114</v>
      </c>
      <c r="Y1697" s="253">
        <v>0.61</v>
      </c>
      <c r="Z1697" s="253">
        <v>0.57999999999999996</v>
      </c>
      <c r="AA1697" s="253"/>
      <c r="AB1697" s="253"/>
      <c r="AC1697" s="253">
        <v>56.999999999999993</v>
      </c>
      <c r="AD1697" s="253"/>
      <c r="AE1697" s="253"/>
    </row>
    <row r="1698" spans="1:31">
      <c r="A1698" s="33">
        <v>1697</v>
      </c>
      <c r="B1698" s="69" t="s">
        <v>1323</v>
      </c>
      <c r="C1698" s="69" t="s">
        <v>823</v>
      </c>
      <c r="D1698" s="56">
        <v>42942</v>
      </c>
      <c r="E1698" s="33" t="s">
        <v>862</v>
      </c>
      <c r="F1698" s="69" t="s">
        <v>532</v>
      </c>
      <c r="G1698" s="69" t="str">
        <f t="shared" si="26"/>
        <v>E-Commerce</v>
      </c>
      <c r="H1698" s="69" t="s">
        <v>749</v>
      </c>
      <c r="I1698" s="69" t="s">
        <v>749</v>
      </c>
      <c r="J1698" s="69" t="s">
        <v>1323</v>
      </c>
      <c r="K1698" s="69" t="s">
        <v>1216</v>
      </c>
      <c r="L1698" s="253">
        <v>0.52816363636363628</v>
      </c>
      <c r="M1698" s="253">
        <v>0.58948484465158457</v>
      </c>
      <c r="N1698" s="253">
        <v>0.56767441860465118</v>
      </c>
      <c r="O1698" s="253">
        <v>0.58912818482599638</v>
      </c>
      <c r="P1698" s="253">
        <v>0.52145454545454539</v>
      </c>
      <c r="Q1698" s="253">
        <v>0.58837837837837836</v>
      </c>
      <c r="R1698" s="253">
        <v>0.60959850811759553</v>
      </c>
      <c r="S1698" s="253">
        <v>0.58396226415094343</v>
      </c>
      <c r="T1698" s="253">
        <v>0.58779069767441861</v>
      </c>
      <c r="U1698" s="253">
        <v>0.53148148148148133</v>
      </c>
      <c r="V1698" s="253">
        <v>0.56767441860465118</v>
      </c>
      <c r="W1698" s="253">
        <v>0</v>
      </c>
      <c r="X1698" s="253">
        <v>0</v>
      </c>
      <c r="Y1698" s="253">
        <v>0.62468750000000006</v>
      </c>
      <c r="Z1698" s="253">
        <v>0.55499999999999994</v>
      </c>
      <c r="AA1698" s="253"/>
      <c r="AB1698" s="253"/>
      <c r="AC1698" s="253">
        <v>25</v>
      </c>
      <c r="AD1698" s="253"/>
      <c r="AE1698" s="253"/>
    </row>
    <row r="1699" spans="1:31">
      <c r="A1699" s="33">
        <v>1698</v>
      </c>
      <c r="B1699" s="69" t="s">
        <v>1323</v>
      </c>
      <c r="C1699" s="69" t="s">
        <v>823</v>
      </c>
      <c r="D1699" s="56">
        <v>42942</v>
      </c>
      <c r="E1699" s="33" t="s">
        <v>862</v>
      </c>
      <c r="F1699" s="69" t="s">
        <v>532</v>
      </c>
      <c r="G1699" s="69" t="str">
        <f t="shared" si="26"/>
        <v>User Registration</v>
      </c>
      <c r="H1699" s="69" t="s">
        <v>749</v>
      </c>
      <c r="I1699" s="69" t="s">
        <v>749</v>
      </c>
      <c r="J1699" s="69" t="s">
        <v>1323</v>
      </c>
      <c r="K1699" s="69" t="s">
        <v>1223</v>
      </c>
      <c r="L1699" s="253">
        <v>0.60635244755244755</v>
      </c>
      <c r="M1699" s="253">
        <v>0.64293230904325893</v>
      </c>
      <c r="N1699" s="253">
        <v>0.63531249999999995</v>
      </c>
      <c r="O1699" s="253">
        <v>0.5731064672288666</v>
      </c>
      <c r="P1699" s="253">
        <v>0.62236363636363634</v>
      </c>
      <c r="Q1699" s="253">
        <v>0.64216216216216215</v>
      </c>
      <c r="R1699" s="253">
        <v>0.7016860698514652</v>
      </c>
      <c r="S1699" s="253">
        <v>0.6120192307692307</v>
      </c>
      <c r="T1699" s="253">
        <v>0.65797872340425523</v>
      </c>
      <c r="U1699" s="253">
        <v>0.64074712643678156</v>
      </c>
      <c r="V1699" s="253">
        <v>0</v>
      </c>
      <c r="W1699" s="253">
        <v>0.63531249999999995</v>
      </c>
      <c r="X1699" s="253">
        <v>0</v>
      </c>
      <c r="Y1699" s="253">
        <v>0.54583333333333328</v>
      </c>
      <c r="Z1699" s="253">
        <v>0.54230769230769227</v>
      </c>
      <c r="AA1699" s="253"/>
      <c r="AB1699" s="253"/>
      <c r="AC1699" s="253">
        <v>56.999999999999993</v>
      </c>
      <c r="AD1699" s="253"/>
      <c r="AE1699" s="253"/>
    </row>
    <row r="1700" spans="1:31">
      <c r="A1700" s="33">
        <v>1699</v>
      </c>
      <c r="B1700" s="69" t="s">
        <v>1323</v>
      </c>
      <c r="C1700" s="69" t="s">
        <v>823</v>
      </c>
      <c r="D1700" s="56">
        <v>42942</v>
      </c>
      <c r="E1700" s="33" t="s">
        <v>862</v>
      </c>
      <c r="F1700" s="69" t="s">
        <v>532</v>
      </c>
      <c r="G1700" s="69" t="str">
        <f t="shared" si="26"/>
        <v>User Registration</v>
      </c>
      <c r="H1700" s="69" t="s">
        <v>749</v>
      </c>
      <c r="I1700" s="69" t="s">
        <v>749</v>
      </c>
      <c r="J1700" s="69" t="s">
        <v>1323</v>
      </c>
      <c r="K1700" s="69" t="s">
        <v>1227</v>
      </c>
      <c r="L1700" s="253">
        <v>0.60676923076923073</v>
      </c>
      <c r="M1700" s="253">
        <v>0.59724454865870102</v>
      </c>
      <c r="N1700" s="253">
        <v>0.57250000000000001</v>
      </c>
      <c r="O1700" s="253">
        <v>0.56134639701703182</v>
      </c>
      <c r="P1700" s="253">
        <v>0.62</v>
      </c>
      <c r="Q1700" s="253">
        <v>0.57040540540540541</v>
      </c>
      <c r="R1700" s="253">
        <v>0.61184263348052981</v>
      </c>
      <c r="S1700" s="253">
        <v>0.67788461538461542</v>
      </c>
      <c r="T1700" s="253">
        <v>0.55425531914893611</v>
      </c>
      <c r="U1700" s="253">
        <v>0.58275862068965523</v>
      </c>
      <c r="V1700" s="253">
        <v>0</v>
      </c>
      <c r="W1700" s="253">
        <v>0.57250000000000001</v>
      </c>
      <c r="X1700" s="253">
        <v>0</v>
      </c>
      <c r="Y1700" s="253">
        <v>0.54093749999999996</v>
      </c>
      <c r="Z1700" s="253">
        <v>0.55384615384615388</v>
      </c>
      <c r="AA1700" s="253"/>
      <c r="AB1700" s="253"/>
      <c r="AC1700" s="253">
        <v>61</v>
      </c>
      <c r="AD1700" s="253"/>
      <c r="AE1700" s="253"/>
    </row>
    <row r="1701" spans="1:31">
      <c r="A1701" s="33">
        <v>1700</v>
      </c>
      <c r="B1701" s="69" t="s">
        <v>1323</v>
      </c>
      <c r="C1701" s="69" t="s">
        <v>823</v>
      </c>
      <c r="D1701" s="56">
        <v>42942</v>
      </c>
      <c r="E1701" s="33" t="s">
        <v>862</v>
      </c>
      <c r="F1701" s="69" t="s">
        <v>532</v>
      </c>
      <c r="G1701" s="69" t="str">
        <f t="shared" si="26"/>
        <v>User Registration</v>
      </c>
      <c r="H1701" s="69" t="s">
        <v>749</v>
      </c>
      <c r="I1701" s="69" t="s">
        <v>749</v>
      </c>
      <c r="J1701" s="69" t="s">
        <v>1323</v>
      </c>
      <c r="K1701" s="69" t="s">
        <v>1225</v>
      </c>
      <c r="L1701" s="253">
        <v>0.58798601398601402</v>
      </c>
      <c r="M1701" s="253">
        <v>0.58118301491433066</v>
      </c>
      <c r="N1701" s="253">
        <v>0.61749999999999994</v>
      </c>
      <c r="O1701" s="253">
        <v>0.58020071439850285</v>
      </c>
      <c r="P1701" s="253">
        <v>0.59363636363636363</v>
      </c>
      <c r="Q1701" s="253">
        <v>0.59094594594594585</v>
      </c>
      <c r="R1701" s="253">
        <v>0.61756322761942994</v>
      </c>
      <c r="S1701" s="253">
        <v>0.50576923076923075</v>
      </c>
      <c r="T1701" s="253">
        <v>0.56436170212765957</v>
      </c>
      <c r="U1701" s="253">
        <v>0.61373563218390803</v>
      </c>
      <c r="V1701" s="253">
        <v>0</v>
      </c>
      <c r="W1701" s="253">
        <v>0.61749999999999994</v>
      </c>
      <c r="X1701" s="253">
        <v>0</v>
      </c>
      <c r="Y1701" s="253">
        <v>0.58354166666666663</v>
      </c>
      <c r="Z1701" s="253">
        <v>0.56538461538461537</v>
      </c>
      <c r="AA1701" s="253"/>
      <c r="AB1701" s="253"/>
      <c r="AC1701" s="253"/>
      <c r="AD1701" s="253"/>
      <c r="AE1701" s="253"/>
    </row>
    <row r="1702" spans="1:31">
      <c r="A1702" s="33">
        <v>1701</v>
      </c>
      <c r="B1702" s="69" t="s">
        <v>1323</v>
      </c>
      <c r="C1702" s="69" t="s">
        <v>823</v>
      </c>
      <c r="D1702" s="56">
        <v>42942</v>
      </c>
      <c r="E1702" s="33" t="s">
        <v>862</v>
      </c>
      <c r="F1702" s="69" t="s">
        <v>532</v>
      </c>
      <c r="G1702" s="69" t="str">
        <f t="shared" si="26"/>
        <v>E-Commerce</v>
      </c>
      <c r="H1702" s="69" t="s">
        <v>749</v>
      </c>
      <c r="I1702" s="69" t="s">
        <v>749</v>
      </c>
      <c r="J1702" s="69" t="s">
        <v>1323</v>
      </c>
      <c r="K1702" s="69" t="s">
        <v>1217</v>
      </c>
      <c r="L1702" s="253">
        <v>0.60295151515151513</v>
      </c>
      <c r="M1702" s="253">
        <v>0.57942002170685736</v>
      </c>
      <c r="N1702" s="253">
        <v>0.59232558139534885</v>
      </c>
      <c r="O1702" s="253">
        <v>0.57415764951263837</v>
      </c>
      <c r="P1702" s="253">
        <v>0.61827272727272731</v>
      </c>
      <c r="Q1702" s="253">
        <v>0.63770270270270268</v>
      </c>
      <c r="R1702" s="253">
        <v>0.60780282298718136</v>
      </c>
      <c r="S1702" s="253">
        <v>0.52688679245283021</v>
      </c>
      <c r="T1702" s="253">
        <v>0.54961832061068705</v>
      </c>
      <c r="U1702" s="253">
        <v>0.54962962962962969</v>
      </c>
      <c r="V1702" s="253">
        <v>0.59232558139534885</v>
      </c>
      <c r="W1702" s="253">
        <v>0</v>
      </c>
      <c r="X1702" s="253">
        <v>0</v>
      </c>
      <c r="Y1702" s="253">
        <v>0.58781250000000007</v>
      </c>
      <c r="Z1702" s="253">
        <v>0.54166666666666663</v>
      </c>
      <c r="AA1702" s="253"/>
      <c r="AB1702" s="253"/>
      <c r="AC1702" s="253"/>
      <c r="AD1702" s="253"/>
      <c r="AE1702" s="253"/>
    </row>
    <row r="1703" spans="1:31">
      <c r="A1703" s="33">
        <v>1702</v>
      </c>
      <c r="B1703" s="69" t="s">
        <v>1254</v>
      </c>
      <c r="C1703" s="69" t="s">
        <v>1232</v>
      </c>
      <c r="D1703" s="56">
        <v>42943</v>
      </c>
      <c r="E1703" s="33" t="s">
        <v>724</v>
      </c>
      <c r="F1703" s="69" t="s">
        <v>532</v>
      </c>
      <c r="G1703" s="69" t="str">
        <f t="shared" si="26"/>
        <v>E-Commerce</v>
      </c>
      <c r="H1703" s="69" t="s">
        <v>364</v>
      </c>
      <c r="I1703" s="69" t="s">
        <v>1255</v>
      </c>
      <c r="J1703" s="69" t="s">
        <v>1254</v>
      </c>
      <c r="K1703" s="69" t="s">
        <v>78</v>
      </c>
      <c r="L1703" s="253">
        <v>65.527552447552438</v>
      </c>
      <c r="M1703" s="253">
        <v>66.51966372540825</v>
      </c>
      <c r="N1703" s="253">
        <v>73.67</v>
      </c>
      <c r="O1703" s="253">
        <v>65.565900057943153</v>
      </c>
      <c r="P1703" s="253">
        <v>66.23636363636362</v>
      </c>
      <c r="Q1703" s="253">
        <v>65.72972972972974</v>
      </c>
      <c r="R1703" s="253">
        <v>65.708705157151556</v>
      </c>
      <c r="S1703" s="253">
        <v>69.70873786407769</v>
      </c>
      <c r="T1703" s="253">
        <v>63.549618320610676</v>
      </c>
      <c r="U1703" s="253">
        <v>68.724279835390945</v>
      </c>
      <c r="V1703" s="253">
        <v>73.67</v>
      </c>
      <c r="W1703" s="253"/>
      <c r="X1703" s="253"/>
      <c r="Y1703" s="253">
        <v>65.968750000000014</v>
      </c>
      <c r="Z1703" s="253">
        <v>62.692307692307693</v>
      </c>
      <c r="AA1703" s="253"/>
      <c r="AB1703" s="253"/>
      <c r="AC1703" s="253"/>
      <c r="AD1703" s="253"/>
      <c r="AE1703" s="253"/>
    </row>
    <row r="1704" spans="1:31">
      <c r="A1704" s="33">
        <v>1703</v>
      </c>
      <c r="B1704" s="69" t="s">
        <v>1254</v>
      </c>
      <c r="C1704" s="69" t="s">
        <v>1232</v>
      </c>
      <c r="D1704" s="56">
        <v>42943</v>
      </c>
      <c r="E1704" s="33" t="s">
        <v>724</v>
      </c>
      <c r="F1704" s="69" t="s">
        <v>532</v>
      </c>
      <c r="G1704" s="69" t="str">
        <f t="shared" si="26"/>
        <v>E-Commerce</v>
      </c>
      <c r="H1704" s="69" t="s">
        <v>364</v>
      </c>
      <c r="I1704" s="69" t="s">
        <v>1255</v>
      </c>
      <c r="J1704" s="69" t="s">
        <v>1254</v>
      </c>
      <c r="K1704" s="69" t="s">
        <v>1095</v>
      </c>
      <c r="L1704" s="253">
        <v>60.162517482517487</v>
      </c>
      <c r="M1704" s="253">
        <v>60.745834948225216</v>
      </c>
      <c r="N1704" s="253">
        <v>64.470588235294116</v>
      </c>
      <c r="O1704" s="253">
        <v>61.995276935530676</v>
      </c>
      <c r="P1704" s="253">
        <v>60.145454545454548</v>
      </c>
      <c r="Q1704" s="253">
        <v>57.310810810810807</v>
      </c>
      <c r="R1704" s="253">
        <v>63.478622370354444</v>
      </c>
      <c r="S1704" s="253">
        <v>59.271844660194184</v>
      </c>
      <c r="T1704" s="253">
        <v>61.641221374045806</v>
      </c>
      <c r="U1704" s="253">
        <v>61.609053497942391</v>
      </c>
      <c r="V1704" s="253">
        <v>65</v>
      </c>
      <c r="W1704" s="253"/>
      <c r="X1704" s="253">
        <v>62.705882352941174</v>
      </c>
      <c r="Y1704" s="253">
        <v>62.968749999999993</v>
      </c>
      <c r="Z1704" s="253">
        <v>60.230769230769241</v>
      </c>
      <c r="AA1704" s="253"/>
      <c r="AB1704" s="253"/>
      <c r="AC1704" s="253"/>
      <c r="AD1704" s="253"/>
      <c r="AE1704" s="253"/>
    </row>
    <row r="1705" spans="1:31">
      <c r="A1705" s="33">
        <v>1704</v>
      </c>
      <c r="B1705" s="69" t="s">
        <v>1254</v>
      </c>
      <c r="C1705" s="69" t="s">
        <v>1232</v>
      </c>
      <c r="D1705" s="56">
        <v>42943</v>
      </c>
      <c r="E1705" s="33" t="s">
        <v>724</v>
      </c>
      <c r="F1705" s="69" t="s">
        <v>532</v>
      </c>
      <c r="G1705" s="69" t="str">
        <f t="shared" si="26"/>
        <v>E-Commerce</v>
      </c>
      <c r="H1705" s="69" t="s">
        <v>364</v>
      </c>
      <c r="I1705" s="69" t="s">
        <v>1255</v>
      </c>
      <c r="J1705" s="69" t="s">
        <v>1254</v>
      </c>
      <c r="K1705" s="69" t="s">
        <v>1254</v>
      </c>
      <c r="L1705" s="253">
        <v>57.365314685314679</v>
      </c>
      <c r="M1705" s="253">
        <v>57.666945133351817</v>
      </c>
      <c r="N1705" s="253">
        <v>59.096596498131028</v>
      </c>
      <c r="O1705" s="253">
        <v>57.942472630382845</v>
      </c>
      <c r="P1705" s="253">
        <v>56.418181818181807</v>
      </c>
      <c r="Q1705" s="253">
        <v>60.968749999999993</v>
      </c>
      <c r="R1705" s="253">
        <v>60.250869082177552</v>
      </c>
      <c r="S1705" s="253">
        <v>55.194174757281552</v>
      </c>
      <c r="T1705" s="253">
        <v>58.778625954198468</v>
      </c>
      <c r="U1705" s="253">
        <v>52.358024691358025</v>
      </c>
      <c r="V1705" s="253">
        <v>58.260869565217384</v>
      </c>
      <c r="W1705" s="253"/>
      <c r="X1705" s="253">
        <v>61.882352941176478</v>
      </c>
      <c r="Y1705" s="253">
        <v>56.489583333333329</v>
      </c>
      <c r="Z1705" s="253">
        <v>61.15384615384616</v>
      </c>
      <c r="AA1705" s="253"/>
      <c r="AB1705" s="253"/>
      <c r="AC1705" s="253"/>
      <c r="AD1705" s="253"/>
      <c r="AE1705" s="253"/>
    </row>
    <row r="1706" spans="1:31">
      <c r="A1706" s="33">
        <v>1705</v>
      </c>
      <c r="B1706" s="69" t="s">
        <v>1254</v>
      </c>
      <c r="C1706" s="69" t="s">
        <v>1232</v>
      </c>
      <c r="D1706" s="56">
        <v>42943</v>
      </c>
      <c r="E1706" s="33" t="s">
        <v>724</v>
      </c>
      <c r="F1706" s="69" t="s">
        <v>532</v>
      </c>
      <c r="G1706" s="69" t="str">
        <f t="shared" si="26"/>
        <v>ERROR</v>
      </c>
      <c r="H1706" s="69" t="s">
        <v>364</v>
      </c>
      <c r="I1706" s="69" t="s">
        <v>1255</v>
      </c>
      <c r="J1706" s="69" t="s">
        <v>1254</v>
      </c>
      <c r="K1706" s="69" t="s">
        <v>1257</v>
      </c>
      <c r="L1706" s="253">
        <v>55.368111888111883</v>
      </c>
      <c r="M1706" s="253">
        <v>55.217412416003988</v>
      </c>
      <c r="N1706" s="253">
        <v>59.24</v>
      </c>
      <c r="O1706" s="253">
        <v>54.558104338464318</v>
      </c>
      <c r="P1706" s="253">
        <v>54.690909090909088</v>
      </c>
      <c r="Q1706" s="253">
        <v>58.75</v>
      </c>
      <c r="R1706" s="253">
        <v>56.872737698455353</v>
      </c>
      <c r="S1706" s="253">
        <v>51.699029126213588</v>
      </c>
      <c r="T1706" s="253">
        <v>48.282442748091604</v>
      </c>
      <c r="U1706" s="253">
        <v>56.567901234567898</v>
      </c>
      <c r="V1706" s="253"/>
      <c r="W1706" s="253"/>
      <c r="X1706" s="253">
        <v>59.235294117647065</v>
      </c>
      <c r="Y1706" s="253">
        <v>52.90625</v>
      </c>
      <c r="Z1706" s="253">
        <v>58.07692307692308</v>
      </c>
      <c r="AA1706" s="253"/>
      <c r="AB1706" s="253"/>
      <c r="AC1706" s="253"/>
      <c r="AD1706" s="253"/>
      <c r="AE1706" s="253"/>
    </row>
    <row r="1707" spans="1:31">
      <c r="A1707" s="33">
        <v>1706</v>
      </c>
      <c r="B1707" s="69" t="s">
        <v>1254</v>
      </c>
      <c r="C1707" s="69" t="s">
        <v>1232</v>
      </c>
      <c r="D1707" s="56">
        <v>42943</v>
      </c>
      <c r="E1707" s="33" t="s">
        <v>724</v>
      </c>
      <c r="F1707" s="69" t="s">
        <v>532</v>
      </c>
      <c r="G1707" s="69" t="str">
        <f t="shared" si="26"/>
        <v>E-Commerce</v>
      </c>
      <c r="H1707" s="69" t="s">
        <v>364</v>
      </c>
      <c r="I1707" s="69" t="s">
        <v>1255</v>
      </c>
      <c r="J1707" s="69" t="s">
        <v>1254</v>
      </c>
      <c r="K1707" s="69" t="s">
        <v>1258</v>
      </c>
      <c r="L1707" s="253">
        <v>60.298741258741259</v>
      </c>
      <c r="M1707" s="253">
        <v>61.355344813432275</v>
      </c>
      <c r="N1707" s="253">
        <v>60.143074955734811</v>
      </c>
      <c r="O1707" s="253">
        <v>58.582401897108028</v>
      </c>
      <c r="P1707" s="253">
        <v>61.527272727272717</v>
      </c>
      <c r="Q1707" s="253">
        <v>61.890625</v>
      </c>
      <c r="R1707" s="253">
        <v>60.105365014514568</v>
      </c>
      <c r="S1707" s="253">
        <v>65.145631067961162</v>
      </c>
      <c r="T1707" s="253">
        <v>60.687022900763353</v>
      </c>
      <c r="U1707" s="253">
        <v>61.934156378600825</v>
      </c>
      <c r="V1707" s="253">
        <v>60.027173913043477</v>
      </c>
      <c r="W1707" s="253"/>
      <c r="X1707" s="253">
        <v>60.529411764705884</v>
      </c>
      <c r="Y1707" s="253">
        <v>58.25</v>
      </c>
      <c r="Z1707" s="253">
        <v>55.384615384615387</v>
      </c>
      <c r="AA1707" s="253"/>
      <c r="AB1707" s="253"/>
      <c r="AC1707" s="253"/>
      <c r="AD1707" s="253"/>
      <c r="AE1707" s="253"/>
    </row>
    <row r="1708" spans="1:31">
      <c r="A1708" s="33">
        <v>1707</v>
      </c>
      <c r="B1708" s="69" t="s">
        <v>1254</v>
      </c>
      <c r="C1708" s="69" t="s">
        <v>1232</v>
      </c>
      <c r="D1708" s="56">
        <v>42943</v>
      </c>
      <c r="E1708" s="33" t="s">
        <v>724</v>
      </c>
      <c r="F1708" s="69" t="s">
        <v>532</v>
      </c>
      <c r="G1708" s="69" t="str">
        <f t="shared" si="26"/>
        <v>E-Commerce</v>
      </c>
      <c r="H1708" s="69" t="s">
        <v>364</v>
      </c>
      <c r="I1708" s="69" t="s">
        <v>1255</v>
      </c>
      <c r="J1708" s="69" t="s">
        <v>1254</v>
      </c>
      <c r="K1708" s="69" t="s">
        <v>1259</v>
      </c>
      <c r="L1708" s="253">
        <v>58.273566433566423</v>
      </c>
      <c r="M1708" s="253">
        <v>59.093691329456796</v>
      </c>
      <c r="N1708" s="253">
        <v>61.678859897661432</v>
      </c>
      <c r="O1708" s="253">
        <v>58.812766613429602</v>
      </c>
      <c r="P1708" s="253">
        <v>58.072727272727263</v>
      </c>
      <c r="Q1708" s="253">
        <v>63.472972972972975</v>
      </c>
      <c r="R1708" s="253">
        <v>57.557251908396942</v>
      </c>
      <c r="S1708" s="253">
        <v>60.873786407766985</v>
      </c>
      <c r="T1708" s="253">
        <v>58.664122137404583</v>
      </c>
      <c r="U1708" s="253">
        <v>55.967078189300409</v>
      </c>
      <c r="V1708" s="253">
        <v>59.976635514018682</v>
      </c>
      <c r="W1708" s="253"/>
      <c r="X1708" s="253">
        <v>67.352941176470594</v>
      </c>
      <c r="Y1708" s="253">
        <v>58.312500000000007</v>
      </c>
      <c r="Z1708" s="253">
        <v>59.076923076923073</v>
      </c>
      <c r="AA1708" s="253"/>
      <c r="AB1708" s="253"/>
      <c r="AC1708" s="253"/>
      <c r="AD1708" s="253"/>
      <c r="AE1708" s="253"/>
    </row>
    <row r="1709" spans="1:31">
      <c r="A1709" s="33">
        <v>1708</v>
      </c>
      <c r="B1709" s="69" t="s">
        <v>1254</v>
      </c>
      <c r="C1709" s="69" t="s">
        <v>1232</v>
      </c>
      <c r="D1709" s="56">
        <v>42943</v>
      </c>
      <c r="E1709" s="33" t="s">
        <v>724</v>
      </c>
      <c r="F1709" s="69" t="s">
        <v>532</v>
      </c>
      <c r="G1709" s="69" t="str">
        <f t="shared" si="26"/>
        <v>E-Commerce</v>
      </c>
      <c r="H1709" s="69" t="s">
        <v>364</v>
      </c>
      <c r="I1709" s="69" t="s">
        <v>1255</v>
      </c>
      <c r="J1709" s="69" t="s">
        <v>1254</v>
      </c>
      <c r="K1709" s="69" t="s">
        <v>1261</v>
      </c>
      <c r="L1709" s="253">
        <v>52.587692307692301</v>
      </c>
      <c r="M1709" s="253">
        <v>49.813638529945486</v>
      </c>
      <c r="N1709" s="253">
        <v>54.183405928870478</v>
      </c>
      <c r="O1709" s="253">
        <v>50.901019868204862</v>
      </c>
      <c r="P1709" s="253">
        <v>51.599999999999987</v>
      </c>
      <c r="Q1709" s="253">
        <v>52.094594594594589</v>
      </c>
      <c r="R1709" s="253">
        <v>48.313084614557575</v>
      </c>
      <c r="S1709" s="253">
        <v>48.543689320388346</v>
      </c>
      <c r="T1709" s="253">
        <v>46.755725190839691</v>
      </c>
      <c r="U1709" s="253">
        <v>49.650205761316876</v>
      </c>
      <c r="V1709" s="253">
        <v>54.556074766355145</v>
      </c>
      <c r="W1709" s="253"/>
      <c r="X1709" s="253">
        <v>52.941176470588232</v>
      </c>
      <c r="Y1709" s="253">
        <v>49.84375</v>
      </c>
      <c r="Z1709" s="253">
        <v>56.538461538461533</v>
      </c>
      <c r="AA1709" s="253"/>
      <c r="AB1709" s="253"/>
      <c r="AC1709" s="253"/>
      <c r="AD1709" s="253"/>
      <c r="AE1709" s="253"/>
    </row>
    <row r="1710" spans="1:31">
      <c r="A1710" s="33">
        <v>1709</v>
      </c>
      <c r="B1710" s="69" t="s">
        <v>1254</v>
      </c>
      <c r="C1710" s="69" t="s">
        <v>1232</v>
      </c>
      <c r="D1710" s="56">
        <v>42943</v>
      </c>
      <c r="E1710" s="33" t="s">
        <v>724</v>
      </c>
      <c r="F1710" s="69" t="s">
        <v>532</v>
      </c>
      <c r="G1710" s="69" t="str">
        <f t="shared" si="26"/>
        <v>E-Commerce</v>
      </c>
      <c r="H1710" s="69" t="s">
        <v>364</v>
      </c>
      <c r="I1710" s="69" t="s">
        <v>1262</v>
      </c>
      <c r="J1710" s="69" t="s">
        <v>1254</v>
      </c>
      <c r="K1710" s="69" t="s">
        <v>1254</v>
      </c>
      <c r="L1710" s="253">
        <v>0.57365314685314683</v>
      </c>
      <c r="M1710" s="253">
        <v>0.57666945133351821</v>
      </c>
      <c r="N1710" s="253">
        <v>0.59096596498131027</v>
      </c>
      <c r="O1710" s="253">
        <v>0.57942472630382846</v>
      </c>
      <c r="P1710" s="253">
        <v>0.56418181818181812</v>
      </c>
      <c r="Q1710" s="253">
        <v>0.60968749999999994</v>
      </c>
      <c r="R1710" s="253">
        <v>0.60250869082177549</v>
      </c>
      <c r="S1710" s="253">
        <v>0.55194174757281556</v>
      </c>
      <c r="T1710" s="253">
        <v>0.58778625954198471</v>
      </c>
      <c r="U1710" s="253">
        <v>0.52358024691358029</v>
      </c>
      <c r="V1710" s="253">
        <v>0.58260869565217388</v>
      </c>
      <c r="W1710" s="253">
        <v>0</v>
      </c>
      <c r="X1710" s="253">
        <v>0.61882352941176477</v>
      </c>
      <c r="Y1710" s="253">
        <v>0.56489583333333326</v>
      </c>
      <c r="Z1710" s="253">
        <v>0.61153846153846159</v>
      </c>
      <c r="AA1710" s="253"/>
      <c r="AB1710" s="253"/>
      <c r="AC1710" s="253"/>
      <c r="AD1710" s="253"/>
      <c r="AE1710" s="253"/>
    </row>
    <row r="1711" spans="1:31">
      <c r="A1711" s="33">
        <v>1710</v>
      </c>
      <c r="B1711" s="69" t="s">
        <v>1254</v>
      </c>
      <c r="C1711" s="69" t="s">
        <v>1232</v>
      </c>
      <c r="D1711" s="56">
        <v>42943</v>
      </c>
      <c r="E1711" s="33" t="s">
        <v>724</v>
      </c>
      <c r="F1711" s="69" t="s">
        <v>532</v>
      </c>
      <c r="G1711" s="69" t="str">
        <f t="shared" si="26"/>
        <v>E-Commerce</v>
      </c>
      <c r="H1711" s="69" t="s">
        <v>364</v>
      </c>
      <c r="I1711" s="69" t="s">
        <v>1262</v>
      </c>
      <c r="J1711" s="69" t="s">
        <v>1254</v>
      </c>
      <c r="K1711" s="69" t="s">
        <v>1095</v>
      </c>
      <c r="L1711" s="253">
        <v>0.60162517482517486</v>
      </c>
      <c r="M1711" s="253">
        <v>0.60745834948225219</v>
      </c>
      <c r="N1711" s="253">
        <v>0.64470588235294113</v>
      </c>
      <c r="O1711" s="253">
        <v>0.61995276935530674</v>
      </c>
      <c r="P1711" s="253">
        <v>0.60145454545454546</v>
      </c>
      <c r="Q1711" s="253">
        <v>0.57310810810810808</v>
      </c>
      <c r="R1711" s="253">
        <v>0.63478622370354443</v>
      </c>
      <c r="S1711" s="253">
        <v>0.59271844660194184</v>
      </c>
      <c r="T1711" s="253">
        <v>0.61641221374045807</v>
      </c>
      <c r="U1711" s="253">
        <v>0.6160905349794239</v>
      </c>
      <c r="V1711" s="253">
        <v>0.65</v>
      </c>
      <c r="W1711" s="253">
        <v>0</v>
      </c>
      <c r="X1711" s="253">
        <v>0.62705882352941178</v>
      </c>
      <c r="Y1711" s="253">
        <v>0.62968749999999996</v>
      </c>
      <c r="Z1711" s="253">
        <v>0.60230769230769243</v>
      </c>
      <c r="AA1711" s="253"/>
      <c r="AB1711" s="253"/>
      <c r="AC1711" s="253"/>
      <c r="AD1711" s="253"/>
      <c r="AE1711" s="253"/>
    </row>
    <row r="1712" spans="1:31">
      <c r="A1712" s="33">
        <v>1711</v>
      </c>
      <c r="B1712" s="69" t="s">
        <v>1254</v>
      </c>
      <c r="C1712" s="69" t="s">
        <v>1232</v>
      </c>
      <c r="D1712" s="56">
        <v>42943</v>
      </c>
      <c r="E1712" s="33" t="s">
        <v>724</v>
      </c>
      <c r="F1712" s="69" t="s">
        <v>532</v>
      </c>
      <c r="G1712" s="69" t="str">
        <f t="shared" si="26"/>
        <v>E-Commerce</v>
      </c>
      <c r="H1712" s="69" t="s">
        <v>364</v>
      </c>
      <c r="I1712" s="69" t="s">
        <v>1262</v>
      </c>
      <c r="J1712" s="69" t="s">
        <v>1254</v>
      </c>
      <c r="K1712" s="69" t="s">
        <v>78</v>
      </c>
      <c r="L1712" s="253">
        <v>0.6552755244755244</v>
      </c>
      <c r="M1712" s="253">
        <v>0.66519663725408251</v>
      </c>
      <c r="N1712" s="253">
        <v>0.73670000000000002</v>
      </c>
      <c r="O1712" s="253">
        <v>0.65565900057943161</v>
      </c>
      <c r="P1712" s="253">
        <v>0.66236363636363627</v>
      </c>
      <c r="Q1712" s="253">
        <v>0.65729729729729736</v>
      </c>
      <c r="R1712" s="253">
        <v>0.65708705157151559</v>
      </c>
      <c r="S1712" s="253">
        <v>0.69708737864077686</v>
      </c>
      <c r="T1712" s="253">
        <v>0.63549618320610679</v>
      </c>
      <c r="U1712" s="253">
        <v>0.68724279835390945</v>
      </c>
      <c r="V1712" s="253">
        <v>0.73670000000000002</v>
      </c>
      <c r="W1712" s="253">
        <v>0</v>
      </c>
      <c r="X1712" s="253">
        <v>0</v>
      </c>
      <c r="Y1712" s="253">
        <v>0.65968750000000009</v>
      </c>
      <c r="Z1712" s="253">
        <v>0.62692307692307692</v>
      </c>
      <c r="AA1712" s="253"/>
      <c r="AB1712" s="253"/>
      <c r="AC1712" s="253"/>
      <c r="AD1712" s="253"/>
      <c r="AE1712" s="253"/>
    </row>
    <row r="1713" spans="1:31">
      <c r="A1713" s="33">
        <v>1712</v>
      </c>
      <c r="B1713" s="69" t="s">
        <v>1254</v>
      </c>
      <c r="C1713" s="69" t="s">
        <v>1232</v>
      </c>
      <c r="D1713" s="56">
        <v>42943</v>
      </c>
      <c r="E1713" s="33" t="s">
        <v>724</v>
      </c>
      <c r="F1713" s="69" t="s">
        <v>532</v>
      </c>
      <c r="G1713" s="69" t="str">
        <f t="shared" si="26"/>
        <v>E-Commerce</v>
      </c>
      <c r="H1713" s="69" t="s">
        <v>364</v>
      </c>
      <c r="I1713" s="69" t="s">
        <v>1262</v>
      </c>
      <c r="J1713" s="69" t="s">
        <v>1254</v>
      </c>
      <c r="K1713" s="69" t="s">
        <v>1321</v>
      </c>
      <c r="L1713" s="253">
        <v>0.58273566433566426</v>
      </c>
      <c r="M1713" s="253">
        <v>0.59093691329456799</v>
      </c>
      <c r="N1713" s="253">
        <v>0.61678859897661431</v>
      </c>
      <c r="O1713" s="253">
        <v>0.58812766613429601</v>
      </c>
      <c r="P1713" s="253">
        <v>0.58072727272727265</v>
      </c>
      <c r="Q1713" s="253">
        <v>0.63472972972972974</v>
      </c>
      <c r="R1713" s="253">
        <v>0.57557251908396945</v>
      </c>
      <c r="S1713" s="253">
        <v>0.60873786407766983</v>
      </c>
      <c r="T1713" s="253">
        <v>0.58664122137404584</v>
      </c>
      <c r="U1713" s="253">
        <v>0.55967078189300412</v>
      </c>
      <c r="V1713" s="253">
        <v>0.59976635514018684</v>
      </c>
      <c r="W1713" s="253">
        <v>0</v>
      </c>
      <c r="X1713" s="253">
        <v>0.67352941176470593</v>
      </c>
      <c r="Y1713" s="253">
        <v>0.58312500000000012</v>
      </c>
      <c r="Z1713" s="253">
        <v>0.59076923076923071</v>
      </c>
      <c r="AA1713" s="253"/>
      <c r="AB1713" s="253"/>
      <c r="AC1713" s="253"/>
      <c r="AD1713" s="253"/>
      <c r="AE1713" s="253"/>
    </row>
    <row r="1714" spans="1:31">
      <c r="A1714" s="33">
        <v>1713</v>
      </c>
      <c r="B1714" s="69" t="s">
        <v>1254</v>
      </c>
      <c r="C1714" s="69" t="s">
        <v>1232</v>
      </c>
      <c r="D1714" s="56">
        <v>42943</v>
      </c>
      <c r="E1714" s="33" t="s">
        <v>724</v>
      </c>
      <c r="F1714" s="69" t="s">
        <v>532</v>
      </c>
      <c r="G1714" s="69" t="str">
        <f t="shared" si="26"/>
        <v>E-Commerce</v>
      </c>
      <c r="H1714" s="69" t="s">
        <v>364</v>
      </c>
      <c r="I1714" s="69" t="s">
        <v>1262</v>
      </c>
      <c r="J1714" s="69" t="s">
        <v>1254</v>
      </c>
      <c r="K1714" s="69" t="s">
        <v>1261</v>
      </c>
      <c r="L1714" s="253">
        <v>0.52587692307692302</v>
      </c>
      <c r="M1714" s="253">
        <v>0.49813638529945486</v>
      </c>
      <c r="N1714" s="253">
        <v>0.54183405928870476</v>
      </c>
      <c r="O1714" s="253">
        <v>0.50901019868204866</v>
      </c>
      <c r="P1714" s="253">
        <v>0.5159999999999999</v>
      </c>
      <c r="Q1714" s="253">
        <v>0.5209459459459459</v>
      </c>
      <c r="R1714" s="253">
        <v>0.48313084614557578</v>
      </c>
      <c r="S1714" s="253">
        <v>0.4854368932038835</v>
      </c>
      <c r="T1714" s="253">
        <v>0.46755725190839692</v>
      </c>
      <c r="U1714" s="253">
        <v>0.49650205761316873</v>
      </c>
      <c r="V1714" s="253">
        <v>0.54556074766355145</v>
      </c>
      <c r="W1714" s="253">
        <v>0</v>
      </c>
      <c r="X1714" s="253">
        <v>0.52941176470588236</v>
      </c>
      <c r="Y1714" s="253">
        <v>0.49843749999999998</v>
      </c>
      <c r="Z1714" s="253">
        <v>0.56538461538461537</v>
      </c>
      <c r="AA1714" s="253"/>
      <c r="AB1714" s="253"/>
      <c r="AC1714" s="253"/>
      <c r="AD1714" s="253"/>
      <c r="AE1714" s="253"/>
    </row>
    <row r="1715" spans="1:31">
      <c r="A1715" s="33">
        <v>1714</v>
      </c>
      <c r="B1715" s="69" t="s">
        <v>1254</v>
      </c>
      <c r="C1715" s="69" t="s">
        <v>1232</v>
      </c>
      <c r="D1715" s="56">
        <v>42943</v>
      </c>
      <c r="E1715" s="33" t="s">
        <v>724</v>
      </c>
      <c r="F1715" s="69" t="s">
        <v>532</v>
      </c>
      <c r="G1715" s="69" t="str">
        <f t="shared" si="26"/>
        <v>E-Commerce</v>
      </c>
      <c r="H1715" s="69" t="s">
        <v>364</v>
      </c>
      <c r="I1715" s="69" t="s">
        <v>1262</v>
      </c>
      <c r="J1715" s="69" t="s">
        <v>1254</v>
      </c>
      <c r="K1715" s="69" t="s">
        <v>1322</v>
      </c>
      <c r="L1715" s="253">
        <v>0.60298741258741262</v>
      </c>
      <c r="M1715" s="253">
        <v>0.61355344813432278</v>
      </c>
      <c r="N1715" s="253">
        <v>0.6014307495573481</v>
      </c>
      <c r="O1715" s="253">
        <v>0.58582401897108027</v>
      </c>
      <c r="P1715" s="253">
        <v>0.61527272727272719</v>
      </c>
      <c r="Q1715" s="253">
        <v>0.61890624999999999</v>
      </c>
      <c r="R1715" s="253">
        <v>0.60105365014514567</v>
      </c>
      <c r="S1715" s="253">
        <v>0.65145631067961163</v>
      </c>
      <c r="T1715" s="253">
        <v>0.60687022900763354</v>
      </c>
      <c r="U1715" s="253">
        <v>0.61934156378600824</v>
      </c>
      <c r="V1715" s="253">
        <v>0.60027173913043474</v>
      </c>
      <c r="W1715" s="253">
        <v>0</v>
      </c>
      <c r="X1715" s="253">
        <v>0.60529411764705887</v>
      </c>
      <c r="Y1715" s="253">
        <v>0.58250000000000002</v>
      </c>
      <c r="Z1715" s="253">
        <v>0.55384615384615388</v>
      </c>
      <c r="AA1715" s="253"/>
      <c r="AB1715" s="253"/>
      <c r="AC1715" s="253"/>
      <c r="AD1715" s="253"/>
      <c r="AE1715" s="253"/>
    </row>
    <row r="1716" spans="1:31">
      <c r="A1716" s="33">
        <v>1715</v>
      </c>
      <c r="B1716" s="260" t="s">
        <v>1254</v>
      </c>
      <c r="C1716" s="260" t="s">
        <v>1232</v>
      </c>
      <c r="D1716" s="261">
        <v>42943</v>
      </c>
      <c r="E1716" s="262" t="s">
        <v>724</v>
      </c>
      <c r="F1716" s="260" t="s">
        <v>532</v>
      </c>
      <c r="G1716" s="260" t="str">
        <f t="shared" si="26"/>
        <v>ERROR</v>
      </c>
      <c r="H1716" s="260" t="s">
        <v>364</v>
      </c>
      <c r="I1716" s="260" t="s">
        <v>1262</v>
      </c>
      <c r="J1716" s="260" t="s">
        <v>1254</v>
      </c>
      <c r="K1716" s="260" t="s">
        <v>1257</v>
      </c>
      <c r="L1716" s="256">
        <v>0.55368111888111882</v>
      </c>
      <c r="M1716" s="256">
        <v>0.55217412416003986</v>
      </c>
      <c r="N1716" s="256">
        <v>0.59240000000000004</v>
      </c>
      <c r="O1716" s="256">
        <v>0.54558104338464319</v>
      </c>
      <c r="P1716" s="256">
        <v>0.5469090909090909</v>
      </c>
      <c r="Q1716" s="256">
        <v>0.58750000000000002</v>
      </c>
      <c r="R1716" s="256">
        <v>0.56872737698455356</v>
      </c>
      <c r="S1716" s="256">
        <v>0.51699029126213591</v>
      </c>
      <c r="T1716" s="256">
        <v>0.48282442748091603</v>
      </c>
      <c r="U1716" s="256">
        <v>0.56567901234567897</v>
      </c>
      <c r="V1716" s="256">
        <v>0</v>
      </c>
      <c r="W1716" s="256">
        <v>0</v>
      </c>
      <c r="X1716" s="256">
        <v>0.59235294117647064</v>
      </c>
      <c r="Y1716" s="256">
        <v>0.52906249999999999</v>
      </c>
      <c r="Z1716" s="256">
        <v>0.58076923076923082</v>
      </c>
      <c r="AA1716" s="253"/>
      <c r="AB1716" s="253"/>
      <c r="AC1716" s="253"/>
      <c r="AD1716" s="253"/>
      <c r="AE1716" s="253"/>
    </row>
    <row r="1717" spans="1:31">
      <c r="A1717" s="33">
        <v>1716</v>
      </c>
      <c r="B1717" s="69" t="s">
        <v>1317</v>
      </c>
      <c r="C1717" s="69" t="s">
        <v>723</v>
      </c>
      <c r="D1717" s="56">
        <v>42947</v>
      </c>
      <c r="E1717" s="33" t="s">
        <v>724</v>
      </c>
      <c r="F1717" s="69" t="s">
        <v>725</v>
      </c>
      <c r="G1717" s="69" t="str">
        <f t="shared" si="26"/>
        <v>User Registration</v>
      </c>
      <c r="H1717" s="69" t="s">
        <v>494</v>
      </c>
      <c r="I1717" s="69" t="s">
        <v>1318</v>
      </c>
      <c r="J1717" s="69" t="s">
        <v>1317</v>
      </c>
      <c r="K1717" s="69" t="s">
        <v>1317</v>
      </c>
      <c r="L1717" s="253">
        <v>0.62124475524475531</v>
      </c>
      <c r="M1717" s="253">
        <v>0.58641346194999544</v>
      </c>
      <c r="N1717" s="253">
        <v>0.60544702761741298</v>
      </c>
      <c r="O1717" s="253">
        <v>0.60210504746084004</v>
      </c>
      <c r="P1717" s="253">
        <v>0.60636363636363633</v>
      </c>
      <c r="Q1717" s="253">
        <v>0.55189189189189192</v>
      </c>
      <c r="R1717" s="253">
        <v>0.58637093536732243</v>
      </c>
      <c r="S1717" s="253">
        <v>0.56176470588235294</v>
      </c>
      <c r="T1717" s="253">
        <v>0.60425531914893615</v>
      </c>
      <c r="U1717" s="253">
        <v>0.58534482758620687</v>
      </c>
      <c r="V1717" s="253">
        <v>0</v>
      </c>
      <c r="W1717" s="253">
        <v>0.60655172413793101</v>
      </c>
      <c r="X1717" s="253">
        <v>0.60176470588235298</v>
      </c>
      <c r="Y1717" s="253">
        <v>0.59070796460176989</v>
      </c>
      <c r="Z1717" s="253">
        <v>0.68076923076923079</v>
      </c>
      <c r="AA1717" s="253"/>
      <c r="AB1717" s="253"/>
      <c r="AC1717" s="253"/>
      <c r="AD1717" s="253"/>
      <c r="AE1717" s="253"/>
    </row>
    <row r="1718" spans="1:31">
      <c r="A1718" s="33">
        <v>1717</v>
      </c>
      <c r="B1718" s="69" t="s">
        <v>1317</v>
      </c>
      <c r="C1718" s="69" t="s">
        <v>723</v>
      </c>
      <c r="D1718" s="56">
        <v>42947</v>
      </c>
      <c r="E1718" s="33" t="s">
        <v>724</v>
      </c>
      <c r="F1718" s="69" t="s">
        <v>725</v>
      </c>
      <c r="G1718" s="69" t="str">
        <f t="shared" si="26"/>
        <v>User Registration</v>
      </c>
      <c r="H1718" s="69" t="s">
        <v>494</v>
      </c>
      <c r="I1718" s="69" t="s">
        <v>1318</v>
      </c>
      <c r="J1718" s="69" t="s">
        <v>1317</v>
      </c>
      <c r="K1718" s="69" t="s">
        <v>1319</v>
      </c>
      <c r="L1718" s="253">
        <v>0.64059580419580431</v>
      </c>
      <c r="M1718" s="253">
        <v>0.61139341985472195</v>
      </c>
      <c r="N1718" s="253">
        <v>0.66011312217194573</v>
      </c>
      <c r="O1718" s="253">
        <v>0.6362243297232395</v>
      </c>
      <c r="P1718" s="253">
        <v>0.61709090909090913</v>
      </c>
      <c r="Q1718" s="253">
        <v>0.57364864864864873</v>
      </c>
      <c r="R1718" s="253">
        <v>0.62951425130469685</v>
      </c>
      <c r="S1718" s="253">
        <v>0.61225490196078436</v>
      </c>
      <c r="T1718" s="253">
        <v>0.62180851063829778</v>
      </c>
      <c r="U1718" s="253">
        <v>0.5672413793103448</v>
      </c>
      <c r="V1718" s="253">
        <v>0</v>
      </c>
      <c r="W1718" s="253">
        <v>0.6875</v>
      </c>
      <c r="X1718" s="253">
        <v>0.56882352941176473</v>
      </c>
      <c r="Y1718" s="253">
        <v>0.61670353982300885</v>
      </c>
      <c r="Z1718" s="253">
        <v>0.73461538461538467</v>
      </c>
      <c r="AA1718" s="253"/>
      <c r="AB1718" s="253"/>
      <c r="AC1718" s="253"/>
      <c r="AD1718" s="253"/>
      <c r="AE1718" s="253"/>
    </row>
    <row r="1719" spans="1:31">
      <c r="A1719" s="33">
        <v>1718</v>
      </c>
      <c r="B1719" s="69" t="s">
        <v>1317</v>
      </c>
      <c r="C1719" s="69" t="s">
        <v>723</v>
      </c>
      <c r="D1719" s="56">
        <v>42947</v>
      </c>
      <c r="E1719" s="33" t="s">
        <v>724</v>
      </c>
      <c r="F1719" s="69" t="s">
        <v>725</v>
      </c>
      <c r="G1719" s="69" t="str">
        <f t="shared" si="26"/>
        <v>User Registration</v>
      </c>
      <c r="H1719" s="69" t="s">
        <v>494</v>
      </c>
      <c r="I1719" s="69" t="s">
        <v>1318</v>
      </c>
      <c r="J1719" s="69" t="s">
        <v>1317</v>
      </c>
      <c r="K1719" s="69" t="s">
        <v>1320</v>
      </c>
      <c r="L1719" s="253">
        <v>0.64492587412587421</v>
      </c>
      <c r="M1719" s="253">
        <v>0.66249932620738849</v>
      </c>
      <c r="N1719" s="253">
        <v>0.64082296380090498</v>
      </c>
      <c r="O1719" s="253">
        <v>0.62642851879464101</v>
      </c>
      <c r="P1719" s="253">
        <v>0.64327272727272733</v>
      </c>
      <c r="Q1719" s="253">
        <v>0.67121621621621619</v>
      </c>
      <c r="R1719" s="253">
        <v>0.66188277800080297</v>
      </c>
      <c r="S1719" s="253">
        <v>0.65588235294117647</v>
      </c>
      <c r="T1719" s="253">
        <v>0.65265957446808509</v>
      </c>
      <c r="U1719" s="253">
        <v>0.67172413793103447</v>
      </c>
      <c r="V1719" s="253">
        <v>0</v>
      </c>
      <c r="W1719" s="253">
        <v>0.66718750000000004</v>
      </c>
      <c r="X1719" s="253">
        <v>0.55294117647058827</v>
      </c>
      <c r="Y1719" s="253">
        <v>0.60438053097345135</v>
      </c>
      <c r="Z1719" s="253">
        <v>0.65153846153846151</v>
      </c>
      <c r="AA1719" s="253"/>
      <c r="AB1719" s="253"/>
      <c r="AC1719" s="253"/>
      <c r="AD1719" s="253"/>
      <c r="AE1719" s="253"/>
    </row>
    <row r="1720" spans="1:31">
      <c r="A1720" s="33">
        <v>1719</v>
      </c>
      <c r="B1720" s="69" t="s">
        <v>1317</v>
      </c>
      <c r="C1720" s="69" t="s">
        <v>723</v>
      </c>
      <c r="D1720" s="56">
        <v>42947</v>
      </c>
      <c r="E1720" s="33" t="s">
        <v>724</v>
      </c>
      <c r="F1720" s="69" t="s">
        <v>725</v>
      </c>
      <c r="G1720" s="69" t="str">
        <f t="shared" si="26"/>
        <v>User Registration</v>
      </c>
      <c r="H1720" s="69" t="s">
        <v>494</v>
      </c>
      <c r="I1720" s="69" t="s">
        <v>1318</v>
      </c>
      <c r="J1720" s="69" t="s">
        <v>1317</v>
      </c>
      <c r="K1720" s="69" t="s">
        <v>1162</v>
      </c>
      <c r="L1720" s="253">
        <v>0.658965034965035</v>
      </c>
      <c r="M1720" s="253">
        <v>0.63492011496372569</v>
      </c>
      <c r="N1720" s="253">
        <v>0.60720022624434389</v>
      </c>
      <c r="O1720" s="253">
        <v>0.65945310483105535</v>
      </c>
      <c r="P1720" s="253">
        <v>0.65909090909090906</v>
      </c>
      <c r="Q1720" s="253">
        <v>0.58500000000000008</v>
      </c>
      <c r="R1720" s="253">
        <v>0.64143315937374545</v>
      </c>
      <c r="S1720" s="253">
        <v>0.68382352941176472</v>
      </c>
      <c r="T1720" s="253">
        <v>0.64053191489361705</v>
      </c>
      <c r="U1720" s="253">
        <v>0.61643678160919546</v>
      </c>
      <c r="V1720" s="253">
        <v>0</v>
      </c>
      <c r="W1720" s="253">
        <v>0.59312500000000001</v>
      </c>
      <c r="X1720" s="253">
        <v>0.65411764705882358</v>
      </c>
      <c r="Y1720" s="253">
        <v>0.66836283185840717</v>
      </c>
      <c r="Z1720" s="253">
        <v>0.65846153846153843</v>
      </c>
      <c r="AA1720" s="253"/>
      <c r="AB1720" s="253"/>
      <c r="AC1720" s="253"/>
      <c r="AD1720" s="253"/>
      <c r="AE1720" s="253"/>
    </row>
    <row r="1721" spans="1:31">
      <c r="A1721" s="33">
        <v>1720</v>
      </c>
      <c r="B1721" s="69" t="s">
        <v>1238</v>
      </c>
      <c r="C1721" s="69" t="s">
        <v>723</v>
      </c>
      <c r="D1721" s="56">
        <v>42950</v>
      </c>
      <c r="E1721" s="33" t="s">
        <v>916</v>
      </c>
      <c r="F1721" s="69" t="s">
        <v>725</v>
      </c>
      <c r="G1721" s="69" t="str">
        <f t="shared" si="26"/>
        <v>E-Commerce</v>
      </c>
      <c r="H1721" s="69" t="s">
        <v>749</v>
      </c>
      <c r="I1721" s="69" t="s">
        <v>749</v>
      </c>
      <c r="J1721" s="69" t="s">
        <v>1238</v>
      </c>
      <c r="K1721" s="69" t="s">
        <v>1238</v>
      </c>
      <c r="L1721" s="253">
        <v>0.63581818181818184</v>
      </c>
      <c r="M1721" s="253">
        <v>0.61629419681447195</v>
      </c>
      <c r="N1721" s="253">
        <v>0.58967799642218255</v>
      </c>
      <c r="O1721" s="253">
        <v>0.63624910897205877</v>
      </c>
      <c r="P1721" s="253">
        <v>0.63227272727272732</v>
      </c>
      <c r="Q1721" s="253">
        <v>0.5758783783783783</v>
      </c>
      <c r="R1721" s="253">
        <v>0.59918767103557535</v>
      </c>
      <c r="S1721" s="253">
        <v>0.64198113207547169</v>
      </c>
      <c r="T1721" s="253">
        <v>0.59656488549618314</v>
      </c>
      <c r="U1721" s="253">
        <v>0.64353909465020565</v>
      </c>
      <c r="V1721" s="253">
        <v>0.59558139534883725</v>
      </c>
      <c r="W1721" s="253">
        <v>0</v>
      </c>
      <c r="X1721" s="253">
        <v>0.57000000000000006</v>
      </c>
      <c r="Y1721" s="253">
        <v>0.64499999999999991</v>
      </c>
      <c r="Z1721" s="253">
        <v>0.65</v>
      </c>
      <c r="AA1721" s="253"/>
      <c r="AB1721" s="253"/>
      <c r="AC1721" s="253"/>
      <c r="AD1721" s="253"/>
      <c r="AE1721" s="253"/>
    </row>
    <row r="1722" spans="1:31">
      <c r="A1722" s="33">
        <v>1721</v>
      </c>
      <c r="B1722" s="69" t="s">
        <v>1238</v>
      </c>
      <c r="C1722" s="69" t="s">
        <v>723</v>
      </c>
      <c r="D1722" s="56">
        <v>42950</v>
      </c>
      <c r="E1722" s="33" t="s">
        <v>896</v>
      </c>
      <c r="F1722" s="69" t="s">
        <v>725</v>
      </c>
      <c r="G1722" s="69" t="str">
        <f t="shared" si="26"/>
        <v>E-Commerce</v>
      </c>
      <c r="H1722" s="69" t="s">
        <v>749</v>
      </c>
      <c r="I1722" s="69" t="s">
        <v>749</v>
      </c>
      <c r="J1722" s="69" t="s">
        <v>1238</v>
      </c>
      <c r="K1722" s="69" t="s">
        <v>898</v>
      </c>
      <c r="L1722" s="253">
        <v>0.61513286713286719</v>
      </c>
      <c r="M1722" s="253">
        <v>0.58246896212246568</v>
      </c>
      <c r="N1722" s="253">
        <v>0.57168894033463125</v>
      </c>
      <c r="O1722" s="253">
        <v>0.59260583407536871</v>
      </c>
      <c r="P1722" s="253">
        <v>0.6254545454545456</v>
      </c>
      <c r="Q1722" s="253">
        <v>0.59256756756756757</v>
      </c>
      <c r="R1722" s="253">
        <v>0.58970545873541691</v>
      </c>
      <c r="S1722" s="253">
        <v>0.55849056603773584</v>
      </c>
      <c r="T1722" s="253">
        <v>0.58931297709923658</v>
      </c>
      <c r="U1722" s="253">
        <v>0.5856790123456791</v>
      </c>
      <c r="V1722" s="253">
        <v>0.57837209302325587</v>
      </c>
      <c r="W1722" s="253">
        <v>0</v>
      </c>
      <c r="X1722" s="253">
        <v>0.54941176470588238</v>
      </c>
      <c r="Y1722" s="253">
        <v>0.60222916666666682</v>
      </c>
      <c r="Z1722" s="253">
        <v>0.57384615384615378</v>
      </c>
      <c r="AA1722" s="253"/>
      <c r="AB1722" s="253"/>
      <c r="AC1722" s="253"/>
      <c r="AD1722" s="253"/>
      <c r="AE1722" s="253"/>
    </row>
    <row r="1723" spans="1:31">
      <c r="A1723" s="33">
        <v>1722</v>
      </c>
      <c r="B1723" s="69" t="s">
        <v>1238</v>
      </c>
      <c r="C1723" s="69" t="s">
        <v>723</v>
      </c>
      <c r="D1723" s="56">
        <v>42950</v>
      </c>
      <c r="E1723" s="33" t="s">
        <v>1134</v>
      </c>
      <c r="F1723" s="69" t="s">
        <v>725</v>
      </c>
      <c r="G1723" s="69" t="str">
        <f t="shared" si="26"/>
        <v>E-Commerce</v>
      </c>
      <c r="H1723" s="69" t="s">
        <v>749</v>
      </c>
      <c r="I1723" s="69" t="s">
        <v>749</v>
      </c>
      <c r="J1723" s="69" t="s">
        <v>1238</v>
      </c>
      <c r="K1723" s="69" t="s">
        <v>1315</v>
      </c>
      <c r="L1723" s="253">
        <v>0.57905734265734277</v>
      </c>
      <c r="M1723" s="253">
        <v>0.59814074675368611</v>
      </c>
      <c r="N1723" s="253">
        <v>0.62605072082500257</v>
      </c>
      <c r="O1723" s="253">
        <v>0.60171811356549365</v>
      </c>
      <c r="P1723" s="253">
        <v>0.5670909090909092</v>
      </c>
      <c r="Q1723" s="253">
        <v>0.55797297297297299</v>
      </c>
      <c r="R1723" s="253">
        <v>0.5843936338758462</v>
      </c>
      <c r="S1723" s="253">
        <v>0.61188679245283017</v>
      </c>
      <c r="T1723" s="253">
        <v>0.61259541984732824</v>
      </c>
      <c r="U1723" s="253">
        <v>0.61283950617283955</v>
      </c>
      <c r="V1723" s="253">
        <v>0.63139534883720927</v>
      </c>
      <c r="W1723" s="253">
        <v>0</v>
      </c>
      <c r="X1723" s="253">
        <v>0.60823529411764699</v>
      </c>
      <c r="Y1723" s="253">
        <v>0.60097916666666673</v>
      </c>
      <c r="Z1723" s="253">
        <v>0.62692307692307692</v>
      </c>
      <c r="AA1723" s="253"/>
      <c r="AB1723" s="253"/>
      <c r="AC1723" s="253"/>
      <c r="AD1723" s="253"/>
      <c r="AE1723" s="253"/>
    </row>
    <row r="1724" spans="1:31">
      <c r="A1724" s="33">
        <v>1723</v>
      </c>
      <c r="B1724" s="69" t="s">
        <v>1238</v>
      </c>
      <c r="C1724" s="69" t="s">
        <v>723</v>
      </c>
      <c r="D1724" s="56">
        <v>42950</v>
      </c>
      <c r="E1724" s="33" t="s">
        <v>724</v>
      </c>
      <c r="F1724" s="69" t="s">
        <v>725</v>
      </c>
      <c r="G1724" s="69" t="str">
        <f t="shared" si="26"/>
        <v>E-Commerce</v>
      </c>
      <c r="H1724" s="69" t="s">
        <v>749</v>
      </c>
      <c r="I1724" s="69" t="s">
        <v>749</v>
      </c>
      <c r="J1724" s="69" t="s">
        <v>1238</v>
      </c>
      <c r="K1724" s="69" t="s">
        <v>1052</v>
      </c>
      <c r="L1724" s="253">
        <v>0.64481118881118893</v>
      </c>
      <c r="M1724" s="253">
        <v>0.67002473001694396</v>
      </c>
      <c r="N1724" s="253">
        <v>0.67642113016942018</v>
      </c>
      <c r="O1724" s="253">
        <v>0.65561261994298647</v>
      </c>
      <c r="P1724" s="253">
        <v>0.62909090909090915</v>
      </c>
      <c r="Q1724" s="253">
        <v>0.6736486486486486</v>
      </c>
      <c r="R1724" s="253">
        <v>0.66375486101109027</v>
      </c>
      <c r="S1724" s="253">
        <v>0.62367924528301888</v>
      </c>
      <c r="T1724" s="253">
        <v>0.70763358778625951</v>
      </c>
      <c r="U1724" s="253">
        <v>0.6728395061728395</v>
      </c>
      <c r="V1724" s="253">
        <v>0.6804651162790698</v>
      </c>
      <c r="W1724" s="253">
        <v>0</v>
      </c>
      <c r="X1724" s="253">
        <v>0.66294117647058826</v>
      </c>
      <c r="Y1724" s="253">
        <v>0.63974999999999993</v>
      </c>
      <c r="Z1724" s="253">
        <v>0.70769230769230773</v>
      </c>
      <c r="AA1724" s="253"/>
      <c r="AB1724" s="253"/>
      <c r="AC1724" s="253"/>
      <c r="AD1724" s="253"/>
      <c r="AE1724" s="253"/>
    </row>
    <row r="1725" spans="1:31">
      <c r="A1725" s="33">
        <v>1724</v>
      </c>
      <c r="B1725" s="69" t="s">
        <v>1238</v>
      </c>
      <c r="C1725" s="69" t="s">
        <v>723</v>
      </c>
      <c r="D1725" s="56">
        <v>42950</v>
      </c>
      <c r="E1725" s="33" t="s">
        <v>724</v>
      </c>
      <c r="F1725" s="69" t="s">
        <v>725</v>
      </c>
      <c r="G1725" s="69" t="str">
        <f t="shared" si="26"/>
        <v>E-Commerce</v>
      </c>
      <c r="H1725" s="69" t="s">
        <v>749</v>
      </c>
      <c r="I1725" s="69" t="s">
        <v>749</v>
      </c>
      <c r="J1725" s="69" t="s">
        <v>1238</v>
      </c>
      <c r="K1725" s="69" t="s">
        <v>554</v>
      </c>
      <c r="L1725" s="253">
        <v>0.63230489510489518</v>
      </c>
      <c r="M1725" s="253">
        <v>0.69141490708657027</v>
      </c>
      <c r="N1725" s="253">
        <v>0.69009365463537831</v>
      </c>
      <c r="O1725" s="253">
        <v>0.7176719706861312</v>
      </c>
      <c r="P1725" s="253">
        <v>0.63672727272727281</v>
      </c>
      <c r="Q1725" s="253">
        <v>0.69864864864864873</v>
      </c>
      <c r="R1725" s="253">
        <v>0.66680829612559411</v>
      </c>
      <c r="S1725" s="253">
        <v>0.70660377358490567</v>
      </c>
      <c r="T1725" s="253">
        <v>0.68969465648854955</v>
      </c>
      <c r="U1725" s="253">
        <v>0.72983539094650207</v>
      </c>
      <c r="V1725" s="253">
        <v>0.70865116279069773</v>
      </c>
      <c r="W1725" s="253">
        <v>0</v>
      </c>
      <c r="X1725" s="253">
        <v>0.628235294117647</v>
      </c>
      <c r="Y1725" s="253">
        <v>0.76177083333333329</v>
      </c>
      <c r="Z1725" s="253">
        <v>0.61461538461538467</v>
      </c>
      <c r="AA1725" s="253"/>
      <c r="AB1725" s="253"/>
      <c r="AC1725" s="253"/>
      <c r="AD1725" s="253"/>
      <c r="AE1725" s="253"/>
    </row>
    <row r="1726" spans="1:31">
      <c r="A1726" s="33">
        <v>1725</v>
      </c>
      <c r="B1726" s="69" t="s">
        <v>1238</v>
      </c>
      <c r="C1726" s="69" t="s">
        <v>723</v>
      </c>
      <c r="D1726" s="56">
        <v>42950</v>
      </c>
      <c r="E1726" s="33" t="s">
        <v>916</v>
      </c>
      <c r="F1726" s="69" t="s">
        <v>725</v>
      </c>
      <c r="G1726" s="69" t="str">
        <f t="shared" si="26"/>
        <v>E-Commerce</v>
      </c>
      <c r="H1726" s="69" t="s">
        <v>749</v>
      </c>
      <c r="I1726" s="69" t="s">
        <v>749</v>
      </c>
      <c r="J1726" s="69" t="s">
        <v>1238</v>
      </c>
      <c r="K1726" s="69" t="s">
        <v>1316</v>
      </c>
      <c r="L1726" s="253">
        <v>0.62522797202797209</v>
      </c>
      <c r="M1726" s="253">
        <v>0.65836956407875857</v>
      </c>
      <c r="N1726" s="253">
        <v>0.71354940545091028</v>
      </c>
      <c r="O1726" s="253">
        <v>0.62780374216822066</v>
      </c>
      <c r="P1726" s="253">
        <v>0.61672727272727279</v>
      </c>
      <c r="Q1726" s="253">
        <v>0.65067567567567575</v>
      </c>
      <c r="R1726" s="253">
        <v>0.64110615007921656</v>
      </c>
      <c r="S1726" s="253">
        <v>0.63500000000000001</v>
      </c>
      <c r="T1726" s="253">
        <v>0.67595419847328253</v>
      </c>
      <c r="U1726" s="253">
        <v>0.68958847736625528</v>
      </c>
      <c r="V1726" s="253">
        <v>0.73279069767441862</v>
      </c>
      <c r="W1726" s="253">
        <v>0</v>
      </c>
      <c r="X1726" s="253">
        <v>0.64941176470588236</v>
      </c>
      <c r="Y1726" s="253">
        <v>0.6127083333333333</v>
      </c>
      <c r="Z1726" s="253">
        <v>0.65923076923076929</v>
      </c>
      <c r="AA1726" s="253"/>
      <c r="AB1726" s="253"/>
      <c r="AC1726" s="253"/>
      <c r="AD1726" s="253"/>
      <c r="AE1726" s="253"/>
    </row>
    <row r="1727" spans="1:31">
      <c r="A1727" s="33">
        <v>1726</v>
      </c>
      <c r="B1727" s="69" t="s">
        <v>1238</v>
      </c>
      <c r="C1727" s="69" t="s">
        <v>723</v>
      </c>
      <c r="D1727" s="56">
        <v>42950</v>
      </c>
      <c r="E1727" s="33" t="s">
        <v>896</v>
      </c>
      <c r="F1727" s="69" t="s">
        <v>725</v>
      </c>
      <c r="G1727" s="69" t="str">
        <f t="shared" si="26"/>
        <v>E-Commerce</v>
      </c>
      <c r="H1727" s="69" t="s">
        <v>749</v>
      </c>
      <c r="I1727" s="69" t="s">
        <v>749</v>
      </c>
      <c r="J1727" s="69" t="s">
        <v>1238</v>
      </c>
      <c r="K1727" s="69" t="s">
        <v>895</v>
      </c>
      <c r="L1727" s="253">
        <v>0.65686993006993011</v>
      </c>
      <c r="M1727" s="253">
        <v>0.68605701506772065</v>
      </c>
      <c r="N1727" s="253">
        <v>0.66282858044827953</v>
      </c>
      <c r="O1727" s="253">
        <v>0.68479214263456856</v>
      </c>
      <c r="P1727" s="253">
        <v>0.67281818181818187</v>
      </c>
      <c r="Q1727" s="253">
        <v>0.61270270270270277</v>
      </c>
      <c r="R1727" s="253">
        <v>0.65844375630131058</v>
      </c>
      <c r="S1727" s="253">
        <v>0.7566037735849056</v>
      </c>
      <c r="T1727" s="253">
        <v>0.66908396946564885</v>
      </c>
      <c r="U1727" s="253">
        <v>0.763292181069959</v>
      </c>
      <c r="V1727" s="253">
        <v>0.67744186046511634</v>
      </c>
      <c r="W1727" s="253">
        <v>0</v>
      </c>
      <c r="X1727" s="253">
        <v>0.61411764705882355</v>
      </c>
      <c r="Y1727" s="253">
        <v>0.71760416666666671</v>
      </c>
      <c r="Z1727" s="253">
        <v>0.59307692307692306</v>
      </c>
      <c r="AA1727" s="253"/>
      <c r="AB1727" s="253"/>
      <c r="AC1727" s="253"/>
      <c r="AD1727" s="253"/>
      <c r="AE1727" s="253"/>
    </row>
    <row r="1728" spans="1:31">
      <c r="A1728" s="33">
        <v>1727</v>
      </c>
      <c r="B1728" s="69" t="s">
        <v>1306</v>
      </c>
      <c r="C1728" s="69" t="s">
        <v>791</v>
      </c>
      <c r="D1728" s="56">
        <v>42951</v>
      </c>
      <c r="E1728" s="33" t="s">
        <v>724</v>
      </c>
      <c r="F1728" s="69" t="s">
        <v>380</v>
      </c>
      <c r="G1728" s="69" t="str">
        <f t="shared" si="26"/>
        <v>E-Commerce</v>
      </c>
      <c r="H1728" s="69" t="s">
        <v>749</v>
      </c>
      <c r="I1728" s="69" t="s">
        <v>1287</v>
      </c>
      <c r="J1728" s="69" t="s">
        <v>1306</v>
      </c>
      <c r="K1728" s="69" t="s">
        <v>1307</v>
      </c>
      <c r="L1728" s="253">
        <v>0.6336615384615385</v>
      </c>
      <c r="M1728" s="253">
        <v>0.61139891889273335</v>
      </c>
      <c r="N1728" s="253">
        <v>0.63648834947350608</v>
      </c>
      <c r="O1728" s="253">
        <v>0.63262796944707234</v>
      </c>
      <c r="P1728" s="253">
        <v>0.64400000000000002</v>
      </c>
      <c r="Q1728" s="253">
        <v>0.57743243243243236</v>
      </c>
      <c r="R1728" s="253">
        <v>0.61998704872915666</v>
      </c>
      <c r="S1728" s="253">
        <v>0.65097087378640783</v>
      </c>
      <c r="T1728" s="253">
        <v>0.61681034482758623</v>
      </c>
      <c r="U1728" s="253">
        <v>0.60271604938271595</v>
      </c>
      <c r="V1728" s="253">
        <v>0.64672897196261681</v>
      </c>
      <c r="W1728" s="253"/>
      <c r="X1728" s="253">
        <v>0.60235294117647054</v>
      </c>
      <c r="Y1728" s="253">
        <v>0.65093749999999995</v>
      </c>
      <c r="Z1728" s="253">
        <v>0.59230769230769231</v>
      </c>
      <c r="AA1728" s="253"/>
      <c r="AB1728" s="253"/>
      <c r="AC1728" s="253"/>
      <c r="AD1728" s="253"/>
      <c r="AE1728" s="253"/>
    </row>
    <row r="1729" spans="1:31">
      <c r="A1729" s="33">
        <v>1728</v>
      </c>
      <c r="B1729" s="69" t="s">
        <v>1306</v>
      </c>
      <c r="C1729" s="69" t="s">
        <v>791</v>
      </c>
      <c r="D1729" s="56">
        <v>42951</v>
      </c>
      <c r="E1729" s="33" t="s">
        <v>724</v>
      </c>
      <c r="F1729" s="69" t="s">
        <v>380</v>
      </c>
      <c r="G1729" s="69" t="str">
        <f t="shared" si="26"/>
        <v>E-Commerce</v>
      </c>
      <c r="H1729" s="69" t="s">
        <v>749</v>
      </c>
      <c r="I1729" s="69" t="s">
        <v>1287</v>
      </c>
      <c r="J1729" s="69" t="s">
        <v>1306</v>
      </c>
      <c r="K1729" s="69" t="s">
        <v>79</v>
      </c>
      <c r="L1729" s="253">
        <v>0.61972027972027965</v>
      </c>
      <c r="M1729" s="253">
        <v>0.60691023743772421</v>
      </c>
      <c r="N1729" s="253">
        <v>0.6114686852454857</v>
      </c>
      <c r="O1729" s="253">
        <v>0.62233384047160067</v>
      </c>
      <c r="P1729" s="253">
        <v>0.62272727272727268</v>
      </c>
      <c r="Q1729" s="253">
        <v>0.60527027027027014</v>
      </c>
      <c r="R1729" s="253">
        <v>0.61793751011818043</v>
      </c>
      <c r="S1729" s="253">
        <v>0.62378640776699024</v>
      </c>
      <c r="T1729" s="253">
        <v>0.63017241379310351</v>
      </c>
      <c r="U1729" s="253">
        <v>0.56942386831275726</v>
      </c>
      <c r="V1729" s="253">
        <v>0.63785046728971961</v>
      </c>
      <c r="W1729" s="253"/>
      <c r="X1729" s="253">
        <v>0.52352941176470591</v>
      </c>
      <c r="Y1729" s="253">
        <v>0.62916666666666665</v>
      </c>
      <c r="Z1729" s="253">
        <v>0.60769230769230764</v>
      </c>
      <c r="AA1729" s="253"/>
      <c r="AB1729" s="253"/>
      <c r="AC1729" s="253"/>
      <c r="AD1729" s="253"/>
      <c r="AE1729" s="253"/>
    </row>
    <row r="1730" spans="1:31">
      <c r="A1730" s="33">
        <v>1729</v>
      </c>
      <c r="B1730" s="69" t="s">
        <v>1306</v>
      </c>
      <c r="C1730" s="69" t="s">
        <v>791</v>
      </c>
      <c r="D1730" s="56">
        <v>42951</v>
      </c>
      <c r="E1730" s="33" t="s">
        <v>724</v>
      </c>
      <c r="F1730" s="69" t="s">
        <v>380</v>
      </c>
      <c r="G1730" s="69" t="str">
        <f t="shared" ref="G1730:G1793" si="27">IF(V1730&gt;0,IF(W1730&gt;0,"Both","E-Commerce"),IF(W1730=0, "ERROR","User Registration"))</f>
        <v>E-Commerce</v>
      </c>
      <c r="H1730" s="69" t="s">
        <v>749</v>
      </c>
      <c r="I1730" s="69" t="s">
        <v>1287</v>
      </c>
      <c r="J1730" s="69" t="s">
        <v>1306</v>
      </c>
      <c r="K1730" s="69" t="s">
        <v>1308</v>
      </c>
      <c r="L1730" s="253">
        <v>0.61648391608391595</v>
      </c>
      <c r="M1730" s="253">
        <v>0.58280079935117413</v>
      </c>
      <c r="N1730" s="253">
        <v>0.56757093923119217</v>
      </c>
      <c r="O1730" s="253">
        <v>0.59184183457622319</v>
      </c>
      <c r="P1730" s="253">
        <v>0.62618181818181806</v>
      </c>
      <c r="Q1730" s="253">
        <v>0.5344594594594595</v>
      </c>
      <c r="R1730" s="253">
        <v>0.58679941719281203</v>
      </c>
      <c r="S1730" s="253">
        <v>0.5733009708737864</v>
      </c>
      <c r="T1730" s="253">
        <v>0.57456896551724146</v>
      </c>
      <c r="U1730" s="253">
        <v>0.63205761316872433</v>
      </c>
      <c r="V1730" s="253">
        <v>0.56401869158878504</v>
      </c>
      <c r="W1730" s="253"/>
      <c r="X1730" s="253">
        <v>0.5794117647058824</v>
      </c>
      <c r="Y1730" s="253">
        <v>0.60468750000000004</v>
      </c>
      <c r="Z1730" s="253">
        <v>0.57769230769230762</v>
      </c>
      <c r="AA1730" s="253"/>
      <c r="AB1730" s="253"/>
      <c r="AC1730" s="253"/>
      <c r="AD1730" s="253"/>
      <c r="AE1730" s="253"/>
    </row>
    <row r="1731" spans="1:31">
      <c r="A1731" s="33">
        <v>1730</v>
      </c>
      <c r="B1731" s="69" t="s">
        <v>1306</v>
      </c>
      <c r="C1731" s="69" t="s">
        <v>791</v>
      </c>
      <c r="D1731" s="56">
        <v>42951</v>
      </c>
      <c r="E1731" s="33" t="s">
        <v>724</v>
      </c>
      <c r="F1731" s="69" t="s">
        <v>380</v>
      </c>
      <c r="G1731" s="69" t="str">
        <f t="shared" si="27"/>
        <v>E-Commerce</v>
      </c>
      <c r="H1731" s="69" t="s">
        <v>749</v>
      </c>
      <c r="I1731" s="69" t="s">
        <v>1287</v>
      </c>
      <c r="J1731" s="69" t="s">
        <v>1306</v>
      </c>
      <c r="K1731" s="69" t="s">
        <v>1263</v>
      </c>
      <c r="L1731" s="253">
        <v>0.59560000000000002</v>
      </c>
      <c r="M1731" s="253">
        <v>0.58387448759528093</v>
      </c>
      <c r="N1731" s="253">
        <v>0.56712944559563583</v>
      </c>
      <c r="O1731" s="253">
        <v>0.60000597004968903</v>
      </c>
      <c r="P1731" s="253">
        <v>0.59200000000000008</v>
      </c>
      <c r="Q1731" s="253">
        <v>0.54635135135135138</v>
      </c>
      <c r="R1731" s="253">
        <v>0.57931034482758625</v>
      </c>
      <c r="S1731" s="253">
        <v>0.60679611650485432</v>
      </c>
      <c r="T1731" s="253">
        <v>0.59827586206896555</v>
      </c>
      <c r="U1731" s="253">
        <v>0.58102880658436218</v>
      </c>
      <c r="V1731" s="253">
        <v>0.57032710280373833</v>
      </c>
      <c r="W1731" s="253"/>
      <c r="X1731" s="253">
        <v>0.55647058823529405</v>
      </c>
      <c r="Y1731" s="253">
        <v>0.60583333333333333</v>
      </c>
      <c r="Z1731" s="253">
        <v>0.61</v>
      </c>
      <c r="AA1731" s="253"/>
      <c r="AB1731" s="253"/>
      <c r="AC1731" s="253"/>
      <c r="AD1731" s="253"/>
      <c r="AE1731" s="253"/>
    </row>
    <row r="1732" spans="1:31">
      <c r="A1732" s="33">
        <v>1731</v>
      </c>
      <c r="B1732" s="69" t="s">
        <v>1306</v>
      </c>
      <c r="C1732" s="69" t="s">
        <v>791</v>
      </c>
      <c r="D1732" s="56">
        <v>42951</v>
      </c>
      <c r="E1732" s="33" t="s">
        <v>724</v>
      </c>
      <c r="F1732" s="69" t="s">
        <v>380</v>
      </c>
      <c r="G1732" s="69" t="str">
        <f t="shared" si="27"/>
        <v>E-Commerce</v>
      </c>
      <c r="H1732" s="69" t="s">
        <v>749</v>
      </c>
      <c r="I1732" s="69" t="s">
        <v>1287</v>
      </c>
      <c r="J1732" s="69" t="s">
        <v>1306</v>
      </c>
      <c r="K1732" s="69" t="s">
        <v>1309</v>
      </c>
      <c r="L1732" s="253">
        <v>0.54354685314685303</v>
      </c>
      <c r="M1732" s="253">
        <v>0.51446569695237787</v>
      </c>
      <c r="N1732" s="253">
        <v>0.52849367784496981</v>
      </c>
      <c r="O1732" s="253">
        <v>0.54579166241252608</v>
      </c>
      <c r="P1732" s="253">
        <v>0.52981818181818174</v>
      </c>
      <c r="Q1732" s="253">
        <v>0.49729729729729727</v>
      </c>
      <c r="R1732" s="253">
        <v>0.49755544762829851</v>
      </c>
      <c r="S1732" s="253">
        <v>0.470873786407767</v>
      </c>
      <c r="T1732" s="253">
        <v>0.56982758620689655</v>
      </c>
      <c r="U1732" s="253">
        <v>0.5131687242798354</v>
      </c>
      <c r="V1732" s="253">
        <v>0.51074766355140189</v>
      </c>
      <c r="W1732" s="253"/>
      <c r="X1732" s="253">
        <v>0.58764705882352941</v>
      </c>
      <c r="Y1732" s="253">
        <v>0.55197916666666669</v>
      </c>
      <c r="Z1732" s="253">
        <v>0.59846153846153849</v>
      </c>
      <c r="AA1732" s="253"/>
      <c r="AB1732" s="253"/>
      <c r="AC1732" s="253"/>
      <c r="AD1732" s="253"/>
      <c r="AE1732" s="253"/>
    </row>
    <row r="1733" spans="1:31">
      <c r="A1733" s="33">
        <v>1732</v>
      </c>
      <c r="B1733" s="69" t="s">
        <v>1310</v>
      </c>
      <c r="C1733" s="69" t="s">
        <v>740</v>
      </c>
      <c r="D1733" s="56">
        <v>42951</v>
      </c>
      <c r="E1733" s="33" t="s">
        <v>896</v>
      </c>
      <c r="F1733" s="69" t="s">
        <v>532</v>
      </c>
      <c r="G1733" s="69" t="str">
        <f t="shared" si="27"/>
        <v>Both</v>
      </c>
      <c r="H1733" s="69" t="s">
        <v>364</v>
      </c>
      <c r="I1733" s="69" t="s">
        <v>741</v>
      </c>
      <c r="J1733" s="69" t="s">
        <v>1310</v>
      </c>
      <c r="K1733" s="69" t="s">
        <v>1310</v>
      </c>
      <c r="L1733" s="253">
        <v>0.59782097902097897</v>
      </c>
      <c r="M1733" s="253">
        <v>0.57543953152805993</v>
      </c>
      <c r="N1733" s="253">
        <v>0.53508817186112401</v>
      </c>
      <c r="O1733" s="253">
        <v>0.57231727653053299</v>
      </c>
      <c r="P1733" s="253">
        <v>0.59054545454545448</v>
      </c>
      <c r="Q1733" s="253">
        <v>0.54391891891891897</v>
      </c>
      <c r="R1733" s="253">
        <v>0.61495896498584379</v>
      </c>
      <c r="S1733" s="253">
        <v>0.60291262135922341</v>
      </c>
      <c r="T1733" s="253">
        <v>0.56488549618320616</v>
      </c>
      <c r="U1733" s="253">
        <v>0.52489711934156369</v>
      </c>
      <c r="V1733" s="253">
        <v>0.52126168224299063</v>
      </c>
      <c r="W1733" s="253">
        <v>0.55000000000000004</v>
      </c>
      <c r="X1733" s="253">
        <v>0.58117647058823529</v>
      </c>
      <c r="Y1733" s="253">
        <v>0.54718749999999994</v>
      </c>
      <c r="Z1733" s="253">
        <v>0.62692307692307692</v>
      </c>
      <c r="AA1733" s="253"/>
      <c r="AB1733" s="253"/>
      <c r="AC1733" s="253"/>
      <c r="AD1733" s="253"/>
      <c r="AE1733" s="253"/>
    </row>
    <row r="1734" spans="1:31">
      <c r="A1734" s="33">
        <v>1733</v>
      </c>
      <c r="B1734" s="69" t="s">
        <v>1310</v>
      </c>
      <c r="C1734" s="69" t="s">
        <v>740</v>
      </c>
      <c r="D1734" s="56">
        <v>42951</v>
      </c>
      <c r="E1734" s="33" t="s">
        <v>896</v>
      </c>
      <c r="F1734" s="69" t="s">
        <v>532</v>
      </c>
      <c r="G1734" s="69" t="str">
        <f t="shared" si="27"/>
        <v>Both</v>
      </c>
      <c r="H1734" s="69" t="s">
        <v>364</v>
      </c>
      <c r="I1734" s="69" t="s">
        <v>741</v>
      </c>
      <c r="J1734" s="69" t="s">
        <v>1310</v>
      </c>
      <c r="K1734" s="69" t="s">
        <v>1311</v>
      </c>
      <c r="L1734" s="253">
        <v>0.60450909090909077</v>
      </c>
      <c r="M1734" s="253">
        <v>0.61972261978225274</v>
      </c>
      <c r="N1734" s="253">
        <v>0.63967141709307729</v>
      </c>
      <c r="O1734" s="253">
        <v>0.60911115701188945</v>
      </c>
      <c r="P1734" s="253">
        <v>0.60563636363636353</v>
      </c>
      <c r="Q1734" s="253">
        <v>0.57702702702702702</v>
      </c>
      <c r="R1734" s="253">
        <v>0.66644446833673798</v>
      </c>
      <c r="S1734" s="253">
        <v>0.56893203883495147</v>
      </c>
      <c r="T1734" s="253">
        <v>0.66793893129770987</v>
      </c>
      <c r="U1734" s="253">
        <v>0.62674897119341566</v>
      </c>
      <c r="V1734" s="253">
        <v>0.63551401869158874</v>
      </c>
      <c r="W1734" s="253">
        <v>0.54500000000000004</v>
      </c>
      <c r="X1734" s="253">
        <v>0.6535294117647058</v>
      </c>
      <c r="Y1734" s="253">
        <v>0.60760416666666661</v>
      </c>
      <c r="Z1734" s="253">
        <v>0.6</v>
      </c>
      <c r="AA1734" s="253"/>
      <c r="AB1734" s="253"/>
      <c r="AC1734" s="253"/>
      <c r="AD1734" s="253"/>
      <c r="AE1734" s="253"/>
    </row>
    <row r="1735" spans="1:31">
      <c r="A1735" s="33">
        <v>1734</v>
      </c>
      <c r="B1735" s="69" t="s">
        <v>1310</v>
      </c>
      <c r="C1735" s="69" t="s">
        <v>740</v>
      </c>
      <c r="D1735" s="56">
        <v>42951</v>
      </c>
      <c r="E1735" s="33" t="s">
        <v>916</v>
      </c>
      <c r="F1735" s="69" t="s">
        <v>532</v>
      </c>
      <c r="G1735" s="69" t="str">
        <f t="shared" si="27"/>
        <v>Both</v>
      </c>
      <c r="H1735" s="69" t="s">
        <v>364</v>
      </c>
      <c r="I1735" s="69" t="s">
        <v>741</v>
      </c>
      <c r="J1735" s="69" t="s">
        <v>1310</v>
      </c>
      <c r="K1735" s="69" t="s">
        <v>1312</v>
      </c>
      <c r="L1735" s="253">
        <v>0.60159440559440558</v>
      </c>
      <c r="M1735" s="253">
        <v>0.58960682032738032</v>
      </c>
      <c r="N1735" s="253">
        <v>0.57127077430540874</v>
      </c>
      <c r="O1735" s="253">
        <v>0.57504402511664476</v>
      </c>
      <c r="P1735" s="253">
        <v>0.61545454545454548</v>
      </c>
      <c r="Q1735" s="253">
        <v>0.6108108108108109</v>
      </c>
      <c r="R1735" s="253">
        <v>0.63022327348313811</v>
      </c>
      <c r="S1735" s="253">
        <v>0.60873786407766994</v>
      </c>
      <c r="T1735" s="253">
        <v>0.58931297709923669</v>
      </c>
      <c r="U1735" s="253">
        <v>0.53427983539094659</v>
      </c>
      <c r="V1735" s="253">
        <v>0.57429906542056075</v>
      </c>
      <c r="W1735" s="253">
        <v>0.51906249999999998</v>
      </c>
      <c r="X1735" s="253">
        <v>0.56117647058823528</v>
      </c>
      <c r="Y1735" s="253">
        <v>0.56572916666666662</v>
      </c>
      <c r="Z1735" s="253">
        <v>0.5461538461538461</v>
      </c>
      <c r="AA1735" s="253"/>
      <c r="AB1735" s="253"/>
      <c r="AC1735" s="253"/>
      <c r="AD1735" s="253"/>
      <c r="AE1735" s="253"/>
    </row>
    <row r="1736" spans="1:31">
      <c r="A1736" s="33">
        <v>1735</v>
      </c>
      <c r="B1736" s="69" t="s">
        <v>1310</v>
      </c>
      <c r="C1736" s="69" t="s">
        <v>740</v>
      </c>
      <c r="D1736" s="56">
        <v>42951</v>
      </c>
      <c r="E1736" s="33" t="s">
        <v>916</v>
      </c>
      <c r="F1736" s="69" t="s">
        <v>532</v>
      </c>
      <c r="G1736" s="69" t="str">
        <f t="shared" si="27"/>
        <v>Both</v>
      </c>
      <c r="H1736" s="69" t="s">
        <v>364</v>
      </c>
      <c r="I1736" s="69" t="s">
        <v>741</v>
      </c>
      <c r="J1736" s="69" t="s">
        <v>1310</v>
      </c>
      <c r="K1736" s="69" t="s">
        <v>1313</v>
      </c>
      <c r="L1736" s="253">
        <v>0.61951048951048959</v>
      </c>
      <c r="M1736" s="253">
        <v>0.60787731133672762</v>
      </c>
      <c r="N1736" s="253">
        <v>0.60158159597411931</v>
      </c>
      <c r="O1736" s="253">
        <v>0.63654608860505757</v>
      </c>
      <c r="P1736" s="253">
        <v>0.62727272727272732</v>
      </c>
      <c r="Q1736" s="253">
        <v>0.58648648648648649</v>
      </c>
      <c r="R1736" s="253">
        <v>0.64833888829158159</v>
      </c>
      <c r="S1736" s="253">
        <v>0.58106796116504866</v>
      </c>
      <c r="T1736" s="253">
        <v>0.64580152671755719</v>
      </c>
      <c r="U1736" s="253">
        <v>0.59098765432098777</v>
      </c>
      <c r="V1736" s="253">
        <v>0.60205607476635503</v>
      </c>
      <c r="W1736" s="253">
        <v>0.50937500000000002</v>
      </c>
      <c r="X1736" s="253">
        <v>0.6</v>
      </c>
      <c r="Y1736" s="253">
        <v>0.65916666666666657</v>
      </c>
      <c r="Z1736" s="253">
        <v>0.58846153846153848</v>
      </c>
      <c r="AA1736" s="253"/>
      <c r="AB1736" s="253"/>
      <c r="AC1736" s="253"/>
      <c r="AD1736" s="253"/>
      <c r="AE1736" s="253"/>
    </row>
    <row r="1737" spans="1:31">
      <c r="A1737" s="33">
        <v>1736</v>
      </c>
      <c r="B1737" s="69" t="s">
        <v>1310</v>
      </c>
      <c r="C1737" s="69" t="s">
        <v>740</v>
      </c>
      <c r="D1737" s="56">
        <v>42951</v>
      </c>
      <c r="E1737" s="33" t="s">
        <v>916</v>
      </c>
      <c r="F1737" s="69" t="s">
        <v>532</v>
      </c>
      <c r="G1737" s="69" t="str">
        <f t="shared" si="27"/>
        <v>Both</v>
      </c>
      <c r="H1737" s="69" t="s">
        <v>364</v>
      </c>
      <c r="I1737" s="69" t="s">
        <v>741</v>
      </c>
      <c r="J1737" s="69" t="s">
        <v>1310</v>
      </c>
      <c r="K1737" s="69" t="s">
        <v>1314</v>
      </c>
      <c r="L1737" s="253">
        <v>0.5543244755244755</v>
      </c>
      <c r="M1737" s="253">
        <v>0.54893900916589866</v>
      </c>
      <c r="N1737" s="253">
        <v>0.57022032393115407</v>
      </c>
      <c r="O1737" s="253">
        <v>0.53589847565789772</v>
      </c>
      <c r="P1737" s="253">
        <v>0.54963636363636359</v>
      </c>
      <c r="Q1737" s="253">
        <v>0.54527027027027031</v>
      </c>
      <c r="R1737" s="253">
        <v>0.54891302010536491</v>
      </c>
      <c r="S1737" s="253">
        <v>0.52815533980582541</v>
      </c>
      <c r="T1737" s="253">
        <v>0.56832061068702278</v>
      </c>
      <c r="U1737" s="253">
        <v>0.54724279835390954</v>
      </c>
      <c r="V1737" s="253">
        <v>0.58775700934579433</v>
      </c>
      <c r="W1737" s="253">
        <v>0.5</v>
      </c>
      <c r="X1737" s="253">
        <v>0.5117647058823529</v>
      </c>
      <c r="Y1737" s="253">
        <v>0.52197916666666666</v>
      </c>
      <c r="Z1737" s="253">
        <v>0.57307692307692304</v>
      </c>
      <c r="AA1737" s="253"/>
      <c r="AB1737" s="253"/>
      <c r="AC1737" s="253"/>
      <c r="AD1737" s="253"/>
      <c r="AE1737" s="253"/>
    </row>
    <row r="1738" spans="1:31">
      <c r="A1738" s="33">
        <v>1737</v>
      </c>
      <c r="B1738" s="69" t="s">
        <v>1292</v>
      </c>
      <c r="C1738" s="69" t="s">
        <v>740</v>
      </c>
      <c r="D1738" s="56">
        <v>42955</v>
      </c>
      <c r="E1738" s="33" t="s">
        <v>724</v>
      </c>
      <c r="F1738" s="69" t="s">
        <v>532</v>
      </c>
      <c r="G1738" s="69" t="str">
        <f t="shared" si="27"/>
        <v>Both</v>
      </c>
      <c r="H1738" s="69" t="s">
        <v>1293</v>
      </c>
      <c r="I1738" s="69" t="s">
        <v>1294</v>
      </c>
      <c r="J1738" s="69" t="s">
        <v>1292</v>
      </c>
      <c r="K1738" s="69" t="s">
        <v>1295</v>
      </c>
      <c r="L1738" s="253">
        <v>0.60704055944055935</v>
      </c>
      <c r="M1738" s="253">
        <v>0.62287684197680127</v>
      </c>
      <c r="N1738" s="253">
        <v>0.5839322726609254</v>
      </c>
      <c r="O1738" s="253">
        <v>0.57425212016571792</v>
      </c>
      <c r="P1738" s="253">
        <v>0.61745454545454537</v>
      </c>
      <c r="Q1738" s="253">
        <v>0.677027027027027</v>
      </c>
      <c r="R1738" s="253">
        <v>0.63065034122842234</v>
      </c>
      <c r="S1738" s="253">
        <v>0.60384615384615381</v>
      </c>
      <c r="T1738" s="253">
        <v>0.61914893617021272</v>
      </c>
      <c r="U1738" s="253">
        <v>0.61224137931034484</v>
      </c>
      <c r="V1738" s="253">
        <v>0.14186046511627906</v>
      </c>
      <c r="W1738" s="253">
        <v>0.58193548387096772</v>
      </c>
      <c r="X1738" s="253">
        <v>0.59058823529411764</v>
      </c>
      <c r="Y1738" s="253">
        <v>0.55239583333333331</v>
      </c>
      <c r="Z1738" s="253">
        <v>0.56538461538461537</v>
      </c>
      <c r="AA1738" s="253"/>
      <c r="AB1738" s="253"/>
      <c r="AC1738" s="253"/>
      <c r="AD1738" s="253"/>
      <c r="AE1738" s="253"/>
    </row>
    <row r="1739" spans="1:31">
      <c r="A1739" s="33">
        <v>1738</v>
      </c>
      <c r="B1739" s="69" t="s">
        <v>1292</v>
      </c>
      <c r="C1739" s="69" t="s">
        <v>740</v>
      </c>
      <c r="D1739" s="56">
        <v>42955</v>
      </c>
      <c r="E1739" s="33" t="s">
        <v>724</v>
      </c>
      <c r="F1739" s="69" t="s">
        <v>532</v>
      </c>
      <c r="G1739" s="69" t="str">
        <f t="shared" si="27"/>
        <v>Both</v>
      </c>
      <c r="H1739" s="69" t="s">
        <v>1293</v>
      </c>
      <c r="I1739" s="69" t="s">
        <v>1294</v>
      </c>
      <c r="J1739" s="69" t="s">
        <v>1292</v>
      </c>
      <c r="K1739" s="69" t="s">
        <v>1296</v>
      </c>
      <c r="L1739" s="253">
        <v>0.61732587412587403</v>
      </c>
      <c r="M1739" s="253">
        <v>0.57169595296845588</v>
      </c>
      <c r="N1739" s="253">
        <v>0.5730404320537148</v>
      </c>
      <c r="O1739" s="253">
        <v>0.58543766874473591</v>
      </c>
      <c r="P1739" s="253">
        <v>0.6212727272727272</v>
      </c>
      <c r="Q1739" s="253">
        <v>0.58500000000000008</v>
      </c>
      <c r="R1739" s="253">
        <v>0.57111601766358888</v>
      </c>
      <c r="S1739" s="253">
        <v>0.60913461538461544</v>
      </c>
      <c r="T1739" s="253">
        <v>0.53563829787234041</v>
      </c>
      <c r="U1739" s="253">
        <v>0.54137931034482756</v>
      </c>
      <c r="V1739" s="253">
        <v>0.12744186046511627</v>
      </c>
      <c r="W1739" s="253">
        <v>0.55612903225806454</v>
      </c>
      <c r="X1739" s="253">
        <v>0.62941176470588234</v>
      </c>
      <c r="Y1739" s="253">
        <v>0.58114583333333336</v>
      </c>
      <c r="Z1739" s="253">
        <v>0.60153846153846158</v>
      </c>
      <c r="AA1739" s="253"/>
      <c r="AB1739" s="253"/>
      <c r="AC1739" s="253"/>
      <c r="AD1739" s="253"/>
      <c r="AE1739" s="253"/>
    </row>
    <row r="1740" spans="1:31">
      <c r="A1740" s="33">
        <v>1739</v>
      </c>
      <c r="B1740" s="69" t="s">
        <v>1292</v>
      </c>
      <c r="C1740" s="69" t="s">
        <v>740</v>
      </c>
      <c r="D1740" s="56">
        <v>42955</v>
      </c>
      <c r="E1740" s="33" t="s">
        <v>724</v>
      </c>
      <c r="F1740" s="69" t="s">
        <v>532</v>
      </c>
      <c r="G1740" s="69" t="str">
        <f t="shared" si="27"/>
        <v>Both</v>
      </c>
      <c r="H1740" s="69" t="s">
        <v>1293</v>
      </c>
      <c r="I1740" s="69" t="s">
        <v>1294</v>
      </c>
      <c r="J1740" s="69" t="s">
        <v>1292</v>
      </c>
      <c r="K1740" s="69" t="s">
        <v>1297</v>
      </c>
      <c r="L1740" s="253">
        <v>0.59754125874125874</v>
      </c>
      <c r="M1740" s="253">
        <v>0.58298890946716064</v>
      </c>
      <c r="N1740" s="253">
        <v>0.53951247992993723</v>
      </c>
      <c r="O1740" s="253">
        <v>0.54596788095126225</v>
      </c>
      <c r="P1740" s="253">
        <v>0.61327272727272719</v>
      </c>
      <c r="Q1740" s="253">
        <v>0.59337837837837837</v>
      </c>
      <c r="R1740" s="253">
        <v>0.61366920915295065</v>
      </c>
      <c r="S1740" s="253">
        <v>0.56730769230769229</v>
      </c>
      <c r="T1740" s="253">
        <v>0.56914893617021278</v>
      </c>
      <c r="U1740" s="253">
        <v>0.58419540229885047</v>
      </c>
      <c r="V1740" s="253">
        <v>0.13069767441860464</v>
      </c>
      <c r="W1740" s="253">
        <v>0.53548387096774197</v>
      </c>
      <c r="X1740" s="253">
        <v>0.55294117647058827</v>
      </c>
      <c r="Y1740" s="253">
        <v>0.52895833333333331</v>
      </c>
      <c r="Z1740" s="253">
        <v>0.5346153846153846</v>
      </c>
      <c r="AA1740" s="253"/>
      <c r="AB1740" s="253"/>
      <c r="AC1740" s="253"/>
      <c r="AD1740" s="253"/>
      <c r="AE1740" s="253"/>
    </row>
    <row r="1741" spans="1:31">
      <c r="A1741" s="33">
        <v>1740</v>
      </c>
      <c r="B1741" s="69" t="s">
        <v>1292</v>
      </c>
      <c r="C1741" s="69" t="s">
        <v>740</v>
      </c>
      <c r="D1741" s="56">
        <v>42955</v>
      </c>
      <c r="E1741" s="33" t="s">
        <v>724</v>
      </c>
      <c r="F1741" s="69" t="s">
        <v>532</v>
      </c>
      <c r="G1741" s="69" t="str">
        <f t="shared" si="27"/>
        <v>Both</v>
      </c>
      <c r="H1741" s="69" t="s">
        <v>1293</v>
      </c>
      <c r="I1741" s="69" t="s">
        <v>1294</v>
      </c>
      <c r="J1741" s="69" t="s">
        <v>1292</v>
      </c>
      <c r="K1741" s="69" t="s">
        <v>1298</v>
      </c>
      <c r="L1741" s="253">
        <v>0.5775916083916085</v>
      </c>
      <c r="M1741" s="253">
        <v>0.53234365857054911</v>
      </c>
      <c r="N1741" s="253">
        <v>0.50292220113852004</v>
      </c>
      <c r="O1741" s="253">
        <v>0.5194339672656465</v>
      </c>
      <c r="P1741" s="253">
        <v>0.59218181818181825</v>
      </c>
      <c r="Q1741" s="253">
        <v>0.52229729729729724</v>
      </c>
      <c r="R1741" s="253">
        <v>0.60680449618627053</v>
      </c>
      <c r="S1741" s="253">
        <v>0.50240384615384615</v>
      </c>
      <c r="T1741" s="253">
        <v>0.51702127659574471</v>
      </c>
      <c r="U1741" s="253">
        <v>0.50431034482758619</v>
      </c>
      <c r="V1741" s="253">
        <v>0.11627906976744186</v>
      </c>
      <c r="W1741" s="253">
        <v>0.47838709677419361</v>
      </c>
      <c r="X1741" s="253">
        <v>0.58470588235294119</v>
      </c>
      <c r="Y1741" s="253">
        <v>0.50343749999999998</v>
      </c>
      <c r="Z1741" s="253">
        <v>0.51923076923076927</v>
      </c>
      <c r="AA1741" s="253"/>
      <c r="AB1741" s="253"/>
      <c r="AC1741" s="253"/>
      <c r="AD1741" s="253"/>
      <c r="AE1741" s="253"/>
    </row>
    <row r="1742" spans="1:31">
      <c r="A1742" s="33">
        <v>1741</v>
      </c>
      <c r="B1742" s="69" t="s">
        <v>1292</v>
      </c>
      <c r="C1742" s="69" t="s">
        <v>740</v>
      </c>
      <c r="D1742" s="56">
        <v>42955</v>
      </c>
      <c r="E1742" s="33" t="s">
        <v>724</v>
      </c>
      <c r="F1742" s="69" t="s">
        <v>532</v>
      </c>
      <c r="G1742" s="69" t="str">
        <f t="shared" si="27"/>
        <v>Both</v>
      </c>
      <c r="H1742" s="69" t="s">
        <v>1293</v>
      </c>
      <c r="I1742" s="69" t="s">
        <v>1294</v>
      </c>
      <c r="J1742" s="69" t="s">
        <v>1292</v>
      </c>
      <c r="K1742" s="69" t="s">
        <v>1299</v>
      </c>
      <c r="L1742" s="253">
        <v>0.57562517482517483</v>
      </c>
      <c r="M1742" s="253">
        <v>0.58860097275091705</v>
      </c>
      <c r="N1742" s="253">
        <v>0.55977092760180991</v>
      </c>
      <c r="O1742" s="253">
        <v>0.56100974582239493</v>
      </c>
      <c r="P1742" s="253">
        <v>0.57145454545454544</v>
      </c>
      <c r="Q1742" s="253">
        <v>0.57405405405405407</v>
      </c>
      <c r="R1742" s="253">
        <v>0.6226615816940988</v>
      </c>
      <c r="S1742" s="253">
        <v>0.54086538461538458</v>
      </c>
      <c r="T1742" s="253">
        <v>0.58670212765957441</v>
      </c>
      <c r="U1742" s="253">
        <v>0.60402298850574709</v>
      </c>
      <c r="V1742" s="253">
        <v>0.12279069767441859</v>
      </c>
      <c r="W1742" s="253">
        <v>0.54593749999999996</v>
      </c>
      <c r="X1742" s="253">
        <v>0.60588235294117643</v>
      </c>
      <c r="Y1742" s="253">
        <v>0.53999999999999992</v>
      </c>
      <c r="Z1742" s="253">
        <v>0.59230769230769231</v>
      </c>
      <c r="AA1742" s="253"/>
      <c r="AB1742" s="253"/>
      <c r="AC1742" s="253"/>
      <c r="AD1742" s="253"/>
      <c r="AE1742" s="253"/>
    </row>
    <row r="1743" spans="1:31">
      <c r="A1743" s="33">
        <v>1742</v>
      </c>
      <c r="B1743" s="69" t="s">
        <v>1300</v>
      </c>
      <c r="C1743" s="69" t="s">
        <v>723</v>
      </c>
      <c r="D1743" s="56">
        <v>42955</v>
      </c>
      <c r="E1743" s="33" t="s">
        <v>916</v>
      </c>
      <c r="F1743" s="69" t="s">
        <v>725</v>
      </c>
      <c r="G1743" s="69" t="str">
        <f t="shared" si="27"/>
        <v>E-Commerce</v>
      </c>
      <c r="H1743" s="69" t="s">
        <v>749</v>
      </c>
      <c r="I1743" s="69" t="s">
        <v>1301</v>
      </c>
      <c r="J1743" s="69" t="s">
        <v>1300</v>
      </c>
      <c r="K1743" s="69" t="s">
        <v>1300</v>
      </c>
      <c r="L1743" s="253">
        <v>0.64238601398601392</v>
      </c>
      <c r="M1743" s="253">
        <v>0.63508774771396348</v>
      </c>
      <c r="N1743" s="253">
        <v>0.57047489765136816</v>
      </c>
      <c r="O1743" s="253">
        <v>0.66856137670863258</v>
      </c>
      <c r="P1743" s="253">
        <v>0.65163636363636357</v>
      </c>
      <c r="Q1743" s="253">
        <v>0.63432432432432428</v>
      </c>
      <c r="R1743" s="253">
        <v>0.64359786835661814</v>
      </c>
      <c r="S1743" s="253">
        <v>0.59245283018867934</v>
      </c>
      <c r="T1743" s="253">
        <v>0.63702290076335877</v>
      </c>
      <c r="U1743" s="253">
        <v>0.67201646090534972</v>
      </c>
      <c r="V1743" s="253">
        <v>0.55897435897435899</v>
      </c>
      <c r="W1743" s="253"/>
      <c r="X1743" s="253">
        <v>0.53823529411764703</v>
      </c>
      <c r="Y1743" s="253">
        <v>0.70354166666666673</v>
      </c>
      <c r="Z1743" s="253">
        <v>0.60538461538461541</v>
      </c>
      <c r="AA1743" s="253"/>
      <c r="AB1743" s="253"/>
      <c r="AC1743" s="253"/>
      <c r="AD1743" s="253"/>
      <c r="AE1743" s="253"/>
    </row>
    <row r="1744" spans="1:31">
      <c r="A1744" s="33">
        <v>1743</v>
      </c>
      <c r="B1744" s="69" t="s">
        <v>1300</v>
      </c>
      <c r="C1744" s="69" t="s">
        <v>723</v>
      </c>
      <c r="D1744" s="56">
        <v>42955</v>
      </c>
      <c r="E1744" s="33" t="s">
        <v>724</v>
      </c>
      <c r="F1744" s="69" t="s">
        <v>725</v>
      </c>
      <c r="G1744" s="69" t="str">
        <f t="shared" si="27"/>
        <v>E-Commerce</v>
      </c>
      <c r="H1744" s="69" t="s">
        <v>749</v>
      </c>
      <c r="I1744" s="69" t="s">
        <v>1301</v>
      </c>
      <c r="J1744" s="69" t="s">
        <v>1300</v>
      </c>
      <c r="K1744" s="69" t="s">
        <v>389</v>
      </c>
      <c r="L1744" s="253">
        <v>0.70201678321678318</v>
      </c>
      <c r="M1744" s="253">
        <v>0.71763871731705042</v>
      </c>
      <c r="N1744" s="253">
        <v>0.68719758672699849</v>
      </c>
      <c r="O1744" s="253">
        <v>0.73219615917116998</v>
      </c>
      <c r="P1744" s="253">
        <v>0.74963636363636366</v>
      </c>
      <c r="Q1744" s="253">
        <v>0.70337837837837835</v>
      </c>
      <c r="R1744" s="253">
        <v>0.69621921359642802</v>
      </c>
      <c r="S1744" s="253">
        <v>0.78773584905660377</v>
      </c>
      <c r="T1744" s="253">
        <v>0.61832061068702293</v>
      </c>
      <c r="U1744" s="253">
        <v>0.8364197530864198</v>
      </c>
      <c r="V1744" s="253">
        <v>0.68564102564102558</v>
      </c>
      <c r="W1744" s="253"/>
      <c r="X1744" s="253">
        <v>0.68823529411764706</v>
      </c>
      <c r="Y1744" s="253">
        <v>0.80291666666666672</v>
      </c>
      <c r="Z1744" s="253">
        <v>0.5115384615384615</v>
      </c>
      <c r="AA1744" s="253"/>
      <c r="AB1744" s="253"/>
      <c r="AC1744" s="253"/>
      <c r="AD1744" s="253"/>
      <c r="AE1744" s="253"/>
    </row>
    <row r="1745" spans="1:31">
      <c r="A1745" s="33">
        <v>1744</v>
      </c>
      <c r="B1745" s="69" t="s">
        <v>1300</v>
      </c>
      <c r="C1745" s="69" t="s">
        <v>723</v>
      </c>
      <c r="D1745" s="56">
        <v>42955</v>
      </c>
      <c r="E1745" s="33" t="s">
        <v>916</v>
      </c>
      <c r="F1745" s="69" t="s">
        <v>725</v>
      </c>
      <c r="G1745" s="69" t="str">
        <f t="shared" si="27"/>
        <v>ERROR</v>
      </c>
      <c r="H1745" s="69" t="s">
        <v>749</v>
      </c>
      <c r="I1745" s="69" t="s">
        <v>1301</v>
      </c>
      <c r="J1745" s="69" t="s">
        <v>1300</v>
      </c>
      <c r="K1745" s="69" t="s">
        <v>1302</v>
      </c>
      <c r="L1745" s="253">
        <v>0.62930069930069932</v>
      </c>
      <c r="M1745" s="253">
        <v>0.61034318422573086</v>
      </c>
      <c r="N1745" s="253">
        <v>0.67199439775910363</v>
      </c>
      <c r="O1745" s="253">
        <v>0.6114299842167098</v>
      </c>
      <c r="P1745" s="253">
        <v>0.63181818181818172</v>
      </c>
      <c r="Q1745" s="253">
        <v>0.58783783783783783</v>
      </c>
      <c r="R1745" s="253">
        <v>0.5868111767247588</v>
      </c>
      <c r="S1745" s="253">
        <v>0.61849056603773589</v>
      </c>
      <c r="T1745" s="253">
        <v>0.59236641221374042</v>
      </c>
      <c r="U1745" s="253">
        <v>0.65259259259259261</v>
      </c>
      <c r="V1745" s="253">
        <v>0</v>
      </c>
      <c r="W1745" s="253"/>
      <c r="X1745" s="253">
        <v>0.6723529411764706</v>
      </c>
      <c r="Y1745" s="253">
        <v>0.6156666666666667</v>
      </c>
      <c r="Z1745" s="253">
        <v>0.61923076923076925</v>
      </c>
      <c r="AA1745" s="253"/>
      <c r="AB1745" s="253"/>
      <c r="AC1745" s="253"/>
      <c r="AD1745" s="253"/>
      <c r="AE1745" s="253"/>
    </row>
    <row r="1746" spans="1:31">
      <c r="A1746" s="33">
        <v>1745</v>
      </c>
      <c r="B1746" s="69" t="s">
        <v>1300</v>
      </c>
      <c r="C1746" s="69" t="s">
        <v>723</v>
      </c>
      <c r="D1746" s="56">
        <v>42955</v>
      </c>
      <c r="E1746" s="33" t="s">
        <v>916</v>
      </c>
      <c r="F1746" s="69" t="s">
        <v>725</v>
      </c>
      <c r="G1746" s="69" t="str">
        <f t="shared" si="27"/>
        <v>E-Commerce</v>
      </c>
      <c r="H1746" s="69" t="s">
        <v>749</v>
      </c>
      <c r="I1746" s="69" t="s">
        <v>1301</v>
      </c>
      <c r="J1746" s="69" t="s">
        <v>1300</v>
      </c>
      <c r="K1746" s="69" t="s">
        <v>1303</v>
      </c>
      <c r="L1746" s="253">
        <v>0.65749090909090913</v>
      </c>
      <c r="M1746" s="253">
        <v>0.66190436757209259</v>
      </c>
      <c r="N1746" s="253">
        <v>0.65359215686274508</v>
      </c>
      <c r="O1746" s="253">
        <v>0.66675441827353188</v>
      </c>
      <c r="P1746" s="253">
        <v>0.66436363636363638</v>
      </c>
      <c r="Q1746" s="253">
        <v>0.62513513513513519</v>
      </c>
      <c r="R1746" s="253">
        <v>0.65453838398386865</v>
      </c>
      <c r="S1746" s="253">
        <v>0.64811320754716983</v>
      </c>
      <c r="T1746" s="253">
        <v>0.68435114503816796</v>
      </c>
      <c r="U1746" s="253">
        <v>0.70901234567901239</v>
      </c>
      <c r="V1746" s="253">
        <v>0.64133333333333331</v>
      </c>
      <c r="W1746" s="253"/>
      <c r="X1746" s="253">
        <v>0.66176470588235292</v>
      </c>
      <c r="Y1746" s="253">
        <v>0.68624999999999992</v>
      </c>
      <c r="Z1746" s="253">
        <v>0.63</v>
      </c>
      <c r="AA1746" s="253"/>
      <c r="AB1746" s="253"/>
      <c r="AC1746" s="253"/>
      <c r="AD1746" s="253"/>
      <c r="AE1746" s="253"/>
    </row>
    <row r="1747" spans="1:31">
      <c r="A1747" s="33">
        <v>1746</v>
      </c>
      <c r="B1747" s="69" t="s">
        <v>1300</v>
      </c>
      <c r="C1747" s="69" t="s">
        <v>723</v>
      </c>
      <c r="D1747" s="56">
        <v>42955</v>
      </c>
      <c r="E1747" s="33" t="s">
        <v>916</v>
      </c>
      <c r="F1747" s="69" t="s">
        <v>725</v>
      </c>
      <c r="G1747" s="69" t="str">
        <f t="shared" si="27"/>
        <v>E-Commerce</v>
      </c>
      <c r="H1747" s="69" t="s">
        <v>749</v>
      </c>
      <c r="I1747" s="69" t="s">
        <v>1301</v>
      </c>
      <c r="J1747" s="69" t="s">
        <v>1300</v>
      </c>
      <c r="K1747" s="69" t="s">
        <v>1304</v>
      </c>
      <c r="L1747" s="253">
        <v>0.63480559440559436</v>
      </c>
      <c r="M1747" s="253">
        <v>0.64014921899527466</v>
      </c>
      <c r="N1747" s="253">
        <v>0.61997500538677019</v>
      </c>
      <c r="O1747" s="253">
        <v>0.66239921081156128</v>
      </c>
      <c r="P1747" s="253">
        <v>0.63254545454545452</v>
      </c>
      <c r="Q1747" s="253">
        <v>0.66324324324324335</v>
      </c>
      <c r="R1747" s="253">
        <v>0.63875126026213458</v>
      </c>
      <c r="S1747" s="253">
        <v>0.71037735849056605</v>
      </c>
      <c r="T1747" s="253">
        <v>0.56679389312977102</v>
      </c>
      <c r="U1747" s="253">
        <v>0.60942386831275719</v>
      </c>
      <c r="V1747" s="253">
        <v>0.58128205128205135</v>
      </c>
      <c r="W1747" s="253"/>
      <c r="X1747" s="253">
        <v>0.64588235294117657</v>
      </c>
      <c r="Y1747" s="253">
        <v>0.66781250000000014</v>
      </c>
      <c r="Z1747" s="253">
        <v>0.64384615384615385</v>
      </c>
      <c r="AA1747" s="253"/>
      <c r="AB1747" s="253"/>
      <c r="AC1747" s="253"/>
      <c r="AD1747" s="253"/>
      <c r="AE1747" s="253"/>
    </row>
    <row r="1748" spans="1:31">
      <c r="A1748" s="33">
        <v>1747</v>
      </c>
      <c r="B1748" s="69" t="s">
        <v>1300</v>
      </c>
      <c r="C1748" s="69" t="s">
        <v>723</v>
      </c>
      <c r="D1748" s="56">
        <v>42955</v>
      </c>
      <c r="E1748" s="33" t="s">
        <v>781</v>
      </c>
      <c r="F1748" s="69" t="s">
        <v>725</v>
      </c>
      <c r="G1748" s="69" t="str">
        <f t="shared" si="27"/>
        <v>ERROR</v>
      </c>
      <c r="H1748" s="69" t="s">
        <v>749</v>
      </c>
      <c r="I1748" s="69" t="s">
        <v>1301</v>
      </c>
      <c r="J1748" s="69" t="s">
        <v>1300</v>
      </c>
      <c r="K1748" s="69" t="s">
        <v>1305</v>
      </c>
      <c r="L1748" s="253">
        <v>0.62653426573426574</v>
      </c>
      <c r="M1748" s="253">
        <v>0.65588710990819665</v>
      </c>
      <c r="N1748" s="253">
        <v>0.59176470588235286</v>
      </c>
      <c r="O1748" s="253">
        <v>0.59649957443318935</v>
      </c>
      <c r="P1748" s="253">
        <v>0.63509090909090915</v>
      </c>
      <c r="Q1748" s="253">
        <v>0.68472972972972979</v>
      </c>
      <c r="R1748" s="253">
        <v>0.64768255797205809</v>
      </c>
      <c r="S1748" s="253">
        <v>0.5726415094339623</v>
      </c>
      <c r="T1748" s="253">
        <v>0.62557251908396949</v>
      </c>
      <c r="U1748" s="253">
        <v>0.75123456790123455</v>
      </c>
      <c r="V1748" s="253">
        <v>0</v>
      </c>
      <c r="W1748" s="253"/>
      <c r="X1748" s="253">
        <v>0.59176470588235286</v>
      </c>
      <c r="Y1748" s="253">
        <v>0.5810833333333334</v>
      </c>
      <c r="Z1748" s="253">
        <v>0.59230769230769231</v>
      </c>
      <c r="AA1748" s="253"/>
      <c r="AB1748" s="253"/>
      <c r="AC1748" s="253"/>
      <c r="AD1748" s="253"/>
      <c r="AE1748" s="253"/>
    </row>
    <row r="1749" spans="1:31">
      <c r="A1749" s="33">
        <v>1748</v>
      </c>
      <c r="B1749" s="69" t="s">
        <v>1286</v>
      </c>
      <c r="C1749" s="69" t="s">
        <v>791</v>
      </c>
      <c r="D1749" s="56">
        <v>42957</v>
      </c>
      <c r="E1749" s="33" t="s">
        <v>724</v>
      </c>
      <c r="F1749" s="69" t="s">
        <v>380</v>
      </c>
      <c r="G1749" s="69" t="str">
        <f t="shared" si="27"/>
        <v>E-Commerce</v>
      </c>
      <c r="H1749" s="69" t="s">
        <v>749</v>
      </c>
      <c r="I1749" s="69" t="s">
        <v>1287</v>
      </c>
      <c r="J1749" s="69" t="s">
        <v>1286</v>
      </c>
      <c r="K1749" s="69" t="s">
        <v>1286</v>
      </c>
      <c r="L1749" s="253">
        <v>0.6336615384615385</v>
      </c>
      <c r="M1749" s="253">
        <v>0.61139891889273335</v>
      </c>
      <c r="N1749" s="253">
        <v>0.63648834947350608</v>
      </c>
      <c r="O1749" s="253">
        <v>0.63262796944707234</v>
      </c>
      <c r="P1749" s="253">
        <v>0.64400000000000002</v>
      </c>
      <c r="Q1749" s="253">
        <v>0.57743243243243236</v>
      </c>
      <c r="R1749" s="253">
        <v>0.61998704872915666</v>
      </c>
      <c r="S1749" s="253">
        <v>0.65097087378640783</v>
      </c>
      <c r="T1749" s="253">
        <v>0.61681034482758623</v>
      </c>
      <c r="U1749" s="253">
        <v>0.60271604938271595</v>
      </c>
      <c r="V1749" s="253">
        <v>0.66495327102803747</v>
      </c>
      <c r="W1749" s="253"/>
      <c r="X1749" s="253">
        <v>0.60235294117647054</v>
      </c>
      <c r="Y1749" s="253">
        <v>0.65093749999999995</v>
      </c>
      <c r="Z1749" s="253">
        <v>0.59230769230769231</v>
      </c>
      <c r="AA1749" s="253"/>
      <c r="AB1749" s="253"/>
      <c r="AC1749" s="253"/>
      <c r="AD1749" s="253"/>
      <c r="AE1749" s="253"/>
    </row>
    <row r="1750" spans="1:31">
      <c r="A1750" s="33">
        <v>1749</v>
      </c>
      <c r="B1750" s="69" t="s">
        <v>1286</v>
      </c>
      <c r="C1750" s="69" t="s">
        <v>791</v>
      </c>
      <c r="D1750" s="56">
        <v>42957</v>
      </c>
      <c r="E1750" s="33" t="s">
        <v>724</v>
      </c>
      <c r="F1750" s="69" t="s">
        <v>380</v>
      </c>
      <c r="G1750" s="69" t="str">
        <f t="shared" si="27"/>
        <v>E-Commerce</v>
      </c>
      <c r="H1750" s="69" t="s">
        <v>749</v>
      </c>
      <c r="I1750" s="69" t="s">
        <v>1287</v>
      </c>
      <c r="J1750" s="69" t="s">
        <v>1286</v>
      </c>
      <c r="K1750" s="69" t="s">
        <v>1288</v>
      </c>
      <c r="L1750" s="253">
        <v>0.61972027972027965</v>
      </c>
      <c r="M1750" s="253">
        <v>0.60691023743772421</v>
      </c>
      <c r="N1750" s="253">
        <v>0.6114686852454857</v>
      </c>
      <c r="O1750" s="253">
        <v>0.62233384047160067</v>
      </c>
      <c r="P1750" s="253">
        <v>0.62272727272727268</v>
      </c>
      <c r="Q1750" s="253">
        <v>0.60527027027027014</v>
      </c>
      <c r="R1750" s="253">
        <v>0.61793751011818043</v>
      </c>
      <c r="S1750" s="253">
        <v>0.62378640776699024</v>
      </c>
      <c r="T1750" s="253">
        <v>0.63017241379310351</v>
      </c>
      <c r="U1750" s="253">
        <v>0.56942386831275726</v>
      </c>
      <c r="V1750" s="253">
        <v>0.62803738317756996</v>
      </c>
      <c r="W1750" s="253"/>
      <c r="X1750" s="253">
        <v>0.52352941176470591</v>
      </c>
      <c r="Y1750" s="253">
        <v>0.62916666666666665</v>
      </c>
      <c r="Z1750" s="253">
        <v>0.60769230769230764</v>
      </c>
      <c r="AA1750" s="253"/>
      <c r="AB1750" s="253"/>
      <c r="AC1750" s="253"/>
      <c r="AD1750" s="253"/>
      <c r="AE1750" s="253"/>
    </row>
    <row r="1751" spans="1:31">
      <c r="A1751" s="33">
        <v>1750</v>
      </c>
      <c r="B1751" s="69" t="s">
        <v>1286</v>
      </c>
      <c r="C1751" s="69" t="s">
        <v>791</v>
      </c>
      <c r="D1751" s="56">
        <v>42957</v>
      </c>
      <c r="E1751" s="33" t="s">
        <v>724</v>
      </c>
      <c r="F1751" s="69" t="s">
        <v>380</v>
      </c>
      <c r="G1751" s="69" t="str">
        <f t="shared" si="27"/>
        <v>E-Commerce</v>
      </c>
      <c r="H1751" s="69" t="s">
        <v>749</v>
      </c>
      <c r="I1751" s="69" t="s">
        <v>1287</v>
      </c>
      <c r="J1751" s="69" t="s">
        <v>1286</v>
      </c>
      <c r="K1751" s="69" t="s">
        <v>1289</v>
      </c>
      <c r="L1751" s="253">
        <v>0.63132587412587404</v>
      </c>
      <c r="M1751" s="253">
        <v>0.6372542701427486</v>
      </c>
      <c r="N1751" s="253">
        <v>0.57305747029221465</v>
      </c>
      <c r="O1751" s="253">
        <v>0.67050428825081243</v>
      </c>
      <c r="P1751" s="253">
        <v>0.65127272727272723</v>
      </c>
      <c r="Q1751" s="253">
        <v>0.5595945945945946</v>
      </c>
      <c r="R1751" s="253">
        <v>0.60422535211267614</v>
      </c>
      <c r="S1751" s="253">
        <v>0.69320388349514572</v>
      </c>
      <c r="T1751" s="253">
        <v>0.66250000000000009</v>
      </c>
      <c r="U1751" s="253">
        <v>0.70679012345679015</v>
      </c>
      <c r="V1751" s="253">
        <v>0.59691588785046723</v>
      </c>
      <c r="W1751" s="253"/>
      <c r="X1751" s="253">
        <v>0.49352941176470594</v>
      </c>
      <c r="Y1751" s="253">
        <v>0.72827083333333331</v>
      </c>
      <c r="Z1751" s="253">
        <v>0.55153846153846153</v>
      </c>
      <c r="AA1751" s="253"/>
      <c r="AB1751" s="253"/>
      <c r="AC1751" s="253"/>
      <c r="AD1751" s="253"/>
      <c r="AE1751" s="253"/>
    </row>
    <row r="1752" spans="1:31">
      <c r="A1752" s="33">
        <v>1751</v>
      </c>
      <c r="B1752" s="69" t="s">
        <v>1286</v>
      </c>
      <c r="C1752" s="69" t="s">
        <v>791</v>
      </c>
      <c r="D1752" s="56">
        <v>42957</v>
      </c>
      <c r="E1752" s="33" t="s">
        <v>724</v>
      </c>
      <c r="F1752" s="69" t="s">
        <v>380</v>
      </c>
      <c r="G1752" s="69" t="str">
        <f t="shared" si="27"/>
        <v>E-Commerce</v>
      </c>
      <c r="H1752" s="69" t="s">
        <v>749</v>
      </c>
      <c r="I1752" s="69" t="s">
        <v>1287</v>
      </c>
      <c r="J1752" s="69" t="s">
        <v>1286</v>
      </c>
      <c r="K1752" s="69" t="s">
        <v>1263</v>
      </c>
      <c r="L1752" s="253">
        <v>0.59560000000000002</v>
      </c>
      <c r="M1752" s="253">
        <v>0.58387448759528093</v>
      </c>
      <c r="N1752" s="253">
        <v>0.56712944559563583</v>
      </c>
      <c r="O1752" s="253">
        <v>0.60000597004968903</v>
      </c>
      <c r="P1752" s="253">
        <v>0.59200000000000008</v>
      </c>
      <c r="Q1752" s="253">
        <v>0.54635135135135138</v>
      </c>
      <c r="R1752" s="253">
        <v>0.57931034482758625</v>
      </c>
      <c r="S1752" s="253">
        <v>0.60679611650485432</v>
      </c>
      <c r="T1752" s="253">
        <v>0.59827586206896555</v>
      </c>
      <c r="U1752" s="253">
        <v>0.58102880658436218</v>
      </c>
      <c r="V1752" s="253">
        <v>0.56612149532710287</v>
      </c>
      <c r="W1752" s="253"/>
      <c r="X1752" s="253">
        <v>0.55647058823529405</v>
      </c>
      <c r="Y1752" s="253">
        <v>0.60583333333333333</v>
      </c>
      <c r="Z1752" s="253">
        <v>0.61</v>
      </c>
      <c r="AA1752" s="253"/>
      <c r="AB1752" s="253"/>
      <c r="AC1752" s="253"/>
      <c r="AD1752" s="253"/>
      <c r="AE1752" s="253"/>
    </row>
    <row r="1753" spans="1:31">
      <c r="A1753" s="33">
        <v>1752</v>
      </c>
      <c r="B1753" s="69" t="s">
        <v>1286</v>
      </c>
      <c r="C1753" s="69" t="s">
        <v>791</v>
      </c>
      <c r="D1753" s="56">
        <v>42957</v>
      </c>
      <c r="E1753" s="33" t="s">
        <v>724</v>
      </c>
      <c r="F1753" s="69" t="s">
        <v>380</v>
      </c>
      <c r="G1753" s="69" t="str">
        <f t="shared" si="27"/>
        <v>E-Commerce</v>
      </c>
      <c r="H1753" s="69" t="s">
        <v>749</v>
      </c>
      <c r="I1753" s="69" t="s">
        <v>1287</v>
      </c>
      <c r="J1753" s="69" t="s">
        <v>1286</v>
      </c>
      <c r="K1753" s="69" t="s">
        <v>1290</v>
      </c>
      <c r="L1753" s="253">
        <v>0.59276643356643366</v>
      </c>
      <c r="M1753" s="253">
        <v>0.57083805449689673</v>
      </c>
      <c r="N1753" s="253">
        <v>0.54970524802300513</v>
      </c>
      <c r="O1753" s="253">
        <v>0.58091127779462914</v>
      </c>
      <c r="P1753" s="253">
        <v>0.59672727272727277</v>
      </c>
      <c r="Q1753" s="253">
        <v>0.56824324324324316</v>
      </c>
      <c r="R1753" s="253">
        <v>0.55279261777561928</v>
      </c>
      <c r="S1753" s="253">
        <v>0.55631067961165048</v>
      </c>
      <c r="T1753" s="253">
        <v>0.61120689655172422</v>
      </c>
      <c r="U1753" s="253">
        <v>0.57592592592592595</v>
      </c>
      <c r="V1753" s="253">
        <v>0.55261682242990662</v>
      </c>
      <c r="W1753" s="253"/>
      <c r="X1753" s="253">
        <v>0.54</v>
      </c>
      <c r="Y1753" s="253">
        <v>0.59145833333333331</v>
      </c>
      <c r="Z1753" s="253">
        <v>0.57692307692307687</v>
      </c>
      <c r="AA1753" s="253"/>
      <c r="AB1753" s="253"/>
      <c r="AC1753" s="253"/>
      <c r="AD1753" s="253"/>
      <c r="AE1753" s="253"/>
    </row>
    <row r="1754" spans="1:31">
      <c r="A1754" s="33">
        <v>1753</v>
      </c>
      <c r="B1754" s="69" t="s">
        <v>1286</v>
      </c>
      <c r="C1754" s="69" t="s">
        <v>791</v>
      </c>
      <c r="D1754" s="56">
        <v>42957</v>
      </c>
      <c r="E1754" s="33" t="s">
        <v>724</v>
      </c>
      <c r="F1754" s="69" t="s">
        <v>380</v>
      </c>
      <c r="G1754" s="69" t="str">
        <f t="shared" si="27"/>
        <v>E-Commerce</v>
      </c>
      <c r="H1754" s="69" t="s">
        <v>749</v>
      </c>
      <c r="I1754" s="69" t="s">
        <v>1287</v>
      </c>
      <c r="J1754" s="69" t="s">
        <v>1286</v>
      </c>
      <c r="K1754" s="69" t="s">
        <v>1291</v>
      </c>
      <c r="L1754" s="253">
        <v>0.54354685314685303</v>
      </c>
      <c r="M1754" s="253">
        <v>0.51446569695237787</v>
      </c>
      <c r="N1754" s="253">
        <v>0.51878842982196471</v>
      </c>
      <c r="O1754" s="253">
        <v>0.54579166241252608</v>
      </c>
      <c r="P1754" s="253">
        <v>0.52981818181818174</v>
      </c>
      <c r="Q1754" s="253">
        <v>0.49729729729729727</v>
      </c>
      <c r="R1754" s="253">
        <v>0.49755544762829851</v>
      </c>
      <c r="S1754" s="253">
        <v>0.470873786407767</v>
      </c>
      <c r="T1754" s="253">
        <v>0.56982758620689655</v>
      </c>
      <c r="U1754" s="253">
        <v>0.5131687242798354</v>
      </c>
      <c r="V1754" s="253">
        <v>0.4981308411214953</v>
      </c>
      <c r="W1754" s="253"/>
      <c r="X1754" s="253">
        <v>0.58764705882352941</v>
      </c>
      <c r="Y1754" s="253">
        <v>0.55197916666666669</v>
      </c>
      <c r="Z1754" s="253">
        <v>0.59846153846153849</v>
      </c>
      <c r="AA1754" s="253"/>
      <c r="AB1754" s="253"/>
      <c r="AC1754" s="253"/>
      <c r="AD1754" s="253"/>
      <c r="AE1754" s="253"/>
    </row>
    <row r="1755" spans="1:31">
      <c r="A1755" s="33">
        <v>1754</v>
      </c>
      <c r="B1755" s="69" t="s">
        <v>1169</v>
      </c>
      <c r="C1755" s="69" t="s">
        <v>723</v>
      </c>
      <c r="D1755" s="56">
        <v>42958</v>
      </c>
      <c r="E1755" s="33" t="s">
        <v>724</v>
      </c>
      <c r="F1755" s="69" t="s">
        <v>725</v>
      </c>
      <c r="G1755" s="69" t="str">
        <f t="shared" si="27"/>
        <v>E-Commerce</v>
      </c>
      <c r="H1755" s="69" t="s">
        <v>364</v>
      </c>
      <c r="I1755" s="69" t="s">
        <v>364</v>
      </c>
      <c r="J1755" s="69" t="s">
        <v>1169</v>
      </c>
      <c r="K1755" s="69" t="s">
        <v>1169</v>
      </c>
      <c r="L1755" s="253">
        <v>0.58173426573426579</v>
      </c>
      <c r="M1755" s="253">
        <v>0.61988634390058406</v>
      </c>
      <c r="N1755" s="253">
        <v>0.63066926233820897</v>
      </c>
      <c r="O1755" s="253">
        <v>0.62089269376639855</v>
      </c>
      <c r="P1755" s="253">
        <v>0.56909090909090909</v>
      </c>
      <c r="Q1755" s="253">
        <v>0.6527027027027027</v>
      </c>
      <c r="R1755" s="253">
        <v>0.62681981852225277</v>
      </c>
      <c r="S1755" s="253">
        <v>0.58066037735849052</v>
      </c>
      <c r="T1755" s="253">
        <v>0.65038167938931313</v>
      </c>
      <c r="U1755" s="253">
        <v>0.59481481481481491</v>
      </c>
      <c r="V1755" s="253">
        <v>0.64604651162790683</v>
      </c>
      <c r="W1755" s="253">
        <v>0</v>
      </c>
      <c r="X1755" s="253">
        <v>0.5794117647058824</v>
      </c>
      <c r="Y1755" s="253">
        <v>0.61712500000000003</v>
      </c>
      <c r="Z1755" s="253">
        <v>0.63230769230769235</v>
      </c>
      <c r="AA1755" s="253"/>
      <c r="AB1755" s="253"/>
      <c r="AC1755" s="253"/>
      <c r="AD1755" s="253"/>
      <c r="AE1755" s="253"/>
    </row>
    <row r="1756" spans="1:31">
      <c r="A1756" s="33">
        <v>1755</v>
      </c>
      <c r="B1756" s="69" t="s">
        <v>1169</v>
      </c>
      <c r="C1756" s="69" t="s">
        <v>723</v>
      </c>
      <c r="D1756" s="56">
        <v>42958</v>
      </c>
      <c r="E1756" s="33" t="s">
        <v>724</v>
      </c>
      <c r="F1756" s="69" t="s">
        <v>725</v>
      </c>
      <c r="G1756" s="69" t="str">
        <f t="shared" si="27"/>
        <v>E-Commerce</v>
      </c>
      <c r="H1756" s="69" t="s">
        <v>364</v>
      </c>
      <c r="I1756" s="69" t="s">
        <v>364</v>
      </c>
      <c r="J1756" s="69" t="s">
        <v>1169</v>
      </c>
      <c r="K1756" s="69" t="s">
        <v>1282</v>
      </c>
      <c r="L1756" s="253">
        <v>0.5579188811188811</v>
      </c>
      <c r="M1756" s="253">
        <v>0.58318180302419809</v>
      </c>
      <c r="N1756" s="253">
        <v>0.61680206250657688</v>
      </c>
      <c r="O1756" s="253">
        <v>0.59085674860850446</v>
      </c>
      <c r="P1756" s="253">
        <v>0.53509090909090906</v>
      </c>
      <c r="Q1756" s="253">
        <v>0.58594594594594607</v>
      </c>
      <c r="R1756" s="253">
        <v>0.5650151231456142</v>
      </c>
      <c r="S1756" s="253">
        <v>0.51839622641509442</v>
      </c>
      <c r="T1756" s="253">
        <v>0.60152671755725173</v>
      </c>
      <c r="U1756" s="253">
        <v>0.61353909465020584</v>
      </c>
      <c r="V1756" s="253">
        <v>0.6223720930232558</v>
      </c>
      <c r="W1756" s="253">
        <v>0</v>
      </c>
      <c r="X1756" s="253">
        <v>0.59823529411764709</v>
      </c>
      <c r="Y1756" s="253">
        <v>0.58624999999999994</v>
      </c>
      <c r="Z1756" s="253">
        <v>0.64923076923076928</v>
      </c>
      <c r="AA1756" s="253"/>
      <c r="AB1756" s="253"/>
      <c r="AC1756" s="253"/>
      <c r="AD1756" s="253"/>
      <c r="AE1756" s="253"/>
    </row>
    <row r="1757" spans="1:31">
      <c r="A1757" s="33">
        <v>1756</v>
      </c>
      <c r="B1757" s="69" t="s">
        <v>1169</v>
      </c>
      <c r="C1757" s="69" t="s">
        <v>723</v>
      </c>
      <c r="D1757" s="56">
        <v>42958</v>
      </c>
      <c r="E1757" s="33" t="s">
        <v>724</v>
      </c>
      <c r="F1757" s="69" t="s">
        <v>725</v>
      </c>
      <c r="G1757" s="69" t="str">
        <f t="shared" si="27"/>
        <v>E-Commerce</v>
      </c>
      <c r="H1757" s="69" t="s">
        <v>364</v>
      </c>
      <c r="I1757" s="69" t="s">
        <v>364</v>
      </c>
      <c r="J1757" s="69" t="s">
        <v>1169</v>
      </c>
      <c r="K1757" s="69" t="s">
        <v>1283</v>
      </c>
      <c r="L1757" s="253">
        <v>0.56189650349650355</v>
      </c>
      <c r="M1757" s="253">
        <v>0.56607220506437805</v>
      </c>
      <c r="N1757" s="253">
        <v>0.62242898610823139</v>
      </c>
      <c r="O1757" s="253">
        <v>0.53910810413100596</v>
      </c>
      <c r="P1757" s="253">
        <v>0.58890909090909083</v>
      </c>
      <c r="Q1757" s="253">
        <v>0.55716216216216219</v>
      </c>
      <c r="R1757" s="253">
        <v>0.59823563301166627</v>
      </c>
      <c r="S1757" s="253">
        <v>0.58820754716981138</v>
      </c>
      <c r="T1757" s="253">
        <v>0.58854961832061059</v>
      </c>
      <c r="U1757" s="253">
        <v>0.55473251028806592</v>
      </c>
      <c r="V1757" s="253">
        <v>0.62594339622641504</v>
      </c>
      <c r="W1757" s="253">
        <v>0</v>
      </c>
      <c r="X1757" s="253">
        <v>0.61071428571428577</v>
      </c>
      <c r="Y1757" s="253">
        <v>0.54614583333333333</v>
      </c>
      <c r="Z1757" s="253">
        <v>0.45384615384615384</v>
      </c>
      <c r="AA1757" s="253"/>
      <c r="AB1757" s="253"/>
      <c r="AC1757" s="253"/>
      <c r="AD1757" s="253"/>
      <c r="AE1757" s="253"/>
    </row>
    <row r="1758" spans="1:31">
      <c r="A1758" s="33">
        <v>1757</v>
      </c>
      <c r="B1758" s="69" t="s">
        <v>1169</v>
      </c>
      <c r="C1758" s="69" t="s">
        <v>723</v>
      </c>
      <c r="D1758" s="56">
        <v>42958</v>
      </c>
      <c r="E1758" s="33" t="s">
        <v>724</v>
      </c>
      <c r="F1758" s="69" t="s">
        <v>725</v>
      </c>
      <c r="G1758" s="69" t="str">
        <f t="shared" si="27"/>
        <v>E-Commerce</v>
      </c>
      <c r="H1758" s="69" t="s">
        <v>364</v>
      </c>
      <c r="I1758" s="69" t="s">
        <v>364</v>
      </c>
      <c r="J1758" s="69" t="s">
        <v>1169</v>
      </c>
      <c r="K1758" s="69" t="s">
        <v>390</v>
      </c>
      <c r="L1758" s="253">
        <v>0.66557482517482514</v>
      </c>
      <c r="M1758" s="253">
        <v>0.72767980417862377</v>
      </c>
      <c r="N1758" s="253">
        <v>0.74337577607071459</v>
      </c>
      <c r="O1758" s="253">
        <v>0.71928146455710196</v>
      </c>
      <c r="P1758" s="253">
        <v>0.65254545454545454</v>
      </c>
      <c r="Q1758" s="253">
        <v>0.68567567567567556</v>
      </c>
      <c r="R1758" s="253">
        <v>0.66844303615151945</v>
      </c>
      <c r="S1758" s="253">
        <v>0.81839622641509435</v>
      </c>
      <c r="T1758" s="253">
        <v>0.73091603053435117</v>
      </c>
      <c r="U1758" s="253">
        <v>0.75</v>
      </c>
      <c r="V1758" s="253">
        <v>0.73697674418604664</v>
      </c>
      <c r="W1758" s="253">
        <v>0</v>
      </c>
      <c r="X1758" s="253">
        <v>0.76470588235294112</v>
      </c>
      <c r="Y1758" s="253">
        <v>0.72337499999999999</v>
      </c>
      <c r="Z1758" s="253">
        <v>0.71769230769230763</v>
      </c>
      <c r="AA1758" s="253"/>
      <c r="AB1758" s="253"/>
      <c r="AC1758" s="253"/>
      <c r="AD1758" s="253"/>
      <c r="AE1758" s="253"/>
    </row>
    <row r="1759" spans="1:31">
      <c r="A1759" s="33">
        <v>1758</v>
      </c>
      <c r="B1759" s="69" t="s">
        <v>1169</v>
      </c>
      <c r="C1759" s="69" t="s">
        <v>723</v>
      </c>
      <c r="D1759" s="56">
        <v>42958</v>
      </c>
      <c r="E1759" s="33" t="s">
        <v>724</v>
      </c>
      <c r="F1759" s="69" t="s">
        <v>725</v>
      </c>
      <c r="G1759" s="69" t="str">
        <f t="shared" si="27"/>
        <v>E-Commerce</v>
      </c>
      <c r="H1759" s="69" t="s">
        <v>364</v>
      </c>
      <c r="I1759" s="69" t="s">
        <v>364</v>
      </c>
      <c r="J1759" s="69" t="s">
        <v>1169</v>
      </c>
      <c r="K1759" s="69" t="s">
        <v>1284</v>
      </c>
      <c r="L1759" s="253">
        <v>0.66887832167832162</v>
      </c>
      <c r="M1759" s="253">
        <v>0.71042959567720532</v>
      </c>
      <c r="N1759" s="253">
        <v>0.67625170998632023</v>
      </c>
      <c r="O1759" s="253">
        <v>0.73791157181826261</v>
      </c>
      <c r="P1759" s="253">
        <v>0.65763636363636357</v>
      </c>
      <c r="Q1759" s="253">
        <v>0.71527027027027024</v>
      </c>
      <c r="R1759" s="253">
        <v>0.67596860146910542</v>
      </c>
      <c r="S1759" s="253">
        <v>0.78679245283018873</v>
      </c>
      <c r="T1759" s="253">
        <v>0.68587786259541983</v>
      </c>
      <c r="U1759" s="253">
        <v>0.69329218106995893</v>
      </c>
      <c r="V1759" s="253">
        <v>0.68818604651162796</v>
      </c>
      <c r="W1759" s="253">
        <v>0</v>
      </c>
      <c r="X1759" s="253">
        <v>0.63647058823529412</v>
      </c>
      <c r="Y1759" s="253">
        <v>0.75489583333333343</v>
      </c>
      <c r="Z1759" s="253">
        <v>0.7138461538461538</v>
      </c>
      <c r="AA1759" s="253"/>
      <c r="AB1759" s="253"/>
      <c r="AC1759" s="253"/>
      <c r="AD1759" s="253"/>
      <c r="AE1759" s="253"/>
    </row>
    <row r="1760" spans="1:31">
      <c r="A1760" s="33">
        <v>1759</v>
      </c>
      <c r="B1760" s="69" t="s">
        <v>1169</v>
      </c>
      <c r="C1760" s="69" t="s">
        <v>723</v>
      </c>
      <c r="D1760" s="56">
        <v>42958</v>
      </c>
      <c r="E1760" s="33" t="s">
        <v>724</v>
      </c>
      <c r="F1760" s="69" t="s">
        <v>725</v>
      </c>
      <c r="G1760" s="69" t="str">
        <f t="shared" si="27"/>
        <v>E-Commerce</v>
      </c>
      <c r="H1760" s="69" t="s">
        <v>364</v>
      </c>
      <c r="I1760" s="69" t="s">
        <v>364</v>
      </c>
      <c r="J1760" s="69" t="s">
        <v>1169</v>
      </c>
      <c r="K1760" s="69" t="s">
        <v>1285</v>
      </c>
      <c r="L1760" s="253">
        <v>0.64015944055944063</v>
      </c>
      <c r="M1760" s="253">
        <v>0.6280369490269867</v>
      </c>
      <c r="N1760" s="253">
        <v>0.66668315268862466</v>
      </c>
      <c r="O1760" s="253">
        <v>0.58226214975586643</v>
      </c>
      <c r="P1760" s="253">
        <v>0.63654545454545453</v>
      </c>
      <c r="Q1760" s="253">
        <v>0.55337837837837844</v>
      </c>
      <c r="R1760" s="253">
        <v>0.62408324931585779</v>
      </c>
      <c r="S1760" s="253">
        <v>0.64048076923076924</v>
      </c>
      <c r="T1760" s="253">
        <v>0.66221374045801529</v>
      </c>
      <c r="U1760" s="253">
        <v>0.65062500000000001</v>
      </c>
      <c r="V1760" s="253">
        <v>0.65651162790697681</v>
      </c>
      <c r="W1760" s="253">
        <v>0</v>
      </c>
      <c r="X1760" s="253">
        <v>0.70058823529411773</v>
      </c>
      <c r="Y1760" s="253">
        <v>0.54925847457627119</v>
      </c>
      <c r="Z1760" s="253">
        <v>0.6546153846153846</v>
      </c>
      <c r="AA1760" s="253"/>
      <c r="AB1760" s="253"/>
      <c r="AC1760" s="253"/>
      <c r="AD1760" s="253"/>
      <c r="AE1760" s="253"/>
    </row>
    <row r="1761" spans="1:31">
      <c r="A1761" s="33">
        <v>1760</v>
      </c>
      <c r="B1761" s="69" t="s">
        <v>1095</v>
      </c>
      <c r="C1761" s="69" t="s">
        <v>791</v>
      </c>
      <c r="D1761" s="56">
        <v>42961</v>
      </c>
      <c r="E1761" s="33" t="s">
        <v>724</v>
      </c>
      <c r="F1761" s="69" t="s">
        <v>380</v>
      </c>
      <c r="G1761" s="69" t="str">
        <f t="shared" si="27"/>
        <v>E-Commerce</v>
      </c>
      <c r="H1761" s="69" t="s">
        <v>364</v>
      </c>
      <c r="I1761" s="69" t="s">
        <v>1096</v>
      </c>
      <c r="J1761" s="69" t="s">
        <v>1095</v>
      </c>
      <c r="K1761" s="69" t="s">
        <v>78</v>
      </c>
      <c r="L1761" s="253">
        <v>0.62400000000000011</v>
      </c>
      <c r="M1761" s="253">
        <v>0.67739130434782613</v>
      </c>
      <c r="N1761" s="253">
        <v>0.73670000000000002</v>
      </c>
      <c r="O1761" s="253">
        <v>0.64647058823529413</v>
      </c>
      <c r="P1761" s="253">
        <v>0.62</v>
      </c>
      <c r="Q1761" s="253">
        <v>0.68</v>
      </c>
      <c r="R1761" s="253">
        <v>0.72</v>
      </c>
      <c r="S1761" s="253">
        <v>0.65</v>
      </c>
      <c r="T1761" s="253">
        <v>0.71</v>
      </c>
      <c r="U1761" s="253">
        <v>0.65</v>
      </c>
      <c r="V1761" s="253">
        <v>0.73670000000000002</v>
      </c>
      <c r="W1761" s="253"/>
      <c r="X1761" s="253"/>
      <c r="Y1761" s="253">
        <v>0.63</v>
      </c>
      <c r="Z1761" s="253">
        <v>0.64</v>
      </c>
      <c r="AA1761" s="253"/>
      <c r="AB1761" s="253"/>
      <c r="AC1761" s="253"/>
      <c r="AD1761" s="253"/>
      <c r="AE1761" s="253"/>
    </row>
    <row r="1762" spans="1:31">
      <c r="A1762" s="33">
        <v>1761</v>
      </c>
      <c r="B1762" s="69" t="s">
        <v>1095</v>
      </c>
      <c r="C1762" s="69" t="s">
        <v>791</v>
      </c>
      <c r="D1762" s="56">
        <v>42961</v>
      </c>
      <c r="E1762" s="33" t="s">
        <v>724</v>
      </c>
      <c r="F1762" s="69" t="s">
        <v>380</v>
      </c>
      <c r="G1762" s="69" t="str">
        <f t="shared" si="27"/>
        <v>E-Commerce</v>
      </c>
      <c r="H1762" s="69" t="s">
        <v>364</v>
      </c>
      <c r="I1762" s="69" t="s">
        <v>1096</v>
      </c>
      <c r="J1762" s="69" t="s">
        <v>1095</v>
      </c>
      <c r="K1762" s="69" t="s">
        <v>821</v>
      </c>
      <c r="L1762" s="253">
        <v>0.68678374455732949</v>
      </c>
      <c r="M1762" s="253">
        <v>0.72767980417862377</v>
      </c>
      <c r="N1762" s="253">
        <v>0.73827738608860349</v>
      </c>
      <c r="O1762" s="253">
        <v>0.71928146455710196</v>
      </c>
      <c r="P1762" s="253">
        <v>0.6790566037735849</v>
      </c>
      <c r="Q1762" s="253">
        <v>0.68567567567567556</v>
      </c>
      <c r="R1762" s="253">
        <v>0.66844303615151945</v>
      </c>
      <c r="S1762" s="253">
        <v>0.81839622641509435</v>
      </c>
      <c r="T1762" s="253">
        <v>0.73091603053435117</v>
      </c>
      <c r="U1762" s="253">
        <v>0.75</v>
      </c>
      <c r="V1762" s="253">
        <v>0.73034883720930222</v>
      </c>
      <c r="W1762" s="253"/>
      <c r="X1762" s="253">
        <v>0.76470588235294112</v>
      </c>
      <c r="Y1762" s="253">
        <v>0.72337499999999999</v>
      </c>
      <c r="Z1762" s="253">
        <v>0.71769230769230763</v>
      </c>
      <c r="AA1762" s="253"/>
      <c r="AB1762" s="253"/>
      <c r="AC1762" s="253"/>
      <c r="AD1762" s="253"/>
      <c r="AE1762" s="253"/>
    </row>
    <row r="1763" spans="1:31">
      <c r="A1763" s="33">
        <v>1762</v>
      </c>
      <c r="B1763" s="69" t="s">
        <v>1095</v>
      </c>
      <c r="C1763" s="69" t="s">
        <v>791</v>
      </c>
      <c r="D1763" s="56">
        <v>42961</v>
      </c>
      <c r="E1763" s="33" t="s">
        <v>724</v>
      </c>
      <c r="F1763" s="69" t="s">
        <v>380</v>
      </c>
      <c r="G1763" s="69" t="str">
        <f t="shared" si="27"/>
        <v>E-Commerce</v>
      </c>
      <c r="H1763" s="69" t="s">
        <v>364</v>
      </c>
      <c r="I1763" s="69" t="s">
        <v>1096</v>
      </c>
      <c r="J1763" s="69" t="s">
        <v>1095</v>
      </c>
      <c r="K1763" s="69" t="s">
        <v>1095</v>
      </c>
      <c r="L1763" s="253">
        <v>0.60166908563134991</v>
      </c>
      <c r="M1763" s="253">
        <v>0.60510984423206171</v>
      </c>
      <c r="N1763" s="253">
        <v>0.64474166052825421</v>
      </c>
      <c r="O1763" s="253">
        <v>0.61732973802931601</v>
      </c>
      <c r="P1763" s="253">
        <v>0.6015094339622642</v>
      </c>
      <c r="Q1763" s="253">
        <v>0.57310810810810808</v>
      </c>
      <c r="R1763" s="253">
        <v>0.63778049834365558</v>
      </c>
      <c r="S1763" s="253">
        <v>0.57547169811320764</v>
      </c>
      <c r="T1763" s="253">
        <v>0.61641221374045807</v>
      </c>
      <c r="U1763" s="253">
        <v>0.6160905349794239</v>
      </c>
      <c r="V1763" s="253">
        <v>0.65004651162790694</v>
      </c>
      <c r="W1763" s="253"/>
      <c r="X1763" s="253">
        <v>0.62705882352941178</v>
      </c>
      <c r="Y1763" s="253">
        <v>0.62635416666666666</v>
      </c>
      <c r="Z1763" s="253">
        <v>0.60230769230769243</v>
      </c>
      <c r="AA1763" s="253"/>
      <c r="AB1763" s="253"/>
      <c r="AC1763" s="253"/>
      <c r="AD1763" s="253"/>
      <c r="AE1763" s="253"/>
    </row>
    <row r="1764" spans="1:31">
      <c r="A1764" s="33">
        <v>1763</v>
      </c>
      <c r="B1764" s="69" t="s">
        <v>1095</v>
      </c>
      <c r="C1764" s="69" t="s">
        <v>791</v>
      </c>
      <c r="D1764" s="56">
        <v>42961</v>
      </c>
      <c r="E1764" s="33" t="s">
        <v>724</v>
      </c>
      <c r="F1764" s="69" t="s">
        <v>380</v>
      </c>
      <c r="G1764" s="69" t="str">
        <f t="shared" si="27"/>
        <v>E-Commerce</v>
      </c>
      <c r="H1764" s="69" t="s">
        <v>364</v>
      </c>
      <c r="I1764" s="69" t="s">
        <v>1096</v>
      </c>
      <c r="J1764" s="69" t="s">
        <v>1095</v>
      </c>
      <c r="K1764" s="69" t="s">
        <v>1102</v>
      </c>
      <c r="L1764" s="253">
        <v>0.5842119013062409</v>
      </c>
      <c r="M1764" s="253">
        <v>0.57142992979756924</v>
      </c>
      <c r="N1764" s="253">
        <v>0.63804482794906869</v>
      </c>
      <c r="O1764" s="253">
        <v>0.56198075600850084</v>
      </c>
      <c r="P1764" s="253">
        <v>0.5962264150943396</v>
      </c>
      <c r="Q1764" s="253">
        <v>0.59364864864864864</v>
      </c>
      <c r="R1764" s="253">
        <v>0.60639060924672339</v>
      </c>
      <c r="S1764" s="253">
        <v>0.52169811320754711</v>
      </c>
      <c r="T1764" s="253">
        <v>0.60229007633587783</v>
      </c>
      <c r="U1764" s="253">
        <v>0.55407407407407405</v>
      </c>
      <c r="V1764" s="253">
        <v>0.63604651162790693</v>
      </c>
      <c r="W1764" s="253"/>
      <c r="X1764" s="253">
        <v>0.64470588235294113</v>
      </c>
      <c r="Y1764" s="253">
        <v>0.56170833333333337</v>
      </c>
      <c r="Z1764" s="253">
        <v>0.5361538461538462</v>
      </c>
      <c r="AA1764" s="253"/>
      <c r="AB1764" s="253"/>
      <c r="AC1764" s="253"/>
      <c r="AD1764" s="253"/>
      <c r="AE1764" s="253"/>
    </row>
    <row r="1765" spans="1:31">
      <c r="A1765" s="33">
        <v>1764</v>
      </c>
      <c r="B1765" s="69" t="s">
        <v>1095</v>
      </c>
      <c r="C1765" s="69" t="s">
        <v>791</v>
      </c>
      <c r="D1765" s="56">
        <v>42961</v>
      </c>
      <c r="E1765" s="33" t="s">
        <v>724</v>
      </c>
      <c r="F1765" s="69" t="s">
        <v>380</v>
      </c>
      <c r="G1765" s="69" t="str">
        <f t="shared" si="27"/>
        <v>E-Commerce</v>
      </c>
      <c r="H1765" s="69" t="s">
        <v>364</v>
      </c>
      <c r="I1765" s="69" t="s">
        <v>1096</v>
      </c>
      <c r="J1765" s="69" t="s">
        <v>1095</v>
      </c>
      <c r="K1765" s="69" t="s">
        <v>1104</v>
      </c>
      <c r="L1765" s="253">
        <v>0.57842089985486211</v>
      </c>
      <c r="M1765" s="253">
        <v>0.51565571097089302</v>
      </c>
      <c r="N1765" s="253">
        <v>0.57735031042828577</v>
      </c>
      <c r="O1765" s="253">
        <v>0.54130587752199866</v>
      </c>
      <c r="P1765" s="253">
        <v>0.58264150943396231</v>
      </c>
      <c r="Q1765" s="253">
        <v>0.4721283783783784</v>
      </c>
      <c r="R1765" s="253">
        <v>0.54043641077344085</v>
      </c>
      <c r="S1765" s="253">
        <v>0.54999999999999993</v>
      </c>
      <c r="T1765" s="253">
        <v>0.52977099236641223</v>
      </c>
      <c r="U1765" s="253">
        <v>0.47139917695473249</v>
      </c>
      <c r="V1765" s="253">
        <v>0.5777906976744186</v>
      </c>
      <c r="W1765" s="253"/>
      <c r="X1765" s="253">
        <v>0.57588235294117651</v>
      </c>
      <c r="Y1765" s="253">
        <v>0.54145833333333326</v>
      </c>
      <c r="Z1765" s="253">
        <v>0.56153846153846154</v>
      </c>
      <c r="AA1765" s="253"/>
      <c r="AB1765" s="253"/>
      <c r="AC1765" s="253"/>
      <c r="AD1765" s="253"/>
      <c r="AE1765" s="253"/>
    </row>
    <row r="1766" spans="1:31">
      <c r="A1766" s="33">
        <v>1765</v>
      </c>
      <c r="B1766" s="69" t="s">
        <v>1275</v>
      </c>
      <c r="C1766" s="69" t="s">
        <v>960</v>
      </c>
      <c r="D1766" s="56">
        <v>42962</v>
      </c>
      <c r="E1766" s="33" t="s">
        <v>724</v>
      </c>
      <c r="F1766" s="69" t="s">
        <v>725</v>
      </c>
      <c r="G1766" s="69" t="str">
        <f t="shared" si="27"/>
        <v>User Registration</v>
      </c>
      <c r="H1766" s="69" t="s">
        <v>808</v>
      </c>
      <c r="I1766" s="69" t="s">
        <v>1276</v>
      </c>
      <c r="J1766" s="69" t="s">
        <v>1275</v>
      </c>
      <c r="K1766" s="69" t="s">
        <v>1275</v>
      </c>
      <c r="L1766" s="253">
        <v>0.5476923076923077</v>
      </c>
      <c r="M1766" s="253">
        <v>0.60637538328862473</v>
      </c>
      <c r="N1766" s="253">
        <v>0.53310344827586209</v>
      </c>
      <c r="O1766" s="253">
        <v>0.60642035434162966</v>
      </c>
      <c r="P1766" s="253">
        <v>0.54</v>
      </c>
      <c r="Q1766" s="253">
        <v>0.62756756756756749</v>
      </c>
      <c r="R1766" s="253">
        <v>0.60830188679245289</v>
      </c>
      <c r="S1766" s="253">
        <v>0.6333333333333333</v>
      </c>
      <c r="T1766" s="253">
        <v>0.6166666666666667</v>
      </c>
      <c r="U1766" s="253">
        <v>0.57091954022988511</v>
      </c>
      <c r="V1766" s="253">
        <v>0</v>
      </c>
      <c r="W1766" s="253">
        <v>0.53310344827586209</v>
      </c>
      <c r="X1766" s="253">
        <v>0</v>
      </c>
      <c r="Y1766" s="253">
        <v>0</v>
      </c>
      <c r="Z1766" s="253">
        <v>0.57846153846153858</v>
      </c>
      <c r="AA1766" s="253"/>
      <c r="AB1766" s="253"/>
      <c r="AC1766" s="253"/>
      <c r="AD1766" s="253"/>
      <c r="AE1766" s="253"/>
    </row>
    <row r="1767" spans="1:31">
      <c r="A1767" s="33">
        <v>1766</v>
      </c>
      <c r="B1767" s="69" t="s">
        <v>1275</v>
      </c>
      <c r="C1767" s="69" t="s">
        <v>960</v>
      </c>
      <c r="D1767" s="56">
        <v>42962</v>
      </c>
      <c r="E1767" s="33" t="s">
        <v>724</v>
      </c>
      <c r="F1767" s="69" t="s">
        <v>725</v>
      </c>
      <c r="G1767" s="69" t="str">
        <f t="shared" si="27"/>
        <v>User Registration</v>
      </c>
      <c r="H1767" s="69" t="s">
        <v>808</v>
      </c>
      <c r="I1767" s="69" t="s">
        <v>1276</v>
      </c>
      <c r="J1767" s="69" t="s">
        <v>1275</v>
      </c>
      <c r="K1767" s="69" t="s">
        <v>1277</v>
      </c>
      <c r="L1767" s="253">
        <v>0.52968951048951052</v>
      </c>
      <c r="M1767" s="253">
        <v>0.63388182529998971</v>
      </c>
      <c r="N1767" s="253">
        <v>0.51310344827586207</v>
      </c>
      <c r="O1767" s="253">
        <v>0.62873812985346145</v>
      </c>
      <c r="P1767" s="253">
        <v>0.52672727272727271</v>
      </c>
      <c r="Q1767" s="253">
        <v>0.5745945945945945</v>
      </c>
      <c r="R1767" s="253">
        <v>0.66377358490566041</v>
      </c>
      <c r="S1767" s="253">
        <v>0.68284313725490198</v>
      </c>
      <c r="T1767" s="253">
        <v>0.64833333333333332</v>
      </c>
      <c r="U1767" s="253">
        <v>0.64051724137931021</v>
      </c>
      <c r="V1767" s="253">
        <v>0</v>
      </c>
      <c r="W1767" s="253">
        <v>0.51310344827586207</v>
      </c>
      <c r="X1767" s="253">
        <v>0</v>
      </c>
      <c r="Y1767" s="253">
        <v>0</v>
      </c>
      <c r="Z1767" s="253">
        <v>0.54153846153846164</v>
      </c>
      <c r="AA1767" s="253"/>
      <c r="AB1767" s="253"/>
      <c r="AC1767" s="253"/>
      <c r="AD1767" s="253"/>
      <c r="AE1767" s="253"/>
    </row>
    <row r="1768" spans="1:31">
      <c r="A1768" s="33">
        <v>1767</v>
      </c>
      <c r="B1768" s="69" t="s">
        <v>1275</v>
      </c>
      <c r="C1768" s="69" t="s">
        <v>960</v>
      </c>
      <c r="D1768" s="56">
        <v>42962</v>
      </c>
      <c r="E1768" s="33" t="s">
        <v>724</v>
      </c>
      <c r="F1768" s="69" t="s">
        <v>725</v>
      </c>
      <c r="G1768" s="69" t="str">
        <f t="shared" si="27"/>
        <v>User Registration</v>
      </c>
      <c r="H1768" s="69" t="s">
        <v>808</v>
      </c>
      <c r="I1768" s="69" t="s">
        <v>1276</v>
      </c>
      <c r="J1768" s="69" t="s">
        <v>1275</v>
      </c>
      <c r="K1768" s="69" t="s">
        <v>1278</v>
      </c>
      <c r="L1768" s="253">
        <v>0.55740699300699292</v>
      </c>
      <c r="M1768" s="253">
        <v>0.62091233971298099</v>
      </c>
      <c r="N1768" s="253">
        <v>0.47034482758620683</v>
      </c>
      <c r="O1768" s="253">
        <v>0.61786007558718603</v>
      </c>
      <c r="P1768" s="253">
        <v>0.556181818181818</v>
      </c>
      <c r="Q1768" s="253">
        <v>0.61270270270270266</v>
      </c>
      <c r="R1768" s="253">
        <v>0.65314465408805045</v>
      </c>
      <c r="S1768" s="253">
        <v>0.60882352941176476</v>
      </c>
      <c r="T1768" s="253">
        <v>0.62555555555555564</v>
      </c>
      <c r="U1768" s="253">
        <v>0.62557471264367814</v>
      </c>
      <c r="V1768" s="253">
        <v>0</v>
      </c>
      <c r="W1768" s="253">
        <v>0.47034482758620683</v>
      </c>
      <c r="X1768" s="253">
        <v>0</v>
      </c>
      <c r="Y1768" s="253">
        <v>0</v>
      </c>
      <c r="Z1768" s="253">
        <v>0.5623076923076924</v>
      </c>
      <c r="AA1768" s="253"/>
      <c r="AB1768" s="253"/>
      <c r="AC1768" s="253"/>
      <c r="AD1768" s="253"/>
      <c r="AE1768" s="253"/>
    </row>
    <row r="1769" spans="1:31">
      <c r="A1769" s="33">
        <v>1768</v>
      </c>
      <c r="B1769" s="69" t="s">
        <v>1275</v>
      </c>
      <c r="C1769" s="69" t="s">
        <v>960</v>
      </c>
      <c r="D1769" s="56">
        <v>42962</v>
      </c>
      <c r="E1769" s="33" t="s">
        <v>724</v>
      </c>
      <c r="F1769" s="69" t="s">
        <v>725</v>
      </c>
      <c r="G1769" s="69" t="str">
        <f t="shared" si="27"/>
        <v>User Registration</v>
      </c>
      <c r="H1769" s="69" t="s">
        <v>808</v>
      </c>
      <c r="I1769" s="69" t="s">
        <v>1276</v>
      </c>
      <c r="J1769" s="69" t="s">
        <v>1275</v>
      </c>
      <c r="K1769" s="69" t="s">
        <v>1279</v>
      </c>
      <c r="L1769" s="253">
        <v>0.55311888111888108</v>
      </c>
      <c r="M1769" s="253">
        <v>0.63721530183058028</v>
      </c>
      <c r="N1769" s="253">
        <v>0.55482758620689654</v>
      </c>
      <c r="O1769" s="253">
        <v>0.63860568957121966</v>
      </c>
      <c r="P1769" s="253">
        <v>0.54909090909090907</v>
      </c>
      <c r="Q1769" s="253">
        <v>0.64202702702702708</v>
      </c>
      <c r="R1769" s="253">
        <v>0.6876100628930818</v>
      </c>
      <c r="S1769" s="253">
        <v>0.6215686274509804</v>
      </c>
      <c r="T1769" s="253">
        <v>0.65777777777777779</v>
      </c>
      <c r="U1769" s="253">
        <v>0.61034482758620678</v>
      </c>
      <c r="V1769" s="253">
        <v>0</v>
      </c>
      <c r="W1769" s="253">
        <v>0.55482758620689654</v>
      </c>
      <c r="X1769" s="253">
        <v>0</v>
      </c>
      <c r="Y1769" s="253">
        <v>0</v>
      </c>
      <c r="Z1769" s="253">
        <v>0.56923076923076921</v>
      </c>
      <c r="AA1769" s="253"/>
      <c r="AB1769" s="253"/>
      <c r="AC1769" s="253"/>
      <c r="AD1769" s="253"/>
      <c r="AE1769" s="253"/>
    </row>
    <row r="1770" spans="1:31">
      <c r="A1770" s="33">
        <v>1769</v>
      </c>
      <c r="B1770" s="69" t="s">
        <v>1275</v>
      </c>
      <c r="C1770" s="69" t="s">
        <v>960</v>
      </c>
      <c r="D1770" s="56">
        <v>42962</v>
      </c>
      <c r="E1770" s="33" t="s">
        <v>724</v>
      </c>
      <c r="F1770" s="69" t="s">
        <v>725</v>
      </c>
      <c r="G1770" s="69" t="str">
        <f t="shared" si="27"/>
        <v>User Registration</v>
      </c>
      <c r="H1770" s="69" t="s">
        <v>808</v>
      </c>
      <c r="I1770" s="69" t="s">
        <v>1276</v>
      </c>
      <c r="J1770" s="69" t="s">
        <v>1275</v>
      </c>
      <c r="K1770" s="69" t="s">
        <v>1280</v>
      </c>
      <c r="L1770" s="253">
        <v>0.50067972027972019</v>
      </c>
      <c r="M1770" s="253">
        <v>0.57673962892106312</v>
      </c>
      <c r="N1770" s="253">
        <v>0.56206896551724139</v>
      </c>
      <c r="O1770" s="253">
        <v>0.58104987033556188</v>
      </c>
      <c r="P1770" s="253">
        <v>0.47527272727272724</v>
      </c>
      <c r="Q1770" s="253">
        <v>0.59175675675675665</v>
      </c>
      <c r="R1770" s="253">
        <v>0.59855345911949676</v>
      </c>
      <c r="S1770" s="253">
        <v>0.54362745098039222</v>
      </c>
      <c r="T1770" s="253">
        <v>0.57277777777777772</v>
      </c>
      <c r="U1770" s="253">
        <v>0.56155172413793097</v>
      </c>
      <c r="V1770" s="253">
        <v>0</v>
      </c>
      <c r="W1770" s="253">
        <v>0.56206896551724139</v>
      </c>
      <c r="X1770" s="253">
        <v>0</v>
      </c>
      <c r="Y1770" s="253">
        <v>0</v>
      </c>
      <c r="Z1770" s="253">
        <v>0.60230769230769232</v>
      </c>
      <c r="AA1770" s="253"/>
      <c r="AB1770" s="253"/>
      <c r="AC1770" s="253"/>
      <c r="AD1770" s="253"/>
      <c r="AE1770" s="253"/>
    </row>
    <row r="1771" spans="1:31">
      <c r="A1771" s="33">
        <v>1770</v>
      </c>
      <c r="B1771" s="69" t="s">
        <v>1275</v>
      </c>
      <c r="C1771" s="69" t="s">
        <v>960</v>
      </c>
      <c r="D1771" s="56">
        <v>42962</v>
      </c>
      <c r="E1771" s="33" t="s">
        <v>724</v>
      </c>
      <c r="F1771" s="69" t="s">
        <v>725</v>
      </c>
      <c r="G1771" s="69" t="str">
        <f t="shared" si="27"/>
        <v>User Registration</v>
      </c>
      <c r="H1771" s="69" t="s">
        <v>808</v>
      </c>
      <c r="I1771" s="69" t="s">
        <v>1276</v>
      </c>
      <c r="J1771" s="69" t="s">
        <v>1275</v>
      </c>
      <c r="K1771" s="69" t="s">
        <v>1281</v>
      </c>
      <c r="L1771" s="253">
        <v>0.58347132867132856</v>
      </c>
      <c r="M1771" s="253">
        <v>0.70006221524720047</v>
      </c>
      <c r="N1771" s="253">
        <v>0.58103448275862069</v>
      </c>
      <c r="O1771" s="253">
        <v>0.67952435700193625</v>
      </c>
      <c r="P1771" s="253">
        <v>0.60145454545454535</v>
      </c>
      <c r="Q1771" s="253">
        <v>0.6812162162162162</v>
      </c>
      <c r="R1771" s="253">
        <v>0.72031446540880506</v>
      </c>
      <c r="S1771" s="253">
        <v>0.70980392156862748</v>
      </c>
      <c r="T1771" s="253">
        <v>0.7022222222222223</v>
      </c>
      <c r="U1771" s="253">
        <v>0.76120689655172402</v>
      </c>
      <c r="V1771" s="253">
        <v>0</v>
      </c>
      <c r="W1771" s="253">
        <v>0.58103448275862069</v>
      </c>
      <c r="X1771" s="253">
        <v>0</v>
      </c>
      <c r="Y1771" s="253">
        <v>0</v>
      </c>
      <c r="Z1771" s="253">
        <v>0.5115384615384615</v>
      </c>
      <c r="AA1771" s="253"/>
      <c r="AB1771" s="253"/>
      <c r="AC1771" s="253"/>
      <c r="AD1771" s="253"/>
      <c r="AE1771" s="253"/>
    </row>
    <row r="1772" spans="1:31">
      <c r="A1772" s="33">
        <v>1771</v>
      </c>
      <c r="B1772" s="69" t="s">
        <v>1160</v>
      </c>
      <c r="C1772" s="69" t="s">
        <v>723</v>
      </c>
      <c r="D1772" s="56">
        <v>42963</v>
      </c>
      <c r="E1772" s="33" t="s">
        <v>724</v>
      </c>
      <c r="F1772" s="69" t="s">
        <v>725</v>
      </c>
      <c r="G1772" s="69" t="str">
        <f t="shared" si="27"/>
        <v>User Registration</v>
      </c>
      <c r="H1772" s="69" t="s">
        <v>494</v>
      </c>
      <c r="I1772" s="69" t="s">
        <v>1182</v>
      </c>
      <c r="J1772" s="69" t="s">
        <v>1160</v>
      </c>
      <c r="K1772" s="69" t="s">
        <v>1160</v>
      </c>
      <c r="L1772" s="253">
        <v>0.58665174825174826</v>
      </c>
      <c r="M1772" s="253">
        <v>0.55440649930542307</v>
      </c>
      <c r="N1772" s="253">
        <v>0.568899886877828</v>
      </c>
      <c r="O1772" s="253">
        <v>0.56330770515674466</v>
      </c>
      <c r="P1772" s="253">
        <v>0.59254545454545449</v>
      </c>
      <c r="Q1772" s="253">
        <v>0.54391891891891897</v>
      </c>
      <c r="R1772" s="253">
        <v>0.58342031312725817</v>
      </c>
      <c r="S1772" s="253">
        <v>0.53774509803921566</v>
      </c>
      <c r="T1772" s="253">
        <v>0.58404255319148946</v>
      </c>
      <c r="U1772" s="253">
        <v>0.52586206896551724</v>
      </c>
      <c r="V1772" s="253"/>
      <c r="W1772" s="253">
        <v>0.56468750000000001</v>
      </c>
      <c r="X1772" s="253">
        <v>0.58294117647058818</v>
      </c>
      <c r="Y1772" s="253">
        <v>0.56384955752212396</v>
      </c>
      <c r="Z1772" s="253">
        <v>0.56307692307692314</v>
      </c>
      <c r="AA1772" s="253"/>
      <c r="AB1772" s="253"/>
      <c r="AC1772" s="253"/>
      <c r="AD1772" s="253"/>
      <c r="AE1772" s="253"/>
    </row>
    <row r="1773" spans="1:31">
      <c r="A1773" s="33">
        <v>1772</v>
      </c>
      <c r="B1773" s="69" t="s">
        <v>1160</v>
      </c>
      <c r="C1773" s="69" t="s">
        <v>723</v>
      </c>
      <c r="D1773" s="56">
        <v>42963</v>
      </c>
      <c r="E1773" s="33" t="s">
        <v>724</v>
      </c>
      <c r="F1773" s="69" t="s">
        <v>725</v>
      </c>
      <c r="G1773" s="69" t="str">
        <f t="shared" si="27"/>
        <v>User Registration</v>
      </c>
      <c r="H1773" s="69" t="s">
        <v>494</v>
      </c>
      <c r="I1773" s="69" t="s">
        <v>1182</v>
      </c>
      <c r="J1773" s="69" t="s">
        <v>1160</v>
      </c>
      <c r="K1773" s="69" t="s">
        <v>394</v>
      </c>
      <c r="L1773" s="253">
        <v>0.72984895104895098</v>
      </c>
      <c r="M1773" s="253">
        <v>0.65628205065064438</v>
      </c>
      <c r="N1773" s="253">
        <v>0.69809106334841631</v>
      </c>
      <c r="O1773" s="253">
        <v>0.64288011370721942</v>
      </c>
      <c r="P1773" s="253">
        <v>0.7332727272727273</v>
      </c>
      <c r="Q1773" s="253">
        <v>0.60689189189189197</v>
      </c>
      <c r="R1773" s="253">
        <v>0.62308309915696514</v>
      </c>
      <c r="S1773" s="253">
        <v>0.76372549019607849</v>
      </c>
      <c r="T1773" s="253">
        <v>0.63244680851063828</v>
      </c>
      <c r="U1773" s="253">
        <v>0.63339080459770114</v>
      </c>
      <c r="V1773" s="253"/>
      <c r="W1773" s="253">
        <v>0.67281250000000004</v>
      </c>
      <c r="X1773" s="253">
        <v>0.78235294117647058</v>
      </c>
      <c r="Y1773" s="253">
        <v>0.61637168141592924</v>
      </c>
      <c r="Z1773" s="253">
        <v>0.71615384615384614</v>
      </c>
      <c r="AA1773" s="253"/>
      <c r="AB1773" s="253"/>
      <c r="AC1773" s="253"/>
      <c r="AD1773" s="253"/>
      <c r="AE1773" s="253"/>
    </row>
    <row r="1774" spans="1:31">
      <c r="A1774" s="33">
        <v>1773</v>
      </c>
      <c r="B1774" s="69" t="s">
        <v>1160</v>
      </c>
      <c r="C1774" s="69" t="s">
        <v>723</v>
      </c>
      <c r="D1774" s="56">
        <v>42963</v>
      </c>
      <c r="E1774" s="33" t="s">
        <v>724</v>
      </c>
      <c r="F1774" s="69" t="s">
        <v>725</v>
      </c>
      <c r="G1774" s="69" t="str">
        <f t="shared" si="27"/>
        <v>User Registration</v>
      </c>
      <c r="H1774" s="69" t="s">
        <v>494</v>
      </c>
      <c r="I1774" s="69" t="s">
        <v>1182</v>
      </c>
      <c r="J1774" s="69" t="s">
        <v>1160</v>
      </c>
      <c r="K1774" s="69" t="s">
        <v>1158</v>
      </c>
      <c r="L1774" s="253">
        <v>0.64879999999999993</v>
      </c>
      <c r="M1774" s="253">
        <v>0.67759359539448083</v>
      </c>
      <c r="N1774" s="253">
        <v>0.68830599547511317</v>
      </c>
      <c r="O1774" s="253">
        <v>0.67779550172039138</v>
      </c>
      <c r="P1774" s="253">
        <v>0.64600000000000002</v>
      </c>
      <c r="Q1774" s="253">
        <v>0.71824324324324318</v>
      </c>
      <c r="R1774" s="253">
        <v>0.75166599759132879</v>
      </c>
      <c r="S1774" s="253">
        <v>0.61519607843137258</v>
      </c>
      <c r="T1774" s="253">
        <v>0.75627659574468087</v>
      </c>
      <c r="U1774" s="253">
        <v>0.58074712643678172</v>
      </c>
      <c r="V1774" s="253"/>
      <c r="W1774" s="253">
        <v>0.70156249999999998</v>
      </c>
      <c r="X1774" s="253">
        <v>0.64411764705882357</v>
      </c>
      <c r="Y1774" s="253">
        <v>0.67057522123893809</v>
      </c>
      <c r="Z1774" s="253">
        <v>0.66</v>
      </c>
      <c r="AA1774" s="253"/>
      <c r="AB1774" s="253"/>
      <c r="AC1774" s="253"/>
      <c r="AD1774" s="253"/>
      <c r="AE1774" s="253"/>
    </row>
    <row r="1775" spans="1:31">
      <c r="A1775" s="33">
        <v>1774</v>
      </c>
      <c r="B1775" s="69" t="s">
        <v>1160</v>
      </c>
      <c r="C1775" s="69" t="s">
        <v>723</v>
      </c>
      <c r="D1775" s="56">
        <v>42963</v>
      </c>
      <c r="E1775" s="33" t="s">
        <v>724</v>
      </c>
      <c r="F1775" s="69" t="s">
        <v>725</v>
      </c>
      <c r="G1775" s="69" t="str">
        <f t="shared" si="27"/>
        <v>User Registration</v>
      </c>
      <c r="H1775" s="69" t="s">
        <v>494</v>
      </c>
      <c r="I1775" s="69" t="s">
        <v>1182</v>
      </c>
      <c r="J1775" s="69" t="s">
        <v>1160</v>
      </c>
      <c r="K1775" s="69" t="s">
        <v>1159</v>
      </c>
      <c r="L1775" s="253">
        <v>0.6670601398601399</v>
      </c>
      <c r="M1775" s="253">
        <v>0.68652870402962196</v>
      </c>
      <c r="N1775" s="253">
        <v>0.66956165158371039</v>
      </c>
      <c r="O1775" s="253">
        <v>0.62288529812293136</v>
      </c>
      <c r="P1775" s="253">
        <v>0.68036363636363639</v>
      </c>
      <c r="Q1775" s="253">
        <v>0.68729729729729727</v>
      </c>
      <c r="R1775" s="253">
        <v>0.71513448414291436</v>
      </c>
      <c r="S1775" s="253">
        <v>0.69852941176470584</v>
      </c>
      <c r="T1775" s="253">
        <v>0.74840425531914889</v>
      </c>
      <c r="U1775" s="253">
        <v>0.63965517241379299</v>
      </c>
      <c r="V1775" s="253"/>
      <c r="W1775" s="253">
        <v>0.65531249999999996</v>
      </c>
      <c r="X1775" s="253">
        <v>0.71705882352941175</v>
      </c>
      <c r="Y1775" s="253">
        <v>0.59314159292035407</v>
      </c>
      <c r="Z1775" s="253">
        <v>0.61384615384615382</v>
      </c>
      <c r="AA1775" s="253"/>
      <c r="AB1775" s="253"/>
      <c r="AC1775" s="253"/>
      <c r="AD1775" s="253"/>
      <c r="AE1775" s="253"/>
    </row>
    <row r="1776" spans="1:31">
      <c r="A1776" s="33">
        <v>1775</v>
      </c>
      <c r="B1776" s="69" t="s">
        <v>1160</v>
      </c>
      <c r="C1776" s="69" t="s">
        <v>723</v>
      </c>
      <c r="D1776" s="56">
        <v>42963</v>
      </c>
      <c r="E1776" s="33" t="s">
        <v>724</v>
      </c>
      <c r="F1776" s="69" t="s">
        <v>725</v>
      </c>
      <c r="G1776" s="69" t="str">
        <f t="shared" si="27"/>
        <v>User Registration</v>
      </c>
      <c r="H1776" s="69" t="s">
        <v>494</v>
      </c>
      <c r="I1776" s="69" t="s">
        <v>1182</v>
      </c>
      <c r="J1776" s="69" t="s">
        <v>1160</v>
      </c>
      <c r="K1776" s="69" t="s">
        <v>1161</v>
      </c>
      <c r="L1776" s="253">
        <v>0.55602237762237749</v>
      </c>
      <c r="M1776" s="253">
        <v>0.54164955431951933</v>
      </c>
      <c r="N1776" s="253">
        <v>0.53358031674208151</v>
      </c>
      <c r="O1776" s="253">
        <v>0.57617011488346803</v>
      </c>
      <c r="P1776" s="253">
        <v>0.54618181818181799</v>
      </c>
      <c r="Q1776" s="253">
        <v>0.49175675675675679</v>
      </c>
      <c r="R1776" s="253">
        <v>0.56580891208350059</v>
      </c>
      <c r="S1776" s="253">
        <v>0.57009803921568636</v>
      </c>
      <c r="T1776" s="253">
        <v>0.55159574468085104</v>
      </c>
      <c r="U1776" s="253">
        <v>0.50718390804597702</v>
      </c>
      <c r="V1776" s="253"/>
      <c r="W1776" s="253">
        <v>0.54312499999999997</v>
      </c>
      <c r="X1776" s="253">
        <v>0.501764705882353</v>
      </c>
      <c r="Y1776" s="253">
        <v>0.58152654867256637</v>
      </c>
      <c r="Z1776" s="253">
        <v>0.5953846153846154</v>
      </c>
      <c r="AA1776" s="253"/>
      <c r="AB1776" s="253"/>
      <c r="AC1776" s="253"/>
      <c r="AD1776" s="253"/>
      <c r="AE1776" s="253"/>
    </row>
    <row r="1777" spans="1:31">
      <c r="A1777" s="33">
        <v>1776</v>
      </c>
      <c r="B1777" s="69" t="s">
        <v>1160</v>
      </c>
      <c r="C1777" s="69" t="s">
        <v>723</v>
      </c>
      <c r="D1777" s="56">
        <v>42963</v>
      </c>
      <c r="E1777" s="33" t="s">
        <v>724</v>
      </c>
      <c r="F1777" s="69" t="s">
        <v>725</v>
      </c>
      <c r="G1777" s="69" t="str">
        <f t="shared" si="27"/>
        <v>User Registration</v>
      </c>
      <c r="H1777" s="69" t="s">
        <v>494</v>
      </c>
      <c r="I1777" s="69" t="s">
        <v>1182</v>
      </c>
      <c r="J1777" s="69" t="s">
        <v>1160</v>
      </c>
      <c r="K1777" s="69" t="s">
        <v>1274</v>
      </c>
      <c r="L1777" s="253">
        <v>0.61161678321678326</v>
      </c>
      <c r="M1777" s="253">
        <v>0.63033590925486638</v>
      </c>
      <c r="N1777" s="253">
        <v>0.59466911764705888</v>
      </c>
      <c r="O1777" s="253">
        <v>0.61566478255077384</v>
      </c>
      <c r="P1777" s="253">
        <v>0.60163636363636375</v>
      </c>
      <c r="Q1777" s="253">
        <v>0.63527027027027028</v>
      </c>
      <c r="R1777" s="253">
        <v>0.60505018065034111</v>
      </c>
      <c r="S1777" s="253">
        <v>0.63578431372549027</v>
      </c>
      <c r="T1777" s="253">
        <v>0.60425531914893615</v>
      </c>
      <c r="U1777" s="253">
        <v>0.65448275862068961</v>
      </c>
      <c r="V1777" s="253"/>
      <c r="W1777" s="253">
        <v>0.60718749999999999</v>
      </c>
      <c r="X1777" s="253">
        <v>0.55294117647058827</v>
      </c>
      <c r="Y1777" s="253">
        <v>0.60305309734513268</v>
      </c>
      <c r="Z1777" s="253">
        <v>0.65153846153846151</v>
      </c>
      <c r="AA1777" s="253"/>
      <c r="AB1777" s="253"/>
      <c r="AC1777" s="253"/>
      <c r="AD1777" s="253"/>
      <c r="AE1777" s="253"/>
    </row>
    <row r="1778" spans="1:31">
      <c r="A1778" s="33">
        <v>1777</v>
      </c>
      <c r="B1778" s="69" t="s">
        <v>1265</v>
      </c>
      <c r="C1778" s="69" t="s">
        <v>791</v>
      </c>
      <c r="D1778" s="56">
        <v>42964</v>
      </c>
      <c r="E1778" s="33" t="s">
        <v>724</v>
      </c>
      <c r="F1778" s="69" t="s">
        <v>1266</v>
      </c>
      <c r="G1778" s="69" t="str">
        <f t="shared" si="27"/>
        <v>User Registration</v>
      </c>
      <c r="H1778" s="69" t="s">
        <v>869</v>
      </c>
      <c r="I1778" s="69" t="s">
        <v>869</v>
      </c>
      <c r="J1778" s="69" t="s">
        <v>1265</v>
      </c>
      <c r="K1778" s="69" t="s">
        <v>1265</v>
      </c>
      <c r="L1778" s="253">
        <v>0.61022657342657349</v>
      </c>
      <c r="M1778" s="253">
        <v>0.59233335004879872</v>
      </c>
      <c r="N1778" s="253">
        <v>0.60563348416289586</v>
      </c>
      <c r="O1778" s="253">
        <v>0.6117051056666909</v>
      </c>
      <c r="P1778" s="253">
        <v>0.61509090909090913</v>
      </c>
      <c r="Q1778" s="253">
        <v>0.58445945945945943</v>
      </c>
      <c r="R1778" s="253">
        <v>0.61202328382175819</v>
      </c>
      <c r="S1778" s="253">
        <v>0.60817307692307687</v>
      </c>
      <c r="T1778" s="253">
        <v>0.58457446808510638</v>
      </c>
      <c r="U1778" s="253">
        <v>0.57155172413793098</v>
      </c>
      <c r="V1778" s="253"/>
      <c r="W1778" s="253">
        <v>0.62249999999999994</v>
      </c>
      <c r="X1778" s="253">
        <v>0.54941176470588227</v>
      </c>
      <c r="Y1778" s="253">
        <v>0.62100000000000011</v>
      </c>
      <c r="Z1778" s="253">
        <v>0.59076923076923071</v>
      </c>
      <c r="AA1778" s="253"/>
      <c r="AB1778" s="253"/>
      <c r="AC1778" s="253"/>
      <c r="AD1778" s="253"/>
      <c r="AE1778" s="253"/>
    </row>
    <row r="1779" spans="1:31">
      <c r="A1779" s="33">
        <v>1778</v>
      </c>
      <c r="B1779" s="69" t="s">
        <v>1265</v>
      </c>
      <c r="C1779" s="69" t="s">
        <v>791</v>
      </c>
      <c r="D1779" s="56">
        <v>42964</v>
      </c>
      <c r="E1779" s="33" t="s">
        <v>724</v>
      </c>
      <c r="F1779" s="69" t="s">
        <v>1266</v>
      </c>
      <c r="G1779" s="69" t="str">
        <f t="shared" si="27"/>
        <v>User Registration</v>
      </c>
      <c r="H1779" s="69" t="s">
        <v>869</v>
      </c>
      <c r="I1779" s="69" t="s">
        <v>869</v>
      </c>
      <c r="J1779" s="69" t="s">
        <v>1265</v>
      </c>
      <c r="K1779" s="69" t="s">
        <v>1267</v>
      </c>
      <c r="L1779" s="253">
        <v>0.62691748251748247</v>
      </c>
      <c r="M1779" s="253">
        <v>0.60599864661245761</v>
      </c>
      <c r="N1779" s="253">
        <v>0.60022058823529412</v>
      </c>
      <c r="O1779" s="253">
        <v>0.56572530575237379</v>
      </c>
      <c r="P1779" s="253">
        <v>0.64345454545454539</v>
      </c>
      <c r="Q1779" s="253">
        <v>0.5972972972972973</v>
      </c>
      <c r="R1779" s="253">
        <v>0.66221196306704144</v>
      </c>
      <c r="S1779" s="253">
        <v>0.5903846153846154</v>
      </c>
      <c r="T1779" s="253">
        <v>0.56457446808510647</v>
      </c>
      <c r="U1779" s="253">
        <v>0.612183908045977</v>
      </c>
      <c r="V1779" s="253"/>
      <c r="W1779" s="253">
        <v>0.61687500000000006</v>
      </c>
      <c r="X1779" s="253">
        <v>0.54470588235294126</v>
      </c>
      <c r="Y1779" s="253">
        <v>0.54229166666666673</v>
      </c>
      <c r="Z1779" s="253">
        <v>0.5607692307692308</v>
      </c>
      <c r="AA1779" s="253"/>
      <c r="AB1779" s="253"/>
      <c r="AC1779" s="253"/>
      <c r="AD1779" s="253"/>
      <c r="AE1779" s="253"/>
    </row>
    <row r="1780" spans="1:31">
      <c r="A1780" s="33">
        <v>1779</v>
      </c>
      <c r="B1780" s="69" t="s">
        <v>1265</v>
      </c>
      <c r="C1780" s="69" t="s">
        <v>791</v>
      </c>
      <c r="D1780" s="56">
        <v>42964</v>
      </c>
      <c r="E1780" s="33" t="s">
        <v>724</v>
      </c>
      <c r="F1780" s="69" t="s">
        <v>1266</v>
      </c>
      <c r="G1780" s="69" t="str">
        <f t="shared" si="27"/>
        <v>User Registration</v>
      </c>
      <c r="H1780" s="69" t="s">
        <v>869</v>
      </c>
      <c r="I1780" s="69" t="s">
        <v>869</v>
      </c>
      <c r="J1780" s="69" t="s">
        <v>1265</v>
      </c>
      <c r="K1780" s="69" t="s">
        <v>1268</v>
      </c>
      <c r="L1780" s="253">
        <v>0.56518881118881115</v>
      </c>
      <c r="M1780" s="253">
        <v>0.55278779749171503</v>
      </c>
      <c r="N1780" s="253">
        <v>0.58173642533936654</v>
      </c>
      <c r="O1780" s="253">
        <v>0.56099268916753042</v>
      </c>
      <c r="P1780" s="253">
        <v>0.57090909090909081</v>
      </c>
      <c r="Q1780" s="253">
        <v>0.57162162162162156</v>
      </c>
      <c r="R1780" s="253">
        <v>0.56942191890806904</v>
      </c>
      <c r="S1780" s="253">
        <v>0.49615384615384617</v>
      </c>
      <c r="T1780" s="253">
        <v>0.55797872340425525</v>
      </c>
      <c r="U1780" s="253">
        <v>0.56747126436781603</v>
      </c>
      <c r="V1780" s="253"/>
      <c r="W1780" s="253">
        <v>0.58437499999999998</v>
      </c>
      <c r="X1780" s="253">
        <v>0.57294117647058818</v>
      </c>
      <c r="Y1780" s="253">
        <v>0.57033333333333336</v>
      </c>
      <c r="Z1780" s="253">
        <v>0.54230769230769227</v>
      </c>
      <c r="AA1780" s="253"/>
      <c r="AB1780" s="253"/>
      <c r="AC1780" s="253"/>
      <c r="AD1780" s="253"/>
      <c r="AE1780" s="253"/>
    </row>
    <row r="1781" spans="1:31">
      <c r="A1781" s="33">
        <v>1780</v>
      </c>
      <c r="B1781" s="69" t="s">
        <v>1265</v>
      </c>
      <c r="C1781" s="69" t="s">
        <v>791</v>
      </c>
      <c r="D1781" s="56">
        <v>42964</v>
      </c>
      <c r="E1781" s="33" t="s">
        <v>724</v>
      </c>
      <c r="F1781" s="69" t="s">
        <v>1266</v>
      </c>
      <c r="G1781" s="69" t="str">
        <f t="shared" si="27"/>
        <v>User Registration</v>
      </c>
      <c r="H1781" s="69" t="s">
        <v>869</v>
      </c>
      <c r="I1781" s="69" t="s">
        <v>869</v>
      </c>
      <c r="J1781" s="69" t="s">
        <v>1265</v>
      </c>
      <c r="K1781" s="69" t="s">
        <v>1269</v>
      </c>
      <c r="L1781" s="253">
        <v>0.57985454545454551</v>
      </c>
      <c r="M1781" s="253">
        <v>0.59030229328115824</v>
      </c>
      <c r="N1781" s="253">
        <v>0.62069570135746599</v>
      </c>
      <c r="O1781" s="253">
        <v>0.60280412973108155</v>
      </c>
      <c r="P1781" s="253">
        <v>0.5798181818181819</v>
      </c>
      <c r="Q1781" s="253">
        <v>0.51675675675675681</v>
      </c>
      <c r="R1781" s="253">
        <v>0.63799678843837815</v>
      </c>
      <c r="S1781" s="253">
        <v>0.58221153846153839</v>
      </c>
      <c r="T1781" s="253">
        <v>0.62712765957446814</v>
      </c>
      <c r="U1781" s="253">
        <v>0.58994252873563224</v>
      </c>
      <c r="V1781" s="253"/>
      <c r="W1781" s="253">
        <v>0.64437500000000003</v>
      </c>
      <c r="X1781" s="253">
        <v>0.54176470588235304</v>
      </c>
      <c r="Y1781" s="253">
        <v>0.61327083333333332</v>
      </c>
      <c r="Z1781" s="253">
        <v>0.58000000000000007</v>
      </c>
      <c r="AA1781" s="253"/>
      <c r="AB1781" s="253"/>
      <c r="AC1781" s="253"/>
      <c r="AD1781" s="253"/>
      <c r="AE1781" s="253"/>
    </row>
    <row r="1782" spans="1:31">
      <c r="A1782" s="33">
        <v>1781</v>
      </c>
      <c r="B1782" s="69" t="s">
        <v>1265</v>
      </c>
      <c r="C1782" s="69" t="s">
        <v>791</v>
      </c>
      <c r="D1782" s="56">
        <v>42964</v>
      </c>
      <c r="E1782" s="33" t="s">
        <v>724</v>
      </c>
      <c r="F1782" s="69" t="s">
        <v>1266</v>
      </c>
      <c r="G1782" s="69" t="str">
        <f t="shared" si="27"/>
        <v>User Registration</v>
      </c>
      <c r="H1782" s="69" t="s">
        <v>869</v>
      </c>
      <c r="I1782" s="69" t="s">
        <v>869</v>
      </c>
      <c r="J1782" s="69" t="s">
        <v>1265</v>
      </c>
      <c r="K1782" s="69" t="s">
        <v>1270</v>
      </c>
      <c r="L1782" s="253">
        <v>0.54957202797202809</v>
      </c>
      <c r="M1782" s="253">
        <v>0.55704609251571113</v>
      </c>
      <c r="N1782" s="253">
        <v>0.63124999999999998</v>
      </c>
      <c r="O1782" s="253">
        <v>0.55787248486545371</v>
      </c>
      <c r="P1782" s="253">
        <v>0.54927272727272736</v>
      </c>
      <c r="Q1782" s="253">
        <v>0.55405405405405406</v>
      </c>
      <c r="R1782" s="253">
        <v>0.57663588920112396</v>
      </c>
      <c r="S1782" s="253">
        <v>0.54711538461538456</v>
      </c>
      <c r="T1782" s="253">
        <v>0.55372340425531907</v>
      </c>
      <c r="U1782" s="253">
        <v>0.55229885057471273</v>
      </c>
      <c r="V1782" s="253"/>
      <c r="W1782" s="253">
        <v>0.63124999999999998</v>
      </c>
      <c r="X1782" s="253"/>
      <c r="Y1782" s="253">
        <v>0.55770833333333336</v>
      </c>
      <c r="Z1782" s="253">
        <v>0.55076923076923068</v>
      </c>
      <c r="AA1782" s="253"/>
      <c r="AB1782" s="253"/>
      <c r="AC1782" s="253"/>
      <c r="AD1782" s="253"/>
      <c r="AE1782" s="253"/>
    </row>
    <row r="1783" spans="1:31">
      <c r="A1783" s="33">
        <v>1782</v>
      </c>
      <c r="B1783" s="69" t="s">
        <v>1265</v>
      </c>
      <c r="C1783" s="69" t="s">
        <v>791</v>
      </c>
      <c r="D1783" s="56">
        <v>42964</v>
      </c>
      <c r="E1783" s="33" t="s">
        <v>724</v>
      </c>
      <c r="F1783" s="69" t="s">
        <v>1266</v>
      </c>
      <c r="G1783" s="69" t="str">
        <f t="shared" si="27"/>
        <v>User Registration</v>
      </c>
      <c r="H1783" s="69" t="s">
        <v>869</v>
      </c>
      <c r="I1783" s="69" t="s">
        <v>869</v>
      </c>
      <c r="J1783" s="69" t="s">
        <v>1265</v>
      </c>
      <c r="K1783" s="69" t="s">
        <v>1271</v>
      </c>
      <c r="L1783" s="253">
        <v>0.60375944055944064</v>
      </c>
      <c r="M1783" s="253">
        <v>0.56756218135958814</v>
      </c>
      <c r="N1783" s="253">
        <v>0.5390625</v>
      </c>
      <c r="O1783" s="253">
        <v>0.56214301814484535</v>
      </c>
      <c r="P1783" s="253">
        <v>0.60854545454545461</v>
      </c>
      <c r="Q1783" s="253">
        <v>0.60878378378378384</v>
      </c>
      <c r="R1783" s="253">
        <v>0.57282215977519069</v>
      </c>
      <c r="S1783" s="253">
        <v>0.5658653846153846</v>
      </c>
      <c r="T1783" s="253">
        <v>0.50531914893617025</v>
      </c>
      <c r="U1783" s="253">
        <v>0.56120689655172429</v>
      </c>
      <c r="V1783" s="253"/>
      <c r="W1783" s="253">
        <v>0.5390625</v>
      </c>
      <c r="X1783" s="253"/>
      <c r="Y1783" s="253">
        <v>0.54822916666666666</v>
      </c>
      <c r="Z1783" s="253">
        <v>0.58461538461538465</v>
      </c>
      <c r="AA1783" s="253"/>
      <c r="AB1783" s="253"/>
      <c r="AC1783" s="253"/>
      <c r="AD1783" s="253"/>
      <c r="AE1783" s="253"/>
    </row>
    <row r="1784" spans="1:31">
      <c r="A1784" s="33">
        <v>1783</v>
      </c>
      <c r="B1784" s="69" t="s">
        <v>1265</v>
      </c>
      <c r="C1784" s="69" t="s">
        <v>791</v>
      </c>
      <c r="D1784" s="56">
        <v>42964</v>
      </c>
      <c r="E1784" s="33" t="s">
        <v>724</v>
      </c>
      <c r="F1784" s="69" t="s">
        <v>1266</v>
      </c>
      <c r="G1784" s="69" t="str">
        <f t="shared" si="27"/>
        <v>User Registration</v>
      </c>
      <c r="H1784" s="69" t="s">
        <v>869</v>
      </c>
      <c r="I1784" s="69" t="s">
        <v>869</v>
      </c>
      <c r="J1784" s="69" t="s">
        <v>1265</v>
      </c>
      <c r="K1784" s="69" t="s">
        <v>1272</v>
      </c>
      <c r="L1784" s="253">
        <v>0.51229090909090913</v>
      </c>
      <c r="M1784" s="253">
        <v>0.53714845747208129</v>
      </c>
      <c r="N1784" s="253">
        <v>0.51145644796380085</v>
      </c>
      <c r="O1784" s="253">
        <v>0.52180517557143991</v>
      </c>
      <c r="P1784" s="253">
        <v>0.51036363636363646</v>
      </c>
      <c r="Q1784" s="253">
        <v>0.55945945945945941</v>
      </c>
      <c r="R1784" s="253">
        <v>0.56663990365315131</v>
      </c>
      <c r="S1784" s="253">
        <v>0.50961538461538458</v>
      </c>
      <c r="T1784" s="253">
        <v>0.55106382978723401</v>
      </c>
      <c r="U1784" s="253">
        <v>0.51034482758620692</v>
      </c>
      <c r="V1784" s="253"/>
      <c r="W1784" s="253">
        <v>0.51718750000000002</v>
      </c>
      <c r="X1784" s="253">
        <v>0.4923529411764706</v>
      </c>
      <c r="Y1784" s="253">
        <v>0.51083333333333336</v>
      </c>
      <c r="Z1784" s="253">
        <v>0.51999999999999991</v>
      </c>
      <c r="AA1784" s="253"/>
      <c r="AB1784" s="253"/>
      <c r="AC1784" s="253"/>
      <c r="AD1784" s="253"/>
      <c r="AE1784" s="253"/>
    </row>
    <row r="1785" spans="1:31">
      <c r="A1785" s="33">
        <v>1784</v>
      </c>
      <c r="B1785" s="69" t="s">
        <v>1265</v>
      </c>
      <c r="C1785" s="69" t="s">
        <v>791</v>
      </c>
      <c r="D1785" s="56">
        <v>42964</v>
      </c>
      <c r="E1785" s="33" t="s">
        <v>781</v>
      </c>
      <c r="F1785" s="69" t="s">
        <v>1266</v>
      </c>
      <c r="G1785" s="69" t="str">
        <f t="shared" si="27"/>
        <v>User Registration</v>
      </c>
      <c r="H1785" s="69" t="s">
        <v>869</v>
      </c>
      <c r="I1785" s="69" t="s">
        <v>869</v>
      </c>
      <c r="J1785" s="69" t="s">
        <v>1265</v>
      </c>
      <c r="K1785" s="69" t="s">
        <v>1273</v>
      </c>
      <c r="L1785" s="253">
        <v>0.62405734265734258</v>
      </c>
      <c r="M1785" s="253">
        <v>0.65629955594183031</v>
      </c>
      <c r="N1785" s="253">
        <v>0.65027432126696827</v>
      </c>
      <c r="O1785" s="253">
        <v>0.65864374439065376</v>
      </c>
      <c r="P1785" s="253">
        <v>0.62709090909090903</v>
      </c>
      <c r="Q1785" s="253">
        <v>0.66040540540540538</v>
      </c>
      <c r="R1785" s="253">
        <v>0.65194700923323967</v>
      </c>
      <c r="S1785" s="253">
        <v>0.68124999999999991</v>
      </c>
      <c r="T1785" s="253">
        <v>0.66010638297872337</v>
      </c>
      <c r="U1785" s="253">
        <v>0.65287356321839085</v>
      </c>
      <c r="V1785" s="253"/>
      <c r="W1785" s="253">
        <v>0.68406250000000002</v>
      </c>
      <c r="X1785" s="253">
        <v>0.53764705882352948</v>
      </c>
      <c r="Y1785" s="253">
        <v>0.67156249999999995</v>
      </c>
      <c r="Z1785" s="253">
        <v>0.6119230769230769</v>
      </c>
      <c r="AA1785" s="253"/>
      <c r="AB1785" s="253"/>
      <c r="AC1785" s="253"/>
      <c r="AD1785" s="253"/>
      <c r="AE1785" s="253"/>
    </row>
    <row r="1786" spans="1:31">
      <c r="A1786" s="33">
        <v>1785</v>
      </c>
      <c r="B1786" s="69" t="s">
        <v>1254</v>
      </c>
      <c r="C1786" s="69" t="s">
        <v>1232</v>
      </c>
      <c r="D1786" s="56">
        <v>42965</v>
      </c>
      <c r="E1786" s="33" t="s">
        <v>724</v>
      </c>
      <c r="F1786" s="69" t="s">
        <v>532</v>
      </c>
      <c r="G1786" s="69" t="str">
        <f t="shared" si="27"/>
        <v>E-Commerce</v>
      </c>
      <c r="H1786" s="69" t="s">
        <v>364</v>
      </c>
      <c r="I1786" s="69" t="s">
        <v>1255</v>
      </c>
      <c r="J1786" s="69" t="s">
        <v>1254</v>
      </c>
      <c r="K1786" s="69" t="s">
        <v>78</v>
      </c>
      <c r="L1786" s="253">
        <v>65.527552447552438</v>
      </c>
      <c r="M1786" s="253">
        <v>66.51966372540825</v>
      </c>
      <c r="N1786" s="253">
        <v>73.67</v>
      </c>
      <c r="O1786" s="253">
        <v>65.565900057943153</v>
      </c>
      <c r="P1786" s="253">
        <v>66.23636363636362</v>
      </c>
      <c r="Q1786" s="253">
        <v>65.72972972972974</v>
      </c>
      <c r="R1786" s="253">
        <v>65.708705157151556</v>
      </c>
      <c r="S1786" s="253">
        <v>69.70873786407769</v>
      </c>
      <c r="T1786" s="253">
        <v>63.549618320610676</v>
      </c>
      <c r="U1786" s="253">
        <v>68.724279835390945</v>
      </c>
      <c r="V1786" s="253">
        <v>73.67</v>
      </c>
      <c r="W1786" s="253"/>
      <c r="X1786" s="253"/>
      <c r="Y1786" s="253">
        <v>65.968750000000014</v>
      </c>
      <c r="Z1786" s="253">
        <v>62.692307692307693</v>
      </c>
      <c r="AA1786" s="253"/>
      <c r="AB1786" s="253"/>
      <c r="AC1786" s="253"/>
      <c r="AD1786" s="253"/>
      <c r="AE1786" s="253"/>
    </row>
    <row r="1787" spans="1:31">
      <c r="A1787" s="33">
        <v>1786</v>
      </c>
      <c r="B1787" s="69" t="s">
        <v>1254</v>
      </c>
      <c r="C1787" s="69" t="s">
        <v>1232</v>
      </c>
      <c r="D1787" s="56">
        <v>42965</v>
      </c>
      <c r="E1787" s="33" t="s">
        <v>724</v>
      </c>
      <c r="F1787" s="69" t="s">
        <v>532</v>
      </c>
      <c r="G1787" s="69" t="str">
        <f t="shared" si="27"/>
        <v>E-Commerce</v>
      </c>
      <c r="H1787" s="69" t="s">
        <v>364</v>
      </c>
      <c r="I1787" s="69" t="s">
        <v>1255</v>
      </c>
      <c r="J1787" s="69" t="s">
        <v>1254</v>
      </c>
      <c r="K1787" s="69" t="s">
        <v>1256</v>
      </c>
      <c r="L1787" s="253">
        <v>54.597393006993002</v>
      </c>
      <c r="M1787" s="253">
        <v>53.597353420089497</v>
      </c>
      <c r="N1787" s="253">
        <v>55.537383177570085</v>
      </c>
      <c r="O1787" s="253">
        <v>51.801226481644903</v>
      </c>
      <c r="P1787" s="253">
        <v>56.669818181818172</v>
      </c>
      <c r="Q1787" s="253">
        <v>56.418918918918912</v>
      </c>
      <c r="R1787" s="253">
        <v>63.768067949682838</v>
      </c>
      <c r="S1787" s="253">
        <v>45.242718446601941</v>
      </c>
      <c r="T1787" s="253">
        <v>54.618320610687029</v>
      </c>
      <c r="U1787" s="253">
        <v>50.156378600823047</v>
      </c>
      <c r="V1787" s="253">
        <v>55.537383177570085</v>
      </c>
      <c r="W1787" s="253"/>
      <c r="X1787" s="253"/>
      <c r="Y1787" s="253">
        <v>51.249999999999993</v>
      </c>
      <c r="Z1787" s="253">
        <v>46.307692307692307</v>
      </c>
      <c r="AA1787" s="253"/>
      <c r="AB1787" s="253"/>
      <c r="AC1787" s="253"/>
      <c r="AD1787" s="253"/>
      <c r="AE1787" s="253"/>
    </row>
    <row r="1788" spans="1:31">
      <c r="A1788" s="33">
        <v>1787</v>
      </c>
      <c r="B1788" s="69" t="s">
        <v>1254</v>
      </c>
      <c r="C1788" s="69" t="s">
        <v>1232</v>
      </c>
      <c r="D1788" s="56">
        <v>42965</v>
      </c>
      <c r="E1788" s="33" t="s">
        <v>724</v>
      </c>
      <c r="F1788" s="69" t="s">
        <v>532</v>
      </c>
      <c r="G1788" s="69" t="str">
        <f t="shared" si="27"/>
        <v>E-Commerce</v>
      </c>
      <c r="H1788" s="69" t="s">
        <v>364</v>
      </c>
      <c r="I1788" s="69" t="s">
        <v>1255</v>
      </c>
      <c r="J1788" s="69" t="s">
        <v>1254</v>
      </c>
      <c r="K1788" s="69" t="s">
        <v>1095</v>
      </c>
      <c r="L1788" s="253">
        <v>60.162517482517487</v>
      </c>
      <c r="M1788" s="253">
        <v>60.745834948225216</v>
      </c>
      <c r="N1788" s="253">
        <v>64.470588235294116</v>
      </c>
      <c r="O1788" s="253">
        <v>61.995276935530676</v>
      </c>
      <c r="P1788" s="253">
        <v>60.145454545454548</v>
      </c>
      <c r="Q1788" s="253">
        <v>57.310810810810807</v>
      </c>
      <c r="R1788" s="253">
        <v>63.478622370354444</v>
      </c>
      <c r="S1788" s="253">
        <v>59.271844660194184</v>
      </c>
      <c r="T1788" s="253">
        <v>61.641221374045806</v>
      </c>
      <c r="U1788" s="253">
        <v>61.609053497942391</v>
      </c>
      <c r="V1788" s="253">
        <v>65</v>
      </c>
      <c r="W1788" s="253"/>
      <c r="X1788" s="253">
        <v>62.705882352941174</v>
      </c>
      <c r="Y1788" s="253">
        <v>62.968749999999993</v>
      </c>
      <c r="Z1788" s="253">
        <v>60.230769230769241</v>
      </c>
      <c r="AA1788" s="253"/>
      <c r="AB1788" s="253"/>
      <c r="AC1788" s="253"/>
      <c r="AD1788" s="253"/>
      <c r="AE1788" s="253"/>
    </row>
    <row r="1789" spans="1:31">
      <c r="A1789" s="33">
        <v>1788</v>
      </c>
      <c r="B1789" s="69" t="s">
        <v>1254</v>
      </c>
      <c r="C1789" s="69" t="s">
        <v>1232</v>
      </c>
      <c r="D1789" s="56">
        <v>42965</v>
      </c>
      <c r="E1789" s="33" t="s">
        <v>724</v>
      </c>
      <c r="F1789" s="69" t="s">
        <v>532</v>
      </c>
      <c r="G1789" s="69" t="str">
        <f t="shared" si="27"/>
        <v>ERROR</v>
      </c>
      <c r="H1789" s="69" t="s">
        <v>364</v>
      </c>
      <c r="I1789" s="69" t="s">
        <v>1255</v>
      </c>
      <c r="J1789" s="69" t="s">
        <v>1254</v>
      </c>
      <c r="K1789" s="69" t="s">
        <v>1257</v>
      </c>
      <c r="L1789" s="253">
        <v>55.368111888111883</v>
      </c>
      <c r="M1789" s="253">
        <v>55.217412416003988</v>
      </c>
      <c r="N1789" s="253">
        <v>59.24</v>
      </c>
      <c r="O1789" s="253">
        <v>54.558104338464318</v>
      </c>
      <c r="P1789" s="253">
        <v>54.690909090909088</v>
      </c>
      <c r="Q1789" s="253">
        <v>58.75</v>
      </c>
      <c r="R1789" s="253">
        <v>56.872737698455353</v>
      </c>
      <c r="S1789" s="253">
        <v>51.699029126213588</v>
      </c>
      <c r="T1789" s="253">
        <v>48.282442748091604</v>
      </c>
      <c r="U1789" s="253">
        <v>56.567901234567898</v>
      </c>
      <c r="V1789" s="253">
        <v>0</v>
      </c>
      <c r="W1789" s="253"/>
      <c r="X1789" s="253">
        <v>59.235294117647065</v>
      </c>
      <c r="Y1789" s="253">
        <v>52.90625</v>
      </c>
      <c r="Z1789" s="253">
        <v>58.07692307692308</v>
      </c>
      <c r="AA1789" s="253"/>
      <c r="AB1789" s="253"/>
      <c r="AC1789" s="253"/>
      <c r="AD1789" s="253"/>
      <c r="AE1789" s="253"/>
    </row>
    <row r="1790" spans="1:31">
      <c r="A1790" s="33">
        <v>1789</v>
      </c>
      <c r="B1790" s="69" t="s">
        <v>1254</v>
      </c>
      <c r="C1790" s="69" t="s">
        <v>1232</v>
      </c>
      <c r="D1790" s="56">
        <v>42965</v>
      </c>
      <c r="E1790" s="33" t="s">
        <v>724</v>
      </c>
      <c r="F1790" s="69" t="s">
        <v>532</v>
      </c>
      <c r="G1790" s="69" t="str">
        <f t="shared" si="27"/>
        <v>E-Commerce</v>
      </c>
      <c r="H1790" s="69" t="s">
        <v>364</v>
      </c>
      <c r="I1790" s="69" t="s">
        <v>1255</v>
      </c>
      <c r="J1790" s="69" t="s">
        <v>1254</v>
      </c>
      <c r="K1790" s="69" t="s">
        <v>1254</v>
      </c>
      <c r="L1790" s="253">
        <v>57.365314685314679</v>
      </c>
      <c r="M1790" s="253">
        <v>57.666945133351817</v>
      </c>
      <c r="N1790" s="253">
        <v>59.096596498131028</v>
      </c>
      <c r="O1790" s="253">
        <v>57.942472630382845</v>
      </c>
      <c r="P1790" s="253">
        <v>56.418181818181807</v>
      </c>
      <c r="Q1790" s="253">
        <v>60.968749999999993</v>
      </c>
      <c r="R1790" s="253">
        <v>60.250869082177552</v>
      </c>
      <c r="S1790" s="253">
        <v>55.194174757281552</v>
      </c>
      <c r="T1790" s="253">
        <v>58.778625954198468</v>
      </c>
      <c r="U1790" s="253">
        <v>52.358024691358025</v>
      </c>
      <c r="V1790" s="253">
        <v>58.260869565217384</v>
      </c>
      <c r="W1790" s="253"/>
      <c r="X1790" s="253">
        <v>61.882352941176478</v>
      </c>
      <c r="Y1790" s="253">
        <v>56.489583333333329</v>
      </c>
      <c r="Z1790" s="253">
        <v>61.15384615384616</v>
      </c>
      <c r="AA1790" s="253"/>
      <c r="AB1790" s="253"/>
      <c r="AC1790" s="253"/>
      <c r="AD1790" s="253"/>
      <c r="AE1790" s="253"/>
    </row>
    <row r="1791" spans="1:31">
      <c r="A1791" s="33">
        <v>1790</v>
      </c>
      <c r="B1791" s="69" t="s">
        <v>1254</v>
      </c>
      <c r="C1791" s="69" t="s">
        <v>1232</v>
      </c>
      <c r="D1791" s="56">
        <v>42965</v>
      </c>
      <c r="E1791" s="33" t="s">
        <v>724</v>
      </c>
      <c r="F1791" s="69" t="s">
        <v>532</v>
      </c>
      <c r="G1791" s="69" t="str">
        <f t="shared" si="27"/>
        <v>E-Commerce</v>
      </c>
      <c r="H1791" s="69" t="s">
        <v>364</v>
      </c>
      <c r="I1791" s="69" t="s">
        <v>1255</v>
      </c>
      <c r="J1791" s="69" t="s">
        <v>1254</v>
      </c>
      <c r="K1791" s="69" t="s">
        <v>1258</v>
      </c>
      <c r="L1791" s="253">
        <v>60.298741258741259</v>
      </c>
      <c r="M1791" s="253">
        <v>61.355344813432275</v>
      </c>
      <c r="N1791" s="253">
        <v>60.143074955734811</v>
      </c>
      <c r="O1791" s="253">
        <v>58.582401897108028</v>
      </c>
      <c r="P1791" s="253">
        <v>61.527272727272717</v>
      </c>
      <c r="Q1791" s="253">
        <v>61.890625</v>
      </c>
      <c r="R1791" s="253">
        <v>60.105365014514568</v>
      </c>
      <c r="S1791" s="253">
        <v>65.145631067961162</v>
      </c>
      <c r="T1791" s="253">
        <v>60.687022900763353</v>
      </c>
      <c r="U1791" s="253">
        <v>61.934156378600825</v>
      </c>
      <c r="V1791" s="253">
        <v>60.027173913043477</v>
      </c>
      <c r="W1791" s="253"/>
      <c r="X1791" s="253">
        <v>60.529411764705884</v>
      </c>
      <c r="Y1791" s="253">
        <v>58.25</v>
      </c>
      <c r="Z1791" s="253">
        <v>55.384615384615387</v>
      </c>
      <c r="AA1791" s="253"/>
      <c r="AB1791" s="253"/>
      <c r="AC1791" s="253"/>
      <c r="AD1791" s="253"/>
      <c r="AE1791" s="253"/>
    </row>
    <row r="1792" spans="1:31">
      <c r="A1792" s="33">
        <v>1791</v>
      </c>
      <c r="B1792" s="69" t="s">
        <v>1254</v>
      </c>
      <c r="C1792" s="69" t="s">
        <v>1232</v>
      </c>
      <c r="D1792" s="56">
        <v>42965</v>
      </c>
      <c r="E1792" s="33" t="s">
        <v>724</v>
      </c>
      <c r="F1792" s="69" t="s">
        <v>532</v>
      </c>
      <c r="G1792" s="69" t="str">
        <f t="shared" si="27"/>
        <v>E-Commerce</v>
      </c>
      <c r="H1792" s="69" t="s">
        <v>364</v>
      </c>
      <c r="I1792" s="69" t="s">
        <v>1255</v>
      </c>
      <c r="J1792" s="69" t="s">
        <v>1254</v>
      </c>
      <c r="K1792" s="69" t="s">
        <v>1259</v>
      </c>
      <c r="L1792" s="253">
        <v>58.273566433566423</v>
      </c>
      <c r="M1792" s="253">
        <v>59.093691329456796</v>
      </c>
      <c r="N1792" s="253">
        <v>61.678859897661432</v>
      </c>
      <c r="O1792" s="253">
        <v>58.812766613429602</v>
      </c>
      <c r="P1792" s="253">
        <v>58.072727272727263</v>
      </c>
      <c r="Q1792" s="253">
        <v>63.472972972972975</v>
      </c>
      <c r="R1792" s="253">
        <v>57.557251908396942</v>
      </c>
      <c r="S1792" s="253">
        <v>60.873786407766985</v>
      </c>
      <c r="T1792" s="253">
        <v>58.664122137404583</v>
      </c>
      <c r="U1792" s="253">
        <v>55.967078189300409</v>
      </c>
      <c r="V1792" s="253">
        <v>59.976635514018682</v>
      </c>
      <c r="W1792" s="253"/>
      <c r="X1792" s="253">
        <v>67.352941176470594</v>
      </c>
      <c r="Y1792" s="253">
        <v>58.312500000000007</v>
      </c>
      <c r="Z1792" s="253">
        <v>59.076923076923073</v>
      </c>
      <c r="AA1792" s="253"/>
      <c r="AB1792" s="253"/>
      <c r="AC1792" s="253"/>
      <c r="AD1792" s="253"/>
      <c r="AE1792" s="253"/>
    </row>
    <row r="1793" spans="1:31">
      <c r="A1793" s="33">
        <v>1792</v>
      </c>
      <c r="B1793" s="69" t="s">
        <v>1254</v>
      </c>
      <c r="C1793" s="69" t="s">
        <v>1232</v>
      </c>
      <c r="D1793" s="56">
        <v>42965</v>
      </c>
      <c r="E1793" s="33" t="s">
        <v>724</v>
      </c>
      <c r="F1793" s="69" t="s">
        <v>532</v>
      </c>
      <c r="G1793" s="69" t="str">
        <f t="shared" si="27"/>
        <v>E-Commerce</v>
      </c>
      <c r="H1793" s="69" t="s">
        <v>364</v>
      </c>
      <c r="I1793" s="69" t="s">
        <v>1255</v>
      </c>
      <c r="J1793" s="69" t="s">
        <v>1254</v>
      </c>
      <c r="K1793" s="69" t="s">
        <v>1260</v>
      </c>
      <c r="L1793" s="253">
        <v>55.044195804195802</v>
      </c>
      <c r="M1793" s="253">
        <v>55.737476454751778</v>
      </c>
      <c r="N1793" s="253">
        <v>57.102803738317753</v>
      </c>
      <c r="O1793" s="253">
        <v>52.348129041928424</v>
      </c>
      <c r="P1793" s="253">
        <v>55.209090909090904</v>
      </c>
      <c r="Q1793" s="253">
        <v>58.662162162162168</v>
      </c>
      <c r="R1793" s="253">
        <v>57.12754900906711</v>
      </c>
      <c r="S1793" s="253">
        <v>50.097087378640779</v>
      </c>
      <c r="T1793" s="253">
        <v>56.984732824427475</v>
      </c>
      <c r="U1793" s="253">
        <v>56.312757201646079</v>
      </c>
      <c r="V1793" s="253">
        <v>57.102803738317753</v>
      </c>
      <c r="W1793" s="253"/>
      <c r="X1793" s="253"/>
      <c r="Y1793" s="253">
        <v>50.374999999999993</v>
      </c>
      <c r="Z1793" s="253">
        <v>54.384615384615387</v>
      </c>
      <c r="AA1793" s="253"/>
      <c r="AB1793" s="253"/>
      <c r="AC1793" s="253"/>
      <c r="AD1793" s="253"/>
      <c r="AE1793" s="253"/>
    </row>
    <row r="1794" spans="1:31">
      <c r="A1794" s="33">
        <v>1793</v>
      </c>
      <c r="B1794" s="69" t="s">
        <v>1254</v>
      </c>
      <c r="C1794" s="69" t="s">
        <v>1232</v>
      </c>
      <c r="D1794" s="56">
        <v>42965</v>
      </c>
      <c r="E1794" s="33" t="s">
        <v>724</v>
      </c>
      <c r="F1794" s="69" t="s">
        <v>532</v>
      </c>
      <c r="G1794" s="69" t="str">
        <f t="shared" ref="G1794:G1857" si="28">IF(V1794&gt;0,IF(W1794&gt;0,"Both","E-Commerce"),IF(W1794=0, "ERROR","User Registration"))</f>
        <v>E-Commerce</v>
      </c>
      <c r="H1794" s="69" t="s">
        <v>364</v>
      </c>
      <c r="I1794" s="69" t="s">
        <v>1255</v>
      </c>
      <c r="J1794" s="69" t="s">
        <v>1254</v>
      </c>
      <c r="K1794" s="69" t="s">
        <v>1261</v>
      </c>
      <c r="L1794" s="253">
        <v>52.587692307692301</v>
      </c>
      <c r="M1794" s="253">
        <v>49.813638529945486</v>
      </c>
      <c r="N1794" s="253">
        <v>54.183405928870478</v>
      </c>
      <c r="O1794" s="253">
        <v>50.901019868204862</v>
      </c>
      <c r="P1794" s="253">
        <v>51.599999999999987</v>
      </c>
      <c r="Q1794" s="253">
        <v>52.094594594594589</v>
      </c>
      <c r="R1794" s="253">
        <v>48.313084614557575</v>
      </c>
      <c r="S1794" s="253">
        <v>48.543689320388346</v>
      </c>
      <c r="T1794" s="253">
        <v>46.755725190839691</v>
      </c>
      <c r="U1794" s="253">
        <v>49.650205761316876</v>
      </c>
      <c r="V1794" s="253">
        <v>54.556074766355145</v>
      </c>
      <c r="W1794" s="253"/>
      <c r="X1794" s="253">
        <v>52.941176470588232</v>
      </c>
      <c r="Y1794" s="253">
        <v>49.84375</v>
      </c>
      <c r="Z1794" s="253">
        <v>56.538461538461533</v>
      </c>
      <c r="AA1794" s="253"/>
      <c r="AB1794" s="253"/>
      <c r="AC1794" s="253"/>
      <c r="AD1794" s="253"/>
      <c r="AE1794" s="253"/>
    </row>
    <row r="1795" spans="1:31">
      <c r="A1795" s="33">
        <v>1794</v>
      </c>
      <c r="B1795" s="69" t="s">
        <v>1254</v>
      </c>
      <c r="C1795" s="69" t="s">
        <v>823</v>
      </c>
      <c r="D1795" s="56">
        <v>42965</v>
      </c>
      <c r="E1795" s="33" t="s">
        <v>724</v>
      </c>
      <c r="F1795" s="69" t="s">
        <v>532</v>
      </c>
      <c r="G1795" s="69" t="str">
        <f t="shared" si="28"/>
        <v>E-Commerce</v>
      </c>
      <c r="H1795" s="69" t="s">
        <v>364</v>
      </c>
      <c r="I1795" s="69" t="s">
        <v>1262</v>
      </c>
      <c r="J1795" s="69" t="s">
        <v>1254</v>
      </c>
      <c r="K1795" s="69" t="s">
        <v>1260</v>
      </c>
      <c r="L1795" s="253">
        <v>0.55044195804195806</v>
      </c>
      <c r="M1795" s="253">
        <v>0.55737476454751778</v>
      </c>
      <c r="N1795" s="253">
        <v>0.57102803738317753</v>
      </c>
      <c r="O1795" s="253">
        <v>0.52348129041928426</v>
      </c>
      <c r="P1795" s="253">
        <v>0.55209090909090908</v>
      </c>
      <c r="Q1795" s="253">
        <v>0.58662162162162168</v>
      </c>
      <c r="R1795" s="253">
        <v>0.57127549009067113</v>
      </c>
      <c r="S1795" s="253">
        <v>0.50097087378640781</v>
      </c>
      <c r="T1795" s="253">
        <v>0.56984732824427475</v>
      </c>
      <c r="U1795" s="253">
        <v>0.5631275720164608</v>
      </c>
      <c r="V1795" s="253">
        <v>0.57102803738317753</v>
      </c>
      <c r="W1795" s="253">
        <v>0</v>
      </c>
      <c r="X1795" s="253">
        <v>0</v>
      </c>
      <c r="Y1795" s="253">
        <v>0.50374999999999992</v>
      </c>
      <c r="Z1795" s="253">
        <v>0.54384615384615387</v>
      </c>
      <c r="AA1795" s="253"/>
      <c r="AB1795" s="253"/>
      <c r="AC1795" s="253"/>
      <c r="AD1795" s="253"/>
      <c r="AE1795" s="253"/>
    </row>
    <row r="1796" spans="1:31">
      <c r="A1796" s="33">
        <v>1795</v>
      </c>
      <c r="B1796" s="69" t="s">
        <v>1254</v>
      </c>
      <c r="C1796" s="69" t="s">
        <v>823</v>
      </c>
      <c r="D1796" s="56">
        <v>42965</v>
      </c>
      <c r="E1796" s="33" t="s">
        <v>724</v>
      </c>
      <c r="F1796" s="69" t="s">
        <v>532</v>
      </c>
      <c r="G1796" s="69" t="str">
        <f t="shared" si="28"/>
        <v>E-Commerce</v>
      </c>
      <c r="H1796" s="69" t="s">
        <v>364</v>
      </c>
      <c r="I1796" s="69" t="s">
        <v>1262</v>
      </c>
      <c r="J1796" s="69" t="s">
        <v>1254</v>
      </c>
      <c r="K1796" s="69" t="s">
        <v>1256</v>
      </c>
      <c r="L1796" s="253">
        <v>0.54597393006993</v>
      </c>
      <c r="M1796" s="253">
        <v>0.535973534200895</v>
      </c>
      <c r="N1796" s="253">
        <v>0.55537383177570088</v>
      </c>
      <c r="O1796" s="253">
        <v>0.51801226481644902</v>
      </c>
      <c r="P1796" s="253">
        <v>0.56669818181818177</v>
      </c>
      <c r="Q1796" s="253">
        <v>0.56418918918918914</v>
      </c>
      <c r="R1796" s="253">
        <v>0.63768067949682838</v>
      </c>
      <c r="S1796" s="253">
        <v>0.45242718446601943</v>
      </c>
      <c r="T1796" s="253">
        <v>0.54618320610687032</v>
      </c>
      <c r="U1796" s="253">
        <v>0.50156378600823048</v>
      </c>
      <c r="V1796" s="253">
        <v>0.55537383177570088</v>
      </c>
      <c r="W1796" s="253">
        <v>0</v>
      </c>
      <c r="X1796" s="253">
        <v>0</v>
      </c>
      <c r="Y1796" s="253">
        <v>0.51249999999999996</v>
      </c>
      <c r="Z1796" s="253">
        <v>0.46307692307692311</v>
      </c>
      <c r="AA1796" s="253"/>
      <c r="AB1796" s="253"/>
      <c r="AC1796" s="253"/>
      <c r="AD1796" s="253"/>
      <c r="AE1796" s="253"/>
    </row>
    <row r="1797" spans="1:31">
      <c r="A1797" s="33">
        <v>1796</v>
      </c>
      <c r="B1797" s="69" t="s">
        <v>1263</v>
      </c>
      <c r="C1797" s="69" t="s">
        <v>1264</v>
      </c>
      <c r="D1797" s="56">
        <v>42965</v>
      </c>
      <c r="E1797" s="33" t="s">
        <v>724</v>
      </c>
      <c r="F1797" s="69" t="s">
        <v>725</v>
      </c>
      <c r="G1797" s="69" t="str">
        <f t="shared" si="28"/>
        <v>E-Commerce</v>
      </c>
      <c r="H1797" s="69" t="s">
        <v>749</v>
      </c>
      <c r="I1797" s="69" t="s">
        <v>888</v>
      </c>
      <c r="J1797" s="69" t="s">
        <v>1263</v>
      </c>
      <c r="K1797" s="69" t="s">
        <v>1263</v>
      </c>
      <c r="L1797" s="253">
        <v>0.6381510489510489</v>
      </c>
      <c r="M1797" s="253">
        <v>0.62697603102161692</v>
      </c>
      <c r="N1797" s="253">
        <v>0.63252341365884457</v>
      </c>
      <c r="O1797" s="253">
        <v>0.64150068111929293</v>
      </c>
      <c r="P1797" s="253">
        <v>0.64672727272727271</v>
      </c>
      <c r="Q1797" s="253">
        <v>0.5654054054054054</v>
      </c>
      <c r="R1797" s="253">
        <v>0.58596428057035865</v>
      </c>
      <c r="S1797" s="253">
        <v>0.68726415094339632</v>
      </c>
      <c r="T1797" s="253">
        <v>0.60687022900763354</v>
      </c>
      <c r="U1797" s="253">
        <v>0.69032921810699577</v>
      </c>
      <c r="V1797" s="253">
        <v>0.63116279069767445</v>
      </c>
      <c r="W1797" s="253">
        <v>0</v>
      </c>
      <c r="X1797" s="253">
        <v>0.63705882352941179</v>
      </c>
      <c r="Y1797" s="253">
        <v>0.66693749999999996</v>
      </c>
      <c r="Z1797" s="253">
        <v>0.60384615384615381</v>
      </c>
      <c r="AA1797" s="253"/>
      <c r="AB1797" s="253"/>
      <c r="AC1797" s="253"/>
      <c r="AD1797" s="253"/>
      <c r="AE1797" s="253"/>
    </row>
    <row r="1798" spans="1:31">
      <c r="A1798" s="33">
        <v>1797</v>
      </c>
      <c r="B1798" s="69" t="s">
        <v>1263</v>
      </c>
      <c r="C1798" s="69" t="s">
        <v>1264</v>
      </c>
      <c r="D1798" s="56">
        <v>42965</v>
      </c>
      <c r="E1798" s="33" t="s">
        <v>724</v>
      </c>
      <c r="F1798" s="69" t="s">
        <v>725</v>
      </c>
      <c r="G1798" s="69" t="str">
        <f t="shared" si="28"/>
        <v>E-Commerce</v>
      </c>
      <c r="H1798" s="69" t="s">
        <v>749</v>
      </c>
      <c r="I1798" s="69" t="s">
        <v>888</v>
      </c>
      <c r="J1798" s="69" t="s">
        <v>1263</v>
      </c>
      <c r="K1798" s="69" t="s">
        <v>1053</v>
      </c>
      <c r="L1798" s="253">
        <v>0.61916643356643353</v>
      </c>
      <c r="M1798" s="253">
        <v>0.6561530653558213</v>
      </c>
      <c r="N1798" s="253">
        <v>0.63541197516573711</v>
      </c>
      <c r="O1798" s="253">
        <v>0.60589807776752314</v>
      </c>
      <c r="P1798" s="253">
        <v>0.61472727272727268</v>
      </c>
      <c r="Q1798" s="253">
        <v>0.72837837837837838</v>
      </c>
      <c r="R1798" s="253">
        <v>0.63720293821114793</v>
      </c>
      <c r="S1798" s="253">
        <v>0.63254716981132075</v>
      </c>
      <c r="T1798" s="253">
        <v>0.65572519083969472</v>
      </c>
      <c r="U1798" s="253">
        <v>0.64415637860082298</v>
      </c>
      <c r="V1798" s="253">
        <v>0.65697674418604646</v>
      </c>
      <c r="W1798" s="253">
        <v>0</v>
      </c>
      <c r="X1798" s="253">
        <v>0.56352941176470595</v>
      </c>
      <c r="Y1798" s="253">
        <v>0.57541666666666669</v>
      </c>
      <c r="Z1798" s="253">
        <v>0.63692307692307693</v>
      </c>
      <c r="AA1798" s="253"/>
      <c r="AB1798" s="253"/>
      <c r="AC1798" s="253"/>
      <c r="AD1798" s="253"/>
      <c r="AE1798" s="253"/>
    </row>
    <row r="1799" spans="1:31">
      <c r="A1799" s="33">
        <v>1798</v>
      </c>
      <c r="B1799" s="69" t="s">
        <v>1263</v>
      </c>
      <c r="C1799" s="69" t="s">
        <v>1264</v>
      </c>
      <c r="D1799" s="56">
        <v>42965</v>
      </c>
      <c r="E1799" s="33" t="s">
        <v>724</v>
      </c>
      <c r="F1799" s="69" t="s">
        <v>725</v>
      </c>
      <c r="G1799" s="69" t="str">
        <f t="shared" si="28"/>
        <v>E-Commerce</v>
      </c>
      <c r="H1799" s="69" t="s">
        <v>749</v>
      </c>
      <c r="I1799" s="69" t="s">
        <v>888</v>
      </c>
      <c r="J1799" s="69" t="s">
        <v>1263</v>
      </c>
      <c r="K1799" s="69" t="s">
        <v>1052</v>
      </c>
      <c r="L1799" s="253">
        <v>0.64830209790209792</v>
      </c>
      <c r="M1799" s="253">
        <v>0.67294693031404174</v>
      </c>
      <c r="N1799" s="253">
        <v>0.67877144059770578</v>
      </c>
      <c r="O1799" s="253">
        <v>0.65776638302904711</v>
      </c>
      <c r="P1799" s="253">
        <v>0.63345454545454538</v>
      </c>
      <c r="Q1799" s="253">
        <v>0.65743243243243243</v>
      </c>
      <c r="R1799" s="253">
        <v>0.6901699553507129</v>
      </c>
      <c r="S1799" s="253">
        <v>0.62367924528301888</v>
      </c>
      <c r="T1799" s="253">
        <v>0.70763358778625951</v>
      </c>
      <c r="U1799" s="253">
        <v>0.6728395061728395</v>
      </c>
      <c r="V1799" s="253">
        <v>0.68325581395348822</v>
      </c>
      <c r="W1799" s="253">
        <v>0</v>
      </c>
      <c r="X1799" s="253">
        <v>0.6638235294117647</v>
      </c>
      <c r="Y1799" s="253">
        <v>0.63974999999999993</v>
      </c>
      <c r="Z1799" s="253">
        <v>0.70769230769230773</v>
      </c>
      <c r="AA1799" s="253"/>
      <c r="AB1799" s="253"/>
      <c r="AC1799" s="253"/>
      <c r="AD1799" s="253"/>
      <c r="AE1799" s="253"/>
    </row>
    <row r="1800" spans="1:31">
      <c r="A1800" s="33">
        <v>1799</v>
      </c>
      <c r="B1800" s="69" t="s">
        <v>1263</v>
      </c>
      <c r="C1800" s="69" t="s">
        <v>1264</v>
      </c>
      <c r="D1800" s="56">
        <v>42965</v>
      </c>
      <c r="E1800" s="33" t="s">
        <v>724</v>
      </c>
      <c r="F1800" s="69" t="s">
        <v>725</v>
      </c>
      <c r="G1800" s="69" t="str">
        <f t="shared" si="28"/>
        <v>E-Commerce</v>
      </c>
      <c r="H1800" s="69" t="s">
        <v>749</v>
      </c>
      <c r="I1800" s="69" t="s">
        <v>888</v>
      </c>
      <c r="J1800" s="69" t="s">
        <v>1263</v>
      </c>
      <c r="K1800" s="69" t="s">
        <v>554</v>
      </c>
      <c r="L1800" s="253">
        <v>0.63259580419580419</v>
      </c>
      <c r="M1800" s="253">
        <v>0.68891507337262659</v>
      </c>
      <c r="N1800" s="253">
        <v>0.68431232242449747</v>
      </c>
      <c r="O1800" s="253">
        <v>0.719069316978039</v>
      </c>
      <c r="P1800" s="253">
        <v>0.63709090909090904</v>
      </c>
      <c r="Q1800" s="253">
        <v>0.67837837837837844</v>
      </c>
      <c r="R1800" s="253">
        <v>0.66209131499351848</v>
      </c>
      <c r="S1800" s="253">
        <v>0.71839622641509437</v>
      </c>
      <c r="T1800" s="253">
        <v>0.68969465648854955</v>
      </c>
      <c r="U1800" s="253">
        <v>0.72983539094650207</v>
      </c>
      <c r="V1800" s="253">
        <v>0.70748837209302329</v>
      </c>
      <c r="W1800" s="253">
        <v>0</v>
      </c>
      <c r="X1800" s="253">
        <v>0.60705882352941176</v>
      </c>
      <c r="Y1800" s="253">
        <v>0.76593749999999994</v>
      </c>
      <c r="Z1800" s="253">
        <v>0.61461538461538467</v>
      </c>
      <c r="AA1800" s="253"/>
      <c r="AB1800" s="253"/>
      <c r="AC1800" s="253"/>
      <c r="AD1800" s="253"/>
      <c r="AE1800" s="253"/>
    </row>
    <row r="1801" spans="1:31">
      <c r="A1801" s="33">
        <v>1800</v>
      </c>
      <c r="B1801" s="69" t="s">
        <v>1263</v>
      </c>
      <c r="C1801" s="69" t="s">
        <v>1264</v>
      </c>
      <c r="D1801" s="56">
        <v>42965</v>
      </c>
      <c r="E1801" s="33" t="s">
        <v>824</v>
      </c>
      <c r="F1801" s="69" t="s">
        <v>725</v>
      </c>
      <c r="G1801" s="69" t="str">
        <f t="shared" si="28"/>
        <v>E-Commerce</v>
      </c>
      <c r="H1801" s="69" t="s">
        <v>749</v>
      </c>
      <c r="I1801" s="69" t="s">
        <v>888</v>
      </c>
      <c r="J1801" s="69" t="s">
        <v>1263</v>
      </c>
      <c r="K1801" s="69" t="s">
        <v>1237</v>
      </c>
      <c r="L1801" s="253">
        <v>0.60111608391608384</v>
      </c>
      <c r="M1801" s="253">
        <v>0.61891039546047444</v>
      </c>
      <c r="N1801" s="253">
        <v>0.66188572029885306</v>
      </c>
      <c r="O1801" s="253">
        <v>0.63548869149863274</v>
      </c>
      <c r="P1801" s="253">
        <v>0.59581818181818169</v>
      </c>
      <c r="Q1801" s="253">
        <v>0.60270270270270265</v>
      </c>
      <c r="R1801" s="253">
        <v>0.60180757597580292</v>
      </c>
      <c r="S1801" s="253">
        <v>0.58735849056603773</v>
      </c>
      <c r="T1801" s="253">
        <v>0.65152671755725189</v>
      </c>
      <c r="U1801" s="253">
        <v>0.6532921810699589</v>
      </c>
      <c r="V1801" s="253">
        <v>0.67162790697674424</v>
      </c>
      <c r="W1801" s="253">
        <v>0</v>
      </c>
      <c r="X1801" s="253">
        <v>0.62941176470588234</v>
      </c>
      <c r="Y1801" s="253">
        <v>0.65427083333333336</v>
      </c>
      <c r="Z1801" s="253">
        <v>0.62230769230769234</v>
      </c>
      <c r="AA1801" s="253"/>
      <c r="AB1801" s="253"/>
      <c r="AC1801" s="253"/>
      <c r="AD1801" s="253"/>
      <c r="AE1801" s="253"/>
    </row>
    <row r="1802" spans="1:31">
      <c r="A1802" s="33">
        <v>1801</v>
      </c>
      <c r="B1802" s="69" t="s">
        <v>1239</v>
      </c>
      <c r="C1802" s="69" t="s">
        <v>791</v>
      </c>
      <c r="D1802" s="56">
        <v>42968</v>
      </c>
      <c r="E1802" s="33" t="s">
        <v>724</v>
      </c>
      <c r="F1802" s="69" t="s">
        <v>380</v>
      </c>
      <c r="G1802" s="69" t="str">
        <f t="shared" si="28"/>
        <v>Both</v>
      </c>
      <c r="H1802" s="69" t="s">
        <v>807</v>
      </c>
      <c r="I1802" s="69" t="s">
        <v>808</v>
      </c>
      <c r="J1802" s="69" t="s">
        <v>1239</v>
      </c>
      <c r="K1802" s="69" t="s">
        <v>1239</v>
      </c>
      <c r="L1802" s="253">
        <v>0.60439720279720277</v>
      </c>
      <c r="M1802" s="253">
        <v>0.61109284839866818</v>
      </c>
      <c r="N1802" s="253">
        <v>0.52400590984057172</v>
      </c>
      <c r="O1802" s="253">
        <v>0.63863600150663424</v>
      </c>
      <c r="P1802" s="253">
        <v>0.59472727272727277</v>
      </c>
      <c r="Q1802" s="253">
        <v>0.60459459459459464</v>
      </c>
      <c r="R1802" s="253">
        <v>0.59446608730396566</v>
      </c>
      <c r="S1802" s="253">
        <v>0.68509615384615385</v>
      </c>
      <c r="T1802" s="253">
        <v>0.53351063829787237</v>
      </c>
      <c r="U1802" s="253">
        <v>0.60747126436781607</v>
      </c>
      <c r="V1802" s="253">
        <v>0.49144859813084107</v>
      </c>
      <c r="W1802" s="253">
        <v>0.515625</v>
      </c>
      <c r="X1802" s="253">
        <v>0.60588235294117643</v>
      </c>
      <c r="Y1802" s="253">
        <v>0.64489583333333333</v>
      </c>
      <c r="Z1802" s="253">
        <v>0.64307692307692299</v>
      </c>
      <c r="AA1802" s="253"/>
      <c r="AB1802" s="253"/>
      <c r="AC1802" s="253"/>
      <c r="AD1802" s="253"/>
      <c r="AE1802" s="253"/>
    </row>
    <row r="1803" spans="1:31">
      <c r="A1803" s="33">
        <v>1802</v>
      </c>
      <c r="B1803" s="69" t="s">
        <v>1168</v>
      </c>
      <c r="C1803" s="69" t="s">
        <v>1232</v>
      </c>
      <c r="D1803" s="56">
        <v>42968</v>
      </c>
      <c r="E1803" s="33" t="s">
        <v>1146</v>
      </c>
      <c r="F1803" s="69" t="s">
        <v>532</v>
      </c>
      <c r="G1803" s="69" t="str">
        <f t="shared" si="28"/>
        <v>User Registration</v>
      </c>
      <c r="H1803" s="69" t="s">
        <v>508</v>
      </c>
      <c r="I1803" s="69" t="s">
        <v>962</v>
      </c>
      <c r="J1803" s="69" t="s">
        <v>1168</v>
      </c>
      <c r="K1803" s="69" t="s">
        <v>1240</v>
      </c>
      <c r="L1803" s="253">
        <v>54.478664731494916</v>
      </c>
      <c r="M1803" s="253">
        <v>59.270416330620201</v>
      </c>
      <c r="N1803" s="253">
        <v>54.785916289592762</v>
      </c>
      <c r="O1803" s="253">
        <v>58.411269236926088</v>
      </c>
      <c r="P1803" s="253">
        <v>54.886792452830178</v>
      </c>
      <c r="Q1803" s="253">
        <v>60.472972972972968</v>
      </c>
      <c r="R1803" s="253">
        <v>61.449205873539114</v>
      </c>
      <c r="S1803" s="253">
        <v>51.394230769230766</v>
      </c>
      <c r="T1803" s="253">
        <v>60.37234042553191</v>
      </c>
      <c r="U1803" s="253">
        <v>64.339080459770116</v>
      </c>
      <c r="V1803" s="253"/>
      <c r="W1803" s="253">
        <v>54.96875</v>
      </c>
      <c r="X1803" s="253">
        <v>54.176470588235304</v>
      </c>
      <c r="Y1803" s="253">
        <v>59.96875</v>
      </c>
      <c r="Z1803" s="253">
        <v>52.846153846153854</v>
      </c>
      <c r="AA1803" s="253"/>
      <c r="AB1803" s="253"/>
      <c r="AC1803" s="253"/>
      <c r="AD1803" s="253"/>
      <c r="AE1803" s="253"/>
    </row>
    <row r="1804" spans="1:31">
      <c r="A1804" s="33">
        <v>1803</v>
      </c>
      <c r="B1804" s="69" t="s">
        <v>1239</v>
      </c>
      <c r="C1804" s="69" t="s">
        <v>791</v>
      </c>
      <c r="D1804" s="56">
        <v>42968</v>
      </c>
      <c r="E1804" s="33" t="s">
        <v>724</v>
      </c>
      <c r="F1804" s="69" t="s">
        <v>380</v>
      </c>
      <c r="G1804" s="69" t="str">
        <f t="shared" si="28"/>
        <v>Both</v>
      </c>
      <c r="H1804" s="69" t="s">
        <v>807</v>
      </c>
      <c r="I1804" s="69" t="s">
        <v>808</v>
      </c>
      <c r="J1804" s="69" t="s">
        <v>1239</v>
      </c>
      <c r="K1804" s="69" t="s">
        <v>953</v>
      </c>
      <c r="L1804" s="253">
        <v>0.56668811188811175</v>
      </c>
      <c r="M1804" s="253">
        <v>0.58128021170248179</v>
      </c>
      <c r="N1804" s="253">
        <v>0.52183703271028037</v>
      </c>
      <c r="O1804" s="253">
        <v>0.59228085058649005</v>
      </c>
      <c r="P1804" s="253">
        <v>0.56509090909090898</v>
      </c>
      <c r="Q1804" s="253">
        <v>0.55135135135135127</v>
      </c>
      <c r="R1804" s="253">
        <v>0.57421636200179804</v>
      </c>
      <c r="S1804" s="253">
        <v>0.64663461538461542</v>
      </c>
      <c r="T1804" s="253">
        <v>0.56223404255319143</v>
      </c>
      <c r="U1804" s="253">
        <v>0.57471264367816088</v>
      </c>
      <c r="V1804" s="253">
        <v>0.51453271028037384</v>
      </c>
      <c r="W1804" s="253">
        <v>0.5291413551401869</v>
      </c>
      <c r="X1804" s="253"/>
      <c r="Y1804" s="253">
        <v>0.60031250000000003</v>
      </c>
      <c r="Z1804" s="253">
        <v>0.57307692307692304</v>
      </c>
      <c r="AA1804" s="253"/>
      <c r="AB1804" s="253"/>
      <c r="AC1804" s="253"/>
      <c r="AD1804" s="253"/>
      <c r="AE1804" s="253"/>
    </row>
    <row r="1805" spans="1:31">
      <c r="A1805" s="33">
        <v>1804</v>
      </c>
      <c r="B1805" s="69" t="s">
        <v>1239</v>
      </c>
      <c r="C1805" s="69" t="s">
        <v>791</v>
      </c>
      <c r="D1805" s="56">
        <v>42968</v>
      </c>
      <c r="E1805" s="33" t="s">
        <v>724</v>
      </c>
      <c r="F1805" s="69" t="s">
        <v>380</v>
      </c>
      <c r="G1805" s="69" t="str">
        <f t="shared" si="28"/>
        <v>Both</v>
      </c>
      <c r="H1805" s="69" t="s">
        <v>807</v>
      </c>
      <c r="I1805" s="69" t="s">
        <v>808</v>
      </c>
      <c r="J1805" s="69" t="s">
        <v>1239</v>
      </c>
      <c r="K1805" s="69" t="s">
        <v>389</v>
      </c>
      <c r="L1805" s="253">
        <v>0.69898693759071118</v>
      </c>
      <c r="M1805" s="253">
        <v>0.71825590704968656</v>
      </c>
      <c r="N1805" s="253">
        <v>0.66323954611050029</v>
      </c>
      <c r="O1805" s="253">
        <v>0.73253016773236135</v>
      </c>
      <c r="P1805" s="253">
        <v>0.74584905660377365</v>
      </c>
      <c r="Q1805" s="253">
        <v>0.70337837837837835</v>
      </c>
      <c r="R1805" s="253">
        <v>0.69905828636655487</v>
      </c>
      <c r="S1805" s="253">
        <v>0.78773584905660377</v>
      </c>
      <c r="T1805" s="253">
        <v>0.61832061068702293</v>
      </c>
      <c r="U1805" s="253">
        <v>0.8364197530864198</v>
      </c>
      <c r="V1805" s="253">
        <v>0.68341121495327106</v>
      </c>
      <c r="W1805" s="253">
        <v>0.60031250000000003</v>
      </c>
      <c r="X1805" s="253">
        <v>0.68823529411764706</v>
      </c>
      <c r="Y1805" s="253">
        <v>0.80291666666666672</v>
      </c>
      <c r="Z1805" s="253">
        <v>0.5115384615384615</v>
      </c>
      <c r="AA1805" s="253"/>
      <c r="AB1805" s="253"/>
      <c r="AC1805" s="253"/>
      <c r="AD1805" s="253"/>
      <c r="AE1805" s="253"/>
    </row>
    <row r="1806" spans="1:31">
      <c r="A1806" s="33">
        <v>1805</v>
      </c>
      <c r="B1806" s="69" t="s">
        <v>1241</v>
      </c>
      <c r="C1806" s="69" t="s">
        <v>740</v>
      </c>
      <c r="D1806" s="56">
        <v>42968</v>
      </c>
      <c r="E1806" s="33" t="s">
        <v>724</v>
      </c>
      <c r="F1806" s="69" t="s">
        <v>532</v>
      </c>
      <c r="G1806" s="69" t="str">
        <f t="shared" si="28"/>
        <v>User Registration</v>
      </c>
      <c r="H1806" s="69" t="s">
        <v>364</v>
      </c>
      <c r="I1806" s="69" t="s">
        <v>1242</v>
      </c>
      <c r="J1806" s="69" t="s">
        <v>1241</v>
      </c>
      <c r="K1806" s="69" t="s">
        <v>1241</v>
      </c>
      <c r="L1806" s="253">
        <v>0.58585195936139334</v>
      </c>
      <c r="M1806" s="253">
        <v>0.5841615920910137</v>
      </c>
      <c r="N1806" s="253">
        <v>0.53816459276018103</v>
      </c>
      <c r="O1806" s="253">
        <v>0.55216012517696833</v>
      </c>
      <c r="P1806" s="253">
        <v>0.59962264150943401</v>
      </c>
      <c r="Q1806" s="253">
        <v>0.59324324324324318</v>
      </c>
      <c r="R1806" s="253">
        <v>0.61901508340825095</v>
      </c>
      <c r="S1806" s="253">
        <v>0.56105769230769231</v>
      </c>
      <c r="T1806" s="253">
        <v>0.60808510638297864</v>
      </c>
      <c r="U1806" s="253">
        <v>0.56752873563218387</v>
      </c>
      <c r="V1806" s="253">
        <v>0</v>
      </c>
      <c r="W1806" s="253">
        <v>0.54343750000000002</v>
      </c>
      <c r="X1806" s="253">
        <v>0.52058823529411768</v>
      </c>
      <c r="Y1806" s="253">
        <v>0.54020833333333329</v>
      </c>
      <c r="Z1806" s="253">
        <v>0.53076923076923077</v>
      </c>
      <c r="AA1806" s="253"/>
      <c r="AB1806" s="253"/>
      <c r="AC1806" s="253"/>
      <c r="AD1806" s="253"/>
      <c r="AE1806" s="253"/>
    </row>
    <row r="1807" spans="1:31">
      <c r="A1807" s="33">
        <v>1806</v>
      </c>
      <c r="B1807" s="69" t="s">
        <v>1241</v>
      </c>
      <c r="C1807" s="69" t="s">
        <v>740</v>
      </c>
      <c r="D1807" s="56">
        <v>42968</v>
      </c>
      <c r="E1807" s="33" t="s">
        <v>724</v>
      </c>
      <c r="F1807" s="69" t="s">
        <v>532</v>
      </c>
      <c r="G1807" s="69" t="str">
        <f t="shared" si="28"/>
        <v>User Registration</v>
      </c>
      <c r="H1807" s="69" t="s">
        <v>364</v>
      </c>
      <c r="I1807" s="69" t="s">
        <v>1242</v>
      </c>
      <c r="J1807" s="69" t="s">
        <v>1241</v>
      </c>
      <c r="K1807" s="69" t="s">
        <v>1243</v>
      </c>
      <c r="L1807" s="253">
        <v>0.61933236574746009</v>
      </c>
      <c r="M1807" s="253">
        <v>0.61938583813606451</v>
      </c>
      <c r="N1807" s="253">
        <v>0.56557126696832583</v>
      </c>
      <c r="O1807" s="253">
        <v>0.58191875354805689</v>
      </c>
      <c r="P1807" s="253">
        <v>0.6233962264150944</v>
      </c>
      <c r="Q1807" s="253">
        <v>0.58864864864864863</v>
      </c>
      <c r="R1807" s="253">
        <v>0.63559085006492866</v>
      </c>
      <c r="S1807" s="253">
        <v>0.60480769230769238</v>
      </c>
      <c r="T1807" s="253">
        <v>0.61734042553191493</v>
      </c>
      <c r="U1807" s="253">
        <v>0.64718390804597703</v>
      </c>
      <c r="V1807" s="253">
        <v>0</v>
      </c>
      <c r="W1807" s="253">
        <v>0.583125</v>
      </c>
      <c r="X1807" s="253">
        <v>0.50705882352941178</v>
      </c>
      <c r="Y1807" s="253">
        <v>0.56187500000000001</v>
      </c>
      <c r="Z1807" s="253">
        <v>0.60307692307692307</v>
      </c>
      <c r="AA1807" s="253"/>
      <c r="AB1807" s="253"/>
      <c r="AC1807" s="253"/>
      <c r="AD1807" s="253"/>
      <c r="AE1807" s="253"/>
    </row>
    <row r="1808" spans="1:31">
      <c r="A1808" s="33">
        <v>1807</v>
      </c>
      <c r="B1808" s="69" t="s">
        <v>1241</v>
      </c>
      <c r="C1808" s="69" t="s">
        <v>740</v>
      </c>
      <c r="D1808" s="56">
        <v>42968</v>
      </c>
      <c r="E1808" s="33" t="s">
        <v>724</v>
      </c>
      <c r="F1808" s="69" t="s">
        <v>532</v>
      </c>
      <c r="G1808" s="69" t="str">
        <f t="shared" si="28"/>
        <v>User Registration</v>
      </c>
      <c r="H1808" s="69" t="s">
        <v>364</v>
      </c>
      <c r="I1808" s="69" t="s">
        <v>1242</v>
      </c>
      <c r="J1808" s="69" t="s">
        <v>1241</v>
      </c>
      <c r="K1808" s="69" t="s">
        <v>1244</v>
      </c>
      <c r="L1808" s="253">
        <v>0.56891436865021783</v>
      </c>
      <c r="M1808" s="253">
        <v>0.59520778215101411</v>
      </c>
      <c r="N1808" s="253">
        <v>0.50931278280542991</v>
      </c>
      <c r="O1808" s="253">
        <v>0.5440248124717818</v>
      </c>
      <c r="P1808" s="253">
        <v>0.58056603773584925</v>
      </c>
      <c r="Q1808" s="253">
        <v>0.6040540540540541</v>
      </c>
      <c r="R1808" s="253">
        <v>0.69541304564978523</v>
      </c>
      <c r="S1808" s="253">
        <v>0.53557692307692306</v>
      </c>
      <c r="T1808" s="253">
        <v>0.62819148936170222</v>
      </c>
      <c r="U1808" s="253">
        <v>0.54500000000000004</v>
      </c>
      <c r="V1808" s="253">
        <v>0</v>
      </c>
      <c r="W1808" s="253">
        <v>0.52781250000000002</v>
      </c>
      <c r="X1808" s="253">
        <v>0.4476470588235294</v>
      </c>
      <c r="Y1808" s="253">
        <v>0.5151041666666667</v>
      </c>
      <c r="Z1808" s="253">
        <v>0.52230769230769236</v>
      </c>
      <c r="AA1808" s="253"/>
      <c r="AB1808" s="253"/>
      <c r="AC1808" s="253"/>
      <c r="AD1808" s="253"/>
      <c r="AE1808" s="253"/>
    </row>
    <row r="1809" spans="1:31">
      <c r="A1809" s="33">
        <v>1808</v>
      </c>
      <c r="B1809" s="69" t="s">
        <v>1241</v>
      </c>
      <c r="C1809" s="69" t="s">
        <v>740</v>
      </c>
      <c r="D1809" s="56">
        <v>42968</v>
      </c>
      <c r="E1809" s="33" t="s">
        <v>724</v>
      </c>
      <c r="F1809" s="69" t="s">
        <v>532</v>
      </c>
      <c r="G1809" s="69" t="str">
        <f t="shared" si="28"/>
        <v>User Registration</v>
      </c>
      <c r="H1809" s="69" t="s">
        <v>364</v>
      </c>
      <c r="I1809" s="69" t="s">
        <v>1242</v>
      </c>
      <c r="J1809" s="69" t="s">
        <v>1241</v>
      </c>
      <c r="K1809" s="69" t="s">
        <v>1245</v>
      </c>
      <c r="L1809" s="253">
        <v>0.57689695210449921</v>
      </c>
      <c r="M1809" s="253">
        <v>0.63872331056639553</v>
      </c>
      <c r="N1809" s="253">
        <v>0.52253110859728513</v>
      </c>
      <c r="O1809" s="253">
        <v>0.55841421103503774</v>
      </c>
      <c r="P1809" s="253">
        <v>0.56669811320754704</v>
      </c>
      <c r="Q1809" s="253">
        <v>0.67067567567567565</v>
      </c>
      <c r="R1809" s="253">
        <v>0.66923584057536711</v>
      </c>
      <c r="S1809" s="253">
        <v>0.57644230769230764</v>
      </c>
      <c r="T1809" s="253">
        <v>0.66989361702127659</v>
      </c>
      <c r="U1809" s="253">
        <v>0.62218390804597701</v>
      </c>
      <c r="V1809" s="253">
        <v>0</v>
      </c>
      <c r="W1809" s="253">
        <v>0.51093750000000004</v>
      </c>
      <c r="X1809" s="253">
        <v>0.56117647058823528</v>
      </c>
      <c r="Y1809" s="253">
        <v>0.50543749999999998</v>
      </c>
      <c r="Z1809" s="253">
        <v>0.61769230769230776</v>
      </c>
      <c r="AA1809" s="253"/>
      <c r="AB1809" s="253"/>
      <c r="AC1809" s="253"/>
      <c r="AD1809" s="253"/>
      <c r="AE1809" s="253"/>
    </row>
    <row r="1810" spans="1:31">
      <c r="A1810" s="33">
        <v>1809</v>
      </c>
      <c r="B1810" s="69" t="s">
        <v>1241</v>
      </c>
      <c r="C1810" s="69" t="s">
        <v>740</v>
      </c>
      <c r="D1810" s="56">
        <v>42968</v>
      </c>
      <c r="E1810" s="33" t="s">
        <v>724</v>
      </c>
      <c r="F1810" s="69" t="s">
        <v>532</v>
      </c>
      <c r="G1810" s="69" t="str">
        <f t="shared" si="28"/>
        <v>User Registration</v>
      </c>
      <c r="H1810" s="69" t="s">
        <v>364</v>
      </c>
      <c r="I1810" s="69" t="s">
        <v>1242</v>
      </c>
      <c r="J1810" s="69" t="s">
        <v>1241</v>
      </c>
      <c r="K1810" s="69" t="s">
        <v>1246</v>
      </c>
      <c r="L1810" s="253">
        <v>0.56861248185776492</v>
      </c>
      <c r="M1810" s="253">
        <v>0.55899672060341199</v>
      </c>
      <c r="N1810" s="253">
        <v>0.49304298642533934</v>
      </c>
      <c r="O1810" s="253">
        <v>0.5390806115856025</v>
      </c>
      <c r="P1810" s="253">
        <v>0.57018867924528305</v>
      </c>
      <c r="Q1810" s="253">
        <v>0.54256756756756763</v>
      </c>
      <c r="R1810" s="253">
        <v>0.59704724802717013</v>
      </c>
      <c r="S1810" s="253">
        <v>0.52307692307692299</v>
      </c>
      <c r="T1810" s="253">
        <v>0.56542553191489364</v>
      </c>
      <c r="U1810" s="253">
        <v>0.55764367816091964</v>
      </c>
      <c r="V1810" s="253">
        <v>0</v>
      </c>
      <c r="W1810" s="253">
        <v>0.48125000000000001</v>
      </c>
      <c r="X1810" s="253">
        <v>0.53235294117647058</v>
      </c>
      <c r="Y1810" s="253">
        <v>0.52177083333333341</v>
      </c>
      <c r="Z1810" s="253">
        <v>0.5623076923076924</v>
      </c>
      <c r="AA1810" s="253"/>
      <c r="AB1810" s="253"/>
      <c r="AC1810" s="253"/>
      <c r="AD1810" s="253"/>
      <c r="AE1810" s="253"/>
    </row>
    <row r="1811" spans="1:31">
      <c r="A1811" s="33">
        <v>1810</v>
      </c>
      <c r="B1811" s="69" t="s">
        <v>1168</v>
      </c>
      <c r="C1811" s="69" t="s">
        <v>1232</v>
      </c>
      <c r="D1811" s="56">
        <v>42968</v>
      </c>
      <c r="E1811" s="33" t="s">
        <v>1146</v>
      </c>
      <c r="F1811" s="69" t="s">
        <v>532</v>
      </c>
      <c r="G1811" s="69" t="str">
        <f t="shared" si="28"/>
        <v>User Registration</v>
      </c>
      <c r="H1811" s="69" t="s">
        <v>508</v>
      </c>
      <c r="I1811" s="69" t="s">
        <v>922</v>
      </c>
      <c r="J1811" s="69" t="s">
        <v>1168</v>
      </c>
      <c r="K1811" s="69" t="s">
        <v>1168</v>
      </c>
      <c r="L1811" s="253">
        <v>0.62480452830188682</v>
      </c>
      <c r="M1811" s="253">
        <v>0.56393352224203586</v>
      </c>
      <c r="N1811" s="253">
        <v>0.57016685520361998</v>
      </c>
      <c r="O1811" s="253">
        <v>0.56588385818738673</v>
      </c>
      <c r="P1811" s="253">
        <v>0.64100566037735851</v>
      </c>
      <c r="Q1811" s="253">
        <v>0.57702702702702702</v>
      </c>
      <c r="R1811" s="253">
        <v>0.57448806313055634</v>
      </c>
      <c r="S1811" s="253">
        <v>0.55048076923076927</v>
      </c>
      <c r="T1811" s="253">
        <v>0.55638297872340425</v>
      </c>
      <c r="U1811" s="253">
        <v>0.55977011494252871</v>
      </c>
      <c r="V1811" s="253">
        <v>0</v>
      </c>
      <c r="W1811" s="253">
        <v>0.5546875</v>
      </c>
      <c r="X1811" s="253">
        <v>0.621764705882353</v>
      </c>
      <c r="Y1811" s="253">
        <v>0.5663541666666666</v>
      </c>
      <c r="Z1811" s="253">
        <v>0.56000000000000005</v>
      </c>
      <c r="AA1811" s="253"/>
      <c r="AB1811" s="253"/>
      <c r="AC1811" s="253"/>
      <c r="AD1811" s="253"/>
      <c r="AE1811" s="253"/>
    </row>
    <row r="1812" spans="1:31">
      <c r="A1812" s="33">
        <v>1811</v>
      </c>
      <c r="B1812" s="69" t="s">
        <v>1168</v>
      </c>
      <c r="C1812" s="69" t="s">
        <v>1232</v>
      </c>
      <c r="D1812" s="56">
        <v>42968</v>
      </c>
      <c r="E1812" s="33" t="s">
        <v>1146</v>
      </c>
      <c r="F1812" s="69" t="s">
        <v>532</v>
      </c>
      <c r="G1812" s="69" t="str">
        <f t="shared" si="28"/>
        <v>User Registration</v>
      </c>
      <c r="H1812" s="69" t="s">
        <v>508</v>
      </c>
      <c r="I1812" s="69" t="s">
        <v>922</v>
      </c>
      <c r="J1812" s="69" t="s">
        <v>1168</v>
      </c>
      <c r="K1812" s="69" t="s">
        <v>1247</v>
      </c>
      <c r="L1812" s="253">
        <v>0.57276342525399127</v>
      </c>
      <c r="M1812" s="253">
        <v>0.54236226367943963</v>
      </c>
      <c r="N1812" s="253">
        <v>0.58698812217194574</v>
      </c>
      <c r="O1812" s="253">
        <v>0.51773472553350353</v>
      </c>
      <c r="P1812" s="253">
        <v>0.58037735849056593</v>
      </c>
      <c r="Q1812" s="253">
        <v>0.51594594594594589</v>
      </c>
      <c r="R1812" s="253">
        <v>0.59024815560026833</v>
      </c>
      <c r="S1812" s="253">
        <v>0.48125000000000007</v>
      </c>
      <c r="T1812" s="253">
        <v>0.52202380952380956</v>
      </c>
      <c r="U1812" s="253">
        <v>0.5767241379310345</v>
      </c>
      <c r="V1812" s="253">
        <v>0</v>
      </c>
      <c r="W1812" s="253">
        <v>0.59843749999999996</v>
      </c>
      <c r="X1812" s="253">
        <v>0.54882352941176482</v>
      </c>
      <c r="Y1812" s="253">
        <v>0.49968750000000001</v>
      </c>
      <c r="Z1812" s="253">
        <v>0.54230769230769227</v>
      </c>
      <c r="AA1812" s="253"/>
      <c r="AB1812" s="253"/>
      <c r="AC1812" s="253"/>
      <c r="AD1812" s="253"/>
      <c r="AE1812" s="253"/>
    </row>
    <row r="1813" spans="1:31">
      <c r="A1813" s="33">
        <v>1812</v>
      </c>
      <c r="B1813" s="69" t="s">
        <v>1168</v>
      </c>
      <c r="C1813" s="69" t="s">
        <v>1232</v>
      </c>
      <c r="D1813" s="56">
        <v>42968</v>
      </c>
      <c r="E1813" s="33" t="s">
        <v>1146</v>
      </c>
      <c r="F1813" s="69" t="s">
        <v>532</v>
      </c>
      <c r="G1813" s="69" t="str">
        <f t="shared" si="28"/>
        <v>User Registration</v>
      </c>
      <c r="H1813" s="69" t="s">
        <v>508</v>
      </c>
      <c r="I1813" s="69" t="s">
        <v>922</v>
      </c>
      <c r="J1813" s="69" t="s">
        <v>1168</v>
      </c>
      <c r="K1813" s="69" t="s">
        <v>1248</v>
      </c>
      <c r="L1813" s="253">
        <v>0.54478664731494919</v>
      </c>
      <c r="M1813" s="253">
        <v>0.59270416330620201</v>
      </c>
      <c r="N1813" s="253">
        <v>0.54785916289592762</v>
      </c>
      <c r="O1813" s="253">
        <v>0.58411269236926089</v>
      </c>
      <c r="P1813" s="253">
        <v>0.5488679245283018</v>
      </c>
      <c r="Q1813" s="253">
        <v>0.60472972972972971</v>
      </c>
      <c r="R1813" s="253">
        <v>0.61449205873539114</v>
      </c>
      <c r="S1813" s="253">
        <v>0.51394230769230764</v>
      </c>
      <c r="T1813" s="253">
        <v>0.60372340425531912</v>
      </c>
      <c r="U1813" s="253">
        <v>0.64339080459770115</v>
      </c>
      <c r="V1813" s="253">
        <v>0</v>
      </c>
      <c r="W1813" s="253">
        <v>0.5496875</v>
      </c>
      <c r="X1813" s="253">
        <v>0.54176470588235304</v>
      </c>
      <c r="Y1813" s="253">
        <v>0.59968750000000004</v>
      </c>
      <c r="Z1813" s="253">
        <v>0.52846153846153854</v>
      </c>
      <c r="AA1813" s="253"/>
      <c r="AB1813" s="253"/>
      <c r="AC1813" s="253"/>
      <c r="AD1813" s="253"/>
      <c r="AE1813" s="253"/>
    </row>
    <row r="1814" spans="1:31">
      <c r="A1814" s="33">
        <v>1813</v>
      </c>
      <c r="B1814" s="69" t="s">
        <v>1168</v>
      </c>
      <c r="C1814" s="69" t="s">
        <v>1232</v>
      </c>
      <c r="D1814" s="56">
        <v>42968</v>
      </c>
      <c r="E1814" s="33" t="s">
        <v>1146</v>
      </c>
      <c r="F1814" s="69" t="s">
        <v>532</v>
      </c>
      <c r="G1814" s="69" t="str">
        <f t="shared" si="28"/>
        <v>User Registration</v>
      </c>
      <c r="H1814" s="69" t="s">
        <v>508</v>
      </c>
      <c r="I1814" s="69" t="s">
        <v>922</v>
      </c>
      <c r="J1814" s="69" t="s">
        <v>1168</v>
      </c>
      <c r="K1814" s="69" t="s">
        <v>1249</v>
      </c>
      <c r="L1814" s="253">
        <v>0.52113253991291719</v>
      </c>
      <c r="M1814" s="253">
        <v>0.51325490006045671</v>
      </c>
      <c r="N1814" s="253">
        <v>0.51853506787330317</v>
      </c>
      <c r="O1814" s="253">
        <v>0.51948172133864201</v>
      </c>
      <c r="P1814" s="253">
        <v>0.50968490566037727</v>
      </c>
      <c r="Q1814" s="253">
        <v>0.45878378378378382</v>
      </c>
      <c r="R1814" s="253">
        <v>0.56266107281989808</v>
      </c>
      <c r="S1814" s="253">
        <v>0.45673076923076922</v>
      </c>
      <c r="T1814" s="253">
        <v>0.55372340425531907</v>
      </c>
      <c r="U1814" s="253">
        <v>0.50689655172413794</v>
      </c>
      <c r="V1814" s="253">
        <v>0</v>
      </c>
      <c r="W1814" s="253">
        <v>0.515625</v>
      </c>
      <c r="X1814" s="253">
        <v>0.52823529411764703</v>
      </c>
      <c r="Y1814" s="253">
        <v>0.5089583333333334</v>
      </c>
      <c r="Z1814" s="253">
        <v>0.56692307692307697</v>
      </c>
      <c r="AA1814" s="253"/>
      <c r="AB1814" s="253"/>
      <c r="AC1814" s="253"/>
      <c r="AD1814" s="253"/>
      <c r="AE1814" s="253"/>
    </row>
    <row r="1815" spans="1:31">
      <c r="A1815" s="33">
        <v>1814</v>
      </c>
      <c r="B1815" s="69" t="s">
        <v>1168</v>
      </c>
      <c r="C1815" s="69" t="s">
        <v>1232</v>
      </c>
      <c r="D1815" s="56">
        <v>42968</v>
      </c>
      <c r="E1815" s="33" t="s">
        <v>1146</v>
      </c>
      <c r="F1815" s="69" t="s">
        <v>532</v>
      </c>
      <c r="G1815" s="69" t="str">
        <f t="shared" si="28"/>
        <v>User Registration</v>
      </c>
      <c r="H1815" s="69" t="s">
        <v>508</v>
      </c>
      <c r="I1815" s="69" t="s">
        <v>922</v>
      </c>
      <c r="J1815" s="69" t="s">
        <v>1168</v>
      </c>
      <c r="K1815" s="69" t="s">
        <v>1250</v>
      </c>
      <c r="L1815" s="253">
        <v>0.58854862119013063</v>
      </c>
      <c r="M1815" s="253">
        <v>0.58855631394742869</v>
      </c>
      <c r="N1815" s="253">
        <v>0.49592760180995477</v>
      </c>
      <c r="O1815" s="253">
        <v>0.55124251499026755</v>
      </c>
      <c r="P1815" s="253">
        <v>0.5843396226415094</v>
      </c>
      <c r="Q1815" s="253">
        <v>0.55945945945945941</v>
      </c>
      <c r="R1815" s="253">
        <v>0.62728998102087707</v>
      </c>
      <c r="S1815" s="253">
        <v>0.56634615384615394</v>
      </c>
      <c r="T1815" s="253">
        <v>0.58510638297872342</v>
      </c>
      <c r="U1815" s="253">
        <v>0.58620689655172409</v>
      </c>
      <c r="V1815" s="253">
        <v>0</v>
      </c>
      <c r="W1815" s="253">
        <v>0.53</v>
      </c>
      <c r="X1815" s="253">
        <v>0.38235294117647056</v>
      </c>
      <c r="Y1815" s="253">
        <v>0.51745833333333335</v>
      </c>
      <c r="Z1815" s="253">
        <v>0.60538461538461541</v>
      </c>
      <c r="AA1815" s="253"/>
      <c r="AB1815" s="253"/>
      <c r="AC1815" s="253"/>
      <c r="AD1815" s="253"/>
      <c r="AE1815" s="253"/>
    </row>
    <row r="1816" spans="1:31">
      <c r="A1816" s="33">
        <v>1815</v>
      </c>
      <c r="B1816" s="69" t="s">
        <v>1168</v>
      </c>
      <c r="C1816" s="69" t="s">
        <v>1232</v>
      </c>
      <c r="D1816" s="56">
        <v>42968</v>
      </c>
      <c r="E1816" s="33" t="s">
        <v>1146</v>
      </c>
      <c r="F1816" s="69" t="s">
        <v>532</v>
      </c>
      <c r="G1816" s="69" t="str">
        <f t="shared" si="28"/>
        <v>User Registration</v>
      </c>
      <c r="H1816" s="69" t="s">
        <v>508</v>
      </c>
      <c r="I1816" s="69" t="s">
        <v>922</v>
      </c>
      <c r="J1816" s="69" t="s">
        <v>1168</v>
      </c>
      <c r="K1816" s="69" t="s">
        <v>1251</v>
      </c>
      <c r="L1816" s="253">
        <v>0.557165892597968</v>
      </c>
      <c r="M1816" s="253">
        <v>0.56424889797364564</v>
      </c>
      <c r="N1816" s="253">
        <v>0.57088800904977377</v>
      </c>
      <c r="O1816" s="253">
        <v>0.54622512447235028</v>
      </c>
      <c r="P1816" s="253">
        <v>0.55871698113207546</v>
      </c>
      <c r="Q1816" s="253">
        <v>0.5368918918918919</v>
      </c>
      <c r="R1816" s="253">
        <v>0.59982818899210877</v>
      </c>
      <c r="S1816" s="253">
        <v>0.52451923076923079</v>
      </c>
      <c r="T1816" s="253">
        <v>0.53936170212765966</v>
      </c>
      <c r="U1816" s="253">
        <v>0.60258620689655173</v>
      </c>
      <c r="V1816" s="253">
        <v>0</v>
      </c>
      <c r="W1816" s="253">
        <v>0.54062500000000002</v>
      </c>
      <c r="X1816" s="253">
        <v>0.67176470588235293</v>
      </c>
      <c r="Y1816" s="253">
        <v>0.53718749999999993</v>
      </c>
      <c r="Z1816" s="253">
        <v>0.5509615384615385</v>
      </c>
      <c r="AA1816" s="253"/>
      <c r="AB1816" s="253"/>
      <c r="AC1816" s="253"/>
      <c r="AD1816" s="253"/>
      <c r="AE1816" s="253"/>
    </row>
    <row r="1817" spans="1:31">
      <c r="A1817" s="33">
        <v>1816</v>
      </c>
      <c r="B1817" s="69" t="s">
        <v>1168</v>
      </c>
      <c r="C1817" s="69" t="s">
        <v>1232</v>
      </c>
      <c r="D1817" s="56">
        <v>42968</v>
      </c>
      <c r="E1817" s="33" t="s">
        <v>1146</v>
      </c>
      <c r="F1817" s="69" t="s">
        <v>532</v>
      </c>
      <c r="G1817" s="69" t="str">
        <f t="shared" si="28"/>
        <v>User Registration</v>
      </c>
      <c r="H1817" s="69" t="s">
        <v>508</v>
      </c>
      <c r="I1817" s="69" t="s">
        <v>922</v>
      </c>
      <c r="J1817" s="69" t="s">
        <v>1168</v>
      </c>
      <c r="K1817" s="69" t="s">
        <v>1252</v>
      </c>
      <c r="L1817" s="253">
        <v>0.53557329462989844</v>
      </c>
      <c r="M1817" s="253">
        <v>0.53952787935851387</v>
      </c>
      <c r="N1817" s="253">
        <v>0.57197398190045234</v>
      </c>
      <c r="O1817" s="253">
        <v>0.52364302381297656</v>
      </c>
      <c r="P1817" s="253">
        <v>0.54773584905660377</v>
      </c>
      <c r="Q1817" s="253">
        <v>0.49054054054054053</v>
      </c>
      <c r="R1817" s="253">
        <v>0.59914094496054338</v>
      </c>
      <c r="S1817" s="253">
        <v>0.50192307692307692</v>
      </c>
      <c r="T1817" s="253">
        <v>0.54680851063829783</v>
      </c>
      <c r="U1817" s="253">
        <v>0.56586206896551716</v>
      </c>
      <c r="V1817" s="253">
        <v>0</v>
      </c>
      <c r="W1817" s="253">
        <v>0.57062499999999994</v>
      </c>
      <c r="X1817" s="253">
        <v>0.57647058823529407</v>
      </c>
      <c r="Y1817" s="253">
        <v>0.52504166666666663</v>
      </c>
      <c r="Z1817" s="253">
        <v>0.4869230769230769</v>
      </c>
      <c r="AA1817" s="253"/>
      <c r="AB1817" s="253"/>
      <c r="AC1817" s="253"/>
      <c r="AD1817" s="253"/>
      <c r="AE1817" s="253"/>
    </row>
    <row r="1818" spans="1:31">
      <c r="A1818" s="33">
        <v>1817</v>
      </c>
      <c r="B1818" s="69" t="s">
        <v>1168</v>
      </c>
      <c r="C1818" s="69" t="s">
        <v>1232</v>
      </c>
      <c r="D1818" s="56">
        <v>42968</v>
      </c>
      <c r="E1818" s="33" t="s">
        <v>1146</v>
      </c>
      <c r="F1818" s="69" t="s">
        <v>532</v>
      </c>
      <c r="G1818" s="69" t="str">
        <f t="shared" si="28"/>
        <v>User Registration</v>
      </c>
      <c r="H1818" s="69" t="s">
        <v>508</v>
      </c>
      <c r="I1818" s="69" t="s">
        <v>962</v>
      </c>
      <c r="J1818" s="69" t="s">
        <v>1168</v>
      </c>
      <c r="K1818" s="69" t="s">
        <v>1251</v>
      </c>
      <c r="L1818" s="253">
        <v>55.716589259796798</v>
      </c>
      <c r="M1818" s="253">
        <v>56.424889797364564</v>
      </c>
      <c r="N1818" s="253">
        <v>57.088800904977376</v>
      </c>
      <c r="O1818" s="253">
        <v>54.622512447235025</v>
      </c>
      <c r="P1818" s="253">
        <v>55.871698113207543</v>
      </c>
      <c r="Q1818" s="253">
        <v>53.689189189189186</v>
      </c>
      <c r="R1818" s="253">
        <v>59.982818899210876</v>
      </c>
      <c r="S1818" s="253">
        <v>52.45192307692308</v>
      </c>
      <c r="T1818" s="253">
        <v>53.936170212765965</v>
      </c>
      <c r="U1818" s="253">
        <v>60.258620689655174</v>
      </c>
      <c r="V1818" s="253"/>
      <c r="W1818" s="253">
        <v>54.0625</v>
      </c>
      <c r="X1818" s="253">
        <v>67.17647058823529</v>
      </c>
      <c r="Y1818" s="253">
        <v>53.718749999999993</v>
      </c>
      <c r="Z1818" s="253">
        <v>55.096153846153847</v>
      </c>
      <c r="AA1818" s="253"/>
      <c r="AB1818" s="253"/>
      <c r="AC1818" s="253"/>
      <c r="AD1818" s="253"/>
      <c r="AE1818" s="253"/>
    </row>
    <row r="1819" spans="1:31">
      <c r="A1819" s="33">
        <v>1818</v>
      </c>
      <c r="B1819" s="69" t="s">
        <v>1168</v>
      </c>
      <c r="C1819" s="69" t="s">
        <v>1232</v>
      </c>
      <c r="D1819" s="56">
        <v>42968</v>
      </c>
      <c r="E1819" s="33" t="s">
        <v>1146</v>
      </c>
      <c r="F1819" s="69" t="s">
        <v>532</v>
      </c>
      <c r="G1819" s="69" t="str">
        <f t="shared" si="28"/>
        <v>User Registration</v>
      </c>
      <c r="H1819" s="69" t="s">
        <v>508</v>
      </c>
      <c r="I1819" s="69" t="s">
        <v>962</v>
      </c>
      <c r="J1819" s="69" t="s">
        <v>1168</v>
      </c>
      <c r="K1819" s="69" t="s">
        <v>1250</v>
      </c>
      <c r="L1819" s="253">
        <v>58.854862119013063</v>
      </c>
      <c r="M1819" s="253">
        <v>58.855631394742865</v>
      </c>
      <c r="N1819" s="253">
        <v>49.592760180995477</v>
      </c>
      <c r="O1819" s="253">
        <v>55.124251499026755</v>
      </c>
      <c r="P1819" s="253">
        <v>58.433962264150942</v>
      </c>
      <c r="Q1819" s="253">
        <v>55.945945945945937</v>
      </c>
      <c r="R1819" s="253">
        <v>62.728998102087708</v>
      </c>
      <c r="S1819" s="253">
        <v>56.634615384615394</v>
      </c>
      <c r="T1819" s="253">
        <v>58.51063829787234</v>
      </c>
      <c r="U1819" s="253">
        <v>58.620689655172406</v>
      </c>
      <c r="V1819" s="253"/>
      <c r="W1819" s="253">
        <v>53</v>
      </c>
      <c r="X1819" s="253">
        <v>38.235294117647058</v>
      </c>
      <c r="Y1819" s="253">
        <v>51.745833333333337</v>
      </c>
      <c r="Z1819" s="253">
        <v>60.53846153846154</v>
      </c>
      <c r="AA1819" s="253"/>
      <c r="AB1819" s="253"/>
      <c r="AC1819" s="253"/>
      <c r="AD1819" s="253"/>
      <c r="AE1819" s="253"/>
    </row>
    <row r="1820" spans="1:31">
      <c r="A1820" s="33">
        <v>1819</v>
      </c>
      <c r="B1820" s="69" t="s">
        <v>1168</v>
      </c>
      <c r="C1820" s="69" t="s">
        <v>1232</v>
      </c>
      <c r="D1820" s="56">
        <v>42968</v>
      </c>
      <c r="E1820" s="33" t="s">
        <v>1146</v>
      </c>
      <c r="F1820" s="69" t="s">
        <v>532</v>
      </c>
      <c r="G1820" s="69" t="str">
        <f t="shared" si="28"/>
        <v>User Registration</v>
      </c>
      <c r="H1820" s="69" t="s">
        <v>508</v>
      </c>
      <c r="I1820" s="69" t="s">
        <v>962</v>
      </c>
      <c r="J1820" s="69" t="s">
        <v>1168</v>
      </c>
      <c r="K1820" s="69" t="s">
        <v>1253</v>
      </c>
      <c r="L1820" s="253">
        <v>57.276342525399123</v>
      </c>
      <c r="M1820" s="253">
        <v>54.236226367943964</v>
      </c>
      <c r="N1820" s="253">
        <v>58.698812217194572</v>
      </c>
      <c r="O1820" s="253">
        <v>51.773472553350352</v>
      </c>
      <c r="P1820" s="253">
        <v>58.037735849056595</v>
      </c>
      <c r="Q1820" s="253">
        <v>51.594594594594589</v>
      </c>
      <c r="R1820" s="253">
        <v>59.02481556002683</v>
      </c>
      <c r="S1820" s="253">
        <v>48.125000000000007</v>
      </c>
      <c r="T1820" s="253">
        <v>52.202380952380956</v>
      </c>
      <c r="U1820" s="253">
        <v>57.672413793103452</v>
      </c>
      <c r="V1820" s="253"/>
      <c r="W1820" s="253">
        <v>59.843749999999993</v>
      </c>
      <c r="X1820" s="253">
        <v>54.882352941176478</v>
      </c>
      <c r="Y1820" s="253">
        <v>49.96875</v>
      </c>
      <c r="Z1820" s="253">
        <v>54.230769230769226</v>
      </c>
      <c r="AA1820" s="253"/>
      <c r="AB1820" s="253"/>
      <c r="AC1820" s="253"/>
      <c r="AD1820" s="253"/>
      <c r="AE1820" s="253"/>
    </row>
    <row r="1821" spans="1:31">
      <c r="A1821" s="33">
        <v>1820</v>
      </c>
      <c r="B1821" s="69" t="s">
        <v>1168</v>
      </c>
      <c r="C1821" s="69" t="s">
        <v>1232</v>
      </c>
      <c r="D1821" s="56">
        <v>42968</v>
      </c>
      <c r="E1821" s="33" t="s">
        <v>1146</v>
      </c>
      <c r="F1821" s="69" t="s">
        <v>532</v>
      </c>
      <c r="G1821" s="69" t="str">
        <f t="shared" si="28"/>
        <v>User Registration</v>
      </c>
      <c r="H1821" s="69" t="s">
        <v>508</v>
      </c>
      <c r="I1821" s="69" t="s">
        <v>962</v>
      </c>
      <c r="J1821" s="69" t="s">
        <v>1168</v>
      </c>
      <c r="K1821" s="69" t="s">
        <v>1252</v>
      </c>
      <c r="L1821" s="253">
        <v>53.557329462989841</v>
      </c>
      <c r="M1821" s="253">
        <v>53.952787935851383</v>
      </c>
      <c r="N1821" s="253">
        <v>57.197398190045234</v>
      </c>
      <c r="O1821" s="253">
        <v>52.364302381297655</v>
      </c>
      <c r="P1821" s="253">
        <v>54.773584905660378</v>
      </c>
      <c r="Q1821" s="253">
        <v>49.054054054054049</v>
      </c>
      <c r="R1821" s="253">
        <v>59.914094496054339</v>
      </c>
      <c r="S1821" s="253">
        <v>50.192307692307693</v>
      </c>
      <c r="T1821" s="253">
        <v>54.680851063829785</v>
      </c>
      <c r="U1821" s="253">
        <v>56.586206896551715</v>
      </c>
      <c r="V1821" s="253"/>
      <c r="W1821" s="253">
        <v>57.062499999999993</v>
      </c>
      <c r="X1821" s="253">
        <v>57.647058823529406</v>
      </c>
      <c r="Y1821" s="253">
        <v>52.504166666666663</v>
      </c>
      <c r="Z1821" s="253">
        <v>48.692307692307686</v>
      </c>
      <c r="AA1821" s="253"/>
      <c r="AB1821" s="253"/>
      <c r="AC1821" s="253"/>
      <c r="AD1821" s="253"/>
      <c r="AE1821" s="253"/>
    </row>
    <row r="1822" spans="1:31">
      <c r="A1822" s="33">
        <v>1821</v>
      </c>
      <c r="B1822" s="69" t="s">
        <v>1168</v>
      </c>
      <c r="C1822" s="69" t="s">
        <v>1232</v>
      </c>
      <c r="D1822" s="56">
        <v>42968</v>
      </c>
      <c r="E1822" s="33" t="s">
        <v>1146</v>
      </c>
      <c r="F1822" s="69" t="s">
        <v>532</v>
      </c>
      <c r="G1822" s="69" t="str">
        <f t="shared" si="28"/>
        <v>User Registration</v>
      </c>
      <c r="H1822" s="69" t="s">
        <v>508</v>
      </c>
      <c r="I1822" s="69" t="s">
        <v>962</v>
      </c>
      <c r="J1822" s="69" t="s">
        <v>1168</v>
      </c>
      <c r="K1822" s="69" t="s">
        <v>1168</v>
      </c>
      <c r="L1822" s="253">
        <v>62.480452830188682</v>
      </c>
      <c r="M1822" s="253">
        <v>56.393352224203582</v>
      </c>
      <c r="N1822" s="253">
        <v>57.016685520361996</v>
      </c>
      <c r="O1822" s="253">
        <v>56.588385818738672</v>
      </c>
      <c r="P1822" s="253">
        <v>64.100566037735845</v>
      </c>
      <c r="Q1822" s="253">
        <v>57.702702702702702</v>
      </c>
      <c r="R1822" s="253">
        <v>57.448806313055634</v>
      </c>
      <c r="S1822" s="253">
        <v>55.048076923076927</v>
      </c>
      <c r="T1822" s="253">
        <v>55.638297872340424</v>
      </c>
      <c r="U1822" s="253">
        <v>55.977011494252871</v>
      </c>
      <c r="V1822" s="253"/>
      <c r="W1822" s="253">
        <v>55.46875</v>
      </c>
      <c r="X1822" s="253">
        <v>62.176470588235297</v>
      </c>
      <c r="Y1822" s="253">
        <v>56.635416666666657</v>
      </c>
      <c r="Z1822" s="253">
        <v>56.000000000000007</v>
      </c>
      <c r="AA1822" s="253"/>
      <c r="AB1822" s="253"/>
      <c r="AC1822" s="253"/>
      <c r="AD1822" s="253"/>
      <c r="AE1822" s="253"/>
    </row>
    <row r="1823" spans="1:31">
      <c r="A1823" s="33">
        <v>1822</v>
      </c>
      <c r="B1823" s="69" t="s">
        <v>1168</v>
      </c>
      <c r="C1823" s="69" t="s">
        <v>1232</v>
      </c>
      <c r="D1823" s="56">
        <v>42968</v>
      </c>
      <c r="E1823" s="33" t="s">
        <v>1146</v>
      </c>
      <c r="F1823" s="69" t="s">
        <v>532</v>
      </c>
      <c r="G1823" s="69" t="str">
        <f t="shared" si="28"/>
        <v>User Registration</v>
      </c>
      <c r="H1823" s="69" t="s">
        <v>508</v>
      </c>
      <c r="I1823" s="69" t="s">
        <v>962</v>
      </c>
      <c r="J1823" s="69" t="s">
        <v>1168</v>
      </c>
      <c r="K1823" s="69" t="s">
        <v>1249</v>
      </c>
      <c r="L1823" s="253">
        <v>52.113253991291721</v>
      </c>
      <c r="M1823" s="253">
        <v>51.325490006045669</v>
      </c>
      <c r="N1823" s="253">
        <v>51.853506787330318</v>
      </c>
      <c r="O1823" s="253">
        <v>51.948172133864198</v>
      </c>
      <c r="P1823" s="253">
        <v>50.96849056603773</v>
      </c>
      <c r="Q1823" s="253">
        <v>45.878378378378379</v>
      </c>
      <c r="R1823" s="253">
        <v>56.266107281989804</v>
      </c>
      <c r="S1823" s="253">
        <v>45.67307692307692</v>
      </c>
      <c r="T1823" s="253">
        <v>55.37234042553191</v>
      </c>
      <c r="U1823" s="253">
        <v>50.689655172413794</v>
      </c>
      <c r="V1823" s="253"/>
      <c r="W1823" s="253">
        <v>51.5625</v>
      </c>
      <c r="X1823" s="253">
        <v>52.823529411764703</v>
      </c>
      <c r="Y1823" s="253">
        <v>50.895833333333336</v>
      </c>
      <c r="Z1823" s="253">
        <v>56.692307692307693</v>
      </c>
      <c r="AA1823" s="253"/>
      <c r="AB1823" s="253"/>
      <c r="AC1823" s="253"/>
      <c r="AD1823" s="253"/>
      <c r="AE1823" s="253"/>
    </row>
    <row r="1824" spans="1:31">
      <c r="A1824" s="33">
        <v>1823</v>
      </c>
      <c r="B1824" s="69" t="s">
        <v>1239</v>
      </c>
      <c r="C1824" s="69" t="s">
        <v>791</v>
      </c>
      <c r="D1824" s="56">
        <v>42968</v>
      </c>
      <c r="E1824" s="33" t="s">
        <v>724</v>
      </c>
      <c r="F1824" s="69" t="s">
        <v>380</v>
      </c>
      <c r="G1824" s="69" t="str">
        <f t="shared" si="28"/>
        <v>User Registration</v>
      </c>
      <c r="H1824" s="69" t="s">
        <v>807</v>
      </c>
      <c r="I1824" s="69" t="s">
        <v>808</v>
      </c>
      <c r="J1824" s="69" t="s">
        <v>1239</v>
      </c>
      <c r="K1824" s="69" t="s">
        <v>814</v>
      </c>
      <c r="L1824" s="253">
        <v>0.63517762237762243</v>
      </c>
      <c r="M1824" s="253">
        <v>0.64884844853513579</v>
      </c>
      <c r="N1824" s="253">
        <v>0.50218750000000001</v>
      </c>
      <c r="O1824" s="253">
        <v>0.5675564227857367</v>
      </c>
      <c r="P1824" s="253">
        <v>0.64781818181818185</v>
      </c>
      <c r="Q1824" s="253">
        <v>0.65716216216216206</v>
      </c>
      <c r="R1824" s="253">
        <v>0.69797223054639901</v>
      </c>
      <c r="S1824" s="253">
        <v>0.62067307692307694</v>
      </c>
      <c r="T1824" s="253">
        <v>0.63723404255319149</v>
      </c>
      <c r="U1824" s="253">
        <v>0.64827586206896537</v>
      </c>
      <c r="V1824" s="253"/>
      <c r="W1824" s="253">
        <v>0.50218750000000001</v>
      </c>
      <c r="X1824" s="253"/>
      <c r="Y1824" s="253">
        <v>0.52208333333333334</v>
      </c>
      <c r="Z1824" s="253">
        <v>0.58461538461538465</v>
      </c>
      <c r="AA1824" s="253"/>
      <c r="AB1824" s="253">
        <v>43.657407407407405</v>
      </c>
      <c r="AC1824" s="253"/>
      <c r="AD1824" s="253"/>
      <c r="AE1824" s="253"/>
    </row>
    <row r="1825" spans="1:31">
      <c r="A1825" s="33">
        <v>1824</v>
      </c>
      <c r="B1825" s="69" t="s">
        <v>1239</v>
      </c>
      <c r="C1825" s="69" t="s">
        <v>791</v>
      </c>
      <c r="D1825" s="56">
        <v>42968</v>
      </c>
      <c r="E1825" s="33" t="s">
        <v>724</v>
      </c>
      <c r="F1825" s="69" t="s">
        <v>380</v>
      </c>
      <c r="G1825" s="69" t="str">
        <f t="shared" si="28"/>
        <v>User Registration</v>
      </c>
      <c r="H1825" s="69" t="s">
        <v>807</v>
      </c>
      <c r="I1825" s="69" t="s">
        <v>808</v>
      </c>
      <c r="J1825" s="69" t="s">
        <v>1239</v>
      </c>
      <c r="K1825" s="69" t="s">
        <v>810</v>
      </c>
      <c r="L1825" s="253">
        <v>0.60119440559440562</v>
      </c>
      <c r="M1825" s="253">
        <v>0.62109545213756878</v>
      </c>
      <c r="N1825" s="253">
        <v>0.55089460784313715</v>
      </c>
      <c r="O1825" s="253">
        <v>0.62730847504511278</v>
      </c>
      <c r="P1825" s="253">
        <v>0.60245454545454546</v>
      </c>
      <c r="Q1825" s="253">
        <v>0.61527027027027026</v>
      </c>
      <c r="R1825" s="253">
        <v>0.60750973928678442</v>
      </c>
      <c r="S1825" s="253">
        <v>0.65564903846153844</v>
      </c>
      <c r="T1825" s="253">
        <v>0.58882978723404245</v>
      </c>
      <c r="U1825" s="253">
        <v>0.64103448275862074</v>
      </c>
      <c r="V1825" s="253"/>
      <c r="W1825" s="253">
        <v>0.53281250000000002</v>
      </c>
      <c r="X1825" s="253">
        <v>0.58705882352941174</v>
      </c>
      <c r="Y1825" s="253">
        <v>0.63898437500000016</v>
      </c>
      <c r="Z1825" s="253">
        <v>0.59615384615384615</v>
      </c>
      <c r="AA1825" s="253"/>
      <c r="AB1825" s="253">
        <v>61.830246913580254</v>
      </c>
      <c r="AC1825" s="253"/>
      <c r="AD1825" s="253"/>
      <c r="AE1825" s="253"/>
    </row>
    <row r="1826" spans="1:31">
      <c r="A1826" s="33">
        <v>1825</v>
      </c>
      <c r="B1826" s="69" t="s">
        <v>1237</v>
      </c>
      <c r="C1826" s="69" t="s">
        <v>791</v>
      </c>
      <c r="D1826" s="56">
        <v>42969</v>
      </c>
      <c r="E1826" s="33" t="s">
        <v>724</v>
      </c>
      <c r="F1826" s="69" t="s">
        <v>380</v>
      </c>
      <c r="G1826" s="69" t="str">
        <f t="shared" si="28"/>
        <v>E-Commerce</v>
      </c>
      <c r="H1826" s="69" t="s">
        <v>749</v>
      </c>
      <c r="J1826" s="69" t="s">
        <v>1237</v>
      </c>
      <c r="K1826" s="69" t="s">
        <v>554</v>
      </c>
      <c r="L1826" s="264">
        <v>0.63259580419580419</v>
      </c>
      <c r="M1826" s="264">
        <v>0.68989510669076726</v>
      </c>
      <c r="N1826" s="264">
        <v>0.68376933599915812</v>
      </c>
      <c r="O1826" s="264">
        <v>0.71935695442188974</v>
      </c>
      <c r="P1826" s="264">
        <v>0.63709090909090904</v>
      </c>
      <c r="Q1826" s="264">
        <v>0.68067567567567577</v>
      </c>
      <c r="R1826" s="264">
        <v>0.6633875846176005</v>
      </c>
      <c r="S1826" s="264">
        <v>0.71839622641509437</v>
      </c>
      <c r="T1826" s="264">
        <v>0.69198473282442741</v>
      </c>
      <c r="U1826" s="264">
        <v>0.72983539094650207</v>
      </c>
      <c r="V1826" s="264">
        <v>0.70748837209302329</v>
      </c>
      <c r="W1826" s="264"/>
      <c r="X1826" s="264">
        <v>0.6047058823529412</v>
      </c>
      <c r="Y1826" s="264">
        <v>0.76593749999999994</v>
      </c>
      <c r="Z1826" s="264">
        <v>0.61461538461538467</v>
      </c>
      <c r="AA1826" s="253"/>
      <c r="AB1826" s="253">
        <v>51.55555555555555</v>
      </c>
      <c r="AC1826" s="253"/>
      <c r="AD1826" s="253"/>
      <c r="AE1826" s="253"/>
    </row>
    <row r="1827" spans="1:31">
      <c r="A1827" s="33">
        <v>1826</v>
      </c>
      <c r="B1827" s="69" t="s">
        <v>1237</v>
      </c>
      <c r="C1827" s="69" t="s">
        <v>791</v>
      </c>
      <c r="D1827" s="56">
        <v>42969</v>
      </c>
      <c r="E1827" s="33" t="s">
        <v>724</v>
      </c>
      <c r="F1827" s="69" t="s">
        <v>380</v>
      </c>
      <c r="G1827" s="69" t="str">
        <f t="shared" si="28"/>
        <v>E-Commerce</v>
      </c>
      <c r="H1827" s="69" t="s">
        <v>749</v>
      </c>
      <c r="J1827" s="69" t="s">
        <v>1237</v>
      </c>
      <c r="K1827" s="69" t="s">
        <v>897</v>
      </c>
      <c r="L1827" s="264">
        <v>0.65206713286713291</v>
      </c>
      <c r="M1827" s="264">
        <v>0.65176371448439174</v>
      </c>
      <c r="N1827" s="264">
        <v>0.63614332316110689</v>
      </c>
      <c r="O1827" s="264">
        <v>0.66485224119474862</v>
      </c>
      <c r="P1827" s="264">
        <v>0.64854545454545465</v>
      </c>
      <c r="Q1827" s="264">
        <v>0.67162162162162165</v>
      </c>
      <c r="R1827" s="264">
        <v>0.61844303615151952</v>
      </c>
      <c r="S1827" s="264">
        <v>0.68301886792452837</v>
      </c>
      <c r="T1827" s="264">
        <v>0.63091603053435119</v>
      </c>
      <c r="U1827" s="264">
        <v>0.65094650205761306</v>
      </c>
      <c r="V1827" s="264">
        <v>0.64116279069767435</v>
      </c>
      <c r="W1827" s="264"/>
      <c r="X1827" s="264">
        <v>0.61941176470588233</v>
      </c>
      <c r="Y1827" s="264">
        <v>0.67125000000000001</v>
      </c>
      <c r="Z1827" s="264">
        <v>0.6661538461538461</v>
      </c>
      <c r="AA1827" s="253"/>
      <c r="AB1827" s="253">
        <v>39.444444444444443</v>
      </c>
      <c r="AC1827" s="253"/>
      <c r="AD1827" s="253"/>
      <c r="AE1827" s="253"/>
    </row>
    <row r="1828" spans="1:31">
      <c r="A1828" s="33">
        <v>1827</v>
      </c>
      <c r="B1828" s="69" t="s">
        <v>1237</v>
      </c>
      <c r="C1828" s="69" t="s">
        <v>791</v>
      </c>
      <c r="D1828" s="56">
        <v>42969</v>
      </c>
      <c r="E1828" s="33" t="s">
        <v>724</v>
      </c>
      <c r="F1828" s="69" t="s">
        <v>380</v>
      </c>
      <c r="G1828" s="69" t="str">
        <f t="shared" si="28"/>
        <v>E-Commerce</v>
      </c>
      <c r="H1828" s="69" t="s">
        <v>749</v>
      </c>
      <c r="J1828" s="69" t="s">
        <v>1237</v>
      </c>
      <c r="K1828" s="69" t="s">
        <v>1200</v>
      </c>
      <c r="L1828" s="264">
        <v>0.57343216783216788</v>
      </c>
      <c r="M1828" s="264">
        <v>0.60490270444118244</v>
      </c>
      <c r="N1828" s="264">
        <v>0.6386509523308429</v>
      </c>
      <c r="O1828" s="264">
        <v>0.61787494730908432</v>
      </c>
      <c r="P1828" s="264">
        <v>0.56563636363636371</v>
      </c>
      <c r="Q1828" s="264">
        <v>0.58797297297297302</v>
      </c>
      <c r="R1828" s="264">
        <v>0.60909549186230738</v>
      </c>
      <c r="S1828" s="264">
        <v>0.65990566037735854</v>
      </c>
      <c r="T1828" s="264">
        <v>0.61106870229007626</v>
      </c>
      <c r="U1828" s="264">
        <v>0.56666666666666665</v>
      </c>
      <c r="V1828" s="264">
        <v>0.62906976744186049</v>
      </c>
      <c r="W1828" s="264"/>
      <c r="X1828" s="264">
        <v>0.6705882352941176</v>
      </c>
      <c r="Y1828" s="264">
        <v>0.62239583333333337</v>
      </c>
      <c r="Z1828" s="264">
        <v>0.60461538461538455</v>
      </c>
      <c r="AA1828" s="253"/>
      <c r="AB1828" s="253">
        <v>56.000000000000007</v>
      </c>
      <c r="AC1828" s="253"/>
      <c r="AD1828" s="253"/>
      <c r="AE1828" s="253"/>
    </row>
    <row r="1829" spans="1:31">
      <c r="A1829" s="33">
        <v>1828</v>
      </c>
      <c r="B1829" s="69" t="s">
        <v>1237</v>
      </c>
      <c r="C1829" s="69" t="s">
        <v>791</v>
      </c>
      <c r="D1829" s="56">
        <v>42969</v>
      </c>
      <c r="E1829" s="33" t="s">
        <v>724</v>
      </c>
      <c r="F1829" s="69" t="s">
        <v>380</v>
      </c>
      <c r="G1829" s="69" t="str">
        <f t="shared" si="28"/>
        <v>E-Commerce</v>
      </c>
      <c r="H1829" s="69" t="s">
        <v>749</v>
      </c>
      <c r="J1829" s="69" t="s">
        <v>1237</v>
      </c>
      <c r="K1829" s="69" t="s">
        <v>1237</v>
      </c>
      <c r="L1829" s="264">
        <v>0.60111608391608384</v>
      </c>
      <c r="M1829" s="264">
        <v>0.62105747007131706</v>
      </c>
      <c r="N1829" s="264">
        <v>0.66297169314953175</v>
      </c>
      <c r="O1829" s="264">
        <v>0.63548869149863274</v>
      </c>
      <c r="P1829" s="264">
        <v>0.59581818181818169</v>
      </c>
      <c r="Q1829" s="264">
        <v>0.60270270270270265</v>
      </c>
      <c r="R1829" s="264">
        <v>0.60180757597580292</v>
      </c>
      <c r="S1829" s="264">
        <v>0.58735849056603773</v>
      </c>
      <c r="T1829" s="264">
        <v>0.65152671755725189</v>
      </c>
      <c r="U1829" s="264">
        <v>0.66316872427983542</v>
      </c>
      <c r="V1829" s="264">
        <v>0.67162790697674424</v>
      </c>
      <c r="W1829" s="264"/>
      <c r="X1829" s="264">
        <v>0.63411764705882356</v>
      </c>
      <c r="Y1829" s="264">
        <v>0.65427083333333336</v>
      </c>
      <c r="Z1829" s="264">
        <v>0.62230769230769234</v>
      </c>
      <c r="AA1829" s="253"/>
      <c r="AB1829" s="253"/>
      <c r="AC1829" s="253"/>
      <c r="AD1829" s="253"/>
      <c r="AE1829" s="253"/>
    </row>
    <row r="1830" spans="1:31">
      <c r="A1830" s="33">
        <v>1829</v>
      </c>
      <c r="B1830" s="69" t="s">
        <v>1237</v>
      </c>
      <c r="C1830" s="69" t="s">
        <v>791</v>
      </c>
      <c r="D1830" s="56">
        <v>42969</v>
      </c>
      <c r="E1830" s="33" t="s">
        <v>724</v>
      </c>
      <c r="F1830" s="69" t="s">
        <v>380</v>
      </c>
      <c r="G1830" s="69" t="str">
        <f t="shared" si="28"/>
        <v>E-Commerce</v>
      </c>
      <c r="H1830" s="69" t="s">
        <v>749</v>
      </c>
      <c r="J1830" s="69" t="s">
        <v>1237</v>
      </c>
      <c r="K1830" s="69" t="s">
        <v>1238</v>
      </c>
      <c r="L1830" s="264">
        <v>0.63581818181818184</v>
      </c>
      <c r="M1830" s="264">
        <v>0.61305370958862004</v>
      </c>
      <c r="N1830" s="264">
        <v>0.58967799642218255</v>
      </c>
      <c r="O1830" s="264">
        <v>0.63586785320027006</v>
      </c>
      <c r="P1830" s="264">
        <v>0.63227272727272732</v>
      </c>
      <c r="Q1830" s="264">
        <v>0.5758783783783783</v>
      </c>
      <c r="R1830" s="264">
        <v>0.59594699697537079</v>
      </c>
      <c r="S1830" s="264">
        <v>0.64198113207547169</v>
      </c>
      <c r="T1830" s="264">
        <v>0.59083969465648845</v>
      </c>
      <c r="U1830" s="264">
        <v>0.63530864197530845</v>
      </c>
      <c r="V1830" s="264">
        <v>0.59558139534883725</v>
      </c>
      <c r="W1830" s="264"/>
      <c r="X1830" s="264">
        <v>0.57000000000000006</v>
      </c>
      <c r="Y1830" s="264">
        <v>0.64499999999999991</v>
      </c>
      <c r="Z1830" s="264">
        <v>0.65</v>
      </c>
      <c r="AA1830" s="253"/>
      <c r="AB1830" s="253"/>
      <c r="AC1830" s="253"/>
      <c r="AD1830" s="253"/>
      <c r="AE1830" s="253"/>
    </row>
    <row r="1831" spans="1:31">
      <c r="A1831" s="33">
        <v>1830</v>
      </c>
      <c r="B1831" s="69" t="s">
        <v>1231</v>
      </c>
      <c r="C1831" s="69" t="s">
        <v>1232</v>
      </c>
      <c r="D1831" s="56">
        <v>42970</v>
      </c>
      <c r="E1831" s="33" t="s">
        <v>724</v>
      </c>
      <c r="F1831" s="69" t="s">
        <v>532</v>
      </c>
      <c r="G1831" s="69" t="str">
        <f t="shared" si="28"/>
        <v>User Registration</v>
      </c>
      <c r="H1831" s="69" t="s">
        <v>1233</v>
      </c>
      <c r="I1831" s="69" t="s">
        <v>974</v>
      </c>
      <c r="J1831" s="69" t="s">
        <v>1231</v>
      </c>
      <c r="K1831" s="69" t="s">
        <v>1231</v>
      </c>
      <c r="L1831" s="253">
        <v>0.56774891146589268</v>
      </c>
      <c r="M1831" s="253">
        <v>0.6020664834680024</v>
      </c>
      <c r="N1831" s="253">
        <v>0.58438631221719461</v>
      </c>
      <c r="O1831" s="253">
        <v>0.59409977724161334</v>
      </c>
      <c r="P1831" s="253">
        <v>0.56132075471698128</v>
      </c>
      <c r="Q1831" s="253">
        <v>0.59283783783783783</v>
      </c>
      <c r="R1831" s="253">
        <v>0.64112149532710272</v>
      </c>
      <c r="S1831" s="253">
        <v>0.58173076923076927</v>
      </c>
      <c r="T1831" s="253">
        <v>0.61</v>
      </c>
      <c r="U1831" s="253">
        <v>0.58534482758620698</v>
      </c>
      <c r="V1831" s="253">
        <v>0</v>
      </c>
      <c r="W1831" s="253">
        <v>0.55093749999999997</v>
      </c>
      <c r="X1831" s="253">
        <v>0.69588235294117651</v>
      </c>
      <c r="Y1831" s="253">
        <v>0.58624999999999994</v>
      </c>
      <c r="Z1831" s="253">
        <v>0.59346153846153848</v>
      </c>
      <c r="AA1831" s="253"/>
      <c r="AB1831" s="253"/>
      <c r="AC1831" s="253"/>
      <c r="AD1831" s="253"/>
      <c r="AE1831" s="253"/>
    </row>
    <row r="1832" spans="1:31">
      <c r="A1832" s="33">
        <v>1831</v>
      </c>
      <c r="B1832" s="69" t="s">
        <v>1231</v>
      </c>
      <c r="C1832" s="69" t="s">
        <v>1232</v>
      </c>
      <c r="D1832" s="56">
        <v>42970</v>
      </c>
      <c r="E1832" s="33" t="s">
        <v>724</v>
      </c>
      <c r="F1832" s="69" t="s">
        <v>532</v>
      </c>
      <c r="G1832" s="69" t="str">
        <f t="shared" si="28"/>
        <v>User Registration</v>
      </c>
      <c r="H1832" s="69" t="s">
        <v>1233</v>
      </c>
      <c r="I1832" s="69" t="s">
        <v>974</v>
      </c>
      <c r="J1832" s="69" t="s">
        <v>1231</v>
      </c>
      <c r="K1832" s="69" t="s">
        <v>1234</v>
      </c>
      <c r="L1832" s="253">
        <v>0.5520725689404935</v>
      </c>
      <c r="M1832" s="253">
        <v>0.60116404735151974</v>
      </c>
      <c r="N1832" s="253">
        <v>0.57618495475113118</v>
      </c>
      <c r="O1832" s="253">
        <v>0.59691913106542083</v>
      </c>
      <c r="P1832" s="253">
        <v>0.53528301886792451</v>
      </c>
      <c r="Q1832" s="253">
        <v>0.58918918918918917</v>
      </c>
      <c r="R1832" s="253">
        <v>0.61199045535891827</v>
      </c>
      <c r="S1832" s="253">
        <v>0.59134615384615385</v>
      </c>
      <c r="T1832" s="253">
        <v>0.6063829787234043</v>
      </c>
      <c r="U1832" s="253">
        <v>0.59741379310344833</v>
      </c>
      <c r="V1832" s="253">
        <v>0</v>
      </c>
      <c r="W1832" s="253">
        <v>0.54468749999999999</v>
      </c>
      <c r="X1832" s="253">
        <v>0.68117647058823516</v>
      </c>
      <c r="Y1832" s="253">
        <v>0.58854166666666663</v>
      </c>
      <c r="Z1832" s="253">
        <v>0.61923076923076925</v>
      </c>
      <c r="AA1832" s="253"/>
      <c r="AB1832" s="253"/>
      <c r="AC1832" s="253"/>
      <c r="AD1832" s="253"/>
      <c r="AE1832" s="253"/>
    </row>
    <row r="1833" spans="1:31">
      <c r="A1833" s="33">
        <v>1832</v>
      </c>
      <c r="B1833" s="69" t="s">
        <v>1231</v>
      </c>
      <c r="C1833" s="69" t="s">
        <v>1232</v>
      </c>
      <c r="D1833" s="56">
        <v>42970</v>
      </c>
      <c r="E1833" s="33" t="s">
        <v>724</v>
      </c>
      <c r="F1833" s="69" t="s">
        <v>532</v>
      </c>
      <c r="G1833" s="69" t="str">
        <f t="shared" si="28"/>
        <v>User Registration</v>
      </c>
      <c r="H1833" s="69" t="s">
        <v>1233</v>
      </c>
      <c r="I1833" s="69" t="s">
        <v>974</v>
      </c>
      <c r="J1833" s="69" t="s">
        <v>1231</v>
      </c>
      <c r="K1833" s="69" t="s">
        <v>998</v>
      </c>
      <c r="L1833" s="253">
        <v>0.61341654571843263</v>
      </c>
      <c r="M1833" s="253">
        <v>0.59545424975123884</v>
      </c>
      <c r="N1833" s="253">
        <v>0.55701640271493214</v>
      </c>
      <c r="O1833" s="253">
        <v>0.59390605454184486</v>
      </c>
      <c r="P1833" s="253">
        <v>0.60792452830188692</v>
      </c>
      <c r="Q1833" s="253">
        <v>0.54135135135135137</v>
      </c>
      <c r="R1833" s="253">
        <v>0.62408828793000592</v>
      </c>
      <c r="S1833" s="253">
        <v>0.62884615384615394</v>
      </c>
      <c r="T1833" s="253">
        <v>0.5909574468085107</v>
      </c>
      <c r="U1833" s="253">
        <v>0.57011494252873551</v>
      </c>
      <c r="V1833" s="253">
        <v>0</v>
      </c>
      <c r="W1833" s="253">
        <v>0.56406250000000002</v>
      </c>
      <c r="X1833" s="253">
        <v>0.53352941176470592</v>
      </c>
      <c r="Y1833" s="253">
        <v>0.57718749999999985</v>
      </c>
      <c r="Z1833" s="253">
        <v>0.63538461538461533</v>
      </c>
      <c r="AA1833" s="253"/>
      <c r="AB1833" s="253"/>
      <c r="AC1833" s="253"/>
      <c r="AD1833" s="253"/>
      <c r="AE1833" s="253"/>
    </row>
    <row r="1834" spans="1:31">
      <c r="A1834" s="33">
        <v>1833</v>
      </c>
      <c r="B1834" s="69" t="s">
        <v>1231</v>
      </c>
      <c r="C1834" s="69" t="s">
        <v>1232</v>
      </c>
      <c r="D1834" s="56">
        <v>42970</v>
      </c>
      <c r="E1834" s="33" t="s">
        <v>724</v>
      </c>
      <c r="F1834" s="69" t="s">
        <v>532</v>
      </c>
      <c r="G1834" s="69" t="str">
        <f t="shared" si="28"/>
        <v>User Registration</v>
      </c>
      <c r="H1834" s="69" t="s">
        <v>1233</v>
      </c>
      <c r="I1834" s="69" t="s">
        <v>974</v>
      </c>
      <c r="J1834" s="69" t="s">
        <v>1231</v>
      </c>
      <c r="K1834" s="69" t="s">
        <v>1235</v>
      </c>
      <c r="L1834" s="253">
        <v>0.63019738751814225</v>
      </c>
      <c r="M1834" s="253">
        <v>0.65617641101295565</v>
      </c>
      <c r="N1834" s="253">
        <v>0.58308823529411768</v>
      </c>
      <c r="O1834" s="253">
        <v>0.63136944625010905</v>
      </c>
      <c r="P1834" s="253">
        <v>0.62716981132075467</v>
      </c>
      <c r="Q1834" s="253">
        <v>0.62797297297297294</v>
      </c>
      <c r="R1834" s="253">
        <v>0.66627560151123477</v>
      </c>
      <c r="S1834" s="253">
        <v>0.69375000000000009</v>
      </c>
      <c r="T1834" s="253">
        <v>0.6281914893617021</v>
      </c>
      <c r="U1834" s="253">
        <v>0.66091954022988497</v>
      </c>
      <c r="V1834" s="253">
        <v>0</v>
      </c>
      <c r="W1834" s="253">
        <v>0.57625000000000004</v>
      </c>
      <c r="X1834" s="253">
        <v>0.60588235294117643</v>
      </c>
      <c r="Y1834" s="253">
        <v>0.61520833333333336</v>
      </c>
      <c r="Z1834" s="253">
        <v>0.64230769230769236</v>
      </c>
      <c r="AA1834" s="253"/>
      <c r="AB1834" s="253"/>
      <c r="AC1834" s="253"/>
      <c r="AD1834" s="253"/>
      <c r="AE1834" s="253"/>
    </row>
    <row r="1835" spans="1:31">
      <c r="A1835" s="33">
        <v>1834</v>
      </c>
      <c r="B1835" s="69" t="s">
        <v>1231</v>
      </c>
      <c r="C1835" s="69" t="s">
        <v>1232</v>
      </c>
      <c r="D1835" s="56">
        <v>42970</v>
      </c>
      <c r="E1835" s="33" t="s">
        <v>724</v>
      </c>
      <c r="F1835" s="69" t="s">
        <v>532</v>
      </c>
      <c r="G1835" s="69" t="str">
        <f t="shared" si="28"/>
        <v>User Registration</v>
      </c>
      <c r="H1835" s="69" t="s">
        <v>1233</v>
      </c>
      <c r="I1835" s="69" t="s">
        <v>974</v>
      </c>
      <c r="J1835" s="69" t="s">
        <v>1231</v>
      </c>
      <c r="K1835" s="69" t="s">
        <v>1236</v>
      </c>
      <c r="L1835" s="253">
        <v>0.54310885341074022</v>
      </c>
      <c r="M1835" s="253">
        <v>0.52943249926111391</v>
      </c>
      <c r="N1835" s="253">
        <v>0.60800056561085969</v>
      </c>
      <c r="O1835" s="253">
        <v>0.54429675911489472</v>
      </c>
      <c r="P1835" s="253">
        <v>0.52792452830188685</v>
      </c>
      <c r="Q1835" s="253">
        <v>0.47027027027027024</v>
      </c>
      <c r="R1835" s="253">
        <v>0.5512030224696759</v>
      </c>
      <c r="S1835" s="253">
        <v>0.53653846153846163</v>
      </c>
      <c r="T1835" s="253">
        <v>0.50797872340425532</v>
      </c>
      <c r="U1835" s="253">
        <v>0.53241379310344827</v>
      </c>
      <c r="V1835" s="253">
        <v>0</v>
      </c>
      <c r="W1835" s="253">
        <v>0.61781249999999999</v>
      </c>
      <c r="X1835" s="253">
        <v>0.57529411764705884</v>
      </c>
      <c r="Y1835" s="253">
        <v>0.53322916666666664</v>
      </c>
      <c r="Z1835" s="253">
        <v>0.60384615384615381</v>
      </c>
      <c r="AA1835" s="253"/>
      <c r="AB1835" s="253"/>
      <c r="AC1835" s="253"/>
      <c r="AD1835" s="253"/>
      <c r="AE1835" s="253"/>
    </row>
    <row r="1836" spans="1:31">
      <c r="A1836" s="33">
        <v>1835</v>
      </c>
      <c r="B1836" s="69" t="s">
        <v>1184</v>
      </c>
      <c r="C1836" s="69" t="s">
        <v>740</v>
      </c>
      <c r="D1836" s="56">
        <v>42972</v>
      </c>
      <c r="E1836" s="33" t="s">
        <v>824</v>
      </c>
      <c r="F1836" s="69" t="s">
        <v>532</v>
      </c>
      <c r="G1836" s="69" t="str">
        <f t="shared" si="28"/>
        <v>User Registration</v>
      </c>
      <c r="H1836" s="69" t="s">
        <v>494</v>
      </c>
      <c r="I1836" s="69" t="s">
        <v>1185</v>
      </c>
      <c r="J1836" s="69" t="s">
        <v>1184</v>
      </c>
      <c r="K1836" s="69" t="s">
        <v>1184</v>
      </c>
      <c r="L1836" s="253">
        <v>0.5955832167832168</v>
      </c>
      <c r="M1836" s="253">
        <v>0.64921871162105249</v>
      </c>
      <c r="N1836" s="253">
        <v>0.67625000000000002</v>
      </c>
      <c r="O1836" s="253">
        <v>0.60533397371950737</v>
      </c>
      <c r="P1836" s="253">
        <v>0.60236363636363643</v>
      </c>
      <c r="Q1836" s="253">
        <v>0.65135135135135136</v>
      </c>
      <c r="R1836" s="253">
        <v>0.67246828488662469</v>
      </c>
      <c r="S1836" s="253">
        <v>0.60096153846153844</v>
      </c>
      <c r="T1836" s="253">
        <v>0.68829787234042561</v>
      </c>
      <c r="U1836" s="253">
        <v>0.67172413793103447</v>
      </c>
      <c r="V1836" s="253">
        <v>0</v>
      </c>
      <c r="W1836" s="253">
        <v>0.67625000000000002</v>
      </c>
      <c r="X1836" s="253">
        <v>0</v>
      </c>
      <c r="Y1836" s="253">
        <v>0.59880434782608694</v>
      </c>
      <c r="Z1836" s="253">
        <v>0.56846153846153835</v>
      </c>
      <c r="AA1836" s="253"/>
      <c r="AB1836" s="253"/>
      <c r="AC1836" s="253"/>
      <c r="AD1836" s="253"/>
      <c r="AE1836" s="253"/>
    </row>
    <row r="1837" spans="1:31">
      <c r="A1837" s="33">
        <v>1836</v>
      </c>
      <c r="B1837" s="69" t="s">
        <v>1184</v>
      </c>
      <c r="C1837" s="69" t="s">
        <v>740</v>
      </c>
      <c r="D1837" s="56">
        <v>42972</v>
      </c>
      <c r="E1837" s="33" t="s">
        <v>724</v>
      </c>
      <c r="F1837" s="69" t="s">
        <v>532</v>
      </c>
      <c r="G1837" s="69" t="str">
        <f t="shared" si="28"/>
        <v>User Registration</v>
      </c>
      <c r="H1837" s="69" t="s">
        <v>494</v>
      </c>
      <c r="I1837" s="69" t="s">
        <v>1185</v>
      </c>
      <c r="J1837" s="69" t="s">
        <v>1184</v>
      </c>
      <c r="K1837" s="69" t="s">
        <v>1228</v>
      </c>
      <c r="L1837" s="253">
        <v>0.64879999999999993</v>
      </c>
      <c r="M1837" s="253">
        <v>0.67784704916301386</v>
      </c>
      <c r="N1837" s="253">
        <v>0.68830599547511317</v>
      </c>
      <c r="O1837" s="253">
        <v>0.67793266493630344</v>
      </c>
      <c r="P1837" s="253">
        <v>0.64600000000000002</v>
      </c>
      <c r="Q1837" s="253">
        <v>0.71824324324324318</v>
      </c>
      <c r="R1837" s="253">
        <v>0.75283188492658082</v>
      </c>
      <c r="S1837" s="253">
        <v>0.61519607843137258</v>
      </c>
      <c r="T1837" s="253">
        <v>0.75627659574468087</v>
      </c>
      <c r="U1837" s="253">
        <v>0.58074712643678172</v>
      </c>
      <c r="V1837" s="253">
        <v>0</v>
      </c>
      <c r="W1837" s="253">
        <v>0.70156249999999998</v>
      </c>
      <c r="X1837" s="253">
        <v>0.64411764705882357</v>
      </c>
      <c r="Y1837" s="253">
        <v>0.67057522123893809</v>
      </c>
      <c r="Z1837" s="253">
        <v>0.66</v>
      </c>
      <c r="AA1837" s="253"/>
      <c r="AB1837" s="253"/>
      <c r="AC1837" s="253"/>
      <c r="AD1837" s="253"/>
      <c r="AE1837" s="253"/>
    </row>
    <row r="1838" spans="1:31">
      <c r="A1838" s="33">
        <v>1837</v>
      </c>
      <c r="B1838" s="69" t="s">
        <v>1184</v>
      </c>
      <c r="C1838" s="69" t="s">
        <v>740</v>
      </c>
      <c r="D1838" s="56">
        <v>42972</v>
      </c>
      <c r="E1838" s="33" t="s">
        <v>724</v>
      </c>
      <c r="F1838" s="69" t="s">
        <v>532</v>
      </c>
      <c r="G1838" s="69" t="str">
        <f t="shared" si="28"/>
        <v>User Registration</v>
      </c>
      <c r="H1838" s="69" t="s">
        <v>494</v>
      </c>
      <c r="I1838" s="69" t="s">
        <v>1185</v>
      </c>
      <c r="J1838" s="69" t="s">
        <v>1184</v>
      </c>
      <c r="K1838" s="69" t="s">
        <v>1159</v>
      </c>
      <c r="L1838" s="253">
        <v>0.6670601398601399</v>
      </c>
      <c r="M1838" s="253">
        <v>0.68681944246180915</v>
      </c>
      <c r="N1838" s="253">
        <v>0.66956165158371039</v>
      </c>
      <c r="O1838" s="253">
        <v>0.62304263892152689</v>
      </c>
      <c r="P1838" s="253">
        <v>0.68036363636363639</v>
      </c>
      <c r="Q1838" s="253">
        <v>0.68729729729729727</v>
      </c>
      <c r="R1838" s="253">
        <v>0.7164718809309758</v>
      </c>
      <c r="S1838" s="253">
        <v>0.69852941176470584</v>
      </c>
      <c r="T1838" s="253">
        <v>0.74840425531914889</v>
      </c>
      <c r="U1838" s="253">
        <v>0.63965517241379299</v>
      </c>
      <c r="V1838" s="253">
        <v>0</v>
      </c>
      <c r="W1838" s="253">
        <v>0.65531249999999996</v>
      </c>
      <c r="X1838" s="253">
        <v>0.71705882352941175</v>
      </c>
      <c r="Y1838" s="253">
        <v>0.59314159292035407</v>
      </c>
      <c r="Z1838" s="253">
        <v>0.61384615384615382</v>
      </c>
      <c r="AA1838" s="253"/>
      <c r="AB1838" s="253"/>
      <c r="AC1838" s="253"/>
      <c r="AD1838" s="253"/>
      <c r="AE1838" s="253"/>
    </row>
    <row r="1839" spans="1:31">
      <c r="A1839" s="33">
        <v>1838</v>
      </c>
      <c r="B1839" s="69" t="s">
        <v>1184</v>
      </c>
      <c r="C1839" s="69" t="s">
        <v>740</v>
      </c>
      <c r="D1839" s="56">
        <v>42972</v>
      </c>
      <c r="E1839" s="33" t="s">
        <v>724</v>
      </c>
      <c r="F1839" s="69" t="s">
        <v>532</v>
      </c>
      <c r="G1839" s="69" t="str">
        <f t="shared" si="28"/>
        <v>User Registration</v>
      </c>
      <c r="H1839" s="69" t="s">
        <v>494</v>
      </c>
      <c r="I1839" s="69" t="s">
        <v>1185</v>
      </c>
      <c r="J1839" s="69" t="s">
        <v>1184</v>
      </c>
      <c r="K1839" s="69" t="s">
        <v>1229</v>
      </c>
      <c r="L1839" s="253">
        <v>0.58956363636363629</v>
      </c>
      <c r="M1839" s="253">
        <v>0.61879688245098852</v>
      </c>
      <c r="N1839" s="253">
        <v>0.5578308823529412</v>
      </c>
      <c r="O1839" s="253">
        <v>0.5704240509976074</v>
      </c>
      <c r="P1839" s="253">
        <v>0.58945454545454545</v>
      </c>
      <c r="Q1839" s="253">
        <v>0.6074324324324325</v>
      </c>
      <c r="R1839" s="253">
        <v>0.64728370221327969</v>
      </c>
      <c r="S1839" s="253">
        <v>0.58173076923076927</v>
      </c>
      <c r="T1839" s="253">
        <v>0.62559523809523809</v>
      </c>
      <c r="U1839" s="253">
        <v>0.6364942528735632</v>
      </c>
      <c r="V1839" s="253">
        <v>0</v>
      </c>
      <c r="W1839" s="253">
        <v>0.59406249999999994</v>
      </c>
      <c r="X1839" s="253">
        <v>0.43705882352941183</v>
      </c>
      <c r="Y1839" s="253">
        <v>0.54434782608695653</v>
      </c>
      <c r="Z1839" s="253">
        <v>0.59</v>
      </c>
      <c r="AA1839" s="253"/>
      <c r="AB1839" s="253"/>
      <c r="AC1839" s="253"/>
      <c r="AD1839" s="253"/>
      <c r="AE1839" s="253"/>
    </row>
    <row r="1840" spans="1:31">
      <c r="A1840" s="33">
        <v>1839</v>
      </c>
      <c r="B1840" s="69" t="s">
        <v>1184</v>
      </c>
      <c r="C1840" s="69" t="s">
        <v>740</v>
      </c>
      <c r="D1840" s="56">
        <v>42972</v>
      </c>
      <c r="E1840" s="33" t="s">
        <v>724</v>
      </c>
      <c r="F1840" s="69" t="s">
        <v>532</v>
      </c>
      <c r="G1840" s="69" t="str">
        <f t="shared" si="28"/>
        <v>User Registration</v>
      </c>
      <c r="H1840" s="69" t="s">
        <v>494</v>
      </c>
      <c r="I1840" s="69" t="s">
        <v>1185</v>
      </c>
      <c r="J1840" s="69" t="s">
        <v>1184</v>
      </c>
      <c r="K1840" s="69" t="s">
        <v>1230</v>
      </c>
      <c r="L1840" s="253">
        <v>0.64580699300699307</v>
      </c>
      <c r="M1840" s="253">
        <v>0.65424115305564978</v>
      </c>
      <c r="N1840" s="253">
        <v>0.65031249999999996</v>
      </c>
      <c r="O1840" s="253">
        <v>0.57389224431529162</v>
      </c>
      <c r="P1840" s="253">
        <v>0.67418181818181822</v>
      </c>
      <c r="Q1840" s="253">
        <v>0.59453124999999996</v>
      </c>
      <c r="R1840" s="253">
        <v>0.687927565392354</v>
      </c>
      <c r="S1840" s="253">
        <v>0.60624999999999996</v>
      </c>
      <c r="T1840" s="253">
        <v>0.67440476190476184</v>
      </c>
      <c r="U1840" s="253">
        <v>0.74339080459770113</v>
      </c>
      <c r="V1840" s="253">
        <v>0</v>
      </c>
      <c r="W1840" s="253">
        <v>0.65031249999999996</v>
      </c>
      <c r="X1840" s="253">
        <v>0</v>
      </c>
      <c r="Y1840" s="253">
        <v>0.55826086956521737</v>
      </c>
      <c r="Z1840" s="253">
        <v>0.53230769230769237</v>
      </c>
      <c r="AA1840" s="253"/>
      <c r="AB1840" s="253"/>
      <c r="AC1840" s="253"/>
      <c r="AD1840" s="253"/>
      <c r="AE1840" s="253"/>
    </row>
    <row r="1841" spans="1:31">
      <c r="A1841" s="33">
        <v>1840</v>
      </c>
      <c r="B1841" s="69" t="s">
        <v>1213</v>
      </c>
      <c r="C1841" s="69" t="s">
        <v>1214</v>
      </c>
      <c r="D1841" s="56">
        <v>42974</v>
      </c>
      <c r="E1841" s="33" t="s">
        <v>862</v>
      </c>
      <c r="F1841" s="69" t="s">
        <v>532</v>
      </c>
      <c r="G1841" s="69" t="str">
        <f t="shared" si="28"/>
        <v>E-Commerce</v>
      </c>
      <c r="H1841" s="69" t="s">
        <v>1179</v>
      </c>
      <c r="I1841" s="69" t="s">
        <v>1215</v>
      </c>
      <c r="J1841" s="69" t="s">
        <v>1213</v>
      </c>
      <c r="K1841" s="69" t="s">
        <v>1216</v>
      </c>
      <c r="L1841" s="253">
        <v>52.816363636363626</v>
      </c>
      <c r="M1841" s="253">
        <v>58.948484465158458</v>
      </c>
      <c r="N1841" s="253">
        <v>56.767441860465119</v>
      </c>
      <c r="O1841" s="253">
        <v>58.91281848259964</v>
      </c>
      <c r="P1841" s="253">
        <v>52.145454545454541</v>
      </c>
      <c r="Q1841" s="253">
        <v>58.837837837837839</v>
      </c>
      <c r="R1841" s="253">
        <v>60.959850811759551</v>
      </c>
      <c r="S1841" s="253">
        <v>58.39622641509434</v>
      </c>
      <c r="T1841" s="253">
        <v>58.779069767441861</v>
      </c>
      <c r="U1841" s="253">
        <v>53.148148148148131</v>
      </c>
      <c r="V1841" s="253">
        <v>56.767441860465119</v>
      </c>
      <c r="W1841" s="253"/>
      <c r="X1841" s="253"/>
      <c r="Y1841" s="253">
        <v>62.468750000000007</v>
      </c>
      <c r="Z1841" s="253">
        <v>55.499999999999993</v>
      </c>
      <c r="AA1841" s="253"/>
      <c r="AB1841" s="253"/>
      <c r="AC1841" s="253"/>
      <c r="AD1841" s="253"/>
      <c r="AE1841" s="253"/>
    </row>
    <row r="1842" spans="1:31">
      <c r="A1842" s="33">
        <v>1841</v>
      </c>
      <c r="B1842" s="69" t="s">
        <v>1213</v>
      </c>
      <c r="C1842" s="69" t="s">
        <v>1214</v>
      </c>
      <c r="D1842" s="56">
        <v>42974</v>
      </c>
      <c r="E1842" s="33" t="s">
        <v>862</v>
      </c>
      <c r="F1842" s="69" t="s">
        <v>532</v>
      </c>
      <c r="G1842" s="69" t="str">
        <f t="shared" si="28"/>
        <v>E-Commerce</v>
      </c>
      <c r="H1842" s="69" t="s">
        <v>1179</v>
      </c>
      <c r="I1842" s="69" t="s">
        <v>1215</v>
      </c>
      <c r="J1842" s="69" t="s">
        <v>1213</v>
      </c>
      <c r="K1842" s="69" t="s">
        <v>1217</v>
      </c>
      <c r="L1842" s="253">
        <v>60.29515151515151</v>
      </c>
      <c r="M1842" s="253">
        <v>57.942002170685733</v>
      </c>
      <c r="N1842" s="253">
        <v>59.232558139534888</v>
      </c>
      <c r="O1842" s="253">
        <v>57.415764951263839</v>
      </c>
      <c r="P1842" s="253">
        <v>61.827272727272728</v>
      </c>
      <c r="Q1842" s="253">
        <v>63.770270270270267</v>
      </c>
      <c r="R1842" s="253">
        <v>60.780282298718134</v>
      </c>
      <c r="S1842" s="253">
        <v>52.688679245283019</v>
      </c>
      <c r="T1842" s="253">
        <v>54.961832061068705</v>
      </c>
      <c r="U1842" s="253">
        <v>54.962962962962969</v>
      </c>
      <c r="V1842" s="253">
        <v>59.232558139534888</v>
      </c>
      <c r="W1842" s="253"/>
      <c r="X1842" s="253"/>
      <c r="Y1842" s="253">
        <v>58.781250000000007</v>
      </c>
      <c r="Z1842" s="253">
        <v>54.166666666666664</v>
      </c>
      <c r="AA1842" s="253"/>
      <c r="AB1842" s="253"/>
      <c r="AC1842" s="253"/>
      <c r="AD1842" s="253"/>
      <c r="AE1842" s="253"/>
    </row>
    <row r="1843" spans="1:31">
      <c r="A1843" s="33">
        <v>1842</v>
      </c>
      <c r="B1843" s="69" t="s">
        <v>1213</v>
      </c>
      <c r="C1843" s="69" t="s">
        <v>1214</v>
      </c>
      <c r="D1843" s="56">
        <v>42974</v>
      </c>
      <c r="E1843" s="33" t="s">
        <v>862</v>
      </c>
      <c r="F1843" s="69" t="s">
        <v>532</v>
      </c>
      <c r="G1843" s="69" t="str">
        <f t="shared" si="28"/>
        <v>E-Commerce</v>
      </c>
      <c r="H1843" s="69" t="s">
        <v>1179</v>
      </c>
      <c r="I1843" s="69" t="s">
        <v>1215</v>
      </c>
      <c r="J1843" s="69" t="s">
        <v>1213</v>
      </c>
      <c r="K1843" s="69" t="s">
        <v>1218</v>
      </c>
      <c r="L1843" s="253">
        <v>65.207272727272724</v>
      </c>
      <c r="M1843" s="253">
        <v>61.364216297530426</v>
      </c>
      <c r="N1843" s="253">
        <v>62.13122171945701</v>
      </c>
      <c r="O1843" s="253">
        <v>65.130510999057549</v>
      </c>
      <c r="P1843" s="253">
        <v>65.509090909090901</v>
      </c>
      <c r="Q1843" s="253">
        <v>62.162162162162161</v>
      </c>
      <c r="R1843" s="253">
        <v>60.10859858850641</v>
      </c>
      <c r="S1843" s="253">
        <v>65.047169811320757</v>
      </c>
      <c r="T1843" s="253">
        <v>55.725190839694662</v>
      </c>
      <c r="U1843" s="253">
        <v>58.580246913580247</v>
      </c>
      <c r="V1843" s="253">
        <v>66</v>
      </c>
      <c r="W1843" s="253"/>
      <c r="X1843" s="253">
        <v>49.235294117647058</v>
      </c>
      <c r="Y1843" s="253">
        <v>70.054347826086953</v>
      </c>
      <c r="Z1843" s="253">
        <v>64</v>
      </c>
      <c r="AA1843" s="253"/>
      <c r="AB1843" s="253"/>
      <c r="AC1843" s="253"/>
      <c r="AD1843" s="253"/>
      <c r="AE1843" s="253"/>
    </row>
    <row r="1844" spans="1:31">
      <c r="A1844" s="33">
        <v>1843</v>
      </c>
      <c r="B1844" s="69" t="s">
        <v>1213</v>
      </c>
      <c r="C1844" s="69" t="s">
        <v>1214</v>
      </c>
      <c r="D1844" s="56">
        <v>42974</v>
      </c>
      <c r="E1844" s="33" t="s">
        <v>862</v>
      </c>
      <c r="F1844" s="69" t="s">
        <v>532</v>
      </c>
      <c r="G1844" s="69" t="str">
        <f t="shared" si="28"/>
        <v>E-Commerce</v>
      </c>
      <c r="H1844" s="69" t="s">
        <v>1179</v>
      </c>
      <c r="I1844" s="69" t="s">
        <v>1215</v>
      </c>
      <c r="J1844" s="69" t="s">
        <v>1213</v>
      </c>
      <c r="K1844" s="69" t="s">
        <v>1213</v>
      </c>
      <c r="L1844" s="253">
        <v>64.960559440559436</v>
      </c>
      <c r="M1844" s="253">
        <v>59.628772181703191</v>
      </c>
      <c r="N1844" s="253">
        <v>61.108597285067866</v>
      </c>
      <c r="O1844" s="253">
        <v>60.882212263126988</v>
      </c>
      <c r="P1844" s="253">
        <v>64.854545454545459</v>
      </c>
      <c r="Q1844" s="253">
        <v>62.972972972972961</v>
      </c>
      <c r="R1844" s="253">
        <v>59.967593259397951</v>
      </c>
      <c r="S1844" s="253">
        <v>54.622641509433954</v>
      </c>
      <c r="T1844" s="253">
        <v>57.442748091603058</v>
      </c>
      <c r="U1844" s="253">
        <v>58.415637860082299</v>
      </c>
      <c r="V1844" s="253">
        <v>64</v>
      </c>
      <c r="W1844" s="253"/>
      <c r="X1844" s="253">
        <v>51.470588235294109</v>
      </c>
      <c r="Y1844" s="253">
        <v>61.364583333333321</v>
      </c>
      <c r="Z1844" s="253">
        <v>65.384615384615387</v>
      </c>
      <c r="AA1844" s="253"/>
      <c r="AB1844" s="253"/>
      <c r="AC1844" s="253"/>
      <c r="AD1844" s="253"/>
      <c r="AE1844" s="253"/>
    </row>
    <row r="1845" spans="1:31">
      <c r="A1845" s="33">
        <v>1844</v>
      </c>
      <c r="B1845" s="69" t="s">
        <v>1213</v>
      </c>
      <c r="C1845" s="69" t="s">
        <v>1214</v>
      </c>
      <c r="D1845" s="56">
        <v>42974</v>
      </c>
      <c r="E1845" s="33" t="s">
        <v>862</v>
      </c>
      <c r="F1845" s="69" t="s">
        <v>532</v>
      </c>
      <c r="G1845" s="69" t="str">
        <f t="shared" si="28"/>
        <v>E-Commerce</v>
      </c>
      <c r="H1845" s="69" t="s">
        <v>1179</v>
      </c>
      <c r="I1845" s="69" t="s">
        <v>1215</v>
      </c>
      <c r="J1845" s="69" t="s">
        <v>1213</v>
      </c>
      <c r="K1845" s="69" t="s">
        <v>1219</v>
      </c>
      <c r="L1845" s="253">
        <v>56.645314685314681</v>
      </c>
      <c r="M1845" s="253">
        <v>58.711777908348182</v>
      </c>
      <c r="N1845" s="253">
        <v>58.836999999999996</v>
      </c>
      <c r="O1845" s="253">
        <v>57.557145755542216</v>
      </c>
      <c r="P1845" s="253">
        <v>55.018181818181809</v>
      </c>
      <c r="Q1845" s="253">
        <v>59.405405405405411</v>
      </c>
      <c r="R1845" s="253">
        <v>59.653319890537226</v>
      </c>
      <c r="S1845" s="253">
        <v>56.060606060606055</v>
      </c>
      <c r="T1845" s="253">
        <v>60.954198473282439</v>
      </c>
      <c r="U1845" s="253">
        <v>56.21399176954732</v>
      </c>
      <c r="V1845" s="253">
        <v>58.837209302325576</v>
      </c>
      <c r="W1845" s="253"/>
      <c r="X1845" s="253"/>
      <c r="Y1845" s="253">
        <v>55.423728813559322</v>
      </c>
      <c r="Z1845" s="253">
        <v>63.153846153846146</v>
      </c>
      <c r="AA1845" s="253"/>
      <c r="AB1845" s="253"/>
      <c r="AC1845" s="253"/>
      <c r="AD1845" s="253"/>
      <c r="AE1845" s="253"/>
    </row>
    <row r="1846" spans="1:31">
      <c r="A1846" s="33">
        <v>1845</v>
      </c>
      <c r="B1846" s="69" t="s">
        <v>1213</v>
      </c>
      <c r="C1846" s="69" t="s">
        <v>1214</v>
      </c>
      <c r="D1846" s="56">
        <v>42974</v>
      </c>
      <c r="E1846" s="33" t="s">
        <v>862</v>
      </c>
      <c r="F1846" s="69" t="s">
        <v>532</v>
      </c>
      <c r="G1846" s="69" t="str">
        <f t="shared" si="28"/>
        <v>E-Commerce</v>
      </c>
      <c r="H1846" s="69" t="s">
        <v>1179</v>
      </c>
      <c r="I1846" s="69" t="s">
        <v>1215</v>
      </c>
      <c r="J1846" s="69" t="s">
        <v>1213</v>
      </c>
      <c r="K1846" s="69" t="s">
        <v>1220</v>
      </c>
      <c r="L1846" s="253">
        <v>60.184615384615377</v>
      </c>
      <c r="M1846" s="253">
        <v>56.930432299149004</v>
      </c>
      <c r="N1846" s="253">
        <v>60.895927601809952</v>
      </c>
      <c r="O1846" s="253">
        <v>58.958463576182318</v>
      </c>
      <c r="P1846" s="253">
        <v>61</v>
      </c>
      <c r="Q1846" s="253">
        <v>62.5</v>
      </c>
      <c r="R1846" s="253">
        <v>59.341062941091756</v>
      </c>
      <c r="S1846" s="253">
        <v>52.547169811320757</v>
      </c>
      <c r="T1846" s="253">
        <v>51.335877862595424</v>
      </c>
      <c r="U1846" s="253">
        <v>55.843621399176946</v>
      </c>
      <c r="V1846" s="253">
        <v>63</v>
      </c>
      <c r="W1846" s="253"/>
      <c r="X1846" s="253">
        <v>53.882352941176471</v>
      </c>
      <c r="Y1846" s="253">
        <v>61.33695652173914</v>
      </c>
      <c r="Z1846" s="253">
        <v>56.92307692307692</v>
      </c>
      <c r="AA1846" s="253"/>
      <c r="AB1846" s="253"/>
      <c r="AC1846" s="253"/>
      <c r="AD1846" s="253"/>
      <c r="AE1846" s="253"/>
    </row>
    <row r="1847" spans="1:31">
      <c r="A1847" s="33">
        <v>1846</v>
      </c>
      <c r="B1847" s="69" t="s">
        <v>1213</v>
      </c>
      <c r="C1847" s="69" t="s">
        <v>1214</v>
      </c>
      <c r="D1847" s="56">
        <v>42974</v>
      </c>
      <c r="E1847" s="33" t="s">
        <v>862</v>
      </c>
      <c r="F1847" s="69" t="s">
        <v>532</v>
      </c>
      <c r="G1847" s="69" t="str">
        <f t="shared" si="28"/>
        <v>E-Commerce</v>
      </c>
      <c r="H1847" s="69" t="s">
        <v>1179</v>
      </c>
      <c r="I1847" s="69" t="s">
        <v>1215</v>
      </c>
      <c r="J1847" s="69" t="s">
        <v>1213</v>
      </c>
      <c r="K1847" s="69" t="s">
        <v>1221</v>
      </c>
      <c r="L1847" s="253">
        <v>60.80590909090909</v>
      </c>
      <c r="M1847" s="253">
        <v>55.77435376828651</v>
      </c>
      <c r="N1847" s="253">
        <v>60</v>
      </c>
      <c r="O1847" s="253">
        <v>60.472146267666744</v>
      </c>
      <c r="P1847" s="253">
        <v>61.163636363636364</v>
      </c>
      <c r="Q1847" s="253">
        <v>58.310810810810807</v>
      </c>
      <c r="R1847" s="253">
        <v>57.600460895866341</v>
      </c>
      <c r="S1847" s="253">
        <v>53.915094339622634</v>
      </c>
      <c r="T1847" s="253">
        <v>49.427480916030532</v>
      </c>
      <c r="U1847" s="253">
        <v>60.967078189300416</v>
      </c>
      <c r="V1847" s="253">
        <v>60</v>
      </c>
      <c r="W1847" s="253"/>
      <c r="X1847" s="253">
        <v>60</v>
      </c>
      <c r="Y1847" s="253">
        <v>62.000000000000007</v>
      </c>
      <c r="Z1847" s="253">
        <v>59.375</v>
      </c>
      <c r="AA1847" s="253"/>
      <c r="AB1847" s="253"/>
      <c r="AC1847" s="253"/>
      <c r="AD1847" s="253"/>
      <c r="AE1847" s="253"/>
    </row>
    <row r="1848" spans="1:31">
      <c r="A1848" s="33">
        <v>1847</v>
      </c>
      <c r="B1848" s="69" t="s">
        <v>1213</v>
      </c>
      <c r="C1848" s="69" t="s">
        <v>1214</v>
      </c>
      <c r="D1848" s="56">
        <v>42974</v>
      </c>
      <c r="E1848" s="33" t="s">
        <v>862</v>
      </c>
      <c r="F1848" s="69" t="s">
        <v>532</v>
      </c>
      <c r="G1848" s="69" t="str">
        <f t="shared" si="28"/>
        <v>E-Commerce</v>
      </c>
      <c r="H1848" s="69" t="s">
        <v>1179</v>
      </c>
      <c r="I1848" s="69" t="s">
        <v>1215</v>
      </c>
      <c r="J1848" s="69" t="s">
        <v>1213</v>
      </c>
      <c r="K1848" s="69" t="s">
        <v>1222</v>
      </c>
      <c r="L1848" s="253">
        <v>58.632727272727266</v>
      </c>
      <c r="M1848" s="253">
        <v>54.220223399188463</v>
      </c>
      <c r="N1848" s="253">
        <v>62</v>
      </c>
      <c r="O1848" s="253">
        <v>54.3595090416323</v>
      </c>
      <c r="P1848" s="253">
        <v>58.290909090909082</v>
      </c>
      <c r="Q1848" s="253">
        <v>59.054054054054063</v>
      </c>
      <c r="R1848" s="253">
        <v>55.24845880814496</v>
      </c>
      <c r="S1848" s="253">
        <v>50.047169811320757</v>
      </c>
      <c r="T1848" s="253">
        <v>47.772277227722768</v>
      </c>
      <c r="U1848" s="253">
        <v>52.283950617283949</v>
      </c>
      <c r="V1848" s="253">
        <v>62</v>
      </c>
      <c r="W1848" s="253"/>
      <c r="X1848" s="253">
        <v>62</v>
      </c>
      <c r="Y1848" s="253">
        <v>53.489130434782602</v>
      </c>
      <c r="Z1848" s="253">
        <v>60</v>
      </c>
      <c r="AA1848" s="253"/>
      <c r="AB1848" s="253"/>
      <c r="AC1848" s="253"/>
      <c r="AD1848" s="253"/>
      <c r="AE1848" s="253"/>
    </row>
    <row r="1849" spans="1:31">
      <c r="A1849" s="33">
        <v>1848</v>
      </c>
      <c r="B1849" s="69" t="s">
        <v>1213</v>
      </c>
      <c r="C1849" s="69" t="s">
        <v>1214</v>
      </c>
      <c r="D1849" s="56">
        <v>42974</v>
      </c>
      <c r="E1849" s="33" t="s">
        <v>862</v>
      </c>
      <c r="F1849" s="69" t="s">
        <v>532</v>
      </c>
      <c r="G1849" s="69" t="str">
        <f t="shared" si="28"/>
        <v>User Registration</v>
      </c>
      <c r="H1849" s="69" t="s">
        <v>1179</v>
      </c>
      <c r="I1849" s="69" t="s">
        <v>1215</v>
      </c>
      <c r="J1849" s="69" t="s">
        <v>1213</v>
      </c>
      <c r="K1849" s="69" t="s">
        <v>1223</v>
      </c>
      <c r="L1849" s="253">
        <v>60.635244755244756</v>
      </c>
      <c r="M1849" s="253">
        <v>64.293230904325895</v>
      </c>
      <c r="N1849" s="253">
        <v>63.531249999999993</v>
      </c>
      <c r="O1849" s="253">
        <v>57.310646722886659</v>
      </c>
      <c r="P1849" s="253">
        <v>62.236363636363635</v>
      </c>
      <c r="Q1849" s="253">
        <v>64.21621621621621</v>
      </c>
      <c r="R1849" s="253">
        <v>70.168606985146525</v>
      </c>
      <c r="S1849" s="253">
        <v>61.201923076923066</v>
      </c>
      <c r="T1849" s="253">
        <v>65.797872340425528</v>
      </c>
      <c r="U1849" s="253">
        <v>64.074712643678154</v>
      </c>
      <c r="V1849" s="253"/>
      <c r="W1849" s="253">
        <v>63.531249999999993</v>
      </c>
      <c r="X1849" s="253"/>
      <c r="Y1849" s="253">
        <v>54.583333333333329</v>
      </c>
      <c r="Z1849" s="253">
        <v>54.230769230769226</v>
      </c>
      <c r="AA1849" s="253"/>
      <c r="AB1849" s="253"/>
      <c r="AC1849" s="253"/>
      <c r="AD1849" s="253"/>
      <c r="AE1849" s="253"/>
    </row>
    <row r="1850" spans="1:31">
      <c r="A1850" s="33">
        <v>1849</v>
      </c>
      <c r="B1850" s="69" t="s">
        <v>1213</v>
      </c>
      <c r="C1850" s="69" t="s">
        <v>1214</v>
      </c>
      <c r="D1850" s="56">
        <v>42974</v>
      </c>
      <c r="E1850" s="33" t="s">
        <v>862</v>
      </c>
      <c r="F1850" s="69" t="s">
        <v>532</v>
      </c>
      <c r="G1850" s="69" t="str">
        <f t="shared" si="28"/>
        <v>User Registration</v>
      </c>
      <c r="H1850" s="69" t="s">
        <v>1179</v>
      </c>
      <c r="I1850" s="69" t="s">
        <v>1215</v>
      </c>
      <c r="J1850" s="69" t="s">
        <v>1213</v>
      </c>
      <c r="K1850" s="69" t="s">
        <v>1224</v>
      </c>
      <c r="L1850" s="253">
        <v>59.960000000000015</v>
      </c>
      <c r="M1850" s="253">
        <v>58.711637372802961</v>
      </c>
      <c r="N1850" s="253">
        <v>56.658371040723985</v>
      </c>
      <c r="O1850" s="253">
        <v>57.509411764705874</v>
      </c>
      <c r="P1850" s="253">
        <v>60.95</v>
      </c>
      <c r="Q1850" s="253">
        <v>56.86</v>
      </c>
      <c r="R1850" s="253">
        <v>58.3</v>
      </c>
      <c r="S1850" s="253">
        <v>56.2</v>
      </c>
      <c r="T1850" s="253">
        <v>59.042553191489368</v>
      </c>
      <c r="U1850" s="253">
        <v>63.5</v>
      </c>
      <c r="V1850" s="253"/>
      <c r="W1850" s="253">
        <v>56.75</v>
      </c>
      <c r="X1850" s="253">
        <v>56.35294117647058</v>
      </c>
      <c r="Y1850" s="253">
        <v>57.999999999999993</v>
      </c>
      <c r="Z1850" s="253">
        <v>56.000000000000007</v>
      </c>
      <c r="AA1850" s="253"/>
      <c r="AB1850" s="253"/>
      <c r="AC1850" s="253"/>
      <c r="AD1850" s="253"/>
      <c r="AE1850" s="253"/>
    </row>
    <row r="1851" spans="1:31">
      <c r="A1851" s="33">
        <v>1850</v>
      </c>
      <c r="B1851" s="69" t="s">
        <v>1213</v>
      </c>
      <c r="C1851" s="69" t="s">
        <v>1214</v>
      </c>
      <c r="D1851" s="56">
        <v>42974</v>
      </c>
      <c r="E1851" s="33" t="s">
        <v>862</v>
      </c>
      <c r="F1851" s="69" t="s">
        <v>532</v>
      </c>
      <c r="G1851" s="69" t="str">
        <f t="shared" si="28"/>
        <v>User Registration</v>
      </c>
      <c r="H1851" s="69" t="s">
        <v>1179</v>
      </c>
      <c r="I1851" s="69" t="s">
        <v>1215</v>
      </c>
      <c r="J1851" s="69" t="s">
        <v>1213</v>
      </c>
      <c r="K1851" s="69" t="s">
        <v>1225</v>
      </c>
      <c r="L1851" s="253">
        <v>58.798601398601399</v>
      </c>
      <c r="M1851" s="253">
        <v>58.118301491433066</v>
      </c>
      <c r="N1851" s="253">
        <v>61.749999999999993</v>
      </c>
      <c r="O1851" s="253">
        <v>58.020071439850284</v>
      </c>
      <c r="P1851" s="253">
        <v>59.36363636363636</v>
      </c>
      <c r="Q1851" s="253">
        <v>59.094594594594582</v>
      </c>
      <c r="R1851" s="253">
        <v>61.756322761942997</v>
      </c>
      <c r="S1851" s="253">
        <v>50.576923076923073</v>
      </c>
      <c r="T1851" s="253">
        <v>56.436170212765958</v>
      </c>
      <c r="U1851" s="253">
        <v>61.3735632183908</v>
      </c>
      <c r="V1851" s="253"/>
      <c r="W1851" s="253">
        <v>61.749999999999993</v>
      </c>
      <c r="X1851" s="253"/>
      <c r="Y1851" s="253">
        <v>58.354166666666664</v>
      </c>
      <c r="Z1851" s="253">
        <v>56.538461538461533</v>
      </c>
      <c r="AA1851" s="253"/>
      <c r="AB1851" s="253"/>
      <c r="AC1851" s="253"/>
      <c r="AD1851" s="253"/>
      <c r="AE1851" s="253"/>
    </row>
    <row r="1852" spans="1:31">
      <c r="A1852" s="33">
        <v>1851</v>
      </c>
      <c r="B1852" s="69" t="s">
        <v>1213</v>
      </c>
      <c r="C1852" s="69" t="s">
        <v>1214</v>
      </c>
      <c r="D1852" s="56">
        <v>42974</v>
      </c>
      <c r="E1852" s="33" t="s">
        <v>862</v>
      </c>
      <c r="F1852" s="69" t="s">
        <v>532</v>
      </c>
      <c r="G1852" s="69" t="str">
        <f t="shared" si="28"/>
        <v>User Registration</v>
      </c>
      <c r="H1852" s="69" t="s">
        <v>1179</v>
      </c>
      <c r="I1852" s="69" t="s">
        <v>1215</v>
      </c>
      <c r="J1852" s="69" t="s">
        <v>1213</v>
      </c>
      <c r="K1852" s="69" t="s">
        <v>1226</v>
      </c>
      <c r="L1852" s="253">
        <v>55.6</v>
      </c>
      <c r="M1852" s="253">
        <v>59.949632843152877</v>
      </c>
      <c r="N1852" s="253">
        <v>53.877828054298639</v>
      </c>
      <c r="O1852" s="253">
        <v>60.29529411764706</v>
      </c>
      <c r="P1852" s="253">
        <v>55</v>
      </c>
      <c r="Q1852" s="253">
        <v>59.819999999999993</v>
      </c>
      <c r="R1852" s="253">
        <v>62</v>
      </c>
      <c r="S1852" s="253">
        <v>57.199999999999996</v>
      </c>
      <c r="T1852" s="253">
        <v>61.702127659574465</v>
      </c>
      <c r="U1852" s="253">
        <v>59.931034482758612</v>
      </c>
      <c r="V1852" s="253"/>
      <c r="W1852" s="253">
        <v>54</v>
      </c>
      <c r="X1852" s="253">
        <v>53.470588235294116</v>
      </c>
      <c r="Y1852" s="253">
        <v>61</v>
      </c>
      <c r="Z1852" s="253">
        <v>57.999999999999993</v>
      </c>
      <c r="AA1852" s="253"/>
      <c r="AB1852" s="253"/>
      <c r="AC1852" s="253"/>
      <c r="AD1852" s="253"/>
      <c r="AE1852" s="253"/>
    </row>
    <row r="1853" spans="1:31">
      <c r="A1853" s="33">
        <v>1852</v>
      </c>
      <c r="B1853" s="69" t="s">
        <v>1213</v>
      </c>
      <c r="C1853" s="69" t="s">
        <v>1214</v>
      </c>
      <c r="D1853" s="56">
        <v>42974</v>
      </c>
      <c r="E1853" s="33" t="s">
        <v>862</v>
      </c>
      <c r="F1853" s="69" t="s">
        <v>532</v>
      </c>
      <c r="G1853" s="69" t="str">
        <f t="shared" si="28"/>
        <v>User Registration</v>
      </c>
      <c r="H1853" s="69" t="s">
        <v>1179</v>
      </c>
      <c r="I1853" s="69" t="s">
        <v>1215</v>
      </c>
      <c r="J1853" s="69" t="s">
        <v>1213</v>
      </c>
      <c r="K1853" s="69" t="s">
        <v>1227</v>
      </c>
      <c r="L1853" s="253">
        <v>60.676923076923075</v>
      </c>
      <c r="M1853" s="253">
        <v>59.724454865870101</v>
      </c>
      <c r="N1853" s="253">
        <v>57.25</v>
      </c>
      <c r="O1853" s="253">
        <v>56.134639701703179</v>
      </c>
      <c r="P1853" s="253">
        <v>62</v>
      </c>
      <c r="Q1853" s="253">
        <v>57.04054054054054</v>
      </c>
      <c r="R1853" s="253">
        <v>61.18426334805298</v>
      </c>
      <c r="S1853" s="253">
        <v>67.788461538461547</v>
      </c>
      <c r="T1853" s="253">
        <v>55.425531914893611</v>
      </c>
      <c r="U1853" s="253">
        <v>58.275862068965523</v>
      </c>
      <c r="V1853" s="253"/>
      <c r="W1853" s="253">
        <v>57.25</v>
      </c>
      <c r="X1853" s="253"/>
      <c r="Y1853" s="253">
        <v>54.093749999999993</v>
      </c>
      <c r="Z1853" s="253">
        <v>55.384615384615387</v>
      </c>
      <c r="AA1853" s="253"/>
      <c r="AB1853" s="253"/>
      <c r="AC1853" s="253"/>
      <c r="AD1853" s="253"/>
      <c r="AE1853" s="253"/>
    </row>
    <row r="1854" spans="1:31">
      <c r="A1854" s="33">
        <v>1853</v>
      </c>
      <c r="B1854" s="69" t="s">
        <v>1202</v>
      </c>
      <c r="C1854" s="69" t="s">
        <v>1203</v>
      </c>
      <c r="D1854" s="56">
        <v>42975</v>
      </c>
      <c r="E1854" s="33" t="s">
        <v>824</v>
      </c>
      <c r="F1854" s="69" t="s">
        <v>1204</v>
      </c>
      <c r="G1854" s="69" t="str">
        <f t="shared" si="28"/>
        <v>E-Commerce</v>
      </c>
      <c r="H1854" s="69" t="s">
        <v>517</v>
      </c>
      <c r="I1854" s="69" t="s">
        <v>517</v>
      </c>
      <c r="J1854" s="69" t="s">
        <v>1202</v>
      </c>
      <c r="K1854" s="69" t="s">
        <v>1205</v>
      </c>
      <c r="L1854" s="253">
        <v>0.57013062409288817</v>
      </c>
      <c r="M1854" s="253">
        <v>0.55243639977999359</v>
      </c>
      <c r="N1854" s="253">
        <v>0.57114079359554459</v>
      </c>
      <c r="O1854" s="253">
        <v>0.52612351784060307</v>
      </c>
      <c r="P1854" s="253">
        <v>0.57150943396226395</v>
      </c>
      <c r="Q1854" s="253">
        <v>0.59189189189189195</v>
      </c>
      <c r="R1854" s="253">
        <v>0.57902364607170098</v>
      </c>
      <c r="S1854" s="253">
        <v>0.47698113207547171</v>
      </c>
      <c r="T1854" s="253">
        <v>0.53347826086956518</v>
      </c>
      <c r="U1854" s="253">
        <v>0.56115226337448565</v>
      </c>
      <c r="V1854" s="253">
        <v>0.57836538461538456</v>
      </c>
      <c r="W1854" s="253"/>
      <c r="X1854" s="253">
        <v>0.54705882352941182</v>
      </c>
      <c r="Y1854" s="253">
        <v>0.5023333333333333</v>
      </c>
      <c r="Z1854" s="253">
        <v>0.56461538461538463</v>
      </c>
      <c r="AA1854" s="253"/>
      <c r="AB1854" s="253"/>
      <c r="AC1854" s="253"/>
      <c r="AD1854" s="253"/>
      <c r="AE1854" s="253"/>
    </row>
    <row r="1855" spans="1:31">
      <c r="A1855" s="33">
        <v>1854</v>
      </c>
      <c r="B1855" s="69" t="s">
        <v>1202</v>
      </c>
      <c r="C1855" s="69" t="s">
        <v>1203</v>
      </c>
      <c r="D1855" s="56">
        <v>42975</v>
      </c>
      <c r="E1855" s="33" t="s">
        <v>824</v>
      </c>
      <c r="F1855" s="69" t="s">
        <v>1204</v>
      </c>
      <c r="G1855" s="69" t="str">
        <f t="shared" si="28"/>
        <v>E-Commerce</v>
      </c>
      <c r="H1855" s="69" t="s">
        <v>517</v>
      </c>
      <c r="I1855" s="69" t="s">
        <v>517</v>
      </c>
      <c r="J1855" s="69" t="s">
        <v>1202</v>
      </c>
      <c r="K1855" s="69" t="s">
        <v>1206</v>
      </c>
      <c r="L1855" s="253">
        <v>0.56379680696661827</v>
      </c>
      <c r="M1855" s="253">
        <v>0.54634602157513923</v>
      </c>
      <c r="N1855" s="253">
        <v>0.54839758092586144</v>
      </c>
      <c r="O1855" s="253">
        <v>0.52467078458546101</v>
      </c>
      <c r="P1855" s="253">
        <v>0.56320754716981125</v>
      </c>
      <c r="Q1855" s="253">
        <v>0.59864864864864875</v>
      </c>
      <c r="R1855" s="253">
        <v>0.56952707856598017</v>
      </c>
      <c r="S1855" s="253">
        <v>0.47490566037735854</v>
      </c>
      <c r="T1855" s="253">
        <v>0.51043478260869568</v>
      </c>
      <c r="U1855" s="253">
        <v>0.55209876543209879</v>
      </c>
      <c r="V1855" s="253">
        <v>0.56274038461538456</v>
      </c>
      <c r="W1855" s="253"/>
      <c r="X1855" s="253">
        <v>0.50058823529411767</v>
      </c>
      <c r="Y1855" s="253">
        <v>0.50083333333333324</v>
      </c>
      <c r="Z1855" s="253">
        <v>0.56615384615384612</v>
      </c>
      <c r="AA1855" s="253"/>
      <c r="AB1855" s="253"/>
      <c r="AC1855" s="253"/>
      <c r="AD1855" s="253"/>
      <c r="AE1855" s="253"/>
    </row>
    <row r="1856" spans="1:31">
      <c r="A1856" s="33">
        <v>1855</v>
      </c>
      <c r="B1856" s="69" t="s">
        <v>1202</v>
      </c>
      <c r="C1856" s="69" t="s">
        <v>1203</v>
      </c>
      <c r="D1856" s="56">
        <v>42975</v>
      </c>
      <c r="E1856" s="33" t="s">
        <v>1134</v>
      </c>
      <c r="F1856" s="69" t="s">
        <v>1204</v>
      </c>
      <c r="G1856" s="69" t="str">
        <f t="shared" si="28"/>
        <v>E-Commerce</v>
      </c>
      <c r="H1856" s="69" t="s">
        <v>517</v>
      </c>
      <c r="I1856" s="69" t="s">
        <v>517</v>
      </c>
      <c r="J1856" s="69" t="s">
        <v>1202</v>
      </c>
      <c r="K1856" s="69" t="s">
        <v>1207</v>
      </c>
      <c r="L1856" s="253">
        <v>0.56540058055152398</v>
      </c>
      <c r="M1856" s="253">
        <v>0.53861040116610404</v>
      </c>
      <c r="N1856" s="253">
        <v>0.53652149321266973</v>
      </c>
      <c r="O1856" s="253">
        <v>0.52541648740511893</v>
      </c>
      <c r="P1856" s="253">
        <v>0.56396226415094342</v>
      </c>
      <c r="Q1856" s="253">
        <v>0.55337837837837844</v>
      </c>
      <c r="R1856" s="253">
        <v>0.54431731502669722</v>
      </c>
      <c r="S1856" s="253">
        <v>0.50108490566037733</v>
      </c>
      <c r="T1856" s="253">
        <v>0.50586956521739135</v>
      </c>
      <c r="U1856" s="253">
        <v>0.55773662551440328</v>
      </c>
      <c r="V1856" s="253">
        <v>0.55312499999999998</v>
      </c>
      <c r="W1856" s="253"/>
      <c r="X1856" s="253">
        <v>0.48117647058823526</v>
      </c>
      <c r="Y1856" s="253">
        <v>0.50755208333333335</v>
      </c>
      <c r="Z1856" s="253">
        <v>0.57115384615384612</v>
      </c>
      <c r="AA1856" s="253"/>
      <c r="AB1856" s="253"/>
      <c r="AC1856" s="253"/>
      <c r="AD1856" s="253"/>
      <c r="AE1856" s="253"/>
    </row>
    <row r="1857" spans="1:31">
      <c r="A1857" s="33">
        <v>1856</v>
      </c>
      <c r="B1857" s="69" t="s">
        <v>1202</v>
      </c>
      <c r="C1857" s="69" t="s">
        <v>1203</v>
      </c>
      <c r="D1857" s="56">
        <v>42975</v>
      </c>
      <c r="E1857" s="33" t="s">
        <v>1134</v>
      </c>
      <c r="F1857" s="69" t="s">
        <v>1204</v>
      </c>
      <c r="G1857" s="69" t="str">
        <f t="shared" si="28"/>
        <v>E-Commerce</v>
      </c>
      <c r="H1857" s="69" t="s">
        <v>517</v>
      </c>
      <c r="I1857" s="69" t="s">
        <v>517</v>
      </c>
      <c r="J1857" s="69" t="s">
        <v>1202</v>
      </c>
      <c r="K1857" s="69" t="s">
        <v>1208</v>
      </c>
      <c r="L1857" s="253">
        <v>0.55731785195936145</v>
      </c>
      <c r="M1857" s="253">
        <v>0.55611629522576989</v>
      </c>
      <c r="N1857" s="253">
        <v>0.56055908458057779</v>
      </c>
      <c r="O1857" s="253">
        <v>0.5316732475250201</v>
      </c>
      <c r="P1857" s="253">
        <v>0.55433962264150949</v>
      </c>
      <c r="Q1857" s="253">
        <v>0.57770270270270274</v>
      </c>
      <c r="R1857" s="253">
        <v>0.57250190694126624</v>
      </c>
      <c r="S1857" s="253">
        <v>0.51075471698113217</v>
      </c>
      <c r="T1857" s="253">
        <v>0.52608695652173909</v>
      </c>
      <c r="U1857" s="253">
        <v>0.5715226337448559</v>
      </c>
      <c r="V1857" s="253">
        <v>0.57043269230769222</v>
      </c>
      <c r="W1857" s="253"/>
      <c r="X1857" s="253">
        <v>0.52764705882352947</v>
      </c>
      <c r="Y1857" s="253">
        <v>0.50972916666666668</v>
      </c>
      <c r="Z1857" s="253">
        <v>0.56923076923076921</v>
      </c>
      <c r="AA1857" s="253"/>
      <c r="AB1857" s="253"/>
      <c r="AC1857" s="253"/>
      <c r="AD1857" s="253"/>
      <c r="AE1857" s="253"/>
    </row>
    <row r="1858" spans="1:31">
      <c r="A1858" s="33">
        <v>1857</v>
      </c>
      <c r="B1858" s="69" t="s">
        <v>1202</v>
      </c>
      <c r="C1858" s="69" t="s">
        <v>1203</v>
      </c>
      <c r="D1858" s="56">
        <v>42975</v>
      </c>
      <c r="E1858" s="33" t="s">
        <v>724</v>
      </c>
      <c r="F1858" s="69" t="s">
        <v>1204</v>
      </c>
      <c r="G1858" s="69" t="str">
        <f t="shared" ref="G1858:G1921" si="29">IF(V1858&gt;0,IF(W1858&gt;0,"Both","E-Commerce"),IF(W1858=0, "ERROR","User Registration"))</f>
        <v>E-Commerce</v>
      </c>
      <c r="H1858" s="69" t="s">
        <v>517</v>
      </c>
      <c r="I1858" s="69" t="s">
        <v>517</v>
      </c>
      <c r="J1858" s="69" t="s">
        <v>1202</v>
      </c>
      <c r="K1858" s="69" t="s">
        <v>1209</v>
      </c>
      <c r="L1858" s="253">
        <v>0.59761683599419446</v>
      </c>
      <c r="M1858" s="253">
        <v>0.60469593816529688</v>
      </c>
      <c r="N1858" s="253">
        <v>0.64097981204316046</v>
      </c>
      <c r="O1858" s="253">
        <v>0.56986722818415514</v>
      </c>
      <c r="P1858" s="253">
        <v>0.59490566037735848</v>
      </c>
      <c r="Q1858" s="253">
        <v>0.60337837837837827</v>
      </c>
      <c r="R1858" s="253">
        <v>0.65093058733791009</v>
      </c>
      <c r="S1858" s="253">
        <v>0.55566037735849061</v>
      </c>
      <c r="T1858" s="253">
        <v>0.60043478260869565</v>
      </c>
      <c r="U1858" s="253">
        <v>0.59979423868312753</v>
      </c>
      <c r="V1858" s="253">
        <v>0.64903846153846156</v>
      </c>
      <c r="W1858" s="253"/>
      <c r="X1858" s="253">
        <v>0.61411764705882355</v>
      </c>
      <c r="Y1858" s="253">
        <v>0.54014583333333333</v>
      </c>
      <c r="Z1858" s="253">
        <v>0.60846153846153839</v>
      </c>
      <c r="AA1858" s="253"/>
      <c r="AB1858" s="253"/>
      <c r="AC1858" s="253"/>
      <c r="AD1858" s="253"/>
      <c r="AE1858" s="253"/>
    </row>
    <row r="1859" spans="1:31">
      <c r="A1859" s="33">
        <v>1858</v>
      </c>
      <c r="B1859" s="69" t="s">
        <v>1202</v>
      </c>
      <c r="C1859" s="69" t="s">
        <v>1203</v>
      </c>
      <c r="D1859" s="56">
        <v>42975</v>
      </c>
      <c r="E1859" s="33" t="s">
        <v>824</v>
      </c>
      <c r="F1859" s="69" t="s">
        <v>1204</v>
      </c>
      <c r="G1859" s="69" t="str">
        <f t="shared" si="29"/>
        <v>E-Commerce</v>
      </c>
      <c r="H1859" s="69" t="s">
        <v>517</v>
      </c>
      <c r="I1859" s="69" t="s">
        <v>517</v>
      </c>
      <c r="J1859" s="69" t="s">
        <v>1202</v>
      </c>
      <c r="K1859" s="69" t="s">
        <v>1210</v>
      </c>
      <c r="L1859" s="253">
        <v>0.61655152394775037</v>
      </c>
      <c r="M1859" s="253">
        <v>0.60053139485028251</v>
      </c>
      <c r="N1859" s="253">
        <v>0.64899495301079002</v>
      </c>
      <c r="O1859" s="253">
        <v>0.57973561177941269</v>
      </c>
      <c r="P1859" s="253">
        <v>0.62415094339622645</v>
      </c>
      <c r="Q1859" s="253">
        <v>0.58378378378378382</v>
      </c>
      <c r="R1859" s="253">
        <v>0.65427154843630808</v>
      </c>
      <c r="S1859" s="253">
        <v>0.51471698113207554</v>
      </c>
      <c r="T1859" s="253">
        <v>0.62478260869565216</v>
      </c>
      <c r="U1859" s="253">
        <v>0.62004115226337453</v>
      </c>
      <c r="V1859" s="253">
        <v>0.67163461538461533</v>
      </c>
      <c r="W1859" s="253"/>
      <c r="X1859" s="253">
        <v>0.57352941176470595</v>
      </c>
      <c r="Y1859" s="253">
        <v>0.56900000000000006</v>
      </c>
      <c r="Z1859" s="253">
        <v>0.58615384615384614</v>
      </c>
      <c r="AA1859" s="253"/>
      <c r="AB1859" s="253"/>
      <c r="AC1859" s="253"/>
      <c r="AD1859" s="253"/>
      <c r="AE1859" s="253"/>
    </row>
    <row r="1860" spans="1:31">
      <c r="A1860" s="33">
        <v>1859</v>
      </c>
      <c r="B1860" s="69" t="s">
        <v>1202</v>
      </c>
      <c r="C1860" s="69" t="s">
        <v>1203</v>
      </c>
      <c r="D1860" s="56">
        <v>42975</v>
      </c>
      <c r="E1860" s="33" t="s">
        <v>824</v>
      </c>
      <c r="F1860" s="69" t="s">
        <v>1204</v>
      </c>
      <c r="G1860" s="69" t="str">
        <f t="shared" si="29"/>
        <v>E-Commerce</v>
      </c>
      <c r="H1860" s="69" t="s">
        <v>517</v>
      </c>
      <c r="I1860" s="69" t="s">
        <v>517</v>
      </c>
      <c r="J1860" s="69" t="s">
        <v>1202</v>
      </c>
      <c r="K1860" s="69" t="s">
        <v>1211</v>
      </c>
      <c r="L1860" s="253">
        <v>0.58873730043541372</v>
      </c>
      <c r="M1860" s="253">
        <v>0.55315353122745703</v>
      </c>
      <c r="N1860" s="253">
        <v>0.54279825095718748</v>
      </c>
      <c r="O1860" s="253">
        <v>0.530744718315319</v>
      </c>
      <c r="P1860" s="253">
        <v>0.59207547169811325</v>
      </c>
      <c r="Q1860" s="253">
        <v>0.45878378378378382</v>
      </c>
      <c r="R1860" s="253">
        <v>0.52412662090007622</v>
      </c>
      <c r="S1860" s="253">
        <v>0.56509433962264155</v>
      </c>
      <c r="T1860" s="253">
        <v>0.5721739130434782</v>
      </c>
      <c r="U1860" s="253">
        <v>0.6278189300411523</v>
      </c>
      <c r="V1860" s="253">
        <v>0.5662259615384615</v>
      </c>
      <c r="W1860" s="253"/>
      <c r="X1860" s="253">
        <v>0.46470588235294119</v>
      </c>
      <c r="Y1860" s="253">
        <v>0.5224375</v>
      </c>
      <c r="Z1860" s="253">
        <v>0.57538461538461538</v>
      </c>
      <c r="AA1860" s="253"/>
      <c r="AB1860" s="253"/>
      <c r="AC1860" s="253"/>
      <c r="AD1860" s="253"/>
      <c r="AE1860" s="253"/>
    </row>
    <row r="1861" spans="1:31">
      <c r="A1861" s="33">
        <v>1860</v>
      </c>
      <c r="B1861" s="69" t="s">
        <v>1202</v>
      </c>
      <c r="C1861" s="69" t="s">
        <v>1203</v>
      </c>
      <c r="D1861" s="56">
        <v>42975</v>
      </c>
      <c r="E1861" s="33" t="s">
        <v>1134</v>
      </c>
      <c r="F1861" s="69" t="s">
        <v>1204</v>
      </c>
      <c r="G1861" s="69" t="str">
        <f t="shared" si="29"/>
        <v>E-Commerce</v>
      </c>
      <c r="H1861" s="69" t="s">
        <v>517</v>
      </c>
      <c r="I1861" s="69" t="s">
        <v>517</v>
      </c>
      <c r="J1861" s="69" t="s">
        <v>1202</v>
      </c>
      <c r="K1861" s="69" t="s">
        <v>1212</v>
      </c>
      <c r="L1861" s="253">
        <v>0.64311465892597974</v>
      </c>
      <c r="M1861" s="253">
        <v>0.62457366063138475</v>
      </c>
      <c r="N1861" s="253">
        <v>0.60301731639401313</v>
      </c>
      <c r="O1861" s="253">
        <v>0.59539986216339735</v>
      </c>
      <c r="P1861" s="253">
        <v>0.65254716981132088</v>
      </c>
      <c r="Q1861" s="253">
        <v>0.62297297297297294</v>
      </c>
      <c r="R1861" s="253">
        <v>0.63455377574370719</v>
      </c>
      <c r="S1861" s="253">
        <v>0.5692924528301887</v>
      </c>
      <c r="T1861" s="253">
        <v>0.6156521739130435</v>
      </c>
      <c r="U1861" s="253">
        <v>0.67312757201646067</v>
      </c>
      <c r="V1861" s="253">
        <v>0.60745192307692308</v>
      </c>
      <c r="W1861" s="253"/>
      <c r="X1861" s="253">
        <v>0.58823529411764708</v>
      </c>
      <c r="Y1861" s="253">
        <v>0.58442708333333326</v>
      </c>
      <c r="Z1861" s="253">
        <v>0.60538461538461541</v>
      </c>
      <c r="AA1861" s="253"/>
      <c r="AB1861" s="253"/>
      <c r="AC1861" s="253"/>
      <c r="AD1861" s="253"/>
      <c r="AE1861" s="253"/>
    </row>
    <row r="1862" spans="1:31">
      <c r="A1862" s="33">
        <v>1861</v>
      </c>
      <c r="B1862" s="69" t="s">
        <v>1042</v>
      </c>
      <c r="C1862" s="69" t="s">
        <v>740</v>
      </c>
      <c r="D1862" s="56">
        <v>42978</v>
      </c>
      <c r="E1862" s="33" t="s">
        <v>824</v>
      </c>
      <c r="F1862" s="69" t="s">
        <v>532</v>
      </c>
      <c r="G1862" s="69" t="str">
        <f t="shared" si="29"/>
        <v>User Registration</v>
      </c>
      <c r="H1862" s="69" t="s">
        <v>749</v>
      </c>
      <c r="I1862" s="69" t="s">
        <v>1043</v>
      </c>
      <c r="J1862" s="69" t="s">
        <v>1042</v>
      </c>
      <c r="K1862" s="69" t="s">
        <v>1042</v>
      </c>
      <c r="L1862" s="253">
        <v>0.58770537010159651</v>
      </c>
      <c r="M1862" s="253">
        <v>0.60800813441215007</v>
      </c>
      <c r="N1862" s="253">
        <v>0.62433257918552032</v>
      </c>
      <c r="O1862" s="253">
        <v>0.58550759600979352</v>
      </c>
      <c r="P1862" s="253">
        <v>0.58415094339622642</v>
      </c>
      <c r="Q1862" s="253">
        <v>0.60067567567567559</v>
      </c>
      <c r="R1862" s="253">
        <v>0.61049115132233045</v>
      </c>
      <c r="S1862" s="253">
        <v>0.64182692307692313</v>
      </c>
      <c r="T1862" s="253">
        <v>0.58404255319148934</v>
      </c>
      <c r="U1862" s="253">
        <v>0.60114942528735615</v>
      </c>
      <c r="V1862" s="253">
        <v>0</v>
      </c>
      <c r="W1862" s="253">
        <v>0.63374999999999992</v>
      </c>
      <c r="X1862" s="253">
        <v>0.59294117647058819</v>
      </c>
      <c r="Y1862" s="253">
        <v>0.56843749999999993</v>
      </c>
      <c r="Z1862" s="253">
        <v>0.60192307692307689</v>
      </c>
      <c r="AA1862" s="253"/>
      <c r="AB1862" s="253"/>
      <c r="AC1862" s="253"/>
      <c r="AD1862" s="253"/>
      <c r="AE1862" s="253"/>
    </row>
    <row r="1863" spans="1:31">
      <c r="A1863" s="33">
        <v>1862</v>
      </c>
      <c r="B1863" s="69" t="s">
        <v>1042</v>
      </c>
      <c r="C1863" s="69" t="s">
        <v>740</v>
      </c>
      <c r="D1863" s="56">
        <v>42978</v>
      </c>
      <c r="E1863" s="33" t="s">
        <v>824</v>
      </c>
      <c r="F1863" s="69" t="s">
        <v>532</v>
      </c>
      <c r="G1863" s="69" t="str">
        <f t="shared" si="29"/>
        <v>User Registration</v>
      </c>
      <c r="H1863" s="69" t="s">
        <v>749</v>
      </c>
      <c r="I1863" s="69" t="s">
        <v>1043</v>
      </c>
      <c r="J1863" s="69" t="s">
        <v>1042</v>
      </c>
      <c r="K1863" s="69" t="s">
        <v>1199</v>
      </c>
      <c r="L1863" s="253">
        <v>0.59754426705370112</v>
      </c>
      <c r="M1863" s="253">
        <v>0.59296182084480276</v>
      </c>
      <c r="N1863" s="253">
        <v>0.59633484162895933</v>
      </c>
      <c r="O1863" s="253">
        <v>0.5685840574638561</v>
      </c>
      <c r="P1863" s="253">
        <v>0.59962264150943412</v>
      </c>
      <c r="Q1863" s="253">
        <v>0.56824324324324327</v>
      </c>
      <c r="R1863" s="253">
        <v>0.61720023861602702</v>
      </c>
      <c r="S1863" s="253">
        <v>0.56538461538461537</v>
      </c>
      <c r="T1863" s="253">
        <v>0.62234042553191493</v>
      </c>
      <c r="U1863" s="253">
        <v>0.59442528735632194</v>
      </c>
      <c r="V1863" s="253">
        <v>0</v>
      </c>
      <c r="W1863" s="253">
        <v>0.58499999999999996</v>
      </c>
      <c r="X1863" s="253">
        <v>0.63411764705882356</v>
      </c>
      <c r="Y1863" s="253">
        <v>0.55302083333333329</v>
      </c>
      <c r="Z1863" s="253">
        <v>0.58923076923076934</v>
      </c>
      <c r="AA1863" s="253"/>
      <c r="AB1863" s="253"/>
      <c r="AC1863" s="253"/>
      <c r="AD1863" s="253"/>
      <c r="AE1863" s="253"/>
    </row>
    <row r="1864" spans="1:31">
      <c r="A1864" s="33">
        <v>1863</v>
      </c>
      <c r="B1864" s="69" t="s">
        <v>1042</v>
      </c>
      <c r="C1864" s="69" t="s">
        <v>740</v>
      </c>
      <c r="D1864" s="56">
        <v>42978</v>
      </c>
      <c r="E1864" s="33" t="s">
        <v>824</v>
      </c>
      <c r="F1864" s="69" t="s">
        <v>532</v>
      </c>
      <c r="G1864" s="69" t="str">
        <f t="shared" si="29"/>
        <v>User Registration</v>
      </c>
      <c r="H1864" s="69" t="s">
        <v>749</v>
      </c>
      <c r="I1864" s="69" t="s">
        <v>1043</v>
      </c>
      <c r="J1864" s="69" t="s">
        <v>1042</v>
      </c>
      <c r="K1864" s="69" t="s">
        <v>1200</v>
      </c>
      <c r="L1864" s="253">
        <v>0.62755878084179972</v>
      </c>
      <c r="M1864" s="253">
        <v>0.64849175801359282</v>
      </c>
      <c r="N1864" s="253">
        <v>0.56681278280542979</v>
      </c>
      <c r="O1864" s="253">
        <v>0.63914916005106859</v>
      </c>
      <c r="P1864" s="253">
        <v>0.62867924528301899</v>
      </c>
      <c r="Q1864" s="253">
        <v>0.64256756756756772</v>
      </c>
      <c r="R1864" s="253">
        <v>0.64085106382978707</v>
      </c>
      <c r="S1864" s="253">
        <v>0.70432692307692313</v>
      </c>
      <c r="T1864" s="253">
        <v>0.63085106382978717</v>
      </c>
      <c r="U1864" s="253">
        <v>0.6369540229885059</v>
      </c>
      <c r="V1864" s="253">
        <v>0</v>
      </c>
      <c r="W1864" s="253">
        <v>0.57406249999999992</v>
      </c>
      <c r="X1864" s="253">
        <v>0.54264705882352937</v>
      </c>
      <c r="Y1864" s="253">
        <v>0.63677083333333329</v>
      </c>
      <c r="Z1864" s="253">
        <v>0.62307692307692308</v>
      </c>
      <c r="AA1864" s="253"/>
      <c r="AB1864" s="253"/>
      <c r="AC1864" s="253"/>
      <c r="AD1864" s="253"/>
      <c r="AE1864" s="253"/>
    </row>
    <row r="1865" spans="1:31">
      <c r="A1865" s="33">
        <v>1864</v>
      </c>
      <c r="B1865" s="69" t="s">
        <v>1042</v>
      </c>
      <c r="C1865" s="69" t="s">
        <v>740</v>
      </c>
      <c r="D1865" s="56">
        <v>42978</v>
      </c>
      <c r="E1865" s="33" t="s">
        <v>824</v>
      </c>
      <c r="F1865" s="69" t="s">
        <v>532</v>
      </c>
      <c r="G1865" s="69" t="str">
        <f t="shared" si="29"/>
        <v>User Registration</v>
      </c>
      <c r="H1865" s="69" t="s">
        <v>749</v>
      </c>
      <c r="I1865" s="69" t="s">
        <v>1043</v>
      </c>
      <c r="J1865" s="69" t="s">
        <v>1042</v>
      </c>
      <c r="K1865" s="69" t="s">
        <v>1201</v>
      </c>
      <c r="L1865" s="253">
        <v>0.53946008708272852</v>
      </c>
      <c r="M1865" s="253">
        <v>0.53577831545530885</v>
      </c>
      <c r="N1865" s="253">
        <v>0.53593749999999996</v>
      </c>
      <c r="O1865" s="253">
        <v>0.57185532346615719</v>
      </c>
      <c r="P1865" s="253">
        <v>0.53509433962264152</v>
      </c>
      <c r="Q1865" s="253">
        <v>0.46756756756756757</v>
      </c>
      <c r="R1865" s="253">
        <v>0.56820441439650038</v>
      </c>
      <c r="S1865" s="253">
        <v>0.49471153846153848</v>
      </c>
      <c r="T1865" s="253">
        <v>0.56329787234042561</v>
      </c>
      <c r="U1865" s="253">
        <v>0.56580459770114944</v>
      </c>
      <c r="V1865" s="253">
        <v>0</v>
      </c>
      <c r="W1865" s="253">
        <v>0.53281250000000002</v>
      </c>
      <c r="X1865" s="253">
        <v>0</v>
      </c>
      <c r="Y1865" s="253">
        <v>0.59520833333333345</v>
      </c>
      <c r="Z1865" s="253">
        <v>0.55692307692307685</v>
      </c>
      <c r="AA1865" s="253"/>
      <c r="AB1865" s="253"/>
      <c r="AC1865" s="253"/>
      <c r="AD1865" s="253"/>
      <c r="AE1865" s="253"/>
    </row>
    <row r="1866" spans="1:31">
      <c r="A1866" s="33">
        <v>1865</v>
      </c>
      <c r="B1866" s="69" t="s">
        <v>1095</v>
      </c>
      <c r="C1866" s="69" t="s">
        <v>791</v>
      </c>
      <c r="D1866" s="56">
        <v>42983</v>
      </c>
      <c r="E1866" s="33" t="s">
        <v>724</v>
      </c>
      <c r="F1866" s="69" t="s">
        <v>380</v>
      </c>
      <c r="G1866" s="69" t="str">
        <f t="shared" si="29"/>
        <v>E-Commerce</v>
      </c>
      <c r="H1866" s="69" t="s">
        <v>364</v>
      </c>
      <c r="I1866" s="69" t="s">
        <v>1198</v>
      </c>
      <c r="J1866" s="69" t="s">
        <v>1095</v>
      </c>
      <c r="K1866" s="151" t="s">
        <v>78</v>
      </c>
      <c r="L1866" s="253">
        <v>62.400000000000013</v>
      </c>
      <c r="M1866" s="253">
        <v>67.739130434782609</v>
      </c>
      <c r="N1866" s="253">
        <v>73.899999999999991</v>
      </c>
      <c r="O1866" s="253">
        <v>64.647058823529406</v>
      </c>
      <c r="P1866" s="253">
        <v>62</v>
      </c>
      <c r="Q1866" s="253">
        <v>68</v>
      </c>
      <c r="R1866" s="253">
        <v>72</v>
      </c>
      <c r="S1866" s="253">
        <v>65</v>
      </c>
      <c r="T1866" s="253">
        <v>71</v>
      </c>
      <c r="U1866" s="253">
        <v>65</v>
      </c>
      <c r="V1866" s="253">
        <v>73.67</v>
      </c>
      <c r="W1866" s="253"/>
      <c r="X1866" s="253"/>
      <c r="Y1866" s="253">
        <v>63</v>
      </c>
      <c r="Z1866" s="253">
        <v>64</v>
      </c>
      <c r="AA1866" s="253"/>
      <c r="AB1866" s="253"/>
      <c r="AC1866" s="253"/>
      <c r="AD1866" s="253"/>
      <c r="AE1866" s="253"/>
    </row>
    <row r="1867" spans="1:31">
      <c r="A1867" s="33">
        <v>1866</v>
      </c>
      <c r="B1867" s="69" t="s">
        <v>1095</v>
      </c>
      <c r="C1867" s="69" t="s">
        <v>791</v>
      </c>
      <c r="D1867" s="56">
        <v>42983</v>
      </c>
      <c r="E1867" s="33" t="s">
        <v>724</v>
      </c>
      <c r="F1867" s="69" t="s">
        <v>380</v>
      </c>
      <c r="G1867" s="69" t="str">
        <f t="shared" si="29"/>
        <v>E-Commerce</v>
      </c>
      <c r="H1867" s="69" t="s">
        <v>364</v>
      </c>
      <c r="I1867" s="69" t="s">
        <v>1198</v>
      </c>
      <c r="J1867" s="69" t="s">
        <v>1095</v>
      </c>
      <c r="K1867" s="69" t="s">
        <v>821</v>
      </c>
      <c r="L1867" s="253">
        <v>68.67837445573295</v>
      </c>
      <c r="M1867" s="253">
        <v>72.767980417862375</v>
      </c>
      <c r="N1867" s="253">
        <v>73.55</v>
      </c>
      <c r="O1867" s="253">
        <v>71.928146455710191</v>
      </c>
      <c r="P1867" s="253">
        <v>67.905660377358487</v>
      </c>
      <c r="Q1867" s="253">
        <v>68.567567567567551</v>
      </c>
      <c r="R1867" s="253">
        <v>66.844303615151944</v>
      </c>
      <c r="S1867" s="253">
        <v>81.839622641509436</v>
      </c>
      <c r="T1867" s="253">
        <v>73.091603053435122</v>
      </c>
      <c r="U1867" s="253">
        <v>75</v>
      </c>
      <c r="V1867" s="253">
        <v>73.034883720930225</v>
      </c>
      <c r="W1867" s="253"/>
      <c r="X1867" s="253">
        <v>76.470588235294116</v>
      </c>
      <c r="Y1867" s="253">
        <v>72.337499999999991</v>
      </c>
      <c r="Z1867" s="253">
        <v>71.769230769230759</v>
      </c>
      <c r="AA1867" s="253"/>
      <c r="AB1867" s="253"/>
      <c r="AC1867" s="253"/>
      <c r="AD1867" s="253"/>
      <c r="AE1867" s="253"/>
    </row>
    <row r="1868" spans="1:31">
      <c r="A1868" s="33">
        <v>1867</v>
      </c>
      <c r="B1868" s="69" t="s">
        <v>1095</v>
      </c>
      <c r="C1868" s="69" t="s">
        <v>791</v>
      </c>
      <c r="D1868" s="56">
        <v>42983</v>
      </c>
      <c r="E1868" s="33" t="s">
        <v>724</v>
      </c>
      <c r="F1868" s="69" t="s">
        <v>380</v>
      </c>
      <c r="G1868" s="69" t="str">
        <f t="shared" si="29"/>
        <v>E-Commerce</v>
      </c>
      <c r="H1868" s="69" t="s">
        <v>364</v>
      </c>
      <c r="I1868" s="69" t="s">
        <v>1198</v>
      </c>
      <c r="J1868" s="69" t="s">
        <v>1095</v>
      </c>
      <c r="K1868" s="69" t="s">
        <v>1098</v>
      </c>
      <c r="L1868" s="253">
        <v>60.737880986937597</v>
      </c>
      <c r="M1868" s="253">
        <v>60.45450238825488</v>
      </c>
      <c r="N1868" s="253">
        <v>62.397979585394083</v>
      </c>
      <c r="O1868" s="253">
        <v>59.180729356045056</v>
      </c>
      <c r="P1868" s="253">
        <v>60.037735849056602</v>
      </c>
      <c r="Q1868" s="253">
        <v>58.891891891891888</v>
      </c>
      <c r="R1868" s="253">
        <v>65.564597436266752</v>
      </c>
      <c r="S1868" s="253">
        <v>56.415094339622641</v>
      </c>
      <c r="T1868" s="253">
        <v>63.66412213740459</v>
      </c>
      <c r="U1868" s="253">
        <v>56.666666666666664</v>
      </c>
      <c r="V1868" s="253">
        <v>62.023255813953483</v>
      </c>
      <c r="W1868" s="253"/>
      <c r="X1868" s="253">
        <v>63.647058823529413</v>
      </c>
      <c r="Y1868" s="253">
        <v>56.90208333333333</v>
      </c>
      <c r="Z1868" s="253">
        <v>63.53846153846154</v>
      </c>
      <c r="AA1868" s="253"/>
      <c r="AB1868" s="253"/>
      <c r="AC1868" s="253"/>
      <c r="AD1868" s="253"/>
      <c r="AE1868" s="253"/>
    </row>
    <row r="1869" spans="1:31">
      <c r="A1869" s="33">
        <v>1868</v>
      </c>
      <c r="B1869" s="69" t="s">
        <v>1095</v>
      </c>
      <c r="C1869" s="69" t="s">
        <v>791</v>
      </c>
      <c r="D1869" s="56">
        <v>42983</v>
      </c>
      <c r="E1869" s="33" t="s">
        <v>724</v>
      </c>
      <c r="F1869" s="69" t="s">
        <v>380</v>
      </c>
      <c r="G1869" s="69" t="str">
        <f t="shared" si="29"/>
        <v>E-Commerce</v>
      </c>
      <c r="H1869" s="69" t="s">
        <v>364</v>
      </c>
      <c r="I1869" s="69" t="s">
        <v>1198</v>
      </c>
      <c r="J1869" s="69" t="s">
        <v>1095</v>
      </c>
      <c r="K1869" s="69" t="s">
        <v>1099</v>
      </c>
      <c r="L1869" s="253">
        <v>64.885631349782301</v>
      </c>
      <c r="M1869" s="253">
        <v>63.137482839596878</v>
      </c>
      <c r="N1869" s="253">
        <v>65.143217931179635</v>
      </c>
      <c r="O1869" s="253">
        <v>61.0027293639655</v>
      </c>
      <c r="P1869" s="253">
        <v>66.433962264150949</v>
      </c>
      <c r="Q1869" s="253">
        <v>60.797297297297305</v>
      </c>
      <c r="R1869" s="253">
        <v>65.106726199049405</v>
      </c>
      <c r="S1869" s="253">
        <v>60.896226415094333</v>
      </c>
      <c r="T1869" s="253">
        <v>66.488549618320604</v>
      </c>
      <c r="U1869" s="253">
        <v>64.600823045267489</v>
      </c>
      <c r="V1869" s="253">
        <v>68.27441860465116</v>
      </c>
      <c r="W1869" s="253"/>
      <c r="X1869" s="253">
        <v>54.705882352941181</v>
      </c>
      <c r="Y1869" s="253">
        <v>60.906249999999993</v>
      </c>
      <c r="Z1869" s="253">
        <v>58.692307692307686</v>
      </c>
      <c r="AA1869" s="253"/>
      <c r="AB1869" s="253"/>
      <c r="AC1869" s="253"/>
      <c r="AD1869" s="253"/>
      <c r="AE1869" s="253"/>
    </row>
    <row r="1870" spans="1:31">
      <c r="A1870" s="33">
        <v>1869</v>
      </c>
      <c r="B1870" s="69" t="s">
        <v>1095</v>
      </c>
      <c r="C1870" s="69" t="s">
        <v>791</v>
      </c>
      <c r="D1870" s="56">
        <v>42983</v>
      </c>
      <c r="E1870" s="33" t="s">
        <v>724</v>
      </c>
      <c r="F1870" s="69" t="s">
        <v>380</v>
      </c>
      <c r="G1870" s="69" t="str">
        <f t="shared" si="29"/>
        <v>E-Commerce</v>
      </c>
      <c r="H1870" s="69" t="s">
        <v>364</v>
      </c>
      <c r="I1870" s="69" t="s">
        <v>1198</v>
      </c>
      <c r="J1870" s="69" t="s">
        <v>1095</v>
      </c>
      <c r="K1870" s="69" t="s">
        <v>1095</v>
      </c>
      <c r="L1870" s="253">
        <v>60.166908563134989</v>
      </c>
      <c r="M1870" s="253">
        <v>60.510984423206168</v>
      </c>
      <c r="N1870" s="253">
        <v>64.474166052825424</v>
      </c>
      <c r="O1870" s="253">
        <v>61.732973802931603</v>
      </c>
      <c r="P1870" s="253">
        <v>60.150943396226417</v>
      </c>
      <c r="Q1870" s="253">
        <v>57.310810810810807</v>
      </c>
      <c r="R1870" s="253">
        <v>63.778049834365554</v>
      </c>
      <c r="S1870" s="253">
        <v>57.547169811320764</v>
      </c>
      <c r="T1870" s="253">
        <v>61.641221374045806</v>
      </c>
      <c r="U1870" s="253">
        <v>61.609053497942391</v>
      </c>
      <c r="V1870" s="253">
        <v>65.004651162790694</v>
      </c>
      <c r="W1870" s="253"/>
      <c r="X1870" s="253">
        <v>62.705882352941174</v>
      </c>
      <c r="Y1870" s="253">
        <v>62.635416666666664</v>
      </c>
      <c r="Z1870" s="253">
        <v>60.230769230769241</v>
      </c>
      <c r="AA1870" s="253"/>
      <c r="AB1870" s="253"/>
      <c r="AC1870" s="253"/>
      <c r="AD1870" s="253"/>
      <c r="AE1870" s="253"/>
    </row>
    <row r="1871" spans="1:31">
      <c r="A1871" s="33">
        <v>1870</v>
      </c>
      <c r="B1871" s="69" t="s">
        <v>1095</v>
      </c>
      <c r="C1871" s="69" t="s">
        <v>791</v>
      </c>
      <c r="D1871" s="56">
        <v>42983</v>
      </c>
      <c r="E1871" s="33" t="s">
        <v>724</v>
      </c>
      <c r="F1871" s="69" t="s">
        <v>380</v>
      </c>
      <c r="G1871" s="69" t="str">
        <f t="shared" si="29"/>
        <v>E-Commerce</v>
      </c>
      <c r="H1871" s="69" t="s">
        <v>364</v>
      </c>
      <c r="I1871" s="69" t="s">
        <v>1198</v>
      </c>
      <c r="J1871" s="69" t="s">
        <v>1095</v>
      </c>
      <c r="K1871" s="69" t="s">
        <v>1102</v>
      </c>
      <c r="L1871" s="253">
        <v>58.42119013062409</v>
      </c>
      <c r="M1871" s="253">
        <v>57.142992979756926</v>
      </c>
      <c r="N1871" s="253">
        <v>63.804482794906868</v>
      </c>
      <c r="O1871" s="253">
        <v>56.198075600850082</v>
      </c>
      <c r="P1871" s="253">
        <v>59.622641509433961</v>
      </c>
      <c r="Q1871" s="253">
        <v>59.364864864864863</v>
      </c>
      <c r="R1871" s="253">
        <v>60.639060924672336</v>
      </c>
      <c r="S1871" s="253">
        <v>52.169811320754711</v>
      </c>
      <c r="T1871" s="253">
        <v>60.229007633587784</v>
      </c>
      <c r="U1871" s="253">
        <v>55.407407407407405</v>
      </c>
      <c r="V1871" s="253">
        <v>63.604651162790695</v>
      </c>
      <c r="W1871" s="253"/>
      <c r="X1871" s="253">
        <v>64.470588235294116</v>
      </c>
      <c r="Y1871" s="253">
        <v>56.170833333333334</v>
      </c>
      <c r="Z1871" s="253">
        <v>53.61538461538462</v>
      </c>
      <c r="AA1871" s="253"/>
      <c r="AB1871" s="253"/>
      <c r="AC1871" s="253"/>
      <c r="AD1871" s="253"/>
      <c r="AE1871" s="253"/>
    </row>
    <row r="1872" spans="1:31">
      <c r="A1872" s="33">
        <v>1871</v>
      </c>
      <c r="B1872" s="69" t="s">
        <v>1095</v>
      </c>
      <c r="C1872" s="69" t="s">
        <v>791</v>
      </c>
      <c r="D1872" s="56">
        <v>42983</v>
      </c>
      <c r="E1872" s="33" t="s">
        <v>724</v>
      </c>
      <c r="F1872" s="69" t="s">
        <v>380</v>
      </c>
      <c r="G1872" s="69" t="str">
        <f t="shared" si="29"/>
        <v>E-Commerce</v>
      </c>
      <c r="H1872" s="69" t="s">
        <v>364</v>
      </c>
      <c r="I1872" s="69" t="s">
        <v>1198</v>
      </c>
      <c r="J1872" s="69" t="s">
        <v>1095</v>
      </c>
      <c r="K1872" s="69" t="s">
        <v>1104</v>
      </c>
      <c r="L1872" s="253">
        <v>57.842089985486211</v>
      </c>
      <c r="M1872" s="253">
        <v>51.565571097089304</v>
      </c>
      <c r="N1872" s="253">
        <v>57.735031042828574</v>
      </c>
      <c r="O1872" s="253">
        <v>54.130587752199865</v>
      </c>
      <c r="P1872" s="253">
        <v>58.264150943396231</v>
      </c>
      <c r="Q1872" s="253">
        <v>47.212837837837839</v>
      </c>
      <c r="R1872" s="253">
        <v>54.043641077344084</v>
      </c>
      <c r="S1872" s="253">
        <v>54.999999999999993</v>
      </c>
      <c r="T1872" s="253">
        <v>52.977099236641223</v>
      </c>
      <c r="U1872" s="253">
        <v>47.139917695473251</v>
      </c>
      <c r="V1872" s="253">
        <v>57.779069767441861</v>
      </c>
      <c r="W1872" s="253"/>
      <c r="X1872" s="253">
        <v>57.588235294117652</v>
      </c>
      <c r="Y1872" s="253">
        <v>54.145833333333329</v>
      </c>
      <c r="Z1872" s="253">
        <v>56.153846153846153</v>
      </c>
      <c r="AA1872" s="253"/>
      <c r="AB1872" s="253"/>
      <c r="AC1872" s="253"/>
      <c r="AD1872" s="253"/>
      <c r="AE1872" s="253"/>
    </row>
    <row r="1873" spans="1:31">
      <c r="A1873" s="33">
        <v>1872</v>
      </c>
      <c r="B1873" s="69" t="s">
        <v>1095</v>
      </c>
      <c r="C1873" s="69" t="s">
        <v>791</v>
      </c>
      <c r="D1873" s="56">
        <v>42983</v>
      </c>
      <c r="E1873" s="33" t="s">
        <v>724</v>
      </c>
      <c r="F1873" s="69" t="s">
        <v>380</v>
      </c>
      <c r="G1873" s="69" t="str">
        <f t="shared" si="29"/>
        <v>E-Commerce</v>
      </c>
      <c r="H1873" s="69" t="s">
        <v>364</v>
      </c>
      <c r="I1873" s="69" t="s">
        <v>1096</v>
      </c>
      <c r="J1873" s="69" t="s">
        <v>1095</v>
      </c>
      <c r="K1873" s="69" t="s">
        <v>78</v>
      </c>
      <c r="L1873" s="253">
        <v>0.62400000000000011</v>
      </c>
      <c r="M1873" s="253">
        <v>0.67739130434782613</v>
      </c>
      <c r="N1873" s="253">
        <v>0.73899999999999999</v>
      </c>
      <c r="O1873" s="253">
        <v>0.64647058823529413</v>
      </c>
      <c r="P1873" s="253">
        <v>0.62</v>
      </c>
      <c r="Q1873" s="253">
        <v>0.68</v>
      </c>
      <c r="R1873" s="253">
        <v>0.72</v>
      </c>
      <c r="S1873" s="253">
        <v>0.65</v>
      </c>
      <c r="T1873" s="253">
        <v>0.71</v>
      </c>
      <c r="U1873" s="253">
        <v>0.65</v>
      </c>
      <c r="V1873" s="253">
        <v>0.73670000000000002</v>
      </c>
      <c r="W1873" s="253"/>
      <c r="X1873" s="253"/>
      <c r="Y1873" s="253">
        <v>0.63</v>
      </c>
      <c r="Z1873" s="253">
        <v>0.64</v>
      </c>
      <c r="AA1873" s="253"/>
      <c r="AB1873" s="253"/>
      <c r="AC1873" s="253"/>
      <c r="AD1873" s="253"/>
      <c r="AE1873" s="253"/>
    </row>
    <row r="1874" spans="1:31">
      <c r="A1874" s="33">
        <v>1873</v>
      </c>
      <c r="B1874" s="69" t="s">
        <v>1095</v>
      </c>
      <c r="C1874" s="69" t="s">
        <v>791</v>
      </c>
      <c r="D1874" s="56">
        <v>42983</v>
      </c>
      <c r="E1874" s="33" t="s">
        <v>724</v>
      </c>
      <c r="F1874" s="69" t="s">
        <v>380</v>
      </c>
      <c r="G1874" s="69" t="str">
        <f t="shared" si="29"/>
        <v>E-Commerce</v>
      </c>
      <c r="H1874" s="69" t="s">
        <v>364</v>
      </c>
      <c r="I1874" s="69" t="s">
        <v>1096</v>
      </c>
      <c r="J1874" s="69" t="s">
        <v>1095</v>
      </c>
      <c r="K1874" s="69" t="s">
        <v>821</v>
      </c>
      <c r="L1874" s="253">
        <v>0.68678374455732949</v>
      </c>
      <c r="M1874" s="253">
        <v>0.72767980417862377</v>
      </c>
      <c r="N1874" s="253">
        <v>0.73550000000000004</v>
      </c>
      <c r="O1874" s="253">
        <v>0.71928146455710196</v>
      </c>
      <c r="P1874" s="253">
        <v>0.6790566037735849</v>
      </c>
      <c r="Q1874" s="253">
        <v>0.68567567567567556</v>
      </c>
      <c r="R1874" s="253">
        <v>0.66844303615151945</v>
      </c>
      <c r="S1874" s="253">
        <v>0.81839622641509435</v>
      </c>
      <c r="T1874" s="253">
        <v>0.73091603053435117</v>
      </c>
      <c r="U1874" s="253">
        <v>0.75</v>
      </c>
      <c r="V1874" s="253">
        <v>0.73034883720930222</v>
      </c>
      <c r="W1874" s="253"/>
      <c r="X1874" s="253">
        <v>0.76470588235294112</v>
      </c>
      <c r="Y1874" s="253">
        <v>0.72337499999999999</v>
      </c>
      <c r="Z1874" s="253">
        <v>0.71769230769230763</v>
      </c>
      <c r="AA1874" s="253"/>
      <c r="AB1874" s="253"/>
      <c r="AC1874" s="253"/>
      <c r="AD1874" s="253"/>
      <c r="AE1874" s="253"/>
    </row>
    <row r="1875" spans="1:31">
      <c r="A1875" s="33">
        <v>1874</v>
      </c>
      <c r="B1875" s="69" t="s">
        <v>1095</v>
      </c>
      <c r="C1875" s="69" t="s">
        <v>791</v>
      </c>
      <c r="D1875" s="56">
        <v>42983</v>
      </c>
      <c r="E1875" s="33" t="s">
        <v>724</v>
      </c>
      <c r="F1875" s="69" t="s">
        <v>380</v>
      </c>
      <c r="G1875" s="69" t="str">
        <f t="shared" si="29"/>
        <v>E-Commerce</v>
      </c>
      <c r="H1875" s="69" t="s">
        <v>364</v>
      </c>
      <c r="I1875" s="69" t="s">
        <v>1096</v>
      </c>
      <c r="J1875" s="69" t="s">
        <v>1095</v>
      </c>
      <c r="K1875" s="69" t="s">
        <v>1098</v>
      </c>
      <c r="L1875" s="253">
        <v>0.60737880986937598</v>
      </c>
      <c r="M1875" s="253">
        <v>0.60454502388254883</v>
      </c>
      <c r="N1875" s="253">
        <v>0.62397979585394081</v>
      </c>
      <c r="O1875" s="253">
        <v>0.59180729356045059</v>
      </c>
      <c r="P1875" s="253">
        <v>0.60037735849056606</v>
      </c>
      <c r="Q1875" s="253">
        <v>0.5889189189189189</v>
      </c>
      <c r="R1875" s="253">
        <v>0.65564597436266758</v>
      </c>
      <c r="S1875" s="253">
        <v>0.5641509433962264</v>
      </c>
      <c r="T1875" s="253">
        <v>0.63664122137404588</v>
      </c>
      <c r="U1875" s="253">
        <v>0.56666666666666665</v>
      </c>
      <c r="V1875" s="253">
        <v>0.62023255813953482</v>
      </c>
      <c r="W1875" s="253"/>
      <c r="X1875" s="253">
        <v>0.63647058823529412</v>
      </c>
      <c r="Y1875" s="253">
        <v>0.56902083333333331</v>
      </c>
      <c r="Z1875" s="253">
        <v>0.63538461538461544</v>
      </c>
      <c r="AA1875" s="253"/>
      <c r="AB1875" s="253"/>
      <c r="AC1875" s="253"/>
      <c r="AD1875" s="253"/>
      <c r="AE1875" s="253"/>
    </row>
    <row r="1876" spans="1:31">
      <c r="A1876" s="33">
        <v>1875</v>
      </c>
      <c r="B1876" s="69" t="s">
        <v>1095</v>
      </c>
      <c r="C1876" s="69" t="s">
        <v>791</v>
      </c>
      <c r="D1876" s="56">
        <v>42983</v>
      </c>
      <c r="E1876" s="33" t="s">
        <v>724</v>
      </c>
      <c r="F1876" s="69" t="s">
        <v>380</v>
      </c>
      <c r="G1876" s="69" t="str">
        <f t="shared" si="29"/>
        <v>E-Commerce</v>
      </c>
      <c r="H1876" s="69" t="s">
        <v>364</v>
      </c>
      <c r="I1876" s="69" t="s">
        <v>1096</v>
      </c>
      <c r="J1876" s="69" t="s">
        <v>1095</v>
      </c>
      <c r="K1876" s="69" t="s">
        <v>1099</v>
      </c>
      <c r="L1876" s="253">
        <v>0.64885631349782302</v>
      </c>
      <c r="M1876" s="253">
        <v>0.63137482839596881</v>
      </c>
      <c r="N1876" s="253">
        <v>0.65143217931179631</v>
      </c>
      <c r="O1876" s="253">
        <v>0.61002729363965502</v>
      </c>
      <c r="P1876" s="253">
        <v>0.66433962264150948</v>
      </c>
      <c r="Q1876" s="253">
        <v>0.60797297297297304</v>
      </c>
      <c r="R1876" s="253">
        <v>0.65106726199049403</v>
      </c>
      <c r="S1876" s="253">
        <v>0.60896226415094334</v>
      </c>
      <c r="T1876" s="253">
        <v>0.66488549618320603</v>
      </c>
      <c r="U1876" s="253">
        <v>0.64600823045267497</v>
      </c>
      <c r="V1876" s="253">
        <v>0.68274418604651155</v>
      </c>
      <c r="W1876" s="253"/>
      <c r="X1876" s="253">
        <v>0.54705882352941182</v>
      </c>
      <c r="Y1876" s="253">
        <v>0.60906249999999995</v>
      </c>
      <c r="Z1876" s="253">
        <v>0.58692307692307688</v>
      </c>
      <c r="AA1876" s="253"/>
      <c r="AB1876" s="253"/>
      <c r="AC1876" s="253"/>
      <c r="AD1876" s="253"/>
      <c r="AE1876" s="253"/>
    </row>
    <row r="1877" spans="1:31">
      <c r="A1877" s="33">
        <v>1876</v>
      </c>
      <c r="B1877" s="69" t="s">
        <v>1095</v>
      </c>
      <c r="C1877" s="69" t="s">
        <v>791</v>
      </c>
      <c r="D1877" s="56">
        <v>42983</v>
      </c>
      <c r="E1877" s="33" t="s">
        <v>724</v>
      </c>
      <c r="F1877" s="69" t="s">
        <v>380</v>
      </c>
      <c r="G1877" s="69" t="str">
        <f t="shared" si="29"/>
        <v>E-Commerce</v>
      </c>
      <c r="H1877" s="69" t="s">
        <v>364</v>
      </c>
      <c r="I1877" s="69" t="s">
        <v>1096</v>
      </c>
      <c r="J1877" s="69" t="s">
        <v>1095</v>
      </c>
      <c r="K1877" s="69" t="s">
        <v>1095</v>
      </c>
      <c r="L1877" s="253">
        <v>0.60166908563134991</v>
      </c>
      <c r="M1877" s="253">
        <v>0.60510984423206171</v>
      </c>
      <c r="N1877" s="253">
        <v>0.64474166052825421</v>
      </c>
      <c r="O1877" s="253">
        <v>0.61732973802931601</v>
      </c>
      <c r="P1877" s="253">
        <v>0.6015094339622642</v>
      </c>
      <c r="Q1877" s="253">
        <v>0.57310810810810808</v>
      </c>
      <c r="R1877" s="253">
        <v>0.63778049834365558</v>
      </c>
      <c r="S1877" s="253">
        <v>0.57547169811320764</v>
      </c>
      <c r="T1877" s="253">
        <v>0.61641221374045807</v>
      </c>
      <c r="U1877" s="253">
        <v>0.6160905349794239</v>
      </c>
      <c r="V1877" s="253">
        <v>0.65004651162790694</v>
      </c>
      <c r="W1877" s="253"/>
      <c r="X1877" s="253">
        <v>0.62705882352941178</v>
      </c>
      <c r="Y1877" s="253">
        <v>0.62635416666666666</v>
      </c>
      <c r="Z1877" s="253">
        <v>0.60230769230769243</v>
      </c>
      <c r="AA1877" s="253"/>
      <c r="AB1877" s="253"/>
      <c r="AC1877" s="253"/>
      <c r="AD1877" s="253"/>
      <c r="AE1877" s="253"/>
    </row>
    <row r="1878" spans="1:31">
      <c r="A1878" s="33">
        <v>1877</v>
      </c>
      <c r="B1878" s="69" t="s">
        <v>1095</v>
      </c>
      <c r="C1878" s="69" t="s">
        <v>791</v>
      </c>
      <c r="D1878" s="56">
        <v>42983</v>
      </c>
      <c r="E1878" s="33" t="s">
        <v>724</v>
      </c>
      <c r="F1878" s="69" t="s">
        <v>380</v>
      </c>
      <c r="G1878" s="69" t="str">
        <f t="shared" si="29"/>
        <v>E-Commerce</v>
      </c>
      <c r="H1878" s="69" t="s">
        <v>364</v>
      </c>
      <c r="I1878" s="69" t="s">
        <v>1096</v>
      </c>
      <c r="J1878" s="69" t="s">
        <v>1095</v>
      </c>
      <c r="K1878" s="69" t="s">
        <v>1102</v>
      </c>
      <c r="L1878" s="253">
        <v>0.5842119013062409</v>
      </c>
      <c r="M1878" s="253">
        <v>0.57142992979756924</v>
      </c>
      <c r="N1878" s="253">
        <v>0.63804482794906869</v>
      </c>
      <c r="O1878" s="253">
        <v>0.56198075600850084</v>
      </c>
      <c r="P1878" s="253">
        <v>0.5962264150943396</v>
      </c>
      <c r="Q1878" s="253">
        <v>0.59364864864864864</v>
      </c>
      <c r="R1878" s="253">
        <v>0.60639060924672339</v>
      </c>
      <c r="S1878" s="253">
        <v>0.52169811320754711</v>
      </c>
      <c r="T1878" s="253">
        <v>0.60229007633587783</v>
      </c>
      <c r="U1878" s="253">
        <v>0.55407407407407405</v>
      </c>
      <c r="V1878" s="253">
        <v>0.63604651162790693</v>
      </c>
      <c r="W1878" s="253"/>
      <c r="X1878" s="253">
        <v>0.64470588235294113</v>
      </c>
      <c r="Y1878" s="253">
        <v>0.56170833333333337</v>
      </c>
      <c r="Z1878" s="253">
        <v>0.5361538461538462</v>
      </c>
      <c r="AA1878" s="253"/>
      <c r="AB1878" s="253"/>
      <c r="AC1878" s="253"/>
      <c r="AD1878" s="253"/>
      <c r="AE1878" s="253"/>
    </row>
    <row r="1879" spans="1:31">
      <c r="A1879" s="33">
        <v>1878</v>
      </c>
      <c r="B1879" s="69" t="s">
        <v>1095</v>
      </c>
      <c r="C1879" s="69" t="s">
        <v>791</v>
      </c>
      <c r="D1879" s="56">
        <v>42983</v>
      </c>
      <c r="E1879" s="33" t="s">
        <v>724</v>
      </c>
      <c r="F1879" s="69" t="s">
        <v>380</v>
      </c>
      <c r="G1879" s="69" t="str">
        <f t="shared" si="29"/>
        <v>E-Commerce</v>
      </c>
      <c r="H1879" s="69" t="s">
        <v>364</v>
      </c>
      <c r="I1879" s="69" t="s">
        <v>1096</v>
      </c>
      <c r="J1879" s="69" t="s">
        <v>1095</v>
      </c>
      <c r="K1879" s="69" t="s">
        <v>1104</v>
      </c>
      <c r="L1879" s="253">
        <v>0.57842089985486211</v>
      </c>
      <c r="M1879" s="253">
        <v>0.51565571097089302</v>
      </c>
      <c r="N1879" s="253">
        <v>0.57735031042828577</v>
      </c>
      <c r="O1879" s="253">
        <v>0.54130587752199866</v>
      </c>
      <c r="P1879" s="253">
        <v>0.58264150943396231</v>
      </c>
      <c r="Q1879" s="253">
        <v>0.4721283783783784</v>
      </c>
      <c r="R1879" s="253">
        <v>0.54043641077344085</v>
      </c>
      <c r="S1879" s="253">
        <v>0.54999999999999993</v>
      </c>
      <c r="T1879" s="253">
        <v>0.52977099236641223</v>
      </c>
      <c r="U1879" s="253">
        <v>0.47139917695473249</v>
      </c>
      <c r="V1879" s="253">
        <v>0.5777906976744186</v>
      </c>
      <c r="W1879" s="253"/>
      <c r="X1879" s="253">
        <v>0.57588235294117651</v>
      </c>
      <c r="Y1879" s="253">
        <v>0.54145833333333326</v>
      </c>
      <c r="Z1879" s="253">
        <v>0.56153846153846154</v>
      </c>
      <c r="AA1879" s="253"/>
      <c r="AB1879" s="253"/>
      <c r="AC1879" s="253"/>
      <c r="AD1879" s="253"/>
      <c r="AE1879" s="253"/>
    </row>
    <row r="1880" spans="1:31">
      <c r="A1880" s="33">
        <v>1879</v>
      </c>
      <c r="B1880" s="69" t="s">
        <v>1054</v>
      </c>
      <c r="C1880" s="69" t="s">
        <v>723</v>
      </c>
      <c r="D1880" s="56">
        <v>42984</v>
      </c>
      <c r="E1880" s="33" t="s">
        <v>724</v>
      </c>
      <c r="F1880" s="69" t="s">
        <v>532</v>
      </c>
      <c r="G1880" s="69" t="str">
        <f t="shared" si="29"/>
        <v>E-Commerce</v>
      </c>
      <c r="H1880" s="69" t="s">
        <v>749</v>
      </c>
      <c r="I1880" s="69" t="s">
        <v>888</v>
      </c>
      <c r="J1880" s="69" t="s">
        <v>1054</v>
      </c>
      <c r="K1880" s="69" t="s">
        <v>1052</v>
      </c>
      <c r="L1880" s="253">
        <v>64.830209790209793</v>
      </c>
      <c r="M1880" s="253">
        <v>67.294693031404165</v>
      </c>
      <c r="N1880" s="253">
        <v>67.877144059770572</v>
      </c>
      <c r="O1880" s="253">
        <v>65.776638302904715</v>
      </c>
      <c r="P1880" s="253">
        <v>63.345454545454537</v>
      </c>
      <c r="Q1880" s="253">
        <v>65.743243243243242</v>
      </c>
      <c r="R1880" s="253">
        <v>69.016995535071288</v>
      </c>
      <c r="S1880" s="253">
        <v>62.367924528301884</v>
      </c>
      <c r="T1880" s="253">
        <v>70.763358778625943</v>
      </c>
      <c r="U1880" s="253">
        <v>67.283950617283949</v>
      </c>
      <c r="V1880" s="253">
        <v>68.32558139534882</v>
      </c>
      <c r="W1880" s="253"/>
      <c r="X1880" s="253">
        <v>66.382352941176464</v>
      </c>
      <c r="Y1880" s="253">
        <v>63.974999999999994</v>
      </c>
      <c r="Z1880" s="253">
        <v>70.769230769230774</v>
      </c>
      <c r="AA1880" s="253"/>
      <c r="AB1880" s="253"/>
      <c r="AC1880" s="253"/>
      <c r="AD1880" s="253"/>
      <c r="AE1880" s="253"/>
    </row>
    <row r="1881" spans="1:31">
      <c r="A1881" s="33">
        <v>1880</v>
      </c>
      <c r="B1881" s="69" t="s">
        <v>1054</v>
      </c>
      <c r="C1881" s="69" t="s">
        <v>723</v>
      </c>
      <c r="D1881" s="56">
        <v>42984</v>
      </c>
      <c r="E1881" s="33" t="s">
        <v>896</v>
      </c>
      <c r="F1881" s="69" t="s">
        <v>532</v>
      </c>
      <c r="G1881" s="69" t="str">
        <f t="shared" si="29"/>
        <v>E-Commerce</v>
      </c>
      <c r="H1881" s="69" t="s">
        <v>749</v>
      </c>
      <c r="I1881" s="69" t="s">
        <v>888</v>
      </c>
      <c r="J1881" s="69" t="s">
        <v>1054</v>
      </c>
      <c r="K1881" s="69" t="s">
        <v>895</v>
      </c>
      <c r="L1881" s="253">
        <v>66.596083916083913</v>
      </c>
      <c r="M1881" s="253">
        <v>70.078177163264087</v>
      </c>
      <c r="N1881" s="253">
        <v>66.337156687361883</v>
      </c>
      <c r="O1881" s="253">
        <v>69.083705665395016</v>
      </c>
      <c r="P1881" s="253">
        <v>68.418181818181807</v>
      </c>
      <c r="Q1881" s="253">
        <v>63.027027027027025</v>
      </c>
      <c r="R1881" s="253">
        <v>68.951461904076041</v>
      </c>
      <c r="S1881" s="253">
        <v>77.028301886792462</v>
      </c>
      <c r="T1881" s="253">
        <v>67.480916030534345</v>
      </c>
      <c r="U1881" s="253">
        <v>77.152263374485614</v>
      </c>
      <c r="V1881" s="253">
        <v>67.744186046511629</v>
      </c>
      <c r="W1881" s="253"/>
      <c r="X1881" s="253">
        <v>61.64705882352942</v>
      </c>
      <c r="Y1881" s="253">
        <v>71.854166666666671</v>
      </c>
      <c r="Z1881" s="253">
        <v>59.307692307692307</v>
      </c>
      <c r="AA1881" s="253"/>
      <c r="AB1881" s="253"/>
      <c r="AC1881" s="253"/>
      <c r="AD1881" s="253"/>
      <c r="AE1881" s="253"/>
    </row>
    <row r="1882" spans="1:31">
      <c r="A1882" s="33">
        <v>1881</v>
      </c>
      <c r="B1882" s="69" t="s">
        <v>1054</v>
      </c>
      <c r="C1882" s="69" t="s">
        <v>723</v>
      </c>
      <c r="D1882" s="56">
        <v>42984</v>
      </c>
      <c r="E1882" s="33" t="s">
        <v>724</v>
      </c>
      <c r="F1882" s="69" t="s">
        <v>532</v>
      </c>
      <c r="G1882" s="69" t="str">
        <f t="shared" si="29"/>
        <v>E-Commerce</v>
      </c>
      <c r="H1882" s="69" t="s">
        <v>749</v>
      </c>
      <c r="I1882" s="69" t="s">
        <v>888</v>
      </c>
      <c r="J1882" s="69" t="s">
        <v>1054</v>
      </c>
      <c r="K1882" s="69" t="s">
        <v>554</v>
      </c>
      <c r="L1882" s="253">
        <v>63.259580419580416</v>
      </c>
      <c r="M1882" s="253">
        <v>68.989510669076722</v>
      </c>
      <c r="N1882" s="253">
        <v>68.376933599915816</v>
      </c>
      <c r="O1882" s="253">
        <v>71.935695442188972</v>
      </c>
      <c r="P1882" s="253">
        <v>63.709090909090904</v>
      </c>
      <c r="Q1882" s="253">
        <v>68.067567567567579</v>
      </c>
      <c r="R1882" s="253">
        <v>66.338758461760051</v>
      </c>
      <c r="S1882" s="253">
        <v>71.839622641509436</v>
      </c>
      <c r="T1882" s="253">
        <v>69.198473282442734</v>
      </c>
      <c r="U1882" s="253">
        <v>72.983539094650212</v>
      </c>
      <c r="V1882" s="253">
        <v>70.748837209302323</v>
      </c>
      <c r="W1882" s="253"/>
      <c r="X1882" s="253">
        <v>60.470588235294116</v>
      </c>
      <c r="Y1882" s="253">
        <v>76.593749999999986</v>
      </c>
      <c r="Z1882" s="253">
        <v>61.461538461538467</v>
      </c>
      <c r="AA1882" s="253"/>
      <c r="AB1882" s="253"/>
      <c r="AC1882" s="253"/>
      <c r="AD1882" s="253"/>
      <c r="AE1882" s="253"/>
    </row>
    <row r="1883" spans="1:31">
      <c r="A1883" s="33">
        <v>1882</v>
      </c>
      <c r="B1883" s="69" t="s">
        <v>1054</v>
      </c>
      <c r="C1883" s="69" t="s">
        <v>723</v>
      </c>
      <c r="D1883" s="56">
        <v>42984</v>
      </c>
      <c r="E1883" s="33" t="s">
        <v>724</v>
      </c>
      <c r="F1883" s="69" t="s">
        <v>532</v>
      </c>
      <c r="G1883" s="69" t="str">
        <f t="shared" si="29"/>
        <v>E-Commerce</v>
      </c>
      <c r="H1883" s="69" t="s">
        <v>749</v>
      </c>
      <c r="I1883" s="69" t="s">
        <v>888</v>
      </c>
      <c r="J1883" s="69" t="s">
        <v>1054</v>
      </c>
      <c r="K1883" s="69" t="s">
        <v>1053</v>
      </c>
      <c r="L1883" s="253">
        <v>61.916643356643348</v>
      </c>
      <c r="M1883" s="253">
        <v>65.615306535582121</v>
      </c>
      <c r="N1883" s="253">
        <v>63.54119751657371</v>
      </c>
      <c r="O1883" s="253">
        <v>60.589807776752309</v>
      </c>
      <c r="P1883" s="253">
        <v>61.472727272727269</v>
      </c>
      <c r="Q1883" s="253">
        <v>72.837837837837839</v>
      </c>
      <c r="R1883" s="253">
        <v>63.720293821114794</v>
      </c>
      <c r="S1883" s="253">
        <v>63.254716981132077</v>
      </c>
      <c r="T1883" s="253">
        <v>65.572519083969468</v>
      </c>
      <c r="U1883" s="253">
        <v>64.415637860082299</v>
      </c>
      <c r="V1883" s="253">
        <v>65.697674418604649</v>
      </c>
      <c r="W1883" s="253"/>
      <c r="X1883" s="253">
        <v>56.352941176470594</v>
      </c>
      <c r="Y1883" s="253">
        <v>57.541666666666664</v>
      </c>
      <c r="Z1883" s="253">
        <v>63.692307692307693</v>
      </c>
      <c r="AA1883" s="253"/>
      <c r="AB1883" s="253"/>
      <c r="AC1883" s="253"/>
      <c r="AD1883" s="253"/>
      <c r="AE1883" s="253"/>
    </row>
    <row r="1884" spans="1:31">
      <c r="A1884" s="33">
        <v>1883</v>
      </c>
      <c r="B1884" s="69" t="s">
        <v>1054</v>
      </c>
      <c r="C1884" s="69" t="s">
        <v>723</v>
      </c>
      <c r="D1884" s="56">
        <v>42984</v>
      </c>
      <c r="E1884" s="33" t="s">
        <v>724</v>
      </c>
      <c r="F1884" s="69" t="s">
        <v>532</v>
      </c>
      <c r="G1884" s="69" t="str">
        <f t="shared" si="29"/>
        <v>E-Commerce</v>
      </c>
      <c r="H1884" s="69" t="s">
        <v>749</v>
      </c>
      <c r="I1884" s="69" t="s">
        <v>888</v>
      </c>
      <c r="J1884" s="69" t="s">
        <v>1054</v>
      </c>
      <c r="K1884" s="69" t="s">
        <v>1054</v>
      </c>
      <c r="L1884" s="253">
        <v>63.815104895104888</v>
      </c>
      <c r="M1884" s="253">
        <v>62.697603102161693</v>
      </c>
      <c r="N1884" s="253">
        <v>63.252341365884455</v>
      </c>
      <c r="O1884" s="253">
        <v>64.150068111929286</v>
      </c>
      <c r="P1884" s="253">
        <v>64.672727272727272</v>
      </c>
      <c r="Q1884" s="253">
        <v>56.54054054054054</v>
      </c>
      <c r="R1884" s="253">
        <v>58.596428057035865</v>
      </c>
      <c r="S1884" s="253">
        <v>68.726415094339629</v>
      </c>
      <c r="T1884" s="253">
        <v>60.687022900763353</v>
      </c>
      <c r="U1884" s="253">
        <v>69.032921810699577</v>
      </c>
      <c r="V1884" s="253">
        <v>63.116279069767444</v>
      </c>
      <c r="W1884" s="253"/>
      <c r="X1884" s="253">
        <v>63.705882352941181</v>
      </c>
      <c r="Y1884" s="253">
        <v>66.693749999999994</v>
      </c>
      <c r="Z1884" s="253">
        <v>60.38461538461538</v>
      </c>
      <c r="AA1884" s="253"/>
      <c r="AB1884" s="253"/>
      <c r="AC1884" s="253"/>
      <c r="AD1884" s="253"/>
      <c r="AE1884" s="253"/>
    </row>
    <row r="1885" spans="1:31">
      <c r="A1885" s="33">
        <v>1884</v>
      </c>
      <c r="B1885" s="69" t="s">
        <v>554</v>
      </c>
      <c r="C1885" s="69" t="s">
        <v>791</v>
      </c>
      <c r="D1885" s="56">
        <v>42989</v>
      </c>
      <c r="E1885" s="33" t="s">
        <v>724</v>
      </c>
      <c r="F1885" s="69" t="s">
        <v>380</v>
      </c>
      <c r="G1885" s="69" t="str">
        <f t="shared" si="29"/>
        <v>E-Commerce</v>
      </c>
      <c r="H1885" s="69" t="s">
        <v>749</v>
      </c>
      <c r="I1885" s="69" t="s">
        <v>888</v>
      </c>
      <c r="J1885" s="69" t="s">
        <v>554</v>
      </c>
      <c r="K1885" s="69" t="s">
        <v>389</v>
      </c>
      <c r="L1885" s="253">
        <v>70.200580551523956</v>
      </c>
      <c r="M1885" s="253">
        <v>71.764639871973941</v>
      </c>
      <c r="N1885" s="253">
        <v>68.243712511838382</v>
      </c>
      <c r="O1885" s="253">
        <v>74.039999999999992</v>
      </c>
      <c r="P1885" s="253">
        <v>74.962264150943398</v>
      </c>
      <c r="Q1885" s="253">
        <v>70.337837837837839</v>
      </c>
      <c r="R1885" s="253">
        <v>69.62545480487978</v>
      </c>
      <c r="S1885" s="253">
        <v>78.773584905660371</v>
      </c>
      <c r="T1885" s="253">
        <v>61.832061068702295</v>
      </c>
      <c r="U1885" s="253">
        <v>83.641975308641975</v>
      </c>
      <c r="V1885" s="253">
        <v>68.069767441860478</v>
      </c>
      <c r="W1885" s="253"/>
      <c r="X1885" s="253">
        <v>68.82352941176471</v>
      </c>
      <c r="Y1885" s="253">
        <v>80.291666666666671</v>
      </c>
      <c r="Z1885" s="253">
        <v>51.153846153846146</v>
      </c>
      <c r="AA1885" s="253"/>
      <c r="AB1885" s="253"/>
      <c r="AC1885" s="253"/>
      <c r="AD1885" s="253"/>
      <c r="AE1885" s="253"/>
    </row>
    <row r="1886" spans="1:31">
      <c r="A1886" s="33">
        <v>1885</v>
      </c>
      <c r="B1886" s="69" t="s">
        <v>554</v>
      </c>
      <c r="C1886" s="69" t="s">
        <v>791</v>
      </c>
      <c r="D1886" s="56">
        <v>42989</v>
      </c>
      <c r="E1886" s="33" t="s">
        <v>724</v>
      </c>
      <c r="F1886" s="69" t="s">
        <v>380</v>
      </c>
      <c r="G1886" s="69" t="str">
        <f t="shared" si="29"/>
        <v>E-Commerce</v>
      </c>
      <c r="H1886" s="69" t="s">
        <v>749</v>
      </c>
      <c r="I1886" s="69" t="s">
        <v>888</v>
      </c>
      <c r="J1886" s="69" t="s">
        <v>554</v>
      </c>
      <c r="K1886" s="69" t="s">
        <v>1052</v>
      </c>
      <c r="L1886" s="253">
        <v>64.830209790209793</v>
      </c>
      <c r="M1886" s="253">
        <v>67.294693031404165</v>
      </c>
      <c r="N1886" s="253">
        <v>67.877144059770572</v>
      </c>
      <c r="O1886" s="253">
        <v>65.776638302904715</v>
      </c>
      <c r="P1886" s="253">
        <v>63.345454545454537</v>
      </c>
      <c r="Q1886" s="253">
        <v>65.743243243243242</v>
      </c>
      <c r="R1886" s="253">
        <v>69.016995535071288</v>
      </c>
      <c r="S1886" s="253">
        <v>62.367924528301884</v>
      </c>
      <c r="T1886" s="253">
        <v>70.763358778625943</v>
      </c>
      <c r="U1886" s="253">
        <v>67.283950617283949</v>
      </c>
      <c r="V1886" s="253">
        <v>68.32558139534882</v>
      </c>
      <c r="W1886" s="253"/>
      <c r="X1886" s="253">
        <v>66.382352941176464</v>
      </c>
      <c r="Y1886" s="253">
        <v>63.974999999999994</v>
      </c>
      <c r="Z1886" s="253">
        <v>70.769230769230774</v>
      </c>
      <c r="AA1886" s="253"/>
      <c r="AB1886" s="253"/>
      <c r="AC1886" s="253"/>
      <c r="AD1886" s="253"/>
      <c r="AE1886" s="253"/>
    </row>
    <row r="1887" spans="1:31">
      <c r="A1887" s="33">
        <v>1886</v>
      </c>
      <c r="B1887" s="69" t="s">
        <v>554</v>
      </c>
      <c r="C1887" s="69" t="s">
        <v>791</v>
      </c>
      <c r="D1887" s="56">
        <v>42989</v>
      </c>
      <c r="E1887" s="33" t="s">
        <v>896</v>
      </c>
      <c r="F1887" s="69" t="s">
        <v>380</v>
      </c>
      <c r="G1887" s="69" t="str">
        <f t="shared" si="29"/>
        <v>E-Commerce</v>
      </c>
      <c r="H1887" s="69" t="s">
        <v>749</v>
      </c>
      <c r="I1887" s="69" t="s">
        <v>888</v>
      </c>
      <c r="J1887" s="69" t="s">
        <v>554</v>
      </c>
      <c r="K1887" s="69" t="s">
        <v>895</v>
      </c>
      <c r="L1887" s="253">
        <v>66.596083916083913</v>
      </c>
      <c r="M1887" s="253">
        <v>70.078177163264087</v>
      </c>
      <c r="N1887" s="253">
        <v>66.337156687361883</v>
      </c>
      <c r="O1887" s="253">
        <v>69.083705665395016</v>
      </c>
      <c r="P1887" s="253">
        <v>68.418181818181807</v>
      </c>
      <c r="Q1887" s="253">
        <v>63.027027027027025</v>
      </c>
      <c r="R1887" s="253">
        <v>68.951461904076041</v>
      </c>
      <c r="S1887" s="253">
        <v>77.028301886792462</v>
      </c>
      <c r="T1887" s="253">
        <v>67.480916030534345</v>
      </c>
      <c r="U1887" s="253">
        <v>77.152263374485614</v>
      </c>
      <c r="V1887" s="253">
        <v>67.744186046511629</v>
      </c>
      <c r="W1887" s="253"/>
      <c r="X1887" s="253">
        <v>61.64705882352942</v>
      </c>
      <c r="Y1887" s="253">
        <v>71.854166666666671</v>
      </c>
      <c r="Z1887" s="253">
        <v>59.307692307692307</v>
      </c>
      <c r="AA1887" s="253"/>
      <c r="AB1887" s="253"/>
      <c r="AC1887" s="253"/>
      <c r="AD1887" s="253"/>
      <c r="AE1887" s="253"/>
    </row>
    <row r="1888" spans="1:31">
      <c r="A1888" s="33">
        <v>1887</v>
      </c>
      <c r="B1888" s="69" t="s">
        <v>554</v>
      </c>
      <c r="C1888" s="69" t="s">
        <v>791</v>
      </c>
      <c r="D1888" s="56">
        <v>42989</v>
      </c>
      <c r="E1888" s="33" t="s">
        <v>724</v>
      </c>
      <c r="F1888" s="69" t="s">
        <v>380</v>
      </c>
      <c r="G1888" s="69" t="str">
        <f t="shared" si="29"/>
        <v>E-Commerce</v>
      </c>
      <c r="H1888" s="69" t="s">
        <v>749</v>
      </c>
      <c r="I1888" s="69" t="s">
        <v>888</v>
      </c>
      <c r="J1888" s="69" t="s">
        <v>554</v>
      </c>
      <c r="K1888" s="69" t="s">
        <v>554</v>
      </c>
      <c r="L1888" s="253">
        <v>63.259580419580416</v>
      </c>
      <c r="M1888" s="253">
        <v>68.989510669076722</v>
      </c>
      <c r="N1888" s="253">
        <v>68.376933599915816</v>
      </c>
      <c r="O1888" s="253">
        <v>71.935695442188972</v>
      </c>
      <c r="P1888" s="253">
        <v>63.709090909090904</v>
      </c>
      <c r="Q1888" s="253">
        <v>68.067567567567579</v>
      </c>
      <c r="R1888" s="253">
        <v>66.338758461760051</v>
      </c>
      <c r="S1888" s="253">
        <v>71.839622641509436</v>
      </c>
      <c r="T1888" s="253">
        <v>69.198473282442734</v>
      </c>
      <c r="U1888" s="253">
        <v>72.983539094650212</v>
      </c>
      <c r="V1888" s="253">
        <v>70.748837209302323</v>
      </c>
      <c r="W1888" s="253"/>
      <c r="X1888" s="253">
        <v>60.470588235294116</v>
      </c>
      <c r="Y1888" s="253">
        <v>76.593749999999986</v>
      </c>
      <c r="Z1888" s="253">
        <v>61.461538461538467</v>
      </c>
      <c r="AA1888" s="253"/>
      <c r="AB1888" s="253"/>
      <c r="AC1888" s="253"/>
      <c r="AD1888" s="253"/>
      <c r="AE1888" s="253"/>
    </row>
    <row r="1889" spans="1:31">
      <c r="A1889" s="33">
        <v>1888</v>
      </c>
      <c r="B1889" s="69" t="s">
        <v>554</v>
      </c>
      <c r="C1889" s="69" t="s">
        <v>791</v>
      </c>
      <c r="D1889" s="56">
        <v>42989</v>
      </c>
      <c r="E1889" s="33" t="s">
        <v>724</v>
      </c>
      <c r="F1889" s="69" t="s">
        <v>380</v>
      </c>
      <c r="G1889" s="69" t="str">
        <f t="shared" si="29"/>
        <v>E-Commerce</v>
      </c>
      <c r="H1889" s="69" t="s">
        <v>749</v>
      </c>
      <c r="I1889" s="69" t="s">
        <v>888</v>
      </c>
      <c r="J1889" s="69" t="s">
        <v>554</v>
      </c>
      <c r="K1889" s="69" t="s">
        <v>1053</v>
      </c>
      <c r="L1889" s="253">
        <v>61.916643356643348</v>
      </c>
      <c r="M1889" s="253">
        <v>65.615306535582121</v>
      </c>
      <c r="N1889" s="253">
        <v>63.54119751657371</v>
      </c>
      <c r="O1889" s="253">
        <v>60.589807776752309</v>
      </c>
      <c r="P1889" s="253">
        <v>61.472727272727269</v>
      </c>
      <c r="Q1889" s="253">
        <v>72.837837837837839</v>
      </c>
      <c r="R1889" s="253">
        <v>63.720293821114794</v>
      </c>
      <c r="S1889" s="253">
        <v>63.254716981132077</v>
      </c>
      <c r="T1889" s="253">
        <v>65.572519083969468</v>
      </c>
      <c r="U1889" s="253">
        <v>64.415637860082299</v>
      </c>
      <c r="V1889" s="253">
        <v>65.697674418604649</v>
      </c>
      <c r="W1889" s="253"/>
      <c r="X1889" s="253">
        <v>56.352941176470594</v>
      </c>
      <c r="Y1889" s="253">
        <v>57.541666666666664</v>
      </c>
      <c r="Z1889" s="253">
        <v>63.692307692307693</v>
      </c>
      <c r="AA1889" s="253"/>
      <c r="AB1889" s="253"/>
      <c r="AC1889" s="253"/>
      <c r="AD1889" s="253"/>
      <c r="AE1889" s="253"/>
    </row>
    <row r="1890" spans="1:31">
      <c r="A1890" s="33">
        <v>1889</v>
      </c>
      <c r="B1890" s="69" t="s">
        <v>554</v>
      </c>
      <c r="C1890" s="69" t="s">
        <v>791</v>
      </c>
      <c r="D1890" s="56">
        <v>42989</v>
      </c>
      <c r="E1890" s="33" t="s">
        <v>724</v>
      </c>
      <c r="F1890" s="69" t="s">
        <v>380</v>
      </c>
      <c r="G1890" s="69" t="str">
        <f t="shared" si="29"/>
        <v>E-Commerce</v>
      </c>
      <c r="H1890" s="69" t="s">
        <v>749</v>
      </c>
      <c r="I1890" s="69" t="s">
        <v>888</v>
      </c>
      <c r="J1890" s="69" t="s">
        <v>554</v>
      </c>
      <c r="K1890" s="69" t="s">
        <v>1054</v>
      </c>
      <c r="L1890" s="253">
        <v>63.815104895104888</v>
      </c>
      <c r="M1890" s="253">
        <v>62.697603102161693</v>
      </c>
      <c r="N1890" s="253">
        <v>63.252341365884455</v>
      </c>
      <c r="O1890" s="253">
        <v>64.150068111929286</v>
      </c>
      <c r="P1890" s="253">
        <v>64.672727272727272</v>
      </c>
      <c r="Q1890" s="253">
        <v>56.54054054054054</v>
      </c>
      <c r="R1890" s="253">
        <v>58.596428057035865</v>
      </c>
      <c r="S1890" s="253">
        <v>68.726415094339629</v>
      </c>
      <c r="T1890" s="253">
        <v>60.687022900763353</v>
      </c>
      <c r="U1890" s="253">
        <v>69.032921810699577</v>
      </c>
      <c r="V1890" s="253">
        <v>63.116279069767444</v>
      </c>
      <c r="W1890" s="253"/>
      <c r="X1890" s="253">
        <v>63.705882352941181</v>
      </c>
      <c r="Y1890" s="253">
        <v>66.693749999999994</v>
      </c>
      <c r="Z1890" s="253">
        <v>60.38461538461538</v>
      </c>
      <c r="AA1890" s="253"/>
      <c r="AB1890" s="253"/>
      <c r="AC1890" s="253"/>
      <c r="AD1890" s="253"/>
      <c r="AE1890" s="253"/>
    </row>
    <row r="1891" spans="1:31">
      <c r="A1891" s="33">
        <v>1890</v>
      </c>
      <c r="B1891" s="69" t="s">
        <v>554</v>
      </c>
      <c r="C1891" s="69" t="s">
        <v>791</v>
      </c>
      <c r="D1891" s="56">
        <v>42989</v>
      </c>
      <c r="E1891" s="33" t="s">
        <v>724</v>
      </c>
      <c r="F1891" s="69" t="s">
        <v>380</v>
      </c>
      <c r="G1891" s="69" t="str">
        <f t="shared" si="29"/>
        <v>E-Commerce</v>
      </c>
      <c r="H1891" s="69" t="s">
        <v>749</v>
      </c>
      <c r="I1891" s="69" t="s">
        <v>1197</v>
      </c>
      <c r="J1891" s="69" t="s">
        <v>554</v>
      </c>
      <c r="K1891" s="69" t="s">
        <v>389</v>
      </c>
      <c r="L1891" s="253">
        <v>0.70200580551523961</v>
      </c>
      <c r="M1891" s="253">
        <v>0.71764639871973945</v>
      </c>
      <c r="N1891" s="253">
        <v>0.68243712511838384</v>
      </c>
      <c r="O1891" s="253">
        <v>0.74039999999999995</v>
      </c>
      <c r="P1891" s="253">
        <v>0.74962264150943403</v>
      </c>
      <c r="Q1891" s="253">
        <v>0.70337837837837835</v>
      </c>
      <c r="R1891" s="253">
        <v>0.69625454804879783</v>
      </c>
      <c r="S1891" s="253">
        <v>0.78773584905660377</v>
      </c>
      <c r="T1891" s="253">
        <v>0.61832061068702293</v>
      </c>
      <c r="U1891" s="253">
        <v>0.8364197530864198</v>
      </c>
      <c r="V1891" s="253">
        <v>0.68069767441860474</v>
      </c>
      <c r="W1891" s="253"/>
      <c r="X1891" s="253">
        <v>0.68823529411764706</v>
      </c>
      <c r="Y1891" s="253">
        <v>0.80291666666666672</v>
      </c>
      <c r="Z1891" s="253">
        <v>0.5115384615384615</v>
      </c>
      <c r="AA1891" s="253"/>
      <c r="AB1891" s="253"/>
      <c r="AC1891" s="253"/>
      <c r="AD1891" s="253"/>
      <c r="AE1891" s="253"/>
    </row>
    <row r="1892" spans="1:31">
      <c r="A1892" s="33">
        <v>1891</v>
      </c>
      <c r="B1892" s="69" t="s">
        <v>554</v>
      </c>
      <c r="C1892" s="69" t="s">
        <v>791</v>
      </c>
      <c r="D1892" s="56">
        <v>42989</v>
      </c>
      <c r="E1892" s="33" t="s">
        <v>724</v>
      </c>
      <c r="F1892" s="69" t="s">
        <v>380</v>
      </c>
      <c r="G1892" s="69" t="str">
        <f t="shared" si="29"/>
        <v>E-Commerce</v>
      </c>
      <c r="H1892" s="69" t="s">
        <v>749</v>
      </c>
      <c r="I1892" s="69" t="s">
        <v>888</v>
      </c>
      <c r="J1892" s="69" t="s">
        <v>554</v>
      </c>
      <c r="K1892" s="69" t="s">
        <v>1052</v>
      </c>
      <c r="L1892" s="253">
        <v>0.64830209790209792</v>
      </c>
      <c r="M1892" s="253">
        <v>0.67294693031404174</v>
      </c>
      <c r="N1892" s="253">
        <v>0.67877144059770578</v>
      </c>
      <c r="O1892" s="253">
        <v>0.65776638302904711</v>
      </c>
      <c r="P1892" s="253">
        <v>0.63345454545454538</v>
      </c>
      <c r="Q1892" s="253">
        <v>0.65743243243243243</v>
      </c>
      <c r="R1892" s="253">
        <v>0.6901699553507129</v>
      </c>
      <c r="S1892" s="253">
        <v>0.62367924528301888</v>
      </c>
      <c r="T1892" s="253">
        <v>0.70763358778625951</v>
      </c>
      <c r="U1892" s="253">
        <v>0.6728395061728395</v>
      </c>
      <c r="V1892" s="253">
        <v>0.68325581395348822</v>
      </c>
      <c r="W1892" s="253"/>
      <c r="X1892" s="253">
        <v>0.6638235294117647</v>
      </c>
      <c r="Y1892" s="253">
        <v>0.63974999999999993</v>
      </c>
      <c r="Z1892" s="253">
        <v>0.70769230769230773</v>
      </c>
      <c r="AA1892" s="253"/>
      <c r="AB1892" s="253"/>
      <c r="AC1892" s="253"/>
      <c r="AD1892" s="253"/>
      <c r="AE1892" s="253"/>
    </row>
    <row r="1893" spans="1:31">
      <c r="A1893" s="33">
        <v>1892</v>
      </c>
      <c r="B1893" s="69" t="s">
        <v>554</v>
      </c>
      <c r="C1893" s="69" t="s">
        <v>791</v>
      </c>
      <c r="D1893" s="56">
        <v>42989</v>
      </c>
      <c r="E1893" s="33" t="s">
        <v>724</v>
      </c>
      <c r="F1893" s="69" t="s">
        <v>380</v>
      </c>
      <c r="G1893" s="69" t="str">
        <f t="shared" si="29"/>
        <v>E-Commerce</v>
      </c>
      <c r="H1893" s="69" t="s">
        <v>749</v>
      </c>
      <c r="I1893" s="69" t="s">
        <v>888</v>
      </c>
      <c r="J1893" s="69" t="s">
        <v>554</v>
      </c>
      <c r="K1893" s="69" t="s">
        <v>895</v>
      </c>
      <c r="L1893" s="253">
        <v>0.66596083916083915</v>
      </c>
      <c r="M1893" s="253">
        <v>0.70078177163264088</v>
      </c>
      <c r="N1893" s="253">
        <v>0.66337156687361887</v>
      </c>
      <c r="O1893" s="253">
        <v>0.69083705665395012</v>
      </c>
      <c r="P1893" s="253">
        <v>0.68418181818181811</v>
      </c>
      <c r="Q1893" s="253">
        <v>0.63027027027027027</v>
      </c>
      <c r="R1893" s="253">
        <v>0.68951461904076039</v>
      </c>
      <c r="S1893" s="253">
        <v>0.77028301886792461</v>
      </c>
      <c r="T1893" s="253">
        <v>0.67480916030534344</v>
      </c>
      <c r="U1893" s="253">
        <v>0.77152263374485619</v>
      </c>
      <c r="V1893" s="253">
        <v>0.67744186046511634</v>
      </c>
      <c r="W1893" s="253"/>
      <c r="X1893" s="253">
        <v>0.61647058823529421</v>
      </c>
      <c r="Y1893" s="253">
        <v>0.71854166666666675</v>
      </c>
      <c r="Z1893" s="253">
        <v>0.59307692307692306</v>
      </c>
      <c r="AA1893" s="253"/>
      <c r="AB1893" s="253"/>
      <c r="AC1893" s="253"/>
      <c r="AD1893" s="253"/>
      <c r="AE1893" s="253"/>
    </row>
    <row r="1894" spans="1:31">
      <c r="A1894" s="33">
        <v>1893</v>
      </c>
      <c r="B1894" s="69" t="s">
        <v>554</v>
      </c>
      <c r="C1894" s="69" t="s">
        <v>791</v>
      </c>
      <c r="D1894" s="56">
        <v>42989</v>
      </c>
      <c r="E1894" s="33" t="s">
        <v>724</v>
      </c>
      <c r="F1894" s="69" t="s">
        <v>380</v>
      </c>
      <c r="G1894" s="69" t="str">
        <f t="shared" si="29"/>
        <v>E-Commerce</v>
      </c>
      <c r="H1894" s="69" t="s">
        <v>749</v>
      </c>
      <c r="I1894" s="69" t="s">
        <v>888</v>
      </c>
      <c r="J1894" s="69" t="s">
        <v>554</v>
      </c>
      <c r="K1894" s="69" t="s">
        <v>554</v>
      </c>
      <c r="L1894" s="253">
        <v>0.63259580419580419</v>
      </c>
      <c r="M1894" s="253">
        <v>0.68989510669076726</v>
      </c>
      <c r="N1894" s="253">
        <v>0.68376933599915812</v>
      </c>
      <c r="O1894" s="253">
        <v>0.71935695442188974</v>
      </c>
      <c r="P1894" s="253">
        <v>0.63709090909090904</v>
      </c>
      <c r="Q1894" s="253">
        <v>0.68067567567567577</v>
      </c>
      <c r="R1894" s="253">
        <v>0.6633875846176005</v>
      </c>
      <c r="S1894" s="253">
        <v>0.71839622641509437</v>
      </c>
      <c r="T1894" s="253">
        <v>0.69198473282442741</v>
      </c>
      <c r="U1894" s="253">
        <v>0.72983539094650207</v>
      </c>
      <c r="V1894" s="253">
        <v>0.70748837209302329</v>
      </c>
      <c r="W1894" s="253"/>
      <c r="X1894" s="253">
        <v>0.6047058823529412</v>
      </c>
      <c r="Y1894" s="253">
        <v>0.76593749999999994</v>
      </c>
      <c r="Z1894" s="253">
        <v>0.61461538461538467</v>
      </c>
      <c r="AA1894" s="253"/>
      <c r="AB1894" s="253"/>
      <c r="AC1894" s="253"/>
      <c r="AD1894" s="253"/>
      <c r="AE1894" s="253"/>
    </row>
    <row r="1895" spans="1:31">
      <c r="A1895" s="33">
        <v>1894</v>
      </c>
      <c r="B1895" s="69" t="s">
        <v>554</v>
      </c>
      <c r="C1895" s="69" t="s">
        <v>791</v>
      </c>
      <c r="D1895" s="56">
        <v>42989</v>
      </c>
      <c r="E1895" s="33" t="s">
        <v>724</v>
      </c>
      <c r="F1895" s="69" t="s">
        <v>380</v>
      </c>
      <c r="G1895" s="69" t="str">
        <f t="shared" si="29"/>
        <v>E-Commerce</v>
      </c>
      <c r="H1895" s="69" t="s">
        <v>749</v>
      </c>
      <c r="I1895" s="69" t="s">
        <v>888</v>
      </c>
      <c r="J1895" s="69" t="s">
        <v>554</v>
      </c>
      <c r="K1895" s="69" t="s">
        <v>1053</v>
      </c>
      <c r="L1895" s="253">
        <v>0.61916643356643353</v>
      </c>
      <c r="M1895" s="253">
        <v>0.6561530653558213</v>
      </c>
      <c r="N1895" s="253">
        <v>0.63541197516573711</v>
      </c>
      <c r="O1895" s="253">
        <v>0.60589807776752314</v>
      </c>
      <c r="P1895" s="253">
        <v>0.61472727272727268</v>
      </c>
      <c r="Q1895" s="253">
        <v>0.72837837837837838</v>
      </c>
      <c r="R1895" s="253">
        <v>0.63720293821114793</v>
      </c>
      <c r="S1895" s="253">
        <v>0.63254716981132075</v>
      </c>
      <c r="T1895" s="253">
        <v>0.65572519083969472</v>
      </c>
      <c r="U1895" s="253">
        <v>0.64415637860082298</v>
      </c>
      <c r="V1895" s="253">
        <v>0.65697674418604646</v>
      </c>
      <c r="W1895" s="253"/>
      <c r="X1895" s="253">
        <v>0.56352941176470595</v>
      </c>
      <c r="Y1895" s="253">
        <v>0.57541666666666669</v>
      </c>
      <c r="Z1895" s="253">
        <v>0.63692307692307693</v>
      </c>
      <c r="AA1895" s="253"/>
      <c r="AB1895" s="253"/>
      <c r="AC1895" s="253"/>
      <c r="AD1895" s="253"/>
      <c r="AE1895" s="253"/>
    </row>
    <row r="1896" spans="1:31">
      <c r="A1896" s="33">
        <v>1895</v>
      </c>
      <c r="B1896" s="69" t="s">
        <v>554</v>
      </c>
      <c r="C1896" s="69" t="s">
        <v>791</v>
      </c>
      <c r="D1896" s="56">
        <v>42989</v>
      </c>
      <c r="E1896" s="33" t="s">
        <v>724</v>
      </c>
      <c r="F1896" s="69" t="s">
        <v>380</v>
      </c>
      <c r="G1896" s="69" t="str">
        <f t="shared" si="29"/>
        <v>E-Commerce</v>
      </c>
      <c r="H1896" s="69" t="s">
        <v>749</v>
      </c>
      <c r="I1896" s="69" t="s">
        <v>888</v>
      </c>
      <c r="J1896" s="69" t="s">
        <v>554</v>
      </c>
      <c r="K1896" s="69" t="s">
        <v>1054</v>
      </c>
      <c r="L1896" s="253">
        <v>0.6381510489510489</v>
      </c>
      <c r="M1896" s="253">
        <v>0.62697603102161692</v>
      </c>
      <c r="N1896" s="253">
        <v>0.63252341365884457</v>
      </c>
      <c r="O1896" s="253">
        <v>0.64150068111929293</v>
      </c>
      <c r="P1896" s="253">
        <v>0.64672727272727271</v>
      </c>
      <c r="Q1896" s="253">
        <v>0.5654054054054054</v>
      </c>
      <c r="R1896" s="253">
        <v>0.58596428057035865</v>
      </c>
      <c r="S1896" s="253">
        <v>0.68726415094339632</v>
      </c>
      <c r="T1896" s="253">
        <v>0.60687022900763354</v>
      </c>
      <c r="U1896" s="253">
        <v>0.69032921810699577</v>
      </c>
      <c r="V1896" s="253">
        <v>0.63116279069767445</v>
      </c>
      <c r="W1896" s="253"/>
      <c r="X1896" s="253">
        <v>0.63705882352941179</v>
      </c>
      <c r="Y1896" s="253">
        <v>0.66693749999999996</v>
      </c>
      <c r="Z1896" s="253">
        <v>0.60384615384615381</v>
      </c>
      <c r="AA1896" s="253"/>
      <c r="AB1896" s="253"/>
      <c r="AC1896" s="253"/>
      <c r="AD1896" s="253"/>
      <c r="AE1896" s="253"/>
    </row>
    <row r="1897" spans="1:31">
      <c r="A1897" s="33">
        <v>1896</v>
      </c>
      <c r="B1897" s="69" t="s">
        <v>1189</v>
      </c>
      <c r="C1897" s="69" t="s">
        <v>740</v>
      </c>
      <c r="D1897" s="56">
        <v>42990</v>
      </c>
      <c r="E1897" s="33" t="s">
        <v>1190</v>
      </c>
      <c r="F1897" s="69" t="s">
        <v>532</v>
      </c>
      <c r="G1897" s="69" t="str">
        <f t="shared" si="29"/>
        <v>E-Commerce</v>
      </c>
      <c r="H1897" s="69" t="s">
        <v>904</v>
      </c>
      <c r="I1897" s="69" t="s">
        <v>1191</v>
      </c>
      <c r="J1897" s="69" t="s">
        <v>1189</v>
      </c>
      <c r="K1897" s="69" t="s">
        <v>1189</v>
      </c>
      <c r="L1897" s="253">
        <v>0.61680406386066777</v>
      </c>
      <c r="M1897" s="253">
        <v>0.59389404919138844</v>
      </c>
      <c r="N1897" s="253">
        <v>0.56225961538461544</v>
      </c>
      <c r="O1897" s="253">
        <v>0.59808529284691991</v>
      </c>
      <c r="P1897" s="253">
        <v>0.62273584905660395</v>
      </c>
      <c r="Q1897" s="253">
        <v>0.60783783783783785</v>
      </c>
      <c r="R1897" s="253">
        <v>0.62746368094753413</v>
      </c>
      <c r="S1897" s="253">
        <v>0.54014150943396222</v>
      </c>
      <c r="T1897" s="253">
        <v>0.58564356435643572</v>
      </c>
      <c r="U1897" s="253">
        <v>0.59744855967078192</v>
      </c>
      <c r="V1897" s="253">
        <v>0.56225961538461544</v>
      </c>
      <c r="W1897" s="253">
        <v>0</v>
      </c>
      <c r="X1897" s="253">
        <v>0</v>
      </c>
      <c r="Y1897" s="253">
        <v>0.59853125000000007</v>
      </c>
      <c r="Z1897" s="253">
        <v>0.59307692307692306</v>
      </c>
      <c r="AA1897" s="253"/>
      <c r="AB1897" s="253"/>
      <c r="AC1897" s="253"/>
      <c r="AD1897" s="253"/>
      <c r="AE1897" s="253"/>
    </row>
    <row r="1898" spans="1:31">
      <c r="A1898" s="33">
        <v>1897</v>
      </c>
      <c r="B1898" s="69" t="s">
        <v>1189</v>
      </c>
      <c r="C1898" s="69" t="s">
        <v>740</v>
      </c>
      <c r="D1898" s="56">
        <v>42990</v>
      </c>
      <c r="E1898" s="33" t="s">
        <v>724</v>
      </c>
      <c r="F1898" s="69" t="s">
        <v>532</v>
      </c>
      <c r="G1898" s="69" t="str">
        <f t="shared" si="29"/>
        <v>E-Commerce</v>
      </c>
      <c r="H1898" s="69" t="s">
        <v>904</v>
      </c>
      <c r="I1898" s="69" t="s">
        <v>1191</v>
      </c>
      <c r="J1898" s="69" t="s">
        <v>1189</v>
      </c>
      <c r="K1898" s="69" t="s">
        <v>1192</v>
      </c>
      <c r="L1898" s="253">
        <v>0.60756748911465897</v>
      </c>
      <c r="M1898" s="253">
        <v>0.59847186269973507</v>
      </c>
      <c r="N1898" s="253">
        <v>0.62956730769230762</v>
      </c>
      <c r="O1898" s="253">
        <v>0.63267880826403367</v>
      </c>
      <c r="P1898" s="253">
        <v>0.6081132075471698</v>
      </c>
      <c r="Q1898" s="253">
        <v>0.60081081081081078</v>
      </c>
      <c r="R1898" s="253">
        <v>0.5952486266676178</v>
      </c>
      <c r="S1898" s="253">
        <v>0.61745283018867914</v>
      </c>
      <c r="T1898" s="253">
        <v>0.60152671755725184</v>
      </c>
      <c r="U1898" s="253">
        <v>0.5800411522633746</v>
      </c>
      <c r="V1898" s="253">
        <v>0.62956730769230762</v>
      </c>
      <c r="W1898" s="253">
        <v>0</v>
      </c>
      <c r="X1898" s="253">
        <v>0</v>
      </c>
      <c r="Y1898" s="253">
        <v>0.65306249999999999</v>
      </c>
      <c r="Z1898" s="253">
        <v>0.60538461538461541</v>
      </c>
      <c r="AA1898" s="253"/>
      <c r="AB1898" s="253"/>
      <c r="AC1898" s="253"/>
      <c r="AD1898" s="253"/>
      <c r="AE1898" s="253"/>
    </row>
    <row r="1899" spans="1:31">
      <c r="A1899" s="33">
        <v>1898</v>
      </c>
      <c r="B1899" s="69" t="s">
        <v>1189</v>
      </c>
      <c r="C1899" s="69" t="s">
        <v>740</v>
      </c>
      <c r="D1899" s="56">
        <v>42990</v>
      </c>
      <c r="E1899" s="33" t="s">
        <v>724</v>
      </c>
      <c r="F1899" s="69" t="s">
        <v>532</v>
      </c>
      <c r="G1899" s="69" t="str">
        <f t="shared" si="29"/>
        <v>E-Commerce</v>
      </c>
      <c r="H1899" s="69" t="s">
        <v>904</v>
      </c>
      <c r="I1899" s="69" t="s">
        <v>1191</v>
      </c>
      <c r="J1899" s="69" t="s">
        <v>1189</v>
      </c>
      <c r="K1899" s="69" t="s">
        <v>1193</v>
      </c>
      <c r="L1899" s="253">
        <v>0.61805224963715522</v>
      </c>
      <c r="M1899" s="253">
        <v>0.58342303703111575</v>
      </c>
      <c r="N1899" s="253">
        <v>0.59086538461538463</v>
      </c>
      <c r="O1899" s="253">
        <v>0.58646714941905564</v>
      </c>
      <c r="P1899" s="253">
        <v>0.61660377358490548</v>
      </c>
      <c r="Q1899" s="253">
        <v>0.58783783783783783</v>
      </c>
      <c r="R1899" s="253">
        <v>0.55162302917885431</v>
      </c>
      <c r="S1899" s="253">
        <v>0.59273584905660381</v>
      </c>
      <c r="T1899" s="253">
        <v>0.58206106870229013</v>
      </c>
      <c r="U1899" s="253">
        <v>0.58888888888888891</v>
      </c>
      <c r="V1899" s="253">
        <v>0.59086538461538463</v>
      </c>
      <c r="W1899" s="253">
        <v>0</v>
      </c>
      <c r="X1899" s="253">
        <v>0</v>
      </c>
      <c r="Y1899" s="253">
        <v>0.58145833333333341</v>
      </c>
      <c r="Z1899" s="253">
        <v>0.62384615384615383</v>
      </c>
      <c r="AA1899" s="253"/>
      <c r="AB1899" s="253"/>
      <c r="AC1899" s="253"/>
      <c r="AD1899" s="253"/>
      <c r="AE1899" s="253"/>
    </row>
    <row r="1900" spans="1:31">
      <c r="A1900" s="33">
        <v>1899</v>
      </c>
      <c r="B1900" s="69" t="s">
        <v>1189</v>
      </c>
      <c r="C1900" s="69" t="s">
        <v>740</v>
      </c>
      <c r="D1900" s="56">
        <v>42990</v>
      </c>
      <c r="E1900" s="33" t="s">
        <v>896</v>
      </c>
      <c r="F1900" s="69" t="s">
        <v>532</v>
      </c>
      <c r="G1900" s="69" t="str">
        <f t="shared" si="29"/>
        <v>E-Commerce</v>
      </c>
      <c r="H1900" s="69" t="s">
        <v>904</v>
      </c>
      <c r="I1900" s="69" t="s">
        <v>1191</v>
      </c>
      <c r="J1900" s="69" t="s">
        <v>1189</v>
      </c>
      <c r="K1900" s="69" t="s">
        <v>1194</v>
      </c>
      <c r="L1900" s="253">
        <v>0.64465312046444123</v>
      </c>
      <c r="M1900" s="253">
        <v>0.61653021110518436</v>
      </c>
      <c r="N1900" s="253">
        <v>0.66874999999999996</v>
      </c>
      <c r="O1900" s="253">
        <v>0.62114336046811069</v>
      </c>
      <c r="P1900" s="253">
        <v>0.64754716981132077</v>
      </c>
      <c r="Q1900" s="253">
        <v>0.57364864864864873</v>
      </c>
      <c r="R1900" s="253">
        <v>0.64319041164300483</v>
      </c>
      <c r="S1900" s="253">
        <v>0.57830188679245287</v>
      </c>
      <c r="T1900" s="253">
        <v>0.63702290076335866</v>
      </c>
      <c r="U1900" s="253">
        <v>0.63584362139917705</v>
      </c>
      <c r="V1900" s="253">
        <v>0.66875000000000007</v>
      </c>
      <c r="W1900" s="253">
        <v>0</v>
      </c>
      <c r="X1900" s="253">
        <v>0</v>
      </c>
      <c r="Y1900" s="253">
        <v>0.62218750000000012</v>
      </c>
      <c r="Z1900" s="253">
        <v>0.63307692307692309</v>
      </c>
      <c r="AA1900" s="253"/>
      <c r="AB1900" s="253"/>
      <c r="AC1900" s="253"/>
      <c r="AD1900" s="253"/>
      <c r="AE1900" s="253"/>
    </row>
    <row r="1901" spans="1:31">
      <c r="A1901" s="33">
        <v>1900</v>
      </c>
      <c r="B1901" s="69" t="s">
        <v>1189</v>
      </c>
      <c r="C1901" s="69" t="s">
        <v>740</v>
      </c>
      <c r="D1901" s="56">
        <v>42990</v>
      </c>
      <c r="E1901" s="33" t="s">
        <v>1195</v>
      </c>
      <c r="F1901" s="69" t="s">
        <v>532</v>
      </c>
      <c r="G1901" s="69" t="str">
        <f t="shared" si="29"/>
        <v>E-Commerce</v>
      </c>
      <c r="H1901" s="69" t="s">
        <v>904</v>
      </c>
      <c r="I1901" s="69" t="s">
        <v>1191</v>
      </c>
      <c r="J1901" s="69" t="s">
        <v>1189</v>
      </c>
      <c r="K1901" s="69" t="s">
        <v>1196</v>
      </c>
      <c r="L1901" s="253">
        <v>0.61033381712626988</v>
      </c>
      <c r="M1901" s="253">
        <v>0.57216992871208738</v>
      </c>
      <c r="N1901" s="253">
        <v>0.60552884615384617</v>
      </c>
      <c r="O1901" s="253">
        <v>0.5860455687481938</v>
      </c>
      <c r="P1901" s="253">
        <v>0.59830188679245278</v>
      </c>
      <c r="Q1901" s="253">
        <v>0.62027027027027026</v>
      </c>
      <c r="R1901" s="253">
        <v>0.55889990725547556</v>
      </c>
      <c r="S1901" s="253">
        <v>0.54952830188679247</v>
      </c>
      <c r="T1901" s="253">
        <v>0.54003816793893133</v>
      </c>
      <c r="U1901" s="253">
        <v>0.54983539094650202</v>
      </c>
      <c r="V1901" s="253">
        <v>0.60552884615384617</v>
      </c>
      <c r="W1901" s="253">
        <v>0</v>
      </c>
      <c r="X1901" s="253">
        <v>0</v>
      </c>
      <c r="Y1901" s="253">
        <v>0.56997916666666659</v>
      </c>
      <c r="Z1901" s="253">
        <v>0.65846153846153843</v>
      </c>
      <c r="AA1901" s="253"/>
      <c r="AB1901" s="253"/>
      <c r="AC1901" s="253"/>
      <c r="AD1901" s="253"/>
      <c r="AE1901" s="253"/>
    </row>
    <row r="1902" spans="1:31">
      <c r="A1902" s="33">
        <v>1901</v>
      </c>
      <c r="B1902" s="69" t="s">
        <v>1181</v>
      </c>
      <c r="C1902" s="69" t="s">
        <v>740</v>
      </c>
      <c r="D1902" s="56">
        <v>42991</v>
      </c>
      <c r="E1902" s="33" t="s">
        <v>724</v>
      </c>
      <c r="F1902" s="69" t="s">
        <v>532</v>
      </c>
      <c r="G1902" s="69" t="str">
        <f t="shared" si="29"/>
        <v>User Registration</v>
      </c>
      <c r="H1902" s="69" t="s">
        <v>494</v>
      </c>
      <c r="I1902" s="69" t="s">
        <v>1182</v>
      </c>
      <c r="J1902" s="69" t="s">
        <v>1181</v>
      </c>
      <c r="K1902" s="69" t="s">
        <v>1181</v>
      </c>
      <c r="L1902" s="253">
        <v>0.62352447552447554</v>
      </c>
      <c r="M1902" s="253">
        <v>0.61242060899649031</v>
      </c>
      <c r="N1902" s="253">
        <v>0.58430712669683249</v>
      </c>
      <c r="O1902" s="253">
        <v>0.5864714304954749</v>
      </c>
      <c r="P1902" s="253">
        <v>0.62363636363636366</v>
      </c>
      <c r="Q1902" s="253">
        <v>0.59337837837837837</v>
      </c>
      <c r="R1902" s="253">
        <v>0.66303366297073218</v>
      </c>
      <c r="S1902" s="253">
        <v>0.52647058823529402</v>
      </c>
      <c r="T1902" s="253">
        <v>0.64946808510638299</v>
      </c>
      <c r="U1902" s="253">
        <v>0.61931034482758629</v>
      </c>
      <c r="V1902" s="253">
        <v>0</v>
      </c>
      <c r="W1902" s="253">
        <v>0.57218749999999996</v>
      </c>
      <c r="X1902" s="253">
        <v>0.62470588235294122</v>
      </c>
      <c r="Y1902" s="253">
        <v>0.56548672566371683</v>
      </c>
      <c r="Z1902" s="253">
        <v>0.62307692307692308</v>
      </c>
      <c r="AA1902" s="253"/>
      <c r="AB1902" s="253"/>
      <c r="AC1902" s="253"/>
      <c r="AD1902" s="253"/>
      <c r="AE1902" s="253"/>
    </row>
    <row r="1903" spans="1:31">
      <c r="A1903" s="33">
        <v>1902</v>
      </c>
      <c r="B1903" s="69" t="s">
        <v>1181</v>
      </c>
      <c r="C1903" s="69" t="s">
        <v>740</v>
      </c>
      <c r="D1903" s="56">
        <v>42991</v>
      </c>
      <c r="E1903" s="33" t="s">
        <v>724</v>
      </c>
      <c r="F1903" s="69" t="s">
        <v>532</v>
      </c>
      <c r="G1903" s="69" t="str">
        <f t="shared" si="29"/>
        <v>User Registration</v>
      </c>
      <c r="H1903" s="69" t="s">
        <v>494</v>
      </c>
      <c r="I1903" s="69" t="s">
        <v>1182</v>
      </c>
      <c r="J1903" s="69" t="s">
        <v>1181</v>
      </c>
      <c r="K1903" s="69" t="s">
        <v>394</v>
      </c>
      <c r="L1903" s="253">
        <v>0.72984895104895098</v>
      </c>
      <c r="M1903" s="253">
        <v>0.65630952248249064</v>
      </c>
      <c r="N1903" s="253">
        <v>0.69809106334841631</v>
      </c>
      <c r="O1903" s="253">
        <v>0.64289498081621876</v>
      </c>
      <c r="P1903" s="253">
        <v>0.7332727272727273</v>
      </c>
      <c r="Q1903" s="253">
        <v>0.60689189189189197</v>
      </c>
      <c r="R1903" s="253">
        <v>0.62320946958345813</v>
      </c>
      <c r="S1903" s="253">
        <v>0.76372549019607849</v>
      </c>
      <c r="T1903" s="253">
        <v>0.63244680851063828</v>
      </c>
      <c r="U1903" s="253">
        <v>0.63339080459770114</v>
      </c>
      <c r="V1903" s="253">
        <v>0</v>
      </c>
      <c r="W1903" s="253">
        <v>0.67281250000000004</v>
      </c>
      <c r="X1903" s="253">
        <v>0.78235294117647058</v>
      </c>
      <c r="Y1903" s="253">
        <v>0.61637168141592924</v>
      </c>
      <c r="Z1903" s="253">
        <v>0.71615384615384614</v>
      </c>
      <c r="AA1903" s="253"/>
      <c r="AB1903" s="253"/>
      <c r="AC1903" s="253"/>
      <c r="AD1903" s="253"/>
      <c r="AE1903" s="253"/>
    </row>
    <row r="1904" spans="1:31">
      <c r="A1904" s="33">
        <v>1903</v>
      </c>
      <c r="B1904" s="69" t="s">
        <v>1181</v>
      </c>
      <c r="C1904" s="69" t="s">
        <v>740</v>
      </c>
      <c r="D1904" s="56">
        <v>42991</v>
      </c>
      <c r="E1904" s="33" t="s">
        <v>724</v>
      </c>
      <c r="F1904" s="69" t="s">
        <v>532</v>
      </c>
      <c r="G1904" s="69" t="str">
        <f t="shared" si="29"/>
        <v>User Registration</v>
      </c>
      <c r="H1904" s="69" t="s">
        <v>494</v>
      </c>
      <c r="I1904" s="69" t="s">
        <v>1182</v>
      </c>
      <c r="J1904" s="69" t="s">
        <v>1181</v>
      </c>
      <c r="K1904" s="69" t="s">
        <v>1183</v>
      </c>
      <c r="L1904" s="253">
        <v>0.63420419580419574</v>
      </c>
      <c r="M1904" s="253">
        <v>0.6005828370796682</v>
      </c>
      <c r="N1904" s="253">
        <v>0.6672483031674209</v>
      </c>
      <c r="O1904" s="253">
        <v>0.5877957153677974</v>
      </c>
      <c r="P1904" s="253">
        <v>0.64890909090909077</v>
      </c>
      <c r="Q1904" s="253">
        <v>0.6393243243243244</v>
      </c>
      <c r="R1904" s="253">
        <v>0.63024972530216761</v>
      </c>
      <c r="S1904" s="253">
        <v>0.58137254901960778</v>
      </c>
      <c r="T1904" s="253">
        <v>0.60627659574468085</v>
      </c>
      <c r="U1904" s="253">
        <v>0.56195402298850572</v>
      </c>
      <c r="V1904" s="253">
        <v>0</v>
      </c>
      <c r="W1904" s="253">
        <v>0.66218750000000004</v>
      </c>
      <c r="X1904" s="253">
        <v>0.6841176470588235</v>
      </c>
      <c r="Y1904" s="253">
        <v>0.57851769911504425</v>
      </c>
      <c r="Z1904" s="253">
        <v>0.57538461538461538</v>
      </c>
      <c r="AA1904" s="253"/>
      <c r="AB1904" s="253"/>
      <c r="AC1904" s="253"/>
      <c r="AD1904" s="253"/>
      <c r="AE1904" s="253"/>
    </row>
    <row r="1905" spans="1:31">
      <c r="A1905" s="33">
        <v>1904</v>
      </c>
      <c r="B1905" s="69" t="s">
        <v>1181</v>
      </c>
      <c r="C1905" s="69" t="s">
        <v>740</v>
      </c>
      <c r="D1905" s="56">
        <v>42991</v>
      </c>
      <c r="E1905" s="33" t="s">
        <v>724</v>
      </c>
      <c r="F1905" s="69" t="s">
        <v>532</v>
      </c>
      <c r="G1905" s="69" t="str">
        <f t="shared" si="29"/>
        <v>User Registration</v>
      </c>
      <c r="H1905" s="69" t="s">
        <v>494</v>
      </c>
      <c r="I1905" s="69" t="s">
        <v>1182</v>
      </c>
      <c r="J1905" s="69" t="s">
        <v>1181</v>
      </c>
      <c r="K1905" s="69" t="s">
        <v>369</v>
      </c>
      <c r="L1905" s="253">
        <v>0.61933706293706292</v>
      </c>
      <c r="M1905" s="253">
        <v>0.62407534008848886</v>
      </c>
      <c r="N1905" s="253">
        <v>0.63233597285067877</v>
      </c>
      <c r="O1905" s="253">
        <v>0.61081443841849836</v>
      </c>
      <c r="P1905" s="253">
        <v>0.62436363636363634</v>
      </c>
      <c r="Q1905" s="253">
        <v>0.6182432432432432</v>
      </c>
      <c r="R1905" s="253">
        <v>0.66646189191888927</v>
      </c>
      <c r="S1905" s="253">
        <v>0.57303921568627447</v>
      </c>
      <c r="T1905" s="253">
        <v>0.61755319148936172</v>
      </c>
      <c r="U1905" s="253">
        <v>0.64103448275862063</v>
      </c>
      <c r="V1905" s="253">
        <v>0</v>
      </c>
      <c r="W1905" s="253">
        <v>0.61062499999999997</v>
      </c>
      <c r="X1905" s="253">
        <v>0.70470588235294118</v>
      </c>
      <c r="Y1905" s="253">
        <v>0.60619469026548678</v>
      </c>
      <c r="Z1905" s="253">
        <v>0.59923076923076912</v>
      </c>
      <c r="AA1905" s="253"/>
      <c r="AB1905" s="253"/>
      <c r="AC1905" s="253"/>
      <c r="AD1905" s="253"/>
      <c r="AE1905" s="253"/>
    </row>
    <row r="1906" spans="1:31">
      <c r="A1906" s="33">
        <v>1905</v>
      </c>
      <c r="B1906" s="69" t="s">
        <v>1181</v>
      </c>
      <c r="C1906" s="69" t="s">
        <v>740</v>
      </c>
      <c r="D1906" s="56">
        <v>42991</v>
      </c>
      <c r="E1906" s="33" t="s">
        <v>724</v>
      </c>
      <c r="F1906" s="69" t="s">
        <v>532</v>
      </c>
      <c r="G1906" s="69" t="str">
        <f t="shared" si="29"/>
        <v>User Registration</v>
      </c>
      <c r="H1906" s="69" t="s">
        <v>494</v>
      </c>
      <c r="I1906" s="69" t="s">
        <v>1182</v>
      </c>
      <c r="J1906" s="69" t="s">
        <v>1181</v>
      </c>
      <c r="K1906" s="69" t="s">
        <v>1160</v>
      </c>
      <c r="L1906" s="253">
        <v>0.58665174825174826</v>
      </c>
      <c r="M1906" s="253">
        <v>0.55447445162923681</v>
      </c>
      <c r="N1906" s="253">
        <v>0.56875735294117646</v>
      </c>
      <c r="O1906" s="253">
        <v>0.56334447935551446</v>
      </c>
      <c r="P1906" s="253">
        <v>0.59254545454545449</v>
      </c>
      <c r="Q1906" s="253">
        <v>0.54391891891891897</v>
      </c>
      <c r="R1906" s="253">
        <v>0.58373289381680149</v>
      </c>
      <c r="S1906" s="253">
        <v>0.53774509803921566</v>
      </c>
      <c r="T1906" s="253">
        <v>0.58404255319148946</v>
      </c>
      <c r="U1906" s="253">
        <v>0.52586206896551724</v>
      </c>
      <c r="V1906" s="253">
        <v>0</v>
      </c>
      <c r="W1906" s="253">
        <v>0.56468750000000001</v>
      </c>
      <c r="X1906" s="253">
        <v>0.58232352941176468</v>
      </c>
      <c r="Y1906" s="253">
        <v>0.56384955752212396</v>
      </c>
      <c r="Z1906" s="253">
        <v>0.56307692307692314</v>
      </c>
      <c r="AA1906" s="253"/>
      <c r="AB1906" s="253"/>
      <c r="AC1906" s="253"/>
      <c r="AD1906" s="253"/>
      <c r="AE1906" s="253"/>
    </row>
    <row r="1907" spans="1:31">
      <c r="A1907" s="33">
        <v>1906</v>
      </c>
      <c r="B1907" s="69" t="s">
        <v>1184</v>
      </c>
      <c r="C1907" s="69" t="s">
        <v>740</v>
      </c>
      <c r="D1907" s="56">
        <v>42991</v>
      </c>
      <c r="E1907" s="33" t="s">
        <v>824</v>
      </c>
      <c r="F1907" s="69" t="s">
        <v>532</v>
      </c>
      <c r="G1907" s="69" t="str">
        <f t="shared" si="29"/>
        <v>User Registration</v>
      </c>
      <c r="H1907" s="69" t="s">
        <v>494</v>
      </c>
      <c r="I1907" s="69" t="s">
        <v>1185</v>
      </c>
      <c r="J1907" s="69" t="s">
        <v>1184</v>
      </c>
      <c r="K1907" s="69" t="s">
        <v>1184</v>
      </c>
      <c r="L1907" s="253">
        <v>0.5955832167832168</v>
      </c>
      <c r="M1907" s="253">
        <v>0.64921871162105249</v>
      </c>
      <c r="N1907" s="253">
        <v>0.67625000000000002</v>
      </c>
      <c r="O1907" s="253">
        <v>0.60533397371950737</v>
      </c>
      <c r="P1907" s="253">
        <v>0.60236363636363643</v>
      </c>
      <c r="Q1907" s="253">
        <v>0.65135135135135136</v>
      </c>
      <c r="R1907" s="253">
        <v>0.67246828488662469</v>
      </c>
      <c r="S1907" s="253">
        <v>0.60096153846153844</v>
      </c>
      <c r="T1907" s="253">
        <v>0.68829787234042561</v>
      </c>
      <c r="U1907" s="253">
        <v>0.67172413793103447</v>
      </c>
      <c r="V1907" s="253">
        <v>0</v>
      </c>
      <c r="W1907" s="253">
        <v>0.67625000000000002</v>
      </c>
      <c r="X1907" s="253">
        <v>0</v>
      </c>
      <c r="Y1907" s="253">
        <v>0.59880434782608694</v>
      </c>
      <c r="Z1907" s="253">
        <v>0.56846153846153835</v>
      </c>
      <c r="AA1907" s="253"/>
      <c r="AB1907" s="253"/>
      <c r="AC1907" s="253"/>
      <c r="AD1907" s="253"/>
      <c r="AE1907" s="253"/>
    </row>
    <row r="1908" spans="1:31">
      <c r="A1908" s="33">
        <v>1907</v>
      </c>
      <c r="B1908" s="69" t="s">
        <v>1184</v>
      </c>
      <c r="C1908" s="69" t="s">
        <v>740</v>
      </c>
      <c r="D1908" s="56">
        <v>42991</v>
      </c>
      <c r="E1908" s="33" t="s">
        <v>824</v>
      </c>
      <c r="F1908" s="69" t="s">
        <v>532</v>
      </c>
      <c r="G1908" s="69" t="str">
        <f t="shared" si="29"/>
        <v>User Registration</v>
      </c>
      <c r="H1908" s="69" t="s">
        <v>494</v>
      </c>
      <c r="I1908" s="69" t="s">
        <v>1185</v>
      </c>
      <c r="J1908" s="69" t="s">
        <v>1184</v>
      </c>
      <c r="K1908" s="69" t="s">
        <v>1186</v>
      </c>
      <c r="L1908" s="253">
        <v>0.62258741258741268</v>
      </c>
      <c r="M1908" s="253">
        <v>0.56666100056973767</v>
      </c>
      <c r="N1908" s="253">
        <v>0.61442307692307696</v>
      </c>
      <c r="O1908" s="253">
        <v>0.54438408003149263</v>
      </c>
      <c r="P1908" s="253">
        <v>0.62727272727272732</v>
      </c>
      <c r="Q1908" s="253">
        <v>0.58567567567567569</v>
      </c>
      <c r="R1908" s="253">
        <v>0.57219858156028369</v>
      </c>
      <c r="S1908" s="253">
        <v>0.57596153846153841</v>
      </c>
      <c r="T1908" s="253">
        <v>0.53031914893617027</v>
      </c>
      <c r="U1908" s="253">
        <v>0.54540229885057478</v>
      </c>
      <c r="V1908" s="253">
        <v>0</v>
      </c>
      <c r="W1908" s="253">
        <v>0.64875000000000005</v>
      </c>
      <c r="X1908" s="253">
        <v>0.5</v>
      </c>
      <c r="Y1908" s="253">
        <v>0.51369565217391311</v>
      </c>
      <c r="Z1908" s="253">
        <v>0.60384615384615381</v>
      </c>
      <c r="AA1908" s="253"/>
      <c r="AB1908" s="253"/>
      <c r="AC1908" s="253"/>
      <c r="AD1908" s="253"/>
      <c r="AE1908" s="253"/>
    </row>
    <row r="1909" spans="1:31">
      <c r="A1909" s="33">
        <v>1908</v>
      </c>
      <c r="B1909" s="69" t="s">
        <v>1184</v>
      </c>
      <c r="C1909" s="69" t="s">
        <v>740</v>
      </c>
      <c r="D1909" s="56">
        <v>42991</v>
      </c>
      <c r="E1909" s="33" t="s">
        <v>824</v>
      </c>
      <c r="F1909" s="69" t="s">
        <v>532</v>
      </c>
      <c r="G1909" s="69" t="str">
        <f t="shared" si="29"/>
        <v>User Registration</v>
      </c>
      <c r="H1909" s="69" t="s">
        <v>494</v>
      </c>
      <c r="I1909" s="69" t="s">
        <v>1185</v>
      </c>
      <c r="J1909" s="69" t="s">
        <v>1184</v>
      </c>
      <c r="K1909" s="69" t="s">
        <v>1187</v>
      </c>
      <c r="L1909" s="253">
        <v>0.63947972027972033</v>
      </c>
      <c r="M1909" s="253">
        <v>0.59156125101339119</v>
      </c>
      <c r="N1909" s="253">
        <v>0.60406250000000006</v>
      </c>
      <c r="O1909" s="253">
        <v>0.5821729046723193</v>
      </c>
      <c r="P1909" s="253">
        <v>0.65127272727272734</v>
      </c>
      <c r="Q1909" s="253">
        <v>0.56148648648648647</v>
      </c>
      <c r="R1909" s="253">
        <v>0.60885311871227366</v>
      </c>
      <c r="S1909" s="253">
        <v>0.5495192307692307</v>
      </c>
      <c r="T1909" s="253">
        <v>0.60238095238095235</v>
      </c>
      <c r="U1909" s="253">
        <v>0.62517241379310351</v>
      </c>
      <c r="V1909" s="253">
        <v>0</v>
      </c>
      <c r="W1909" s="253">
        <v>0.60406250000000006</v>
      </c>
      <c r="X1909" s="253">
        <v>0</v>
      </c>
      <c r="Y1909" s="253">
        <v>0.57913043478260862</v>
      </c>
      <c r="Z1909" s="253">
        <v>0.59230769230769231</v>
      </c>
      <c r="AA1909" s="253"/>
      <c r="AB1909" s="253"/>
      <c r="AC1909" s="253"/>
      <c r="AD1909" s="253"/>
      <c r="AE1909" s="253"/>
    </row>
    <row r="1910" spans="1:31">
      <c r="A1910" s="33">
        <v>1909</v>
      </c>
      <c r="B1910" s="69" t="s">
        <v>1184</v>
      </c>
      <c r="C1910" s="69" t="s">
        <v>740</v>
      </c>
      <c r="D1910" s="56">
        <v>42991</v>
      </c>
      <c r="E1910" s="33" t="s">
        <v>824</v>
      </c>
      <c r="F1910" s="69" t="s">
        <v>532</v>
      </c>
      <c r="G1910" s="69" t="str">
        <f t="shared" si="29"/>
        <v>User Registration</v>
      </c>
      <c r="H1910" s="69" t="s">
        <v>494</v>
      </c>
      <c r="I1910" s="69" t="s">
        <v>1185</v>
      </c>
      <c r="J1910" s="69" t="s">
        <v>1184</v>
      </c>
      <c r="K1910" s="69" t="s">
        <v>826</v>
      </c>
      <c r="L1910" s="253">
        <v>0.6072727272727273</v>
      </c>
      <c r="M1910" s="253">
        <v>0.61014771750837193</v>
      </c>
      <c r="N1910" s="253">
        <v>0.53508766968325783</v>
      </c>
      <c r="O1910" s="253">
        <v>0.61266749242830987</v>
      </c>
      <c r="P1910" s="253">
        <v>0.61909090909090914</v>
      </c>
      <c r="Q1910" s="253">
        <v>0.57635135135135129</v>
      </c>
      <c r="R1910" s="253">
        <v>0.65589851163719914</v>
      </c>
      <c r="S1910" s="253">
        <v>0.62980769230769229</v>
      </c>
      <c r="T1910" s="253">
        <v>0.61755319148936172</v>
      </c>
      <c r="U1910" s="253">
        <v>0.59132183908045965</v>
      </c>
      <c r="V1910" s="253">
        <v>0</v>
      </c>
      <c r="W1910" s="253">
        <v>0.51843749999999988</v>
      </c>
      <c r="X1910" s="253">
        <v>0.59058823529411764</v>
      </c>
      <c r="Y1910" s="253">
        <v>0.62173913043478257</v>
      </c>
      <c r="Z1910" s="253">
        <v>0.55999999999999994</v>
      </c>
      <c r="AA1910" s="253"/>
      <c r="AB1910" s="253"/>
      <c r="AC1910" s="253"/>
      <c r="AD1910" s="253"/>
      <c r="AE1910" s="253"/>
    </row>
    <row r="1911" spans="1:31">
      <c r="A1911" s="33">
        <v>1910</v>
      </c>
      <c r="B1911" s="69" t="s">
        <v>1184</v>
      </c>
      <c r="C1911" s="69" t="s">
        <v>740</v>
      </c>
      <c r="D1911" s="56">
        <v>42991</v>
      </c>
      <c r="E1911" s="33" t="s">
        <v>824</v>
      </c>
      <c r="F1911" s="69" t="s">
        <v>532</v>
      </c>
      <c r="G1911" s="69" t="str">
        <f t="shared" si="29"/>
        <v>User Registration</v>
      </c>
      <c r="H1911" s="69" t="s">
        <v>494</v>
      </c>
      <c r="I1911" s="69" t="s">
        <v>1185</v>
      </c>
      <c r="J1911" s="69" t="s">
        <v>1184</v>
      </c>
      <c r="K1911" s="69" t="s">
        <v>1188</v>
      </c>
      <c r="L1911" s="253">
        <v>0.57667132867132864</v>
      </c>
      <c r="M1911" s="253">
        <v>0.54291296848664627</v>
      </c>
      <c r="N1911" s="253">
        <v>0.52925904977375571</v>
      </c>
      <c r="O1911" s="253">
        <v>0.55616254980316238</v>
      </c>
      <c r="P1911" s="253">
        <v>0.57545454545454544</v>
      </c>
      <c r="Q1911" s="253">
        <v>0.54891891891891886</v>
      </c>
      <c r="R1911" s="253">
        <v>0.55228049145939462</v>
      </c>
      <c r="S1911" s="253">
        <v>0.49471153846153848</v>
      </c>
      <c r="T1911" s="253">
        <v>0.57329787234042551</v>
      </c>
      <c r="U1911" s="253">
        <v>0.5336206896551724</v>
      </c>
      <c r="V1911" s="253">
        <v>0</v>
      </c>
      <c r="W1911" s="253">
        <v>0.54562500000000003</v>
      </c>
      <c r="X1911" s="253">
        <v>0.4747058823529412</v>
      </c>
      <c r="Y1911" s="253">
        <v>0.55619565217391298</v>
      </c>
      <c r="Z1911" s="253">
        <v>0.58153846153846145</v>
      </c>
      <c r="AA1911" s="253"/>
      <c r="AB1911" s="253"/>
      <c r="AC1911" s="253"/>
      <c r="AD1911" s="253"/>
      <c r="AE1911" s="253"/>
    </row>
    <row r="1912" spans="1:31">
      <c r="A1912" s="33">
        <v>1911</v>
      </c>
      <c r="B1912" s="69" t="s">
        <v>1178</v>
      </c>
      <c r="C1912" s="69" t="s">
        <v>1178</v>
      </c>
      <c r="D1912" s="56">
        <v>42992</v>
      </c>
      <c r="E1912" s="33" t="s">
        <v>781</v>
      </c>
      <c r="F1912" s="69" t="s">
        <v>532</v>
      </c>
      <c r="G1912" s="69" t="str">
        <f t="shared" si="29"/>
        <v>User Registration</v>
      </c>
      <c r="H1912" s="69" t="s">
        <v>1178</v>
      </c>
      <c r="I1912" s="69" t="s">
        <v>1179</v>
      </c>
      <c r="J1912" s="69" t="s">
        <v>1180</v>
      </c>
      <c r="K1912" s="69" t="s">
        <v>1180</v>
      </c>
      <c r="L1912" s="253">
        <v>63.184325108853407</v>
      </c>
      <c r="M1912" s="253">
        <v>59.386768475541004</v>
      </c>
      <c r="N1912" s="253">
        <v>56.012792581420037</v>
      </c>
      <c r="O1912" s="253">
        <v>56.87267547776522</v>
      </c>
      <c r="P1912" s="253">
        <v>64.018867924528294</v>
      </c>
      <c r="Q1912" s="253">
        <v>58.71621621621621</v>
      </c>
      <c r="R1912" s="253">
        <v>56.711075760588578</v>
      </c>
      <c r="S1912" s="253">
        <v>56.971153846153854</v>
      </c>
      <c r="T1912" s="253">
        <v>56.968085106382972</v>
      </c>
      <c r="U1912" s="253">
        <v>65.798850574712645</v>
      </c>
      <c r="V1912" s="253"/>
      <c r="W1912" s="253">
        <v>54.728395061728392</v>
      </c>
      <c r="X1912" s="253">
        <v>60.294117647058819</v>
      </c>
      <c r="Y1912" s="253">
        <v>55.818749999999994</v>
      </c>
      <c r="Z1912" s="253">
        <v>59.846153846153861</v>
      </c>
      <c r="AA1912" s="253"/>
      <c r="AB1912" s="253"/>
      <c r="AC1912" s="253"/>
      <c r="AD1912" s="253"/>
      <c r="AE1912" s="253"/>
    </row>
    <row r="1913" spans="1:31">
      <c r="A1913" s="33">
        <v>1912</v>
      </c>
      <c r="B1913" s="69" t="s">
        <v>1178</v>
      </c>
      <c r="C1913" s="69" t="s">
        <v>1178</v>
      </c>
      <c r="D1913" s="56">
        <v>42992</v>
      </c>
      <c r="E1913" s="33" t="s">
        <v>781</v>
      </c>
      <c r="F1913" s="69" t="s">
        <v>532</v>
      </c>
      <c r="G1913" s="69" t="str">
        <f t="shared" si="29"/>
        <v>User Registration</v>
      </c>
      <c r="H1913" s="69" t="s">
        <v>1178</v>
      </c>
      <c r="I1913" s="69" t="s">
        <v>1179</v>
      </c>
      <c r="J1913" s="69" t="s">
        <v>1164</v>
      </c>
      <c r="K1913" s="69" t="s">
        <v>1164</v>
      </c>
      <c r="L1913" s="253">
        <v>59.923367198838903</v>
      </c>
      <c r="M1913" s="253">
        <v>59.37080267127358</v>
      </c>
      <c r="N1913" s="253">
        <v>54.77068320205575</v>
      </c>
      <c r="O1913" s="253">
        <v>54.528483457841702</v>
      </c>
      <c r="P1913" s="253">
        <v>60.981132075471699</v>
      </c>
      <c r="Q1913" s="253">
        <v>57.63513513513513</v>
      </c>
      <c r="R1913" s="253">
        <v>63.153708490753623</v>
      </c>
      <c r="S1913" s="253">
        <v>50.67307692307692</v>
      </c>
      <c r="T1913" s="253">
        <v>60.957446808510639</v>
      </c>
      <c r="U1913" s="253">
        <v>64.454022988505756</v>
      </c>
      <c r="V1913" s="253"/>
      <c r="W1913" s="253">
        <v>54.790123456790127</v>
      </c>
      <c r="X1913" s="253">
        <v>54.705882352941181</v>
      </c>
      <c r="Y1913" s="253">
        <v>52.529166666666669</v>
      </c>
      <c r="Z1913" s="253">
        <v>55.692307692307693</v>
      </c>
      <c r="AA1913" s="253"/>
      <c r="AB1913" s="253"/>
      <c r="AC1913" s="253"/>
      <c r="AD1913" s="253"/>
      <c r="AE1913" s="253"/>
    </row>
    <row r="1914" spans="1:31">
      <c r="A1914" s="33">
        <v>1913</v>
      </c>
      <c r="B1914" s="69" t="s">
        <v>1178</v>
      </c>
      <c r="C1914" s="69" t="s">
        <v>1178</v>
      </c>
      <c r="D1914" s="56">
        <v>42992</v>
      </c>
      <c r="E1914" s="33" t="s">
        <v>781</v>
      </c>
      <c r="F1914" s="69" t="s">
        <v>532</v>
      </c>
      <c r="G1914" s="69" t="str">
        <f t="shared" si="29"/>
        <v>User Registration</v>
      </c>
      <c r="H1914" s="69" t="s">
        <v>1178</v>
      </c>
      <c r="I1914" s="69" t="s">
        <v>1179</v>
      </c>
      <c r="J1914" s="69" t="s">
        <v>1078</v>
      </c>
      <c r="K1914" s="69" t="s">
        <v>1078</v>
      </c>
      <c r="L1914" s="253">
        <v>60.477213352685055</v>
      </c>
      <c r="M1914" s="253">
        <v>60.178415800060037</v>
      </c>
      <c r="N1914" s="253">
        <v>56.085972850678729</v>
      </c>
      <c r="O1914" s="253">
        <v>58.427357517848108</v>
      </c>
      <c r="P1914" s="253">
        <v>61.981132075471699</v>
      </c>
      <c r="Q1914" s="253">
        <v>57.972972972972968</v>
      </c>
      <c r="R1914" s="253">
        <v>63.754225492145551</v>
      </c>
      <c r="S1914" s="253">
        <v>57.836538461538453</v>
      </c>
      <c r="T1914" s="253">
        <v>59.361702127659576</v>
      </c>
      <c r="U1914" s="253">
        <v>63.017241379310342</v>
      </c>
      <c r="V1914" s="253"/>
      <c r="W1914" s="253">
        <v>57.999999999999993</v>
      </c>
      <c r="X1914" s="253">
        <v>49.705882352941174</v>
      </c>
      <c r="Y1914" s="253">
        <v>58.65625</v>
      </c>
      <c r="Z1914" s="253">
        <v>54.461538461538474</v>
      </c>
      <c r="AA1914" s="253"/>
      <c r="AB1914" s="253"/>
      <c r="AC1914" s="253"/>
      <c r="AD1914" s="253"/>
      <c r="AE1914" s="253"/>
    </row>
    <row r="1915" spans="1:31">
      <c r="A1915" s="33">
        <v>1914</v>
      </c>
      <c r="B1915" s="69" t="s">
        <v>1178</v>
      </c>
      <c r="C1915" s="69" t="s">
        <v>1178</v>
      </c>
      <c r="D1915" s="56">
        <v>42992</v>
      </c>
      <c r="E1915" s="33" t="s">
        <v>781</v>
      </c>
      <c r="F1915" s="69" t="s">
        <v>532</v>
      </c>
      <c r="G1915" s="69" t="str">
        <f t="shared" si="29"/>
        <v>User Registration</v>
      </c>
      <c r="H1915" s="69" t="s">
        <v>1178</v>
      </c>
      <c r="I1915" s="69" t="s">
        <v>1179</v>
      </c>
      <c r="J1915" s="69" t="s">
        <v>1137</v>
      </c>
      <c r="K1915" s="69" t="s">
        <v>1137</v>
      </c>
      <c r="L1915" s="253">
        <v>62.23889695210449</v>
      </c>
      <c r="M1915" s="253">
        <v>58.891951885277251</v>
      </c>
      <c r="N1915" s="253">
        <v>54.00033517680577</v>
      </c>
      <c r="O1915" s="253">
        <v>58.106185932058359</v>
      </c>
      <c r="P1915" s="253">
        <v>64.471698113207538</v>
      </c>
      <c r="Q1915" s="253">
        <v>57.135135135135137</v>
      </c>
      <c r="R1915" s="253">
        <v>62.584211572877301</v>
      </c>
      <c r="S1915" s="253">
        <v>54.182692307692299</v>
      </c>
      <c r="T1915" s="253">
        <v>59.308510638297875</v>
      </c>
      <c r="U1915" s="253">
        <v>62.356321839080465</v>
      </c>
      <c r="V1915" s="253"/>
      <c r="W1915" s="253">
        <v>53.25925925925926</v>
      </c>
      <c r="X1915" s="253">
        <v>56.470588235294116</v>
      </c>
      <c r="Y1915" s="253">
        <v>59.139583333333334</v>
      </c>
      <c r="Z1915" s="253">
        <v>53.307692307692299</v>
      </c>
      <c r="AA1915" s="253"/>
      <c r="AB1915" s="253"/>
      <c r="AC1915" s="253"/>
      <c r="AD1915" s="253"/>
      <c r="AE1915" s="253"/>
    </row>
    <row r="1916" spans="1:31">
      <c r="A1916" s="33">
        <v>1915</v>
      </c>
      <c r="B1916" s="69" t="s">
        <v>1178</v>
      </c>
      <c r="C1916" s="69" t="s">
        <v>1178</v>
      </c>
      <c r="D1916" s="56">
        <v>42992</v>
      </c>
      <c r="E1916" s="33" t="s">
        <v>781</v>
      </c>
      <c r="F1916" s="69" t="s">
        <v>532</v>
      </c>
      <c r="G1916" s="69" t="str">
        <f t="shared" si="29"/>
        <v>User Registration</v>
      </c>
      <c r="H1916" s="69" t="s">
        <v>1178</v>
      </c>
      <c r="I1916" s="69" t="s">
        <v>1179</v>
      </c>
      <c r="J1916" s="69" t="s">
        <v>1079</v>
      </c>
      <c r="K1916" s="69" t="s">
        <v>1079</v>
      </c>
      <c r="L1916" s="253">
        <v>58.665892597968075</v>
      </c>
      <c r="M1916" s="253">
        <v>61.323056750535763</v>
      </c>
      <c r="N1916" s="253">
        <v>56.627842019998887</v>
      </c>
      <c r="O1916" s="253">
        <v>59.012409613426655</v>
      </c>
      <c r="P1916" s="253">
        <v>58.716981132075475</v>
      </c>
      <c r="Q1916" s="253">
        <v>59.594594594594597</v>
      </c>
      <c r="R1916" s="253">
        <v>63.157543391188241</v>
      </c>
      <c r="S1916" s="253">
        <v>59.374999999999986</v>
      </c>
      <c r="T1916" s="253">
        <v>63.630952380952387</v>
      </c>
      <c r="U1916" s="253">
        <v>62.189655172413794</v>
      </c>
      <c r="V1916" s="253"/>
      <c r="W1916" s="253">
        <v>54.46913580246914</v>
      </c>
      <c r="X1916" s="253">
        <v>63.823529411764703</v>
      </c>
      <c r="Y1916" s="253">
        <v>58.254166666666663</v>
      </c>
      <c r="Z1916" s="253">
        <v>58.461538461538467</v>
      </c>
      <c r="AA1916" s="253"/>
      <c r="AB1916" s="253"/>
      <c r="AC1916" s="253"/>
      <c r="AD1916" s="253"/>
      <c r="AE1916" s="253"/>
    </row>
    <row r="1917" spans="1:31">
      <c r="A1917" s="33">
        <v>1916</v>
      </c>
      <c r="B1917" s="69" t="s">
        <v>1178</v>
      </c>
      <c r="C1917" s="69" t="s">
        <v>1178</v>
      </c>
      <c r="D1917" s="56">
        <v>42992</v>
      </c>
      <c r="E1917" s="33" t="s">
        <v>781</v>
      </c>
      <c r="F1917" s="69" t="s">
        <v>532</v>
      </c>
      <c r="G1917" s="69" t="str">
        <f t="shared" si="29"/>
        <v>User Registration</v>
      </c>
      <c r="H1917" s="69" t="s">
        <v>1178</v>
      </c>
      <c r="I1917" s="69" t="s">
        <v>1179</v>
      </c>
      <c r="J1917" s="69" t="s">
        <v>1155</v>
      </c>
      <c r="K1917" s="69" t="s">
        <v>1155</v>
      </c>
      <c r="L1917" s="253">
        <v>59.170391872278657</v>
      </c>
      <c r="M1917" s="253">
        <v>58.022322520640365</v>
      </c>
      <c r="N1917" s="253">
        <v>54.989665381822235</v>
      </c>
      <c r="O1917" s="253">
        <v>55.616449524477083</v>
      </c>
      <c r="P1917" s="253">
        <v>59.924528301886788</v>
      </c>
      <c r="Q1917" s="253">
        <v>55.391891891891895</v>
      </c>
      <c r="R1917" s="253">
        <v>60.242592960827203</v>
      </c>
      <c r="S1917" s="253">
        <v>52.932692307692307</v>
      </c>
      <c r="T1917" s="253">
        <v>60.265957446808507</v>
      </c>
      <c r="U1917" s="253">
        <v>61.379310344827573</v>
      </c>
      <c r="V1917" s="253"/>
      <c r="W1917" s="253">
        <v>53.839506172839499</v>
      </c>
      <c r="X1917" s="253">
        <v>58.82352941176471</v>
      </c>
      <c r="Y1917" s="253">
        <v>54.820833333333326</v>
      </c>
      <c r="Z1917" s="253">
        <v>56.153846153846153</v>
      </c>
      <c r="AA1917" s="253"/>
      <c r="AB1917" s="253"/>
      <c r="AC1917" s="253"/>
      <c r="AD1917" s="253"/>
      <c r="AE1917" s="253"/>
    </row>
    <row r="1918" spans="1:31">
      <c r="A1918" s="33">
        <v>1917</v>
      </c>
      <c r="B1918" s="69" t="s">
        <v>1178</v>
      </c>
      <c r="C1918" s="69" t="s">
        <v>1178</v>
      </c>
      <c r="D1918" s="56">
        <v>42992</v>
      </c>
      <c r="E1918" s="33" t="s">
        <v>781</v>
      </c>
      <c r="F1918" s="69" t="s">
        <v>532</v>
      </c>
      <c r="G1918" s="69" t="str">
        <f t="shared" si="29"/>
        <v>User Registration</v>
      </c>
      <c r="H1918" s="69" t="s">
        <v>1178</v>
      </c>
      <c r="I1918" s="69" t="s">
        <v>1179</v>
      </c>
      <c r="J1918" s="69" t="s">
        <v>1113</v>
      </c>
      <c r="K1918" s="69" t="s">
        <v>1113</v>
      </c>
      <c r="L1918" s="253">
        <v>58.306328011611029</v>
      </c>
      <c r="M1918" s="253">
        <v>57.716091641667411</v>
      </c>
      <c r="N1918" s="253">
        <v>55.432098765432102</v>
      </c>
      <c r="O1918" s="253">
        <v>56.989752172712755</v>
      </c>
      <c r="P1918" s="253">
        <v>60.188679245283012</v>
      </c>
      <c r="Q1918" s="253">
        <v>59.405405405405411</v>
      </c>
      <c r="R1918" s="253">
        <v>61.522370252535282</v>
      </c>
      <c r="S1918" s="253">
        <v>51.586538461538467</v>
      </c>
      <c r="T1918" s="253">
        <v>56.914893617021278</v>
      </c>
      <c r="U1918" s="253">
        <v>60.718390804597696</v>
      </c>
      <c r="V1918" s="253"/>
      <c r="W1918" s="253">
        <v>55.432098765432102</v>
      </c>
      <c r="X1918" s="253"/>
      <c r="Y1918" s="253">
        <v>58.24583333333333</v>
      </c>
      <c r="Z1918" s="253">
        <v>50.776923076923076</v>
      </c>
      <c r="AA1918" s="253"/>
      <c r="AB1918" s="253"/>
      <c r="AC1918" s="253"/>
      <c r="AD1918" s="253"/>
      <c r="AE1918" s="253"/>
    </row>
    <row r="1919" spans="1:31">
      <c r="A1919" s="33">
        <v>1918</v>
      </c>
      <c r="B1919" s="69" t="s">
        <v>1178</v>
      </c>
      <c r="C1919" s="69" t="s">
        <v>1178</v>
      </c>
      <c r="D1919" s="56">
        <v>42992</v>
      </c>
      <c r="E1919" s="33" t="s">
        <v>781</v>
      </c>
      <c r="F1919" s="69" t="s">
        <v>532</v>
      </c>
      <c r="G1919" s="69" t="str">
        <f t="shared" si="29"/>
        <v>User Registration</v>
      </c>
      <c r="H1919" s="69" t="s">
        <v>1178</v>
      </c>
      <c r="I1919" s="69" t="s">
        <v>1179</v>
      </c>
      <c r="J1919" s="69" t="s">
        <v>1114</v>
      </c>
      <c r="K1919" s="69" t="s">
        <v>1114</v>
      </c>
      <c r="L1919" s="253">
        <v>58.8066763425254</v>
      </c>
      <c r="M1919" s="253">
        <v>58.658847775796765</v>
      </c>
      <c r="N1919" s="253">
        <v>59.063468521311655</v>
      </c>
      <c r="O1919" s="253">
        <v>57.566799070223325</v>
      </c>
      <c r="P1919" s="253">
        <v>59.566037735849051</v>
      </c>
      <c r="Q1919" s="253">
        <v>57.581081081081074</v>
      </c>
      <c r="R1919" s="253">
        <v>64.863790017896207</v>
      </c>
      <c r="S1919" s="253">
        <v>50.144230769230766</v>
      </c>
      <c r="T1919" s="253">
        <v>59.840425531914896</v>
      </c>
      <c r="U1919" s="253">
        <v>60.574712643678154</v>
      </c>
      <c r="V1919" s="253"/>
      <c r="W1919" s="253">
        <v>61.23456790123457</v>
      </c>
      <c r="X1919" s="253">
        <v>51.826470588235281</v>
      </c>
      <c r="Y1919" s="253">
        <v>57.387500000000003</v>
      </c>
      <c r="Z1919" s="253">
        <v>55.769230769230766</v>
      </c>
      <c r="AA1919" s="253"/>
      <c r="AB1919" s="253"/>
      <c r="AC1919" s="253"/>
      <c r="AD1919" s="253"/>
      <c r="AE1919" s="253"/>
    </row>
    <row r="1920" spans="1:31">
      <c r="A1920" s="33">
        <v>1919</v>
      </c>
      <c r="B1920" s="69" t="s">
        <v>1178</v>
      </c>
      <c r="C1920" s="69" t="s">
        <v>1178</v>
      </c>
      <c r="D1920" s="56">
        <v>42992</v>
      </c>
      <c r="E1920" s="33" t="s">
        <v>781</v>
      </c>
      <c r="F1920" s="69" t="s">
        <v>532</v>
      </c>
      <c r="G1920" s="69" t="str">
        <f t="shared" si="29"/>
        <v>User Registration</v>
      </c>
      <c r="H1920" s="69" t="s">
        <v>1178</v>
      </c>
      <c r="I1920" s="69" t="s">
        <v>1179</v>
      </c>
      <c r="J1920" s="69" t="s">
        <v>1117</v>
      </c>
      <c r="K1920" s="69" t="s">
        <v>1117</v>
      </c>
      <c r="L1920" s="253">
        <v>62.14571843251089</v>
      </c>
      <c r="M1920" s="253">
        <v>60.460797597657489</v>
      </c>
      <c r="N1920" s="253">
        <v>56.72420535165633</v>
      </c>
      <c r="O1920" s="253">
        <v>59.190486349528605</v>
      </c>
      <c r="P1920" s="253">
        <v>62.528301886792448</v>
      </c>
      <c r="Q1920" s="253">
        <v>61.378378378378386</v>
      </c>
      <c r="R1920" s="253">
        <v>63.776098627957843</v>
      </c>
      <c r="S1920" s="253">
        <v>56.58653846153846</v>
      </c>
      <c r="T1920" s="253">
        <v>59.734042553191493</v>
      </c>
      <c r="U1920" s="253">
        <v>59.885057471264368</v>
      </c>
      <c r="V1920" s="253"/>
      <c r="W1920" s="253">
        <v>57.506172839506178</v>
      </c>
      <c r="X1920" s="253">
        <v>54.117647058823522</v>
      </c>
      <c r="Y1920" s="253">
        <v>57.887499999999989</v>
      </c>
      <c r="Z1920" s="253">
        <v>60.615384615384627</v>
      </c>
      <c r="AA1920" s="253"/>
      <c r="AB1920" s="253">
        <v>71</v>
      </c>
      <c r="AC1920" s="253"/>
      <c r="AD1920" s="253"/>
      <c r="AE1920" s="253"/>
    </row>
    <row r="1921" spans="1:31">
      <c r="A1921" s="33">
        <v>1920</v>
      </c>
      <c r="B1921" s="69" t="s">
        <v>1178</v>
      </c>
      <c r="C1921" s="69" t="s">
        <v>1178</v>
      </c>
      <c r="D1921" s="56">
        <v>42992</v>
      </c>
      <c r="E1921" s="33" t="s">
        <v>781</v>
      </c>
      <c r="F1921" s="69" t="s">
        <v>532</v>
      </c>
      <c r="G1921" s="69" t="str">
        <f t="shared" si="29"/>
        <v>User Registration</v>
      </c>
      <c r="H1921" s="69" t="s">
        <v>1178</v>
      </c>
      <c r="I1921" s="69" t="s">
        <v>1179</v>
      </c>
      <c r="J1921" s="69" t="s">
        <v>1105</v>
      </c>
      <c r="K1921" s="69" t="s">
        <v>1105</v>
      </c>
      <c r="L1921" s="253">
        <v>64.447895500725693</v>
      </c>
      <c r="M1921" s="253">
        <v>60.439581412006412</v>
      </c>
      <c r="N1921" s="253">
        <v>52.94955589073237</v>
      </c>
      <c r="O1921" s="253">
        <v>55.6832068435628</v>
      </c>
      <c r="P1921" s="253">
        <v>65.886792452830193</v>
      </c>
      <c r="Q1921" s="253">
        <v>60.351351351351354</v>
      </c>
      <c r="R1921" s="253">
        <v>66.355140186915889</v>
      </c>
      <c r="S1921" s="253">
        <v>54.66346153846154</v>
      </c>
      <c r="T1921" s="253">
        <v>62.5</v>
      </c>
      <c r="U1921" s="253">
        <v>58.678160919540225</v>
      </c>
      <c r="V1921" s="253"/>
      <c r="W1921" s="253">
        <v>53.481481481481481</v>
      </c>
      <c r="X1921" s="253">
        <v>51.17647058823529</v>
      </c>
      <c r="Y1921" s="253">
        <v>52.28125</v>
      </c>
      <c r="Z1921" s="253">
        <v>58.692307692307686</v>
      </c>
      <c r="AA1921" s="253"/>
      <c r="AB1921" s="253">
        <v>50</v>
      </c>
      <c r="AC1921" s="253"/>
      <c r="AD1921" s="253"/>
      <c r="AE1921" s="253"/>
    </row>
    <row r="1922" spans="1:31">
      <c r="A1922" s="33">
        <v>1921</v>
      </c>
      <c r="B1922" s="69" t="s">
        <v>1178</v>
      </c>
      <c r="C1922" s="69" t="s">
        <v>1178</v>
      </c>
      <c r="D1922" s="56">
        <v>42992</v>
      </c>
      <c r="E1922" s="33" t="s">
        <v>781</v>
      </c>
      <c r="F1922" s="69" t="s">
        <v>532</v>
      </c>
      <c r="G1922" s="69" t="str">
        <f t="shared" ref="G1922:G1985" si="30">IF(V1922&gt;0,IF(W1922&gt;0,"Both","E-Commerce"),IF(W1922=0, "ERROR","User Registration"))</f>
        <v>User Registration</v>
      </c>
      <c r="H1922" s="69" t="s">
        <v>1178</v>
      </c>
      <c r="I1922" s="69" t="s">
        <v>1179</v>
      </c>
      <c r="J1922" s="69" t="s">
        <v>1106</v>
      </c>
      <c r="K1922" s="69" t="s">
        <v>1106</v>
      </c>
      <c r="L1922" s="253">
        <v>59.011320754716976</v>
      </c>
      <c r="M1922" s="253">
        <v>56.884348187753361</v>
      </c>
      <c r="N1922" s="253">
        <v>50.535947712418306</v>
      </c>
      <c r="O1922" s="253">
        <v>55.968033998463397</v>
      </c>
      <c r="P1922" s="253">
        <v>59.264150943396217</v>
      </c>
      <c r="Q1922" s="253">
        <v>54.067567567567565</v>
      </c>
      <c r="R1922" s="253">
        <v>60.027838536488375</v>
      </c>
      <c r="S1922" s="253">
        <v>53.125</v>
      </c>
      <c r="T1922" s="253">
        <v>58.882978723404257</v>
      </c>
      <c r="U1922" s="253">
        <v>57.356321839080458</v>
      </c>
      <c r="V1922" s="253"/>
      <c r="W1922" s="253">
        <v>50.55555555555555</v>
      </c>
      <c r="X1922" s="253">
        <v>50.470588235294109</v>
      </c>
      <c r="Y1922" s="253">
        <v>55.020833333333343</v>
      </c>
      <c r="Z1922" s="253">
        <v>58.000000000000007</v>
      </c>
      <c r="AA1922" s="253"/>
      <c r="AB1922" s="253">
        <v>60</v>
      </c>
      <c r="AC1922" s="253"/>
      <c r="AD1922" s="253"/>
      <c r="AE1922" s="253"/>
    </row>
    <row r="1923" spans="1:31">
      <c r="A1923" s="33">
        <v>1922</v>
      </c>
      <c r="B1923" s="69" t="s">
        <v>1178</v>
      </c>
      <c r="C1923" s="69" t="s">
        <v>1178</v>
      </c>
      <c r="D1923" s="56">
        <v>42992</v>
      </c>
      <c r="E1923" s="33" t="s">
        <v>781</v>
      </c>
      <c r="F1923" s="69" t="s">
        <v>532</v>
      </c>
      <c r="G1923" s="69" t="str">
        <f t="shared" si="30"/>
        <v>User Registration</v>
      </c>
      <c r="H1923" s="69" t="s">
        <v>1178</v>
      </c>
      <c r="I1923" s="69" t="s">
        <v>1179</v>
      </c>
      <c r="J1923" s="69" t="s">
        <v>1112</v>
      </c>
      <c r="K1923" s="69" t="s">
        <v>1112</v>
      </c>
      <c r="L1923" s="253">
        <v>58.975036284470264</v>
      </c>
      <c r="M1923" s="253">
        <v>54.118817580761693</v>
      </c>
      <c r="N1923" s="253">
        <v>53.393441707167199</v>
      </c>
      <c r="O1923" s="253">
        <v>51.351327497611408</v>
      </c>
      <c r="P1923" s="253">
        <v>59.622641509433969</v>
      </c>
      <c r="Q1923" s="253">
        <v>52.770270270270267</v>
      </c>
      <c r="R1923" s="253">
        <v>59.001789620202828</v>
      </c>
      <c r="S1923" s="253">
        <v>45.961538461538467</v>
      </c>
      <c r="T1923" s="253">
        <v>55.053191489361694</v>
      </c>
      <c r="U1923" s="253">
        <v>55.3735632183908</v>
      </c>
      <c r="V1923" s="253"/>
      <c r="W1923" s="253">
        <v>53.493827160493822</v>
      </c>
      <c r="X1923" s="253">
        <v>53.058823529411768</v>
      </c>
      <c r="Y1923" s="253">
        <v>48.708333333333336</v>
      </c>
      <c r="Z1923" s="253">
        <v>56.38461538461538</v>
      </c>
      <c r="AA1923" s="253"/>
      <c r="AB1923" s="253">
        <v>38</v>
      </c>
      <c r="AC1923" s="253"/>
      <c r="AD1923" s="253"/>
      <c r="AE1923" s="253"/>
    </row>
    <row r="1924" spans="1:31">
      <c r="A1924" s="33">
        <v>1923</v>
      </c>
      <c r="B1924" s="69" t="s">
        <v>1178</v>
      </c>
      <c r="C1924" s="69" t="s">
        <v>1178</v>
      </c>
      <c r="D1924" s="56">
        <v>42992</v>
      </c>
      <c r="E1924" s="33" t="s">
        <v>781</v>
      </c>
      <c r="F1924" s="69" t="s">
        <v>532</v>
      </c>
      <c r="G1924" s="69" t="str">
        <f t="shared" si="30"/>
        <v>User Registration</v>
      </c>
      <c r="H1924" s="69" t="s">
        <v>1178</v>
      </c>
      <c r="I1924" s="69" t="s">
        <v>1179</v>
      </c>
      <c r="J1924" s="69" t="s">
        <v>1056</v>
      </c>
      <c r="K1924" s="69" t="s">
        <v>1056</v>
      </c>
      <c r="L1924" s="253">
        <v>51.873149492017419</v>
      </c>
      <c r="M1924" s="253">
        <v>51.946483151262747</v>
      </c>
      <c r="N1924" s="253">
        <v>38.271604938271601</v>
      </c>
      <c r="O1924" s="253">
        <v>47.664125268116969</v>
      </c>
      <c r="P1924" s="253">
        <v>50.245283018867923</v>
      </c>
      <c r="Q1924" s="253">
        <v>39.527027027027025</v>
      </c>
      <c r="R1924" s="253">
        <v>58.089083316762782</v>
      </c>
      <c r="S1924" s="253">
        <v>48.701923076923073</v>
      </c>
      <c r="T1924" s="253">
        <v>52.925531914893618</v>
      </c>
      <c r="U1924" s="253">
        <v>55.172413793103445</v>
      </c>
      <c r="V1924" s="253"/>
      <c r="W1924" s="253">
        <v>38.271604938271601</v>
      </c>
      <c r="X1924" s="253"/>
      <c r="Y1924" s="253">
        <v>43.072916666666664</v>
      </c>
      <c r="Z1924" s="253">
        <v>58.384615384615387</v>
      </c>
      <c r="AA1924" s="253"/>
      <c r="AB1924" s="253">
        <v>60</v>
      </c>
      <c r="AC1924" s="253"/>
      <c r="AD1924" s="253"/>
      <c r="AE1924" s="253"/>
    </row>
    <row r="1925" spans="1:31">
      <c r="A1925" s="33">
        <v>1924</v>
      </c>
      <c r="B1925" s="69" t="s">
        <v>1178</v>
      </c>
      <c r="C1925" s="69" t="s">
        <v>1178</v>
      </c>
      <c r="D1925" s="56">
        <v>42992</v>
      </c>
      <c r="E1925" s="33" t="s">
        <v>781</v>
      </c>
      <c r="F1925" s="69" t="s">
        <v>532</v>
      </c>
      <c r="G1925" s="69" t="str">
        <f t="shared" si="30"/>
        <v>User Registration</v>
      </c>
      <c r="H1925" s="69" t="s">
        <v>1178</v>
      </c>
      <c r="I1925" s="69" t="s">
        <v>1179</v>
      </c>
      <c r="J1925" s="69" t="s">
        <v>1086</v>
      </c>
      <c r="K1925" s="69" t="s">
        <v>1086</v>
      </c>
      <c r="L1925" s="253">
        <v>51.799129172714061</v>
      </c>
      <c r="M1925" s="253">
        <v>51.194960617960149</v>
      </c>
      <c r="N1925" s="253">
        <v>52.47081168649796</v>
      </c>
      <c r="O1925" s="253">
        <v>51.221040241476132</v>
      </c>
      <c r="P1925" s="253">
        <v>52.056603773584897</v>
      </c>
      <c r="Q1925" s="253">
        <v>37.297297297297298</v>
      </c>
      <c r="R1925" s="253">
        <v>55.645257506462521</v>
      </c>
      <c r="S1925" s="253">
        <v>54.27884615384616</v>
      </c>
      <c r="T1925" s="253">
        <v>52.234042553191493</v>
      </c>
      <c r="U1925" s="253">
        <v>54.94252873563218</v>
      </c>
      <c r="V1925" s="253"/>
      <c r="W1925" s="253">
        <v>52.506172839506171</v>
      </c>
      <c r="X1925" s="253">
        <v>52.352941176470587</v>
      </c>
      <c r="Y1925" s="253">
        <v>51.558333333333337</v>
      </c>
      <c r="Z1925" s="253">
        <v>50.769230769230766</v>
      </c>
      <c r="AA1925" s="253"/>
      <c r="AB1925" s="253"/>
      <c r="AC1925" s="253"/>
      <c r="AD1925" s="253"/>
      <c r="AE1925" s="253"/>
    </row>
    <row r="1926" spans="1:31">
      <c r="A1926" s="33">
        <v>1925</v>
      </c>
      <c r="B1926" s="69" t="s">
        <v>1178</v>
      </c>
      <c r="C1926" s="69" t="s">
        <v>1178</v>
      </c>
      <c r="D1926" s="56">
        <v>42992</v>
      </c>
      <c r="E1926" s="33" t="s">
        <v>781</v>
      </c>
      <c r="F1926" s="69" t="s">
        <v>532</v>
      </c>
      <c r="G1926" s="69" t="str">
        <f t="shared" si="30"/>
        <v>User Registration</v>
      </c>
      <c r="H1926" s="69" t="s">
        <v>1178</v>
      </c>
      <c r="I1926" s="69" t="s">
        <v>1179</v>
      </c>
      <c r="J1926" s="69" t="s">
        <v>1094</v>
      </c>
      <c r="K1926" s="69" t="s">
        <v>1094</v>
      </c>
      <c r="L1926" s="253">
        <v>53.187264150943378</v>
      </c>
      <c r="M1926" s="253">
        <v>50.166036848354743</v>
      </c>
      <c r="N1926" s="253">
        <v>47.854868443103733</v>
      </c>
      <c r="O1926" s="253">
        <v>46.633846833062712</v>
      </c>
      <c r="P1926" s="253">
        <v>54.452830188679222</v>
      </c>
      <c r="Q1926" s="253">
        <v>35.472972972972968</v>
      </c>
      <c r="R1926" s="253">
        <v>59.544641081725992</v>
      </c>
      <c r="S1926" s="253">
        <v>45.817307692307686</v>
      </c>
      <c r="T1926" s="253">
        <v>54.521276595744681</v>
      </c>
      <c r="U1926" s="253">
        <v>54.224137931034477</v>
      </c>
      <c r="V1926" s="253"/>
      <c r="W1926" s="253">
        <v>47.74074074074074</v>
      </c>
      <c r="X1926" s="253">
        <v>48.235294117647058</v>
      </c>
      <c r="Y1926" s="253">
        <v>44.802083333333336</v>
      </c>
      <c r="Z1926" s="253">
        <v>48.125</v>
      </c>
      <c r="AA1926" s="253"/>
      <c r="AB1926" s="253"/>
      <c r="AC1926" s="253"/>
      <c r="AD1926" s="253"/>
      <c r="AE1926" s="253"/>
    </row>
    <row r="1927" spans="1:31">
      <c r="A1927" s="33">
        <v>1926</v>
      </c>
      <c r="B1927" s="69" t="s">
        <v>1178</v>
      </c>
      <c r="C1927" s="69" t="s">
        <v>1178</v>
      </c>
      <c r="D1927" s="56">
        <v>42992</v>
      </c>
      <c r="E1927" s="33" t="s">
        <v>781</v>
      </c>
      <c r="F1927" s="69" t="s">
        <v>532</v>
      </c>
      <c r="G1927" s="69" t="str">
        <f t="shared" si="30"/>
        <v>User Registration</v>
      </c>
      <c r="H1927" s="69" t="s">
        <v>1178</v>
      </c>
      <c r="I1927" s="69" t="s">
        <v>1179</v>
      </c>
      <c r="J1927" s="69" t="s">
        <v>1107</v>
      </c>
      <c r="K1927" s="69" t="s">
        <v>1107</v>
      </c>
      <c r="L1927" s="253">
        <v>55.344339622641527</v>
      </c>
      <c r="M1927" s="253">
        <v>53.606316228859008</v>
      </c>
      <c r="N1927" s="253">
        <v>55.165353890844095</v>
      </c>
      <c r="O1927" s="253">
        <v>54.430008118033015</v>
      </c>
      <c r="P1927" s="253">
        <v>54.867924528301906</v>
      </c>
      <c r="Q1927" s="253">
        <v>46.689189189189186</v>
      </c>
      <c r="R1927" s="253">
        <v>55.732750049711676</v>
      </c>
      <c r="S1927" s="253">
        <v>56.009615384615387</v>
      </c>
      <c r="T1927" s="253">
        <v>53.723404255319153</v>
      </c>
      <c r="U1927" s="253">
        <v>53.5632183908046</v>
      </c>
      <c r="V1927" s="253"/>
      <c r="W1927" s="253">
        <v>55.567901234567906</v>
      </c>
      <c r="X1927" s="253">
        <v>53.823529411764703</v>
      </c>
      <c r="Y1927" s="253">
        <v>53.939583333333331</v>
      </c>
      <c r="Z1927" s="253">
        <v>57.25</v>
      </c>
      <c r="AA1927" s="253"/>
      <c r="AB1927" s="253"/>
      <c r="AC1927" s="253"/>
      <c r="AD1927" s="253"/>
      <c r="AE1927" s="253"/>
    </row>
    <row r="1928" spans="1:31">
      <c r="A1928" s="33">
        <v>1927</v>
      </c>
      <c r="B1928" s="69" t="s">
        <v>1178</v>
      </c>
      <c r="C1928" s="69" t="s">
        <v>1178</v>
      </c>
      <c r="D1928" s="56">
        <v>42992</v>
      </c>
      <c r="E1928" s="33" t="s">
        <v>781</v>
      </c>
      <c r="F1928" s="69" t="s">
        <v>532</v>
      </c>
      <c r="G1928" s="69" t="str">
        <f t="shared" si="30"/>
        <v>User Registration</v>
      </c>
      <c r="H1928" s="69" t="s">
        <v>1178</v>
      </c>
      <c r="I1928" s="69" t="s">
        <v>1179</v>
      </c>
      <c r="J1928" s="69" t="s">
        <v>1092</v>
      </c>
      <c r="K1928" s="69" t="s">
        <v>1092</v>
      </c>
      <c r="L1928" s="253">
        <v>53.166618287372998</v>
      </c>
      <c r="M1928" s="253">
        <v>50.795493126187843</v>
      </c>
      <c r="N1928" s="253">
        <v>51.717781129545834</v>
      </c>
      <c r="O1928" s="253">
        <v>50.242467260068111</v>
      </c>
      <c r="P1928" s="253">
        <v>52.169811320754718</v>
      </c>
      <c r="Q1928" s="253">
        <v>44.810810810810814</v>
      </c>
      <c r="R1928" s="253">
        <v>49.389540664147937</v>
      </c>
      <c r="S1928" s="253">
        <v>52.403846153846153</v>
      </c>
      <c r="T1928" s="253">
        <v>50.744680851063826</v>
      </c>
      <c r="U1928" s="253">
        <v>53.189655172413794</v>
      </c>
      <c r="V1928" s="253"/>
      <c r="W1928" s="253">
        <v>51.703703703703709</v>
      </c>
      <c r="X1928" s="253">
        <v>51.764705882352942</v>
      </c>
      <c r="Y1928" s="253">
        <v>48.666666666666664</v>
      </c>
      <c r="Z1928" s="253">
        <v>57.153846153846153</v>
      </c>
      <c r="AA1928" s="253"/>
      <c r="AB1928" s="253"/>
      <c r="AC1928" s="253"/>
      <c r="AD1928" s="253"/>
      <c r="AE1928" s="253"/>
    </row>
    <row r="1929" spans="1:31">
      <c r="A1929" s="33">
        <v>1928</v>
      </c>
      <c r="B1929" s="69" t="s">
        <v>1178</v>
      </c>
      <c r="C1929" s="69" t="s">
        <v>1178</v>
      </c>
      <c r="D1929" s="56">
        <v>42992</v>
      </c>
      <c r="E1929" s="33" t="s">
        <v>781</v>
      </c>
      <c r="F1929" s="69" t="s">
        <v>532</v>
      </c>
      <c r="G1929" s="69" t="str">
        <f t="shared" si="30"/>
        <v>User Registration</v>
      </c>
      <c r="H1929" s="69" t="s">
        <v>1178</v>
      </c>
      <c r="I1929" s="69" t="s">
        <v>1179</v>
      </c>
      <c r="J1929" s="69" t="s">
        <v>1108</v>
      </c>
      <c r="K1929" s="69" t="s">
        <v>1108</v>
      </c>
      <c r="L1929" s="253">
        <v>52.787518142235122</v>
      </c>
      <c r="M1929" s="253">
        <v>51.493402223173298</v>
      </c>
      <c r="N1929" s="253">
        <v>53.234120998826882</v>
      </c>
      <c r="O1929" s="253">
        <v>50.203227652673078</v>
      </c>
      <c r="P1929" s="253">
        <v>52.811320754716974</v>
      </c>
      <c r="Q1929" s="253">
        <v>47.635135135135137</v>
      </c>
      <c r="R1929" s="253">
        <v>55.349771326307419</v>
      </c>
      <c r="S1929" s="253">
        <v>45.480769230769226</v>
      </c>
      <c r="T1929" s="253">
        <v>54.840425531914896</v>
      </c>
      <c r="U1929" s="253">
        <v>53.045977011494251</v>
      </c>
      <c r="V1929" s="253"/>
      <c r="W1929" s="253">
        <v>51.592592592592588</v>
      </c>
      <c r="X1929" s="253">
        <v>58.705882352941174</v>
      </c>
      <c r="Y1929" s="253">
        <v>49.156249999999993</v>
      </c>
      <c r="Z1929" s="253">
        <v>52.692307692307693</v>
      </c>
      <c r="AA1929" s="253"/>
      <c r="AB1929" s="253"/>
      <c r="AC1929" s="253"/>
      <c r="AD1929" s="253"/>
      <c r="AE1929" s="253"/>
    </row>
    <row r="1930" spans="1:31">
      <c r="A1930" s="33">
        <v>1929</v>
      </c>
      <c r="B1930" s="69" t="s">
        <v>1178</v>
      </c>
      <c r="C1930" s="69" t="s">
        <v>1178</v>
      </c>
      <c r="D1930" s="56">
        <v>42992</v>
      </c>
      <c r="E1930" s="33" t="s">
        <v>781</v>
      </c>
      <c r="F1930" s="69" t="s">
        <v>532</v>
      </c>
      <c r="G1930" s="69" t="str">
        <f t="shared" si="30"/>
        <v>User Registration</v>
      </c>
      <c r="H1930" s="69" t="s">
        <v>1178</v>
      </c>
      <c r="I1930" s="69" t="s">
        <v>1179</v>
      </c>
      <c r="J1930" s="69" t="s">
        <v>1093</v>
      </c>
      <c r="K1930" s="69" t="s">
        <v>1093</v>
      </c>
      <c r="L1930" s="253">
        <v>53.887735849056618</v>
      </c>
      <c r="M1930" s="253">
        <v>50.541186470865547</v>
      </c>
      <c r="N1930" s="253">
        <v>52.440087145969493</v>
      </c>
      <c r="O1930" s="253">
        <v>53.666896222690262</v>
      </c>
      <c r="P1930" s="253">
        <v>54.547169811320771</v>
      </c>
      <c r="Q1930" s="253">
        <v>43.851351351351354</v>
      </c>
      <c r="R1930" s="253">
        <v>51.871147345396693</v>
      </c>
      <c r="S1930" s="253">
        <v>53.701923076923073</v>
      </c>
      <c r="T1930" s="253">
        <v>48.670212765957451</v>
      </c>
      <c r="U1930" s="253">
        <v>52.873563218390807</v>
      </c>
      <c r="V1930" s="253"/>
      <c r="W1930" s="253">
        <v>51.407407407407398</v>
      </c>
      <c r="X1930" s="253">
        <v>55.882352941176471</v>
      </c>
      <c r="Y1930" s="253">
        <v>55.729166666666664</v>
      </c>
      <c r="Z1930" s="253">
        <v>51.249999999999993</v>
      </c>
      <c r="AA1930" s="253"/>
      <c r="AB1930" s="253"/>
      <c r="AC1930" s="253"/>
      <c r="AD1930" s="253"/>
      <c r="AE1930" s="253"/>
    </row>
    <row r="1931" spans="1:31">
      <c r="A1931" s="33">
        <v>1930</v>
      </c>
      <c r="B1931" s="69" t="s">
        <v>1178</v>
      </c>
      <c r="C1931" s="69" t="s">
        <v>1178</v>
      </c>
      <c r="D1931" s="56">
        <v>42992</v>
      </c>
      <c r="E1931" s="33" t="s">
        <v>781</v>
      </c>
      <c r="F1931" s="69" t="s">
        <v>532</v>
      </c>
      <c r="G1931" s="69" t="str">
        <f t="shared" si="30"/>
        <v>User Registration</v>
      </c>
      <c r="H1931" s="69" t="s">
        <v>1178</v>
      </c>
      <c r="I1931" s="69" t="s">
        <v>1179</v>
      </c>
      <c r="J1931" s="69" t="s">
        <v>1116</v>
      </c>
      <c r="K1931" s="69" t="s">
        <v>1116</v>
      </c>
      <c r="L1931" s="253">
        <v>50.844484760522491</v>
      </c>
      <c r="M1931" s="253">
        <v>49.145042688091948</v>
      </c>
      <c r="N1931" s="253">
        <v>51.547623037819115</v>
      </c>
      <c r="O1931" s="253">
        <v>52.778927239032889</v>
      </c>
      <c r="P1931" s="253">
        <v>50.35849056603773</v>
      </c>
      <c r="Q1931" s="253">
        <v>38.513513513513516</v>
      </c>
      <c r="R1931" s="253">
        <v>54.440246569894597</v>
      </c>
      <c r="S1931" s="253">
        <v>47.21153846153846</v>
      </c>
      <c r="T1931" s="253">
        <v>50.585106382978715</v>
      </c>
      <c r="U1931" s="253">
        <v>51.580459770114935</v>
      </c>
      <c r="V1931" s="253"/>
      <c r="W1931" s="253">
        <v>49.753086419753082</v>
      </c>
      <c r="X1931" s="253">
        <v>57.529411764705884</v>
      </c>
      <c r="Y1931" s="253">
        <v>54.427083333333336</v>
      </c>
      <c r="Z1931" s="253">
        <v>52.78846153846154</v>
      </c>
      <c r="AA1931" s="253"/>
      <c r="AB1931" s="253"/>
      <c r="AC1931" s="253"/>
      <c r="AD1931" s="253"/>
      <c r="AE1931" s="253"/>
    </row>
    <row r="1932" spans="1:31">
      <c r="A1932" s="33">
        <v>1931</v>
      </c>
      <c r="B1932" s="69" t="s">
        <v>1171</v>
      </c>
      <c r="C1932" s="69" t="s">
        <v>740</v>
      </c>
      <c r="D1932" s="56">
        <v>42996</v>
      </c>
      <c r="E1932" s="33" t="s">
        <v>1172</v>
      </c>
      <c r="F1932" s="69" t="s">
        <v>532</v>
      </c>
      <c r="G1932" s="69" t="str">
        <f t="shared" si="30"/>
        <v>E-Commerce</v>
      </c>
      <c r="H1932" s="69" t="s">
        <v>364</v>
      </c>
      <c r="I1932" s="69" t="s">
        <v>1173</v>
      </c>
      <c r="J1932" s="69" t="s">
        <v>1171</v>
      </c>
      <c r="K1932" s="69" t="s">
        <v>1171</v>
      </c>
      <c r="L1932" s="253">
        <v>0.60129462989840343</v>
      </c>
      <c r="M1932" s="253">
        <v>0.63804518998485604</v>
      </c>
      <c r="N1932" s="253">
        <v>0.6208071135430917</v>
      </c>
      <c r="O1932" s="253">
        <v>0.59924234575508761</v>
      </c>
      <c r="P1932" s="253">
        <v>0.60584905660377353</v>
      </c>
      <c r="Q1932" s="253">
        <v>0.64648648648648654</v>
      </c>
      <c r="R1932" s="253">
        <v>0.66099022615395597</v>
      </c>
      <c r="S1932" s="253">
        <v>0.59754716981132083</v>
      </c>
      <c r="T1932" s="253">
        <v>0.6770992366412214</v>
      </c>
      <c r="U1932" s="253">
        <v>0.63930041152263384</v>
      </c>
      <c r="V1932" s="253">
        <v>0.6318139534883721</v>
      </c>
      <c r="W1932" s="253">
        <v>0</v>
      </c>
      <c r="X1932" s="253">
        <v>0.58411764705882352</v>
      </c>
      <c r="Y1932" s="253">
        <v>0.58718750000000008</v>
      </c>
      <c r="Z1932" s="253">
        <v>0.58307692307692305</v>
      </c>
      <c r="AA1932" s="253"/>
      <c r="AB1932" s="253"/>
      <c r="AC1932" s="253"/>
      <c r="AD1932" s="253"/>
      <c r="AE1932" s="253"/>
    </row>
    <row r="1933" spans="1:31">
      <c r="A1933" s="33">
        <v>1932</v>
      </c>
      <c r="B1933" s="69" t="s">
        <v>1171</v>
      </c>
      <c r="C1933" s="69" t="s">
        <v>740</v>
      </c>
      <c r="D1933" s="56">
        <v>42996</v>
      </c>
      <c r="E1933" s="33" t="s">
        <v>1172</v>
      </c>
      <c r="F1933" s="69" t="s">
        <v>532</v>
      </c>
      <c r="G1933" s="69" t="str">
        <f t="shared" si="30"/>
        <v>E-Commerce</v>
      </c>
      <c r="H1933" s="69" t="s">
        <v>364</v>
      </c>
      <c r="I1933" s="69" t="s">
        <v>1173</v>
      </c>
      <c r="J1933" s="69" t="s">
        <v>1171</v>
      </c>
      <c r="K1933" s="69" t="s">
        <v>1174</v>
      </c>
      <c r="L1933" s="253">
        <v>0.60056894049346876</v>
      </c>
      <c r="M1933" s="253">
        <v>0.59142065227854002</v>
      </c>
      <c r="N1933" s="253">
        <v>0.52518888771966743</v>
      </c>
      <c r="O1933" s="253">
        <v>0.57318854112461382</v>
      </c>
      <c r="P1933" s="253">
        <v>0.59301886792452829</v>
      </c>
      <c r="Q1933" s="253">
        <v>0.62270270270270267</v>
      </c>
      <c r="R1933" s="253">
        <v>0.62092601840622108</v>
      </c>
      <c r="S1933" s="253">
        <v>0.51650943396226412</v>
      </c>
      <c r="T1933" s="253">
        <v>0.59198473282442743</v>
      </c>
      <c r="U1933" s="253">
        <v>0.58074074074074078</v>
      </c>
      <c r="V1933" s="253">
        <v>0.5216279069767441</v>
      </c>
      <c r="W1933" s="253">
        <v>0</v>
      </c>
      <c r="X1933" s="253">
        <v>0.53705882352941181</v>
      </c>
      <c r="Y1933" s="253">
        <v>0.54708333333333337</v>
      </c>
      <c r="Z1933" s="253">
        <v>0.63076923076923075</v>
      </c>
      <c r="AA1933" s="253"/>
      <c r="AB1933" s="253"/>
      <c r="AC1933" s="253"/>
      <c r="AD1933" s="253"/>
      <c r="AE1933" s="253"/>
    </row>
    <row r="1934" spans="1:31">
      <c r="A1934" s="33">
        <v>1933</v>
      </c>
      <c r="B1934" s="69" t="s">
        <v>1171</v>
      </c>
      <c r="C1934" s="69" t="s">
        <v>740</v>
      </c>
      <c r="D1934" s="56">
        <v>42996</v>
      </c>
      <c r="E1934" s="33" t="s">
        <v>1134</v>
      </c>
      <c r="F1934" s="69" t="s">
        <v>532</v>
      </c>
      <c r="G1934" s="69" t="str">
        <f t="shared" si="30"/>
        <v>E-Commerce</v>
      </c>
      <c r="H1934" s="69" t="s">
        <v>364</v>
      </c>
      <c r="I1934" s="69" t="s">
        <v>1173</v>
      </c>
      <c r="J1934" s="69" t="s">
        <v>1171</v>
      </c>
      <c r="K1934" s="69" t="s">
        <v>1175</v>
      </c>
      <c r="L1934" s="253">
        <v>0.5832917271407837</v>
      </c>
      <c r="M1934" s="253">
        <v>0.60208586304978229</v>
      </c>
      <c r="N1934" s="253">
        <v>0.60034515416184364</v>
      </c>
      <c r="O1934" s="253">
        <v>0.59608267037601648</v>
      </c>
      <c r="P1934" s="253">
        <v>0.57603773584905649</v>
      </c>
      <c r="Q1934" s="253">
        <v>0.61662162162162171</v>
      </c>
      <c r="R1934" s="253">
        <v>0.60868231433259612</v>
      </c>
      <c r="S1934" s="253">
        <v>0.56603773584905637</v>
      </c>
      <c r="T1934" s="253">
        <v>0.6038167938931297</v>
      </c>
      <c r="U1934" s="253">
        <v>0.60757201646090531</v>
      </c>
      <c r="V1934" s="253">
        <v>0.60186046511627911</v>
      </c>
      <c r="W1934" s="253">
        <v>0</v>
      </c>
      <c r="X1934" s="253">
        <v>0.59529411764705886</v>
      </c>
      <c r="Y1934" s="253">
        <v>0.58964583333333331</v>
      </c>
      <c r="Z1934" s="253">
        <v>0.61230769230769222</v>
      </c>
      <c r="AA1934" s="253"/>
      <c r="AB1934" s="253"/>
      <c r="AC1934" s="253"/>
      <c r="AD1934" s="253"/>
      <c r="AE1934" s="253"/>
    </row>
    <row r="1935" spans="1:31">
      <c r="A1935" s="33">
        <v>1934</v>
      </c>
      <c r="B1935" s="69" t="s">
        <v>1171</v>
      </c>
      <c r="C1935" s="69" t="s">
        <v>740</v>
      </c>
      <c r="D1935" s="56">
        <v>42996</v>
      </c>
      <c r="E1935" s="33" t="s">
        <v>724</v>
      </c>
      <c r="F1935" s="69" t="s">
        <v>532</v>
      </c>
      <c r="G1935" s="69" t="str">
        <f t="shared" si="30"/>
        <v>E-Commerce</v>
      </c>
      <c r="H1935" s="69" t="s">
        <v>364</v>
      </c>
      <c r="I1935" s="69" t="s">
        <v>1173</v>
      </c>
      <c r="J1935" s="69" t="s">
        <v>1171</v>
      </c>
      <c r="K1935" s="69" t="s">
        <v>1176</v>
      </c>
      <c r="L1935" s="253">
        <v>0.60003483309143679</v>
      </c>
      <c r="M1935" s="253">
        <v>0.62757742813114048</v>
      </c>
      <c r="N1935" s="253">
        <v>0.65351994107124078</v>
      </c>
      <c r="O1935" s="253">
        <v>0.59449605209968492</v>
      </c>
      <c r="P1935" s="253">
        <v>0.5877358490566037</v>
      </c>
      <c r="Q1935" s="253">
        <v>0.59256756756756757</v>
      </c>
      <c r="R1935" s="253">
        <v>0.62784475993436539</v>
      </c>
      <c r="S1935" s="253">
        <v>0.60235849056603774</v>
      </c>
      <c r="T1935" s="253">
        <v>0.64465648854961821</v>
      </c>
      <c r="U1935" s="253">
        <v>0.65658436213991789</v>
      </c>
      <c r="V1935" s="253">
        <v>0.66604651162790707</v>
      </c>
      <c r="W1935" s="253">
        <v>0</v>
      </c>
      <c r="X1935" s="253">
        <v>0.61176470588235299</v>
      </c>
      <c r="Y1935" s="253">
        <v>0.57081250000000006</v>
      </c>
      <c r="Z1935" s="253">
        <v>0.64923076923076928</v>
      </c>
      <c r="AA1935" s="253"/>
      <c r="AB1935" s="253"/>
      <c r="AC1935" s="253"/>
      <c r="AD1935" s="253"/>
      <c r="AE1935" s="253"/>
    </row>
    <row r="1936" spans="1:31">
      <c r="A1936" s="33">
        <v>1935</v>
      </c>
      <c r="B1936" s="69" t="s">
        <v>1171</v>
      </c>
      <c r="C1936" s="69" t="s">
        <v>740</v>
      </c>
      <c r="D1936" s="56">
        <v>42996</v>
      </c>
      <c r="E1936" s="33" t="s">
        <v>1172</v>
      </c>
      <c r="F1936" s="69" t="s">
        <v>532</v>
      </c>
      <c r="G1936" s="69" t="str">
        <f t="shared" si="30"/>
        <v>E-Commerce</v>
      </c>
      <c r="H1936" s="69" t="s">
        <v>364</v>
      </c>
      <c r="I1936" s="69" t="s">
        <v>1173</v>
      </c>
      <c r="J1936" s="69" t="s">
        <v>1171</v>
      </c>
      <c r="K1936" s="69" t="s">
        <v>1177</v>
      </c>
      <c r="L1936" s="253">
        <v>0.60574165457184337</v>
      </c>
      <c r="M1936" s="253">
        <v>0.63276440942574674</v>
      </c>
      <c r="N1936" s="253">
        <v>0.60660465116279072</v>
      </c>
      <c r="O1936" s="253">
        <v>0.58127298076030076</v>
      </c>
      <c r="P1936" s="253">
        <v>0.6167924528301888</v>
      </c>
      <c r="Q1936" s="253">
        <v>0.66959459459459458</v>
      </c>
      <c r="R1936" s="253">
        <v>0.66909467075693796</v>
      </c>
      <c r="S1936" s="253">
        <v>0.57028301886792454</v>
      </c>
      <c r="T1936" s="253">
        <v>0.66488549618320614</v>
      </c>
      <c r="U1936" s="253">
        <v>0.62617283950617297</v>
      </c>
      <c r="V1936" s="253">
        <v>0.60660465116279072</v>
      </c>
      <c r="W1936" s="253">
        <v>0</v>
      </c>
      <c r="X1936" s="253">
        <v>0</v>
      </c>
      <c r="Y1936" s="253">
        <v>0.56189583333333326</v>
      </c>
      <c r="Z1936" s="253">
        <v>0.56153846153846154</v>
      </c>
      <c r="AA1936" s="253"/>
      <c r="AB1936" s="253"/>
      <c r="AC1936" s="253"/>
      <c r="AD1936" s="253"/>
      <c r="AE1936" s="253"/>
    </row>
    <row r="1937" spans="1:31">
      <c r="A1937" s="33">
        <v>1936</v>
      </c>
      <c r="B1937" s="69" t="s">
        <v>1169</v>
      </c>
      <c r="C1937" s="69" t="s">
        <v>723</v>
      </c>
      <c r="D1937" s="56">
        <v>42998</v>
      </c>
      <c r="E1937" s="33" t="s">
        <v>724</v>
      </c>
      <c r="F1937" s="69" t="s">
        <v>725</v>
      </c>
      <c r="G1937" s="69" t="str">
        <f t="shared" si="30"/>
        <v>E-Commerce</v>
      </c>
      <c r="H1937" s="69" t="s">
        <v>364</v>
      </c>
      <c r="I1937" s="69" t="s">
        <v>364</v>
      </c>
      <c r="J1937" s="69" t="s">
        <v>1169</v>
      </c>
      <c r="K1937" s="69" t="s">
        <v>1170</v>
      </c>
      <c r="L1937" s="253">
        <v>0.5949706293706295</v>
      </c>
      <c r="M1937" s="253">
        <v>0.63686737311791153</v>
      </c>
      <c r="N1937" s="253">
        <v>0.65783805114174465</v>
      </c>
      <c r="O1937" s="253">
        <v>0.6269786996874267</v>
      </c>
      <c r="P1937" s="253">
        <v>0.58563636363636373</v>
      </c>
      <c r="Q1937" s="253">
        <v>0.66540540540540538</v>
      </c>
      <c r="R1937" s="253">
        <v>0.65156272504680979</v>
      </c>
      <c r="S1937" s="253">
        <v>0.5844339622641509</v>
      </c>
      <c r="T1937" s="253">
        <v>0.67442748091603055</v>
      </c>
      <c r="U1937" s="253">
        <v>0.62057613168724268</v>
      </c>
      <c r="V1937" s="253">
        <v>0.6713953488372093</v>
      </c>
      <c r="W1937" s="253">
        <v>0</v>
      </c>
      <c r="X1937" s="253">
        <v>0.61264705882352943</v>
      </c>
      <c r="Y1937" s="253">
        <v>0.62087500000000007</v>
      </c>
      <c r="Z1937" s="253">
        <v>0.63230769230769235</v>
      </c>
      <c r="AA1937" s="253"/>
      <c r="AB1937" s="253"/>
      <c r="AC1937" s="253"/>
      <c r="AD1937" s="253"/>
      <c r="AE1937" s="253"/>
    </row>
    <row r="1938" spans="1:31">
      <c r="A1938" s="33">
        <v>1937</v>
      </c>
      <c r="B1938" s="69" t="s">
        <v>1165</v>
      </c>
      <c r="C1938" s="69" t="s">
        <v>740</v>
      </c>
      <c r="D1938" s="56">
        <v>42999</v>
      </c>
      <c r="E1938" s="33" t="s">
        <v>724</v>
      </c>
      <c r="F1938" s="69" t="s">
        <v>532</v>
      </c>
      <c r="G1938" s="69" t="str">
        <f t="shared" si="30"/>
        <v>User Registration</v>
      </c>
      <c r="H1938" s="69" t="s">
        <v>508</v>
      </c>
      <c r="I1938" s="69" t="s">
        <v>962</v>
      </c>
      <c r="J1938" s="69" t="s">
        <v>1165</v>
      </c>
      <c r="K1938" s="69" t="s">
        <v>391</v>
      </c>
      <c r="L1938" s="253">
        <v>72.844934687953568</v>
      </c>
      <c r="M1938" s="253">
        <v>69.532974908768324</v>
      </c>
      <c r="N1938" s="253">
        <v>71.775735294117652</v>
      </c>
      <c r="O1938" s="253">
        <v>66.448572838985712</v>
      </c>
      <c r="P1938" s="253">
        <v>74.229245283018869</v>
      </c>
      <c r="Q1938" s="253">
        <v>70.135135135135144</v>
      </c>
      <c r="R1938" s="253">
        <v>70.574766355140184</v>
      </c>
      <c r="S1938" s="253">
        <v>69.595959595959599</v>
      </c>
      <c r="T1938" s="253">
        <v>67.5</v>
      </c>
      <c r="U1938" s="253">
        <v>70.068965517241381</v>
      </c>
      <c r="V1938" s="253"/>
      <c r="W1938" s="253">
        <v>72.34375</v>
      </c>
      <c r="X1938" s="253">
        <v>69.882352941176478</v>
      </c>
      <c r="Y1938" s="253">
        <v>64.682203389830505</v>
      </c>
      <c r="Z1938" s="253">
        <v>67.307692307692307</v>
      </c>
      <c r="AA1938" s="253"/>
      <c r="AB1938" s="253"/>
      <c r="AC1938" s="253"/>
      <c r="AD1938" s="253"/>
      <c r="AE1938" s="253"/>
    </row>
    <row r="1939" spans="1:31">
      <c r="A1939" s="33">
        <v>1938</v>
      </c>
      <c r="B1939" s="69" t="s">
        <v>1165</v>
      </c>
      <c r="C1939" s="69" t="s">
        <v>740</v>
      </c>
      <c r="D1939" s="56">
        <v>42999</v>
      </c>
      <c r="E1939" s="33" t="s">
        <v>1166</v>
      </c>
      <c r="F1939" s="69" t="s">
        <v>532</v>
      </c>
      <c r="G1939" s="69" t="str">
        <f t="shared" si="30"/>
        <v>User Registration</v>
      </c>
      <c r="H1939" s="69" t="s">
        <v>508</v>
      </c>
      <c r="I1939" s="69" t="s">
        <v>825</v>
      </c>
      <c r="J1939" s="69" t="s">
        <v>1165</v>
      </c>
      <c r="K1939" s="69" t="s">
        <v>1165</v>
      </c>
      <c r="L1939" s="253">
        <v>0.57038606676342529</v>
      </c>
      <c r="M1939" s="253">
        <v>0.52146573187660072</v>
      </c>
      <c r="N1939" s="253">
        <v>0.48354072398190046</v>
      </c>
      <c r="O1939" s="253">
        <v>0.51451380310614403</v>
      </c>
      <c r="P1939" s="253">
        <v>0.56490566037735856</v>
      </c>
      <c r="Q1939" s="253">
        <v>0.4601351351351351</v>
      </c>
      <c r="R1939" s="253">
        <v>0.55804334857824622</v>
      </c>
      <c r="S1939" s="253">
        <v>0.56442307692307692</v>
      </c>
      <c r="T1939" s="253">
        <v>0.50851063829787235</v>
      </c>
      <c r="U1939" s="253">
        <v>0.47902298850574709</v>
      </c>
      <c r="V1939" s="253">
        <v>0</v>
      </c>
      <c r="W1939" s="253">
        <v>0.48125000000000001</v>
      </c>
      <c r="X1939" s="253">
        <v>0.49117647058823527</v>
      </c>
      <c r="Y1939" s="253">
        <v>0.48291666666666672</v>
      </c>
      <c r="Z1939" s="253">
        <v>0.59230769230769231</v>
      </c>
      <c r="AA1939" s="253"/>
      <c r="AB1939" s="253"/>
      <c r="AC1939" s="253"/>
      <c r="AD1939" s="253"/>
      <c r="AE1939" s="253"/>
    </row>
    <row r="1940" spans="1:31">
      <c r="A1940" s="33">
        <v>1939</v>
      </c>
      <c r="B1940" s="69" t="s">
        <v>1165</v>
      </c>
      <c r="C1940" s="69" t="s">
        <v>740</v>
      </c>
      <c r="D1940" s="56">
        <v>42999</v>
      </c>
      <c r="E1940" s="33" t="s">
        <v>1166</v>
      </c>
      <c r="F1940" s="69" t="s">
        <v>532</v>
      </c>
      <c r="G1940" s="69" t="str">
        <f t="shared" si="30"/>
        <v>User Registration</v>
      </c>
      <c r="H1940" s="69" t="s">
        <v>508</v>
      </c>
      <c r="I1940" s="69" t="s">
        <v>825</v>
      </c>
      <c r="J1940" s="69" t="s">
        <v>1165</v>
      </c>
      <c r="K1940" s="69" t="s">
        <v>1167</v>
      </c>
      <c r="L1940" s="253">
        <v>0.54717561683599425</v>
      </c>
      <c r="M1940" s="253">
        <v>0.53053420221180647</v>
      </c>
      <c r="N1940" s="253">
        <v>0.54856900452488699</v>
      </c>
      <c r="O1940" s="253">
        <v>0.53533132360457414</v>
      </c>
      <c r="P1940" s="253">
        <v>0.53358490566037742</v>
      </c>
      <c r="Q1940" s="253">
        <v>0.42364864864864865</v>
      </c>
      <c r="R1940" s="253">
        <v>0.59644064426327315</v>
      </c>
      <c r="S1940" s="253">
        <v>0.52115384615384608</v>
      </c>
      <c r="T1940" s="253">
        <v>0.55531914893617029</v>
      </c>
      <c r="U1940" s="253">
        <v>0.51436781609195403</v>
      </c>
      <c r="V1940" s="253">
        <v>0</v>
      </c>
      <c r="W1940" s="253">
        <v>0.53437500000000004</v>
      </c>
      <c r="X1940" s="253">
        <v>0.59588235294117653</v>
      </c>
      <c r="Y1940" s="253">
        <v>0.51583333333333337</v>
      </c>
      <c r="Z1940" s="253">
        <v>0.60153846153846158</v>
      </c>
      <c r="AA1940" s="253"/>
      <c r="AB1940" s="253"/>
      <c r="AC1940" s="253"/>
      <c r="AD1940" s="253"/>
      <c r="AE1940" s="253"/>
    </row>
    <row r="1941" spans="1:31">
      <c r="A1941" s="33">
        <v>1940</v>
      </c>
      <c r="B1941" s="69" t="s">
        <v>1165</v>
      </c>
      <c r="C1941" s="69" t="s">
        <v>740</v>
      </c>
      <c r="D1941" s="56">
        <v>42999</v>
      </c>
      <c r="E1941" s="33" t="s">
        <v>1146</v>
      </c>
      <c r="F1941" s="69" t="s">
        <v>532</v>
      </c>
      <c r="G1941" s="69" t="str">
        <f t="shared" si="30"/>
        <v>User Registration</v>
      </c>
      <c r="H1941" s="69" t="s">
        <v>508</v>
      </c>
      <c r="I1941" s="69" t="s">
        <v>825</v>
      </c>
      <c r="J1941" s="69" t="s">
        <v>1165</v>
      </c>
      <c r="K1941" s="69" t="s">
        <v>1168</v>
      </c>
      <c r="L1941" s="253">
        <v>0.62480452830188682</v>
      </c>
      <c r="M1941" s="253">
        <v>0.56436577735872562</v>
      </c>
      <c r="N1941" s="253">
        <v>0.57016685520361998</v>
      </c>
      <c r="O1941" s="253">
        <v>0.56611778448583072</v>
      </c>
      <c r="P1941" s="253">
        <v>0.64100566037735851</v>
      </c>
      <c r="Q1941" s="253">
        <v>0.57702702702702702</v>
      </c>
      <c r="R1941" s="253">
        <v>0.57647643666732951</v>
      </c>
      <c r="S1941" s="253">
        <v>0.55048076923076927</v>
      </c>
      <c r="T1941" s="253">
        <v>0.55638297872340425</v>
      </c>
      <c r="U1941" s="253">
        <v>0.55977011494252871</v>
      </c>
      <c r="V1941" s="253">
        <v>0</v>
      </c>
      <c r="W1941" s="253">
        <v>0.5546875</v>
      </c>
      <c r="X1941" s="253">
        <v>0.621764705882353</v>
      </c>
      <c r="Y1941" s="253">
        <v>0.5663541666666666</v>
      </c>
      <c r="Z1941" s="253">
        <v>0.56000000000000005</v>
      </c>
      <c r="AA1941" s="253"/>
      <c r="AB1941" s="253"/>
      <c r="AC1941" s="253"/>
      <c r="AD1941" s="253"/>
      <c r="AE1941" s="253"/>
    </row>
    <row r="1942" spans="1:31">
      <c r="A1942" s="33">
        <v>1941</v>
      </c>
      <c r="B1942" s="69" t="s">
        <v>1165</v>
      </c>
      <c r="C1942" s="69" t="s">
        <v>740</v>
      </c>
      <c r="D1942" s="56">
        <v>42999</v>
      </c>
      <c r="E1942" s="33" t="s">
        <v>724</v>
      </c>
      <c r="F1942" s="69" t="s">
        <v>532</v>
      </c>
      <c r="G1942" s="69" t="str">
        <f t="shared" si="30"/>
        <v>User Registration</v>
      </c>
      <c r="H1942" s="69" t="s">
        <v>508</v>
      </c>
      <c r="I1942" s="69" t="s">
        <v>825</v>
      </c>
      <c r="J1942" s="69" t="s">
        <v>1165</v>
      </c>
      <c r="K1942" s="69" t="s">
        <v>391</v>
      </c>
      <c r="L1942" s="253">
        <v>0.72844934687953566</v>
      </c>
      <c r="M1942" s="253">
        <v>0.69532974908768319</v>
      </c>
      <c r="N1942" s="253">
        <v>0.71775735294117649</v>
      </c>
      <c r="O1942" s="253">
        <v>0.66448572838985709</v>
      </c>
      <c r="P1942" s="253">
        <v>0.74229245283018874</v>
      </c>
      <c r="Q1942" s="253">
        <v>0.7013513513513514</v>
      </c>
      <c r="R1942" s="253">
        <v>0.70574766355140184</v>
      </c>
      <c r="S1942" s="253">
        <v>0.695959595959596</v>
      </c>
      <c r="T1942" s="253">
        <v>0.67500000000000004</v>
      </c>
      <c r="U1942" s="253">
        <v>0.70068965517241388</v>
      </c>
      <c r="V1942" s="253">
        <v>0</v>
      </c>
      <c r="W1942" s="253">
        <v>0.72343749999999996</v>
      </c>
      <c r="X1942" s="253">
        <v>0.69882352941176473</v>
      </c>
      <c r="Y1942" s="253">
        <v>0.64682203389830506</v>
      </c>
      <c r="Z1942" s="253">
        <v>0.67307692307692313</v>
      </c>
      <c r="AA1942" s="253"/>
      <c r="AB1942" s="253"/>
      <c r="AC1942" s="253"/>
      <c r="AD1942" s="253"/>
      <c r="AE1942" s="253"/>
    </row>
    <row r="1943" spans="1:31">
      <c r="A1943" s="33">
        <v>1942</v>
      </c>
      <c r="B1943" s="69" t="s">
        <v>1165</v>
      </c>
      <c r="C1943" s="69" t="s">
        <v>740</v>
      </c>
      <c r="D1943" s="56">
        <v>42999</v>
      </c>
      <c r="E1943" s="33" t="s">
        <v>1146</v>
      </c>
      <c r="F1943" s="69" t="s">
        <v>532</v>
      </c>
      <c r="G1943" s="69" t="str">
        <f t="shared" si="30"/>
        <v>User Registration</v>
      </c>
      <c r="H1943" s="69" t="s">
        <v>508</v>
      </c>
      <c r="I1943" s="69" t="s">
        <v>962</v>
      </c>
      <c r="J1943" s="69" t="s">
        <v>1165</v>
      </c>
      <c r="K1943" s="69" t="s">
        <v>1168</v>
      </c>
      <c r="L1943" s="253">
        <v>62.480452830188682</v>
      </c>
      <c r="M1943" s="253">
        <v>56.436577735872561</v>
      </c>
      <c r="N1943" s="253">
        <v>57.016685520361996</v>
      </c>
      <c r="O1943" s="253">
        <v>56.611778448583074</v>
      </c>
      <c r="P1943" s="253">
        <v>64.100566037735845</v>
      </c>
      <c r="Q1943" s="253">
        <v>57.702702702702702</v>
      </c>
      <c r="R1943" s="253">
        <v>57.647643666732947</v>
      </c>
      <c r="S1943" s="253">
        <v>55.048076923076927</v>
      </c>
      <c r="T1943" s="253">
        <v>55.638297872340424</v>
      </c>
      <c r="U1943" s="253">
        <v>55.977011494252871</v>
      </c>
      <c r="V1943" s="253"/>
      <c r="W1943" s="253">
        <v>55.46875</v>
      </c>
      <c r="X1943" s="253">
        <v>62.176470588235297</v>
      </c>
      <c r="Y1943" s="253">
        <v>56.635416666666657</v>
      </c>
      <c r="Z1943" s="253">
        <v>56.000000000000007</v>
      </c>
      <c r="AA1943" s="253"/>
      <c r="AB1943" s="253"/>
      <c r="AC1943" s="253"/>
      <c r="AD1943" s="253"/>
      <c r="AE1943" s="253"/>
    </row>
    <row r="1944" spans="1:31">
      <c r="A1944" s="33">
        <v>1943</v>
      </c>
      <c r="B1944" s="69" t="s">
        <v>1165</v>
      </c>
      <c r="C1944" s="69" t="s">
        <v>740</v>
      </c>
      <c r="D1944" s="56">
        <v>42999</v>
      </c>
      <c r="E1944" s="33" t="s">
        <v>1166</v>
      </c>
      <c r="F1944" s="69" t="s">
        <v>532</v>
      </c>
      <c r="G1944" s="69" t="str">
        <f t="shared" si="30"/>
        <v>User Registration</v>
      </c>
      <c r="H1944" s="69" t="s">
        <v>508</v>
      </c>
      <c r="I1944" s="69" t="s">
        <v>962</v>
      </c>
      <c r="J1944" s="69" t="s">
        <v>1165</v>
      </c>
      <c r="K1944" s="69" t="s">
        <v>1167</v>
      </c>
      <c r="L1944" s="253">
        <v>54.717561683599421</v>
      </c>
      <c r="M1944" s="253">
        <v>53.053420221180644</v>
      </c>
      <c r="N1944" s="253">
        <v>54.856900452488695</v>
      </c>
      <c r="O1944" s="253">
        <v>53.533132360457415</v>
      </c>
      <c r="P1944" s="253">
        <v>53.358490566037737</v>
      </c>
      <c r="Q1944" s="253">
        <v>42.364864864864863</v>
      </c>
      <c r="R1944" s="253">
        <v>59.644064426327311</v>
      </c>
      <c r="S1944" s="253">
        <v>52.115384615384606</v>
      </c>
      <c r="T1944" s="253">
        <v>55.531914893617028</v>
      </c>
      <c r="U1944" s="253">
        <v>51.4367816091954</v>
      </c>
      <c r="V1944" s="253"/>
      <c r="W1944" s="253">
        <v>53.4375</v>
      </c>
      <c r="X1944" s="253">
        <v>59.588235294117652</v>
      </c>
      <c r="Y1944" s="253">
        <v>51.583333333333336</v>
      </c>
      <c r="Z1944" s="253">
        <v>60.153846153846153</v>
      </c>
      <c r="AA1944" s="253"/>
      <c r="AB1944" s="253"/>
      <c r="AC1944" s="253"/>
      <c r="AD1944" s="253"/>
      <c r="AE1944" s="253"/>
    </row>
    <row r="1945" spans="1:31">
      <c r="A1945" s="33">
        <v>1944</v>
      </c>
      <c r="B1945" s="69" t="s">
        <v>1165</v>
      </c>
      <c r="C1945" s="69" t="s">
        <v>740</v>
      </c>
      <c r="D1945" s="56">
        <v>42999</v>
      </c>
      <c r="E1945" s="33" t="s">
        <v>1166</v>
      </c>
      <c r="F1945" s="69" t="s">
        <v>532</v>
      </c>
      <c r="G1945" s="69" t="str">
        <f t="shared" si="30"/>
        <v>User Registration</v>
      </c>
      <c r="H1945" s="69" t="s">
        <v>508</v>
      </c>
      <c r="I1945" s="69" t="s">
        <v>962</v>
      </c>
      <c r="J1945" s="69" t="s">
        <v>1165</v>
      </c>
      <c r="K1945" s="69" t="s">
        <v>1165</v>
      </c>
      <c r="L1945" s="253">
        <v>57.038606676342525</v>
      </c>
      <c r="M1945" s="253">
        <v>52.146573187660074</v>
      </c>
      <c r="N1945" s="253">
        <v>48.354072398190041</v>
      </c>
      <c r="O1945" s="253">
        <v>51.451380310614404</v>
      </c>
      <c r="P1945" s="253">
        <v>56.490566037735853</v>
      </c>
      <c r="Q1945" s="253">
        <v>46.013513513513509</v>
      </c>
      <c r="R1945" s="253">
        <v>55.804334857824621</v>
      </c>
      <c r="S1945" s="253">
        <v>56.442307692307693</v>
      </c>
      <c r="T1945" s="253">
        <v>50.851063829787236</v>
      </c>
      <c r="U1945" s="253">
        <v>47.902298850574709</v>
      </c>
      <c r="V1945" s="253"/>
      <c r="W1945" s="253">
        <v>48.125</v>
      </c>
      <c r="X1945" s="253">
        <v>49.117647058823529</v>
      </c>
      <c r="Y1945" s="253">
        <v>48.291666666666671</v>
      </c>
      <c r="Z1945" s="253">
        <v>59.230769230769234</v>
      </c>
      <c r="AA1945" s="253"/>
      <c r="AB1945" s="253"/>
      <c r="AC1945" s="253"/>
      <c r="AD1945" s="253"/>
      <c r="AE1945" s="253"/>
    </row>
    <row r="1946" spans="1:31">
      <c r="A1946" s="33">
        <v>1945</v>
      </c>
      <c r="B1946" s="69" t="s">
        <v>1055</v>
      </c>
      <c r="C1946" s="69" t="s">
        <v>1055</v>
      </c>
      <c r="D1946" s="56">
        <v>43003</v>
      </c>
      <c r="E1946" s="33" t="s">
        <v>781</v>
      </c>
      <c r="F1946" s="69" t="s">
        <v>532</v>
      </c>
      <c r="G1946" s="69" t="str">
        <f t="shared" si="30"/>
        <v>User Registration</v>
      </c>
      <c r="H1946" s="69" t="s">
        <v>1055</v>
      </c>
      <c r="I1946" s="69" t="s">
        <v>1055</v>
      </c>
      <c r="J1946" s="69" t="s">
        <v>1055</v>
      </c>
      <c r="K1946" s="69" t="s">
        <v>1164</v>
      </c>
      <c r="L1946" s="253">
        <v>0.59923367198838906</v>
      </c>
      <c r="M1946" s="253">
        <v>0.59370802671273581</v>
      </c>
      <c r="N1946" s="253">
        <v>0.54770683202055748</v>
      </c>
      <c r="O1946" s="253">
        <v>0.54528483457841703</v>
      </c>
      <c r="P1946" s="253">
        <v>0.609811320754717</v>
      </c>
      <c r="Q1946" s="253">
        <v>0.57635135135135129</v>
      </c>
      <c r="R1946" s="253">
        <v>0.63153708490753624</v>
      </c>
      <c r="S1946" s="253">
        <v>0.50673076923076921</v>
      </c>
      <c r="T1946" s="253">
        <v>0.6095744680851064</v>
      </c>
      <c r="U1946" s="253">
        <v>0.64454022988505755</v>
      </c>
      <c r="V1946" s="253"/>
      <c r="W1946" s="253">
        <v>0.5479012345679013</v>
      </c>
      <c r="X1946" s="253">
        <v>0.54705882352941182</v>
      </c>
      <c r="Y1946" s="253">
        <v>0.52529166666666671</v>
      </c>
      <c r="Z1946" s="253">
        <v>0.55692307692307697</v>
      </c>
      <c r="AA1946" s="253"/>
      <c r="AB1946" s="253"/>
      <c r="AC1946" s="253"/>
      <c r="AD1946" s="253"/>
      <c r="AE1946" s="253"/>
    </row>
    <row r="1947" spans="1:31">
      <c r="A1947" s="33">
        <v>1946</v>
      </c>
      <c r="B1947" s="69" t="s">
        <v>1055</v>
      </c>
      <c r="C1947" s="69" t="s">
        <v>1055</v>
      </c>
      <c r="D1947" s="56">
        <v>43004</v>
      </c>
      <c r="E1947" s="33" t="s">
        <v>781</v>
      </c>
      <c r="F1947" s="69" t="s">
        <v>532</v>
      </c>
      <c r="G1947" s="69" t="str">
        <f t="shared" si="30"/>
        <v>User Registration</v>
      </c>
      <c r="H1947" s="69" t="s">
        <v>1055</v>
      </c>
      <c r="I1947" s="69" t="s">
        <v>1055</v>
      </c>
      <c r="J1947" s="69" t="s">
        <v>1055</v>
      </c>
      <c r="K1947" s="69" t="s">
        <v>1155</v>
      </c>
      <c r="L1947" s="253">
        <v>0.5917039187227866</v>
      </c>
      <c r="M1947" s="253">
        <v>0.58022322520640368</v>
      </c>
      <c r="N1947" s="253">
        <v>0.54989665381822239</v>
      </c>
      <c r="O1947" s="253">
        <v>0.55616449524477085</v>
      </c>
      <c r="P1947" s="253">
        <v>0.59924528301886792</v>
      </c>
      <c r="Q1947" s="253">
        <v>0.55391891891891898</v>
      </c>
      <c r="R1947" s="253">
        <v>0.60242592960827201</v>
      </c>
      <c r="S1947" s="253">
        <v>0.52932692307692308</v>
      </c>
      <c r="T1947" s="253">
        <v>0.60265957446808505</v>
      </c>
      <c r="U1947" s="253">
        <v>0.61379310344827576</v>
      </c>
      <c r="V1947" s="253"/>
      <c r="W1947" s="253">
        <v>0.53839506172839502</v>
      </c>
      <c r="X1947" s="253">
        <v>0.58823529411764708</v>
      </c>
      <c r="Y1947" s="253">
        <v>0.5482083333333333</v>
      </c>
      <c r="Z1947" s="253">
        <v>0.56153846153846154</v>
      </c>
      <c r="AA1947" s="253"/>
      <c r="AB1947" s="253"/>
      <c r="AC1947" s="253"/>
      <c r="AD1947" s="253"/>
      <c r="AE1947" s="253"/>
    </row>
    <row r="1948" spans="1:31">
      <c r="A1948" s="33">
        <v>1947</v>
      </c>
      <c r="B1948" s="69" t="s">
        <v>1156</v>
      </c>
      <c r="C1948" s="69" t="s">
        <v>723</v>
      </c>
      <c r="D1948" s="56">
        <v>43004</v>
      </c>
      <c r="E1948" s="33" t="s">
        <v>724</v>
      </c>
      <c r="F1948" s="69" t="s">
        <v>725</v>
      </c>
      <c r="G1948" s="69" t="str">
        <f t="shared" si="30"/>
        <v>User Registration</v>
      </c>
      <c r="H1948" s="69" t="s">
        <v>494</v>
      </c>
      <c r="I1948" s="69" t="s">
        <v>494</v>
      </c>
      <c r="J1948" s="69" t="s">
        <v>1156</v>
      </c>
      <c r="K1948" s="69" t="s">
        <v>1156</v>
      </c>
      <c r="L1948" s="253">
        <v>0.58755878084179969</v>
      </c>
      <c r="M1948" s="253">
        <v>0.58827329751072766</v>
      </c>
      <c r="N1948" s="253">
        <v>0.53053450226244347</v>
      </c>
      <c r="O1948" s="253">
        <v>0.57279373612746587</v>
      </c>
      <c r="P1948" s="253">
        <v>0.58867924528301885</v>
      </c>
      <c r="Q1948" s="253">
        <v>0.58418918918918916</v>
      </c>
      <c r="R1948" s="253">
        <v>0.61798767150526945</v>
      </c>
      <c r="S1948" s="253">
        <v>0.55637254901960775</v>
      </c>
      <c r="T1948" s="253">
        <v>0.5957446808510638</v>
      </c>
      <c r="U1948" s="253">
        <v>0.58494252873563224</v>
      </c>
      <c r="V1948" s="253">
        <v>0</v>
      </c>
      <c r="W1948" s="253">
        <v>0.53281250000000002</v>
      </c>
      <c r="X1948" s="253">
        <v>0.52294117647058824</v>
      </c>
      <c r="Y1948" s="253">
        <v>0.56117256637168145</v>
      </c>
      <c r="Z1948" s="253">
        <v>0.58307692307692316</v>
      </c>
      <c r="AA1948" s="253"/>
      <c r="AB1948" s="253"/>
      <c r="AC1948" s="253"/>
      <c r="AD1948" s="253"/>
      <c r="AE1948" s="253"/>
    </row>
    <row r="1949" spans="1:31">
      <c r="A1949" s="33">
        <v>1948</v>
      </c>
      <c r="B1949" s="69" t="s">
        <v>1156</v>
      </c>
      <c r="C1949" s="69" t="s">
        <v>723</v>
      </c>
      <c r="D1949" s="56">
        <v>43004</v>
      </c>
      <c r="E1949" s="33" t="s">
        <v>724</v>
      </c>
      <c r="F1949" s="69" t="s">
        <v>725</v>
      </c>
      <c r="G1949" s="69" t="str">
        <f t="shared" si="30"/>
        <v>User Registration</v>
      </c>
      <c r="H1949" s="69" t="s">
        <v>494</v>
      </c>
      <c r="I1949" s="69" t="s">
        <v>494</v>
      </c>
      <c r="J1949" s="69" t="s">
        <v>1156</v>
      </c>
      <c r="K1949" s="69" t="s">
        <v>1157</v>
      </c>
      <c r="L1949" s="253">
        <v>0.6250159651669086</v>
      </c>
      <c r="M1949" s="253">
        <v>0.61262171873092841</v>
      </c>
      <c r="N1949" s="253">
        <v>0.59584558823529421</v>
      </c>
      <c r="O1949" s="253">
        <v>0.57128501586545588</v>
      </c>
      <c r="P1949" s="253">
        <v>0.63396226415094348</v>
      </c>
      <c r="Q1949" s="253">
        <v>0.63972972972972963</v>
      </c>
      <c r="R1949" s="253">
        <v>0.62365877908132827</v>
      </c>
      <c r="S1949" s="253">
        <v>0.59117647058823519</v>
      </c>
      <c r="T1949" s="253">
        <v>0.60319148936170219</v>
      </c>
      <c r="U1949" s="253">
        <v>0.61206896551724133</v>
      </c>
      <c r="V1949" s="253">
        <v>0</v>
      </c>
      <c r="W1949" s="253">
        <v>0.63218750000000001</v>
      </c>
      <c r="X1949" s="253">
        <v>0.4747058823529412</v>
      </c>
      <c r="Y1949" s="253">
        <v>0.54659292035398221</v>
      </c>
      <c r="Z1949" s="253">
        <v>0.58923076923076922</v>
      </c>
      <c r="AA1949" s="253"/>
      <c r="AB1949" s="253"/>
      <c r="AC1949" s="253"/>
      <c r="AD1949" s="253"/>
      <c r="AE1949" s="253"/>
    </row>
    <row r="1950" spans="1:31">
      <c r="A1950" s="33">
        <v>1949</v>
      </c>
      <c r="B1950" s="69" t="s">
        <v>1156</v>
      </c>
      <c r="C1950" s="69" t="s">
        <v>723</v>
      </c>
      <c r="D1950" s="56">
        <v>43004</v>
      </c>
      <c r="E1950" s="33" t="s">
        <v>724</v>
      </c>
      <c r="F1950" s="69" t="s">
        <v>725</v>
      </c>
      <c r="G1950" s="69" t="str">
        <f t="shared" si="30"/>
        <v>User Registration</v>
      </c>
      <c r="H1950" s="69" t="s">
        <v>494</v>
      </c>
      <c r="I1950" s="69" t="s">
        <v>494</v>
      </c>
      <c r="J1950" s="69" t="s">
        <v>1156</v>
      </c>
      <c r="K1950" s="69" t="s">
        <v>394</v>
      </c>
      <c r="L1950" s="253">
        <v>0.73175907111756178</v>
      </c>
      <c r="M1950" s="253">
        <v>0.65664149173321851</v>
      </c>
      <c r="N1950" s="253">
        <v>0.69809106334841631</v>
      </c>
      <c r="O1950" s="253">
        <v>0.64307463476367144</v>
      </c>
      <c r="P1950" s="253">
        <v>0.73566037735849066</v>
      </c>
      <c r="Q1950" s="253">
        <v>0.60689189189189197</v>
      </c>
      <c r="R1950" s="253">
        <v>0.62473652813680647</v>
      </c>
      <c r="S1950" s="253">
        <v>0.76372549019607849</v>
      </c>
      <c r="T1950" s="253">
        <v>0.63244680851063828</v>
      </c>
      <c r="U1950" s="253">
        <v>0.63339080459770114</v>
      </c>
      <c r="V1950" s="253">
        <v>0</v>
      </c>
      <c r="W1950" s="253">
        <v>0.67281250000000004</v>
      </c>
      <c r="X1950" s="253">
        <v>0.78235294117647058</v>
      </c>
      <c r="Y1950" s="253">
        <v>0.61637168141592924</v>
      </c>
      <c r="Z1950" s="253">
        <v>0.71615384615384614</v>
      </c>
      <c r="AA1950" s="253"/>
      <c r="AB1950" s="253">
        <v>35</v>
      </c>
      <c r="AC1950" s="253"/>
      <c r="AD1950" s="253"/>
      <c r="AE1950" s="253"/>
    </row>
    <row r="1951" spans="1:31">
      <c r="A1951" s="33">
        <v>1950</v>
      </c>
      <c r="B1951" s="69" t="s">
        <v>1156</v>
      </c>
      <c r="C1951" s="69" t="s">
        <v>723</v>
      </c>
      <c r="D1951" s="56">
        <v>43004</v>
      </c>
      <c r="E1951" s="33" t="s">
        <v>724</v>
      </c>
      <c r="F1951" s="69" t="s">
        <v>725</v>
      </c>
      <c r="G1951" s="69" t="str">
        <f t="shared" si="30"/>
        <v>User Registration</v>
      </c>
      <c r="H1951" s="69" t="s">
        <v>494</v>
      </c>
      <c r="I1951" s="69" t="s">
        <v>494</v>
      </c>
      <c r="J1951" s="69" t="s">
        <v>1156</v>
      </c>
      <c r="K1951" s="69" t="s">
        <v>1158</v>
      </c>
      <c r="L1951" s="253">
        <v>0.66226415094339619</v>
      </c>
      <c r="M1951" s="253">
        <v>0.67809813420473819</v>
      </c>
      <c r="N1951" s="253">
        <v>0.68830599547511317</v>
      </c>
      <c r="O1951" s="253">
        <v>0.67806854625300128</v>
      </c>
      <c r="P1951" s="253">
        <v>0.66283018867924526</v>
      </c>
      <c r="Q1951" s="253">
        <v>0.71824324324324318</v>
      </c>
      <c r="R1951" s="253">
        <v>0.75398687611851267</v>
      </c>
      <c r="S1951" s="253">
        <v>0.61519607843137258</v>
      </c>
      <c r="T1951" s="253">
        <v>0.75627659574468087</v>
      </c>
      <c r="U1951" s="253">
        <v>0.58074712643678172</v>
      </c>
      <c r="V1951" s="253">
        <v>0</v>
      </c>
      <c r="W1951" s="253">
        <v>0.70156249999999998</v>
      </c>
      <c r="X1951" s="253">
        <v>0.64411764705882357</v>
      </c>
      <c r="Y1951" s="253">
        <v>0.67057522123893809</v>
      </c>
      <c r="Z1951" s="253">
        <v>0.66</v>
      </c>
      <c r="AA1951" s="253"/>
      <c r="AB1951" s="253">
        <v>70</v>
      </c>
      <c r="AC1951" s="253"/>
      <c r="AD1951" s="253"/>
      <c r="AE1951" s="253"/>
    </row>
    <row r="1952" spans="1:31">
      <c r="A1952" s="33">
        <v>1951</v>
      </c>
      <c r="B1952" s="69" t="s">
        <v>1156</v>
      </c>
      <c r="C1952" s="69" t="s">
        <v>723</v>
      </c>
      <c r="D1952" s="56">
        <v>43004</v>
      </c>
      <c r="E1952" s="33" t="s">
        <v>724</v>
      </c>
      <c r="F1952" s="69" t="s">
        <v>725</v>
      </c>
      <c r="G1952" s="69" t="str">
        <f t="shared" si="30"/>
        <v>User Registration</v>
      </c>
      <c r="H1952" s="69" t="s">
        <v>494</v>
      </c>
      <c r="I1952" s="69" t="s">
        <v>494</v>
      </c>
      <c r="J1952" s="69" t="s">
        <v>1156</v>
      </c>
      <c r="K1952" s="69" t="s">
        <v>1159</v>
      </c>
      <c r="L1952" s="253">
        <v>0.67401451378809862</v>
      </c>
      <c r="M1952" s="253">
        <v>0.68710746371238718</v>
      </c>
      <c r="N1952" s="253">
        <v>0.66956165158371039</v>
      </c>
      <c r="O1952" s="253">
        <v>0.62319850924536913</v>
      </c>
      <c r="P1952" s="253">
        <v>0.68905660377358491</v>
      </c>
      <c r="Q1952" s="253">
        <v>0.68729729729729727</v>
      </c>
      <c r="R1952" s="253">
        <v>0.71779677868363478</v>
      </c>
      <c r="S1952" s="253">
        <v>0.69852941176470584</v>
      </c>
      <c r="T1952" s="253">
        <v>0.74840425531914889</v>
      </c>
      <c r="U1952" s="253">
        <v>0.63965517241379299</v>
      </c>
      <c r="V1952" s="253">
        <v>0</v>
      </c>
      <c r="W1952" s="253">
        <v>0.65531249999999996</v>
      </c>
      <c r="X1952" s="253">
        <v>0.71705882352941175</v>
      </c>
      <c r="Y1952" s="253">
        <v>0.59314159292035407</v>
      </c>
      <c r="Z1952" s="253">
        <v>0.61384615384615382</v>
      </c>
      <c r="AA1952" s="253"/>
      <c r="AB1952" s="253">
        <v>30</v>
      </c>
      <c r="AC1952" s="253"/>
      <c r="AD1952" s="253"/>
      <c r="AE1952" s="253"/>
    </row>
    <row r="1953" spans="1:31">
      <c r="A1953" s="33">
        <v>1952</v>
      </c>
      <c r="B1953" s="69" t="s">
        <v>1156</v>
      </c>
      <c r="C1953" s="69" t="s">
        <v>723</v>
      </c>
      <c r="D1953" s="56">
        <v>43004</v>
      </c>
      <c r="E1953" s="33" t="s">
        <v>724</v>
      </c>
      <c r="F1953" s="69" t="s">
        <v>725</v>
      </c>
      <c r="G1953" s="69" t="str">
        <f t="shared" si="30"/>
        <v>User Registration</v>
      </c>
      <c r="H1953" s="69" t="s">
        <v>494</v>
      </c>
      <c r="I1953" s="69" t="s">
        <v>494</v>
      </c>
      <c r="J1953" s="69" t="s">
        <v>1156</v>
      </c>
      <c r="K1953" s="69" t="s">
        <v>1160</v>
      </c>
      <c r="L1953" s="253">
        <v>0.59976197387518138</v>
      </c>
      <c r="M1953" s="253">
        <v>0.57222833993799282</v>
      </c>
      <c r="N1953" s="253">
        <v>0.60228223981900464</v>
      </c>
      <c r="O1953" s="253">
        <v>0.57366747695643583</v>
      </c>
      <c r="P1953" s="253">
        <v>0.60547169811320756</v>
      </c>
      <c r="Q1953" s="253">
        <v>0.56891891891891899</v>
      </c>
      <c r="R1953" s="253">
        <v>0.59192682441837352</v>
      </c>
      <c r="S1953" s="253">
        <v>0.57499999999999996</v>
      </c>
      <c r="T1953" s="253">
        <v>0.59893617021276602</v>
      </c>
      <c r="U1953" s="253">
        <v>0.53505747126436776</v>
      </c>
      <c r="V1953" s="253">
        <v>0</v>
      </c>
      <c r="W1953" s="253">
        <v>0.59343750000000006</v>
      </c>
      <c r="X1953" s="253">
        <v>0.63176470588235301</v>
      </c>
      <c r="Y1953" s="253">
        <v>0.5693805309734512</v>
      </c>
      <c r="Z1953" s="253">
        <v>0.57692307692307687</v>
      </c>
      <c r="AA1953" s="253"/>
      <c r="AB1953" s="253">
        <v>50</v>
      </c>
      <c r="AC1953" s="253"/>
      <c r="AD1953" s="253"/>
      <c r="AE1953" s="253"/>
    </row>
    <row r="1954" spans="1:31">
      <c r="A1954" s="33">
        <v>1953</v>
      </c>
      <c r="B1954" s="69" t="s">
        <v>1156</v>
      </c>
      <c r="C1954" s="69" t="s">
        <v>723</v>
      </c>
      <c r="D1954" s="56">
        <v>43004</v>
      </c>
      <c r="E1954" s="33" t="s">
        <v>724</v>
      </c>
      <c r="F1954" s="69" t="s">
        <v>725</v>
      </c>
      <c r="G1954" s="69" t="str">
        <f t="shared" si="30"/>
        <v>User Registration</v>
      </c>
      <c r="H1954" s="69" t="s">
        <v>494</v>
      </c>
      <c r="I1954" s="69" t="s">
        <v>494</v>
      </c>
      <c r="J1954" s="69" t="s">
        <v>1156</v>
      </c>
      <c r="K1954" s="69" t="s">
        <v>1161</v>
      </c>
      <c r="L1954" s="253">
        <v>0.57975616835994193</v>
      </c>
      <c r="M1954" s="253">
        <v>0.55605509536814335</v>
      </c>
      <c r="N1954" s="253">
        <v>0.59175339366515844</v>
      </c>
      <c r="O1954" s="253">
        <v>0.58105667477687262</v>
      </c>
      <c r="P1954" s="253">
        <v>0.57584905660377361</v>
      </c>
      <c r="Q1954" s="253">
        <v>0.57418918918918926</v>
      </c>
      <c r="R1954" s="253">
        <v>0.56612845496122488</v>
      </c>
      <c r="S1954" s="253">
        <v>0.57009803921568636</v>
      </c>
      <c r="T1954" s="253">
        <v>0.55159574468085104</v>
      </c>
      <c r="U1954" s="253">
        <v>0.50718390804597702</v>
      </c>
      <c r="V1954" s="253">
        <v>0</v>
      </c>
      <c r="W1954" s="253">
        <v>0.60375000000000001</v>
      </c>
      <c r="X1954" s="253">
        <v>0.55176470588235293</v>
      </c>
      <c r="Y1954" s="253">
        <v>0.58152654867256637</v>
      </c>
      <c r="Z1954" s="253">
        <v>0.5953846153846154</v>
      </c>
      <c r="AA1954" s="253"/>
      <c r="AB1954" s="253">
        <v>60</v>
      </c>
      <c r="AC1954" s="253"/>
      <c r="AD1954" s="253"/>
      <c r="AE1954" s="253"/>
    </row>
    <row r="1955" spans="1:31">
      <c r="A1955" s="33">
        <v>1954</v>
      </c>
      <c r="B1955" s="69" t="s">
        <v>1156</v>
      </c>
      <c r="C1955" s="69" t="s">
        <v>723</v>
      </c>
      <c r="D1955" s="56">
        <v>43004</v>
      </c>
      <c r="E1955" s="33" t="s">
        <v>724</v>
      </c>
      <c r="F1955" s="69" t="s">
        <v>725</v>
      </c>
      <c r="G1955" s="69" t="str">
        <f t="shared" si="30"/>
        <v>User Registration</v>
      </c>
      <c r="H1955" s="69" t="s">
        <v>494</v>
      </c>
      <c r="I1955" s="69" t="s">
        <v>494</v>
      </c>
      <c r="J1955" s="69" t="s">
        <v>1156</v>
      </c>
      <c r="K1955" s="69" t="s">
        <v>1162</v>
      </c>
      <c r="L1955" s="253">
        <v>0.65954136429608123</v>
      </c>
      <c r="M1955" s="253">
        <v>0.63852612116747898</v>
      </c>
      <c r="N1955" s="253">
        <v>0.61320984162895931</v>
      </c>
      <c r="O1955" s="253">
        <v>0.6603547577470672</v>
      </c>
      <c r="P1955" s="253">
        <v>0.65981132075471693</v>
      </c>
      <c r="Q1955" s="253">
        <v>0.59175675675675687</v>
      </c>
      <c r="R1955" s="253">
        <v>0.64571883078146741</v>
      </c>
      <c r="S1955" s="253">
        <v>0.68382352941176472</v>
      </c>
      <c r="T1955" s="253">
        <v>0.64053191489361705</v>
      </c>
      <c r="U1955" s="253">
        <v>0.62333333333333341</v>
      </c>
      <c r="V1955" s="253">
        <v>0</v>
      </c>
      <c r="W1955" s="253">
        <v>0.60093750000000001</v>
      </c>
      <c r="X1955" s="253">
        <v>0.65411764705882358</v>
      </c>
      <c r="Y1955" s="253">
        <v>0.66836283185840717</v>
      </c>
      <c r="Z1955" s="253">
        <v>0.65846153846153843</v>
      </c>
      <c r="AA1955" s="253"/>
      <c r="AB1955" s="253">
        <v>50</v>
      </c>
      <c r="AC1955" s="253"/>
      <c r="AD1955" s="253"/>
      <c r="AE1955" s="253"/>
    </row>
    <row r="1956" spans="1:31">
      <c r="A1956" s="33">
        <v>1955</v>
      </c>
      <c r="B1956" s="69" t="s">
        <v>1156</v>
      </c>
      <c r="C1956" s="69" t="s">
        <v>723</v>
      </c>
      <c r="D1956" s="56">
        <v>43004</v>
      </c>
      <c r="E1956" s="33" t="s">
        <v>724</v>
      </c>
      <c r="F1956" s="69" t="s">
        <v>725</v>
      </c>
      <c r="G1956" s="69" t="str">
        <f t="shared" si="30"/>
        <v>User Registration</v>
      </c>
      <c r="H1956" s="69" t="s">
        <v>494</v>
      </c>
      <c r="I1956" s="69" t="s">
        <v>494</v>
      </c>
      <c r="J1956" s="69" t="s">
        <v>1156</v>
      </c>
      <c r="K1956" s="69" t="s">
        <v>1163</v>
      </c>
      <c r="L1956" s="253">
        <v>0.61375326560232224</v>
      </c>
      <c r="M1956" s="253">
        <v>0.62036962584475919</v>
      </c>
      <c r="N1956" s="253">
        <v>0.65729072398190036</v>
      </c>
      <c r="O1956" s="253">
        <v>0.59861888170539335</v>
      </c>
      <c r="P1956" s="253">
        <v>0.61603773584905663</v>
      </c>
      <c r="Q1956" s="253">
        <v>0.65081081081081082</v>
      </c>
      <c r="R1956" s="253">
        <v>0.63920461324318945</v>
      </c>
      <c r="S1956" s="253">
        <v>0.5504901960784313</v>
      </c>
      <c r="T1956" s="253">
        <v>0.62691489361702124</v>
      </c>
      <c r="U1956" s="253">
        <v>0.63545977011494259</v>
      </c>
      <c r="V1956" s="253">
        <v>0</v>
      </c>
      <c r="W1956" s="253">
        <v>0.66812499999999997</v>
      </c>
      <c r="X1956" s="253">
        <v>0.62117647058823522</v>
      </c>
      <c r="Y1956" s="253">
        <v>0.58829646017699122</v>
      </c>
      <c r="Z1956" s="253">
        <v>0.60461538461538455</v>
      </c>
      <c r="AA1956" s="253"/>
      <c r="AB1956" s="253">
        <v>55</v>
      </c>
      <c r="AC1956" s="253"/>
      <c r="AD1956" s="253"/>
      <c r="AE1956" s="253"/>
    </row>
    <row r="1957" spans="1:31">
      <c r="A1957" s="33">
        <v>1956</v>
      </c>
      <c r="B1957" s="69" t="s">
        <v>1118</v>
      </c>
      <c r="C1957" s="69" t="s">
        <v>740</v>
      </c>
      <c r="D1957" s="56">
        <v>43005</v>
      </c>
      <c r="E1957" s="33" t="s">
        <v>724</v>
      </c>
      <c r="F1957" s="69" t="s">
        <v>532</v>
      </c>
      <c r="G1957" s="69" t="str">
        <f t="shared" si="30"/>
        <v>E-Commerce</v>
      </c>
      <c r="H1957" s="69" t="s">
        <v>1119</v>
      </c>
      <c r="I1957" s="69" t="s">
        <v>1119</v>
      </c>
      <c r="J1957" s="69" t="s">
        <v>1118</v>
      </c>
      <c r="K1957" s="69" t="s">
        <v>78</v>
      </c>
      <c r="L1957" s="253">
        <v>64.961712626995649</v>
      </c>
      <c r="M1957" s="253">
        <v>67.614019754440207</v>
      </c>
      <c r="N1957" s="253">
        <v>73.899999999999991</v>
      </c>
      <c r="O1957" s="253">
        <v>64.474106380505773</v>
      </c>
      <c r="P1957" s="253">
        <v>65.188679245283026</v>
      </c>
      <c r="Q1957" s="253">
        <v>67.864864864864856</v>
      </c>
      <c r="R1957" s="253">
        <v>71.519405008204316</v>
      </c>
      <c r="S1957" s="253">
        <v>65.176886792452834</v>
      </c>
      <c r="T1957" s="253">
        <v>70.667938931297712</v>
      </c>
      <c r="U1957" s="253">
        <v>65.049382716049379</v>
      </c>
      <c r="V1957" s="253">
        <v>73.674418604651166</v>
      </c>
      <c r="W1957" s="253"/>
      <c r="X1957" s="253"/>
      <c r="Y1957" s="253">
        <v>62.78177083333334</v>
      </c>
      <c r="Z1957" s="253">
        <v>64.053846153846152</v>
      </c>
      <c r="AA1957" s="253"/>
      <c r="AB1957" s="253">
        <v>40</v>
      </c>
      <c r="AC1957" s="253"/>
      <c r="AD1957" s="253"/>
      <c r="AE1957" s="253"/>
    </row>
    <row r="1958" spans="1:31">
      <c r="A1958" s="33">
        <v>1957</v>
      </c>
      <c r="B1958" s="69" t="s">
        <v>1118</v>
      </c>
      <c r="C1958" s="69" t="s">
        <v>740</v>
      </c>
      <c r="D1958" s="56">
        <v>43005</v>
      </c>
      <c r="E1958" s="33" t="s">
        <v>724</v>
      </c>
      <c r="F1958" s="69" t="s">
        <v>532</v>
      </c>
      <c r="G1958" s="69" t="str">
        <f t="shared" si="30"/>
        <v>E-Commerce</v>
      </c>
      <c r="H1958" s="69" t="s">
        <v>1119</v>
      </c>
      <c r="I1958" s="69" t="s">
        <v>1119</v>
      </c>
      <c r="J1958" s="69" t="s">
        <v>1118</v>
      </c>
      <c r="K1958" s="69" t="s">
        <v>1120</v>
      </c>
      <c r="L1958" s="253">
        <v>55.263860667634248</v>
      </c>
      <c r="M1958" s="253">
        <v>53.889978760756428</v>
      </c>
      <c r="N1958" s="253">
        <v>49.000000000000007</v>
      </c>
      <c r="O1958" s="253">
        <v>56.398392074195677</v>
      </c>
      <c r="P1958" s="253">
        <v>54.849056603773583</v>
      </c>
      <c r="Q1958" s="253">
        <v>44.729729729729733</v>
      </c>
      <c r="R1958" s="253">
        <v>59.386459299422135</v>
      </c>
      <c r="S1958" s="253">
        <v>49.292452830188672</v>
      </c>
      <c r="T1958" s="253">
        <v>60.572519083969453</v>
      </c>
      <c r="U1958" s="253">
        <v>54.176954732510275</v>
      </c>
      <c r="V1958" s="253">
        <v>49.000000000000007</v>
      </c>
      <c r="W1958" s="253"/>
      <c r="X1958" s="253">
        <v>48.823529411764703</v>
      </c>
      <c r="Y1958" s="253">
        <v>57.520833333333321</v>
      </c>
      <c r="Z1958" s="253">
        <v>56.92307692307692</v>
      </c>
      <c r="AA1958" s="253"/>
      <c r="AB1958" s="253">
        <v>75</v>
      </c>
      <c r="AC1958" s="253"/>
      <c r="AD1958" s="253"/>
      <c r="AE1958" s="253"/>
    </row>
    <row r="1959" spans="1:31">
      <c r="A1959" s="33">
        <v>1958</v>
      </c>
      <c r="B1959" s="69" t="s">
        <v>1118</v>
      </c>
      <c r="C1959" s="69" t="s">
        <v>740</v>
      </c>
      <c r="D1959" s="56">
        <v>43005</v>
      </c>
      <c r="E1959" s="33" t="s">
        <v>724</v>
      </c>
      <c r="F1959" s="69" t="s">
        <v>532</v>
      </c>
      <c r="G1959" s="69" t="str">
        <f t="shared" si="30"/>
        <v>E-Commerce</v>
      </c>
      <c r="H1959" s="69" t="s">
        <v>1119</v>
      </c>
      <c r="I1959" s="69" t="s">
        <v>1119</v>
      </c>
      <c r="J1959" s="69" t="s">
        <v>1118</v>
      </c>
      <c r="K1959" s="69" t="s">
        <v>1121</v>
      </c>
      <c r="L1959" s="253">
        <v>59.423512336719888</v>
      </c>
      <c r="M1959" s="253">
        <v>55.912239284122634</v>
      </c>
      <c r="N1959" s="253">
        <v>57.372093023255808</v>
      </c>
      <c r="O1959" s="253">
        <v>55.373360003900281</v>
      </c>
      <c r="P1959" s="253">
        <v>60.471698113207552</v>
      </c>
      <c r="Q1959" s="253">
        <v>50.108108108108105</v>
      </c>
      <c r="R1959" s="253">
        <v>59.300278233573522</v>
      </c>
      <c r="S1959" s="253">
        <v>52.216981132075468</v>
      </c>
      <c r="T1959" s="253">
        <v>59.885496183206108</v>
      </c>
      <c r="U1959" s="253">
        <v>58.012345679012356</v>
      </c>
      <c r="V1959" s="253">
        <v>57.372093023255808</v>
      </c>
      <c r="W1959" s="253"/>
      <c r="X1959" s="253"/>
      <c r="Y1959" s="253">
        <v>55.472916666666663</v>
      </c>
      <c r="Z1959" s="253">
        <v>55.230769230769226</v>
      </c>
      <c r="AA1959" s="253"/>
      <c r="AB1959" s="253">
        <v>65</v>
      </c>
      <c r="AC1959" s="253"/>
      <c r="AD1959" s="253"/>
      <c r="AE1959" s="253"/>
    </row>
    <row r="1960" spans="1:31">
      <c r="A1960" s="33">
        <v>1959</v>
      </c>
      <c r="B1960" s="69" t="s">
        <v>1118</v>
      </c>
      <c r="C1960" s="69" t="s">
        <v>740</v>
      </c>
      <c r="D1960" s="56">
        <v>43005</v>
      </c>
      <c r="E1960" s="33" t="s">
        <v>724</v>
      </c>
      <c r="F1960" s="69" t="s">
        <v>532</v>
      </c>
      <c r="G1960" s="69" t="str">
        <f t="shared" si="30"/>
        <v>E-Commerce</v>
      </c>
      <c r="H1960" s="69" t="s">
        <v>1119</v>
      </c>
      <c r="I1960" s="69" t="s">
        <v>1119</v>
      </c>
      <c r="J1960" s="69" t="s">
        <v>1118</v>
      </c>
      <c r="K1960" s="69" t="s">
        <v>1122</v>
      </c>
      <c r="L1960" s="253">
        <v>59.004354136429612</v>
      </c>
      <c r="M1960" s="253">
        <v>54.876545702348999</v>
      </c>
      <c r="N1960" s="253">
        <v>51.348837209302332</v>
      </c>
      <c r="O1960" s="253">
        <v>57.096894937399291</v>
      </c>
      <c r="P1960" s="253">
        <v>59.716981132075482</v>
      </c>
      <c r="Q1960" s="253">
        <v>48.310810810810807</v>
      </c>
      <c r="R1960" s="253">
        <v>56.45787258329171</v>
      </c>
      <c r="S1960" s="253">
        <v>56.79245283018868</v>
      </c>
      <c r="T1960" s="253">
        <v>56.183206106870216</v>
      </c>
      <c r="U1960" s="253">
        <v>55.720164609053498</v>
      </c>
      <c r="V1960" s="253">
        <v>51.348837209302332</v>
      </c>
      <c r="W1960" s="253"/>
      <c r="X1960" s="253">
        <v>55.823529411764703</v>
      </c>
      <c r="Y1960" s="253">
        <v>58.416666666666657</v>
      </c>
      <c r="Z1960" s="253">
        <v>56.153846153846153</v>
      </c>
      <c r="AA1960" s="253"/>
      <c r="AB1960" s="253"/>
      <c r="AC1960" s="253"/>
      <c r="AD1960" s="253"/>
      <c r="AE1960" s="253"/>
    </row>
    <row r="1961" spans="1:31">
      <c r="A1961" s="33">
        <v>1960</v>
      </c>
      <c r="B1961" s="69" t="s">
        <v>1118</v>
      </c>
      <c r="C1961" s="69" t="s">
        <v>740</v>
      </c>
      <c r="D1961" s="56">
        <v>43005</v>
      </c>
      <c r="E1961" s="33" t="s">
        <v>724</v>
      </c>
      <c r="F1961" s="69" t="s">
        <v>532</v>
      </c>
      <c r="G1961" s="69" t="str">
        <f t="shared" si="30"/>
        <v>E-Commerce</v>
      </c>
      <c r="H1961" s="69" t="s">
        <v>1119</v>
      </c>
      <c r="I1961" s="69" t="s">
        <v>1119</v>
      </c>
      <c r="J1961" s="69" t="s">
        <v>1118</v>
      </c>
      <c r="K1961" s="69" t="s">
        <v>1118</v>
      </c>
      <c r="L1961" s="253">
        <v>59.578809869375888</v>
      </c>
      <c r="M1961" s="253">
        <v>53.933724817335062</v>
      </c>
      <c r="N1961" s="253">
        <v>47.441860465116278</v>
      </c>
      <c r="O1961" s="253">
        <v>55.931492832334264</v>
      </c>
      <c r="P1961" s="253">
        <v>59.37735849056601</v>
      </c>
      <c r="Q1961" s="253">
        <v>46.527027027027032</v>
      </c>
      <c r="R1961" s="253">
        <v>55.493329528429754</v>
      </c>
      <c r="S1961" s="253">
        <v>52.688679245283019</v>
      </c>
      <c r="T1961" s="253">
        <v>58.129770992366403</v>
      </c>
      <c r="U1961" s="253">
        <v>54.197530864197532</v>
      </c>
      <c r="V1961" s="253">
        <v>47.441860465116278</v>
      </c>
      <c r="W1961" s="253"/>
      <c r="X1961" s="253">
        <v>52.352941176470587</v>
      </c>
      <c r="Y1961" s="253">
        <v>55.947916666666664</v>
      </c>
      <c r="Z1961" s="253">
        <v>60.38461538461538</v>
      </c>
      <c r="AA1961" s="253"/>
      <c r="AB1961" s="253"/>
      <c r="AC1961" s="253"/>
      <c r="AD1961" s="253"/>
      <c r="AE1961" s="253"/>
    </row>
    <row r="1962" spans="1:31">
      <c r="A1962" s="33">
        <v>1961</v>
      </c>
      <c r="B1962" s="69" t="s">
        <v>1123</v>
      </c>
      <c r="C1962" s="69" t="s">
        <v>1124</v>
      </c>
      <c r="D1962" s="56">
        <v>43005</v>
      </c>
      <c r="E1962" s="33" t="s">
        <v>724</v>
      </c>
      <c r="F1962" s="69" t="s">
        <v>725</v>
      </c>
      <c r="G1962" s="69" t="str">
        <f t="shared" si="30"/>
        <v>User Registration</v>
      </c>
      <c r="H1962" s="69" t="s">
        <v>1125</v>
      </c>
      <c r="I1962" s="69" t="s">
        <v>1125</v>
      </c>
      <c r="J1962" s="69" t="s">
        <v>1126</v>
      </c>
      <c r="K1962" s="69" t="s">
        <v>1127</v>
      </c>
      <c r="L1962" s="253">
        <v>58.914949201741649</v>
      </c>
      <c r="M1962" s="253">
        <v>61.889899567194639</v>
      </c>
      <c r="N1962" s="253">
        <v>63.215214932126706</v>
      </c>
      <c r="O1962" s="253">
        <v>56.622141194824046</v>
      </c>
      <c r="P1962" s="253">
        <v>61.528301886792448</v>
      </c>
      <c r="Q1962" s="253">
        <v>63.567567567567558</v>
      </c>
      <c r="R1962" s="253">
        <v>65.89063432093856</v>
      </c>
      <c r="S1962" s="253">
        <v>56.009615384615387</v>
      </c>
      <c r="T1962" s="253">
        <v>63.138297872340431</v>
      </c>
      <c r="U1962" s="253">
        <v>65.873563218390814</v>
      </c>
      <c r="V1962" s="253"/>
      <c r="W1962" s="253">
        <v>61.65625</v>
      </c>
      <c r="X1962" s="253">
        <v>68.411764705882362</v>
      </c>
      <c r="Y1962" s="253">
        <v>56.583333333333343</v>
      </c>
      <c r="Z1962" s="253">
        <v>48.46153846153846</v>
      </c>
      <c r="AA1962" s="253"/>
      <c r="AB1962" s="253"/>
      <c r="AC1962" s="253"/>
      <c r="AD1962" s="253"/>
      <c r="AE1962" s="253"/>
    </row>
    <row r="1963" spans="1:31">
      <c r="A1963" s="33">
        <v>1962</v>
      </c>
      <c r="B1963" s="69" t="s">
        <v>1123</v>
      </c>
      <c r="C1963" s="69" t="s">
        <v>1124</v>
      </c>
      <c r="D1963" s="56">
        <v>43005</v>
      </c>
      <c r="E1963" s="33" t="s">
        <v>1128</v>
      </c>
      <c r="F1963" s="69" t="s">
        <v>725</v>
      </c>
      <c r="G1963" s="69" t="str">
        <f t="shared" si="30"/>
        <v>User Registration</v>
      </c>
      <c r="H1963" s="69" t="s">
        <v>1125</v>
      </c>
      <c r="I1963" s="69" t="s">
        <v>1125</v>
      </c>
      <c r="J1963" s="69" t="s">
        <v>1129</v>
      </c>
      <c r="K1963" s="69" t="s">
        <v>1130</v>
      </c>
      <c r="L1963" s="253">
        <v>61.250798258345426</v>
      </c>
      <c r="M1963" s="253">
        <v>60.845681048396159</v>
      </c>
      <c r="N1963" s="253">
        <v>56.119909502262445</v>
      </c>
      <c r="O1963" s="253">
        <v>56.153947077801959</v>
      </c>
      <c r="P1963" s="253">
        <v>62.698113207547166</v>
      </c>
      <c r="Q1963" s="253">
        <v>60.270270270270274</v>
      </c>
      <c r="R1963" s="253">
        <v>62.819248359514823</v>
      </c>
      <c r="S1963" s="253">
        <v>55.240384615384606</v>
      </c>
      <c r="T1963" s="253">
        <v>62.127659574468083</v>
      </c>
      <c r="U1963" s="253">
        <v>65.201149425287369</v>
      </c>
      <c r="V1963" s="253"/>
      <c r="W1963" s="253">
        <v>55.75</v>
      </c>
      <c r="X1963" s="253">
        <v>57.35294117647058</v>
      </c>
      <c r="Y1963" s="253">
        <v>54.708333333333336</v>
      </c>
      <c r="Z1963" s="253">
        <v>55.46153846153846</v>
      </c>
      <c r="AA1963" s="253"/>
      <c r="AB1963" s="253"/>
      <c r="AC1963" s="253"/>
      <c r="AD1963" s="253"/>
      <c r="AE1963" s="253"/>
    </row>
    <row r="1964" spans="1:31">
      <c r="A1964" s="33">
        <v>1963</v>
      </c>
      <c r="B1964" s="69" t="s">
        <v>1123</v>
      </c>
      <c r="C1964" s="69" t="s">
        <v>1124</v>
      </c>
      <c r="D1964" s="56">
        <v>43005</v>
      </c>
      <c r="E1964" s="33" t="s">
        <v>1131</v>
      </c>
      <c r="F1964" s="69" t="s">
        <v>725</v>
      </c>
      <c r="G1964" s="69" t="str">
        <f t="shared" si="30"/>
        <v>User Registration</v>
      </c>
      <c r="H1964" s="69" t="s">
        <v>1125</v>
      </c>
      <c r="I1964" s="69" t="s">
        <v>1125</v>
      </c>
      <c r="J1964" s="69" t="s">
        <v>1132</v>
      </c>
      <c r="K1964" s="69" t="s">
        <v>1133</v>
      </c>
      <c r="L1964" s="253">
        <v>56.855732946299</v>
      </c>
      <c r="M1964" s="253">
        <v>58.146817022725507</v>
      </c>
      <c r="N1964" s="253">
        <v>56.161199095022617</v>
      </c>
      <c r="O1964" s="253">
        <v>54.09189161436494</v>
      </c>
      <c r="P1964" s="253">
        <v>58.377358490566046</v>
      </c>
      <c r="Q1964" s="253">
        <v>56.635135135135137</v>
      </c>
      <c r="R1964" s="253">
        <v>59.571684231457546</v>
      </c>
      <c r="S1964" s="253">
        <v>50.913461538461547</v>
      </c>
      <c r="T1964" s="253">
        <v>61.436170212765951</v>
      </c>
      <c r="U1964" s="253">
        <v>64.695402298850567</v>
      </c>
      <c r="V1964" s="253"/>
      <c r="W1964" s="253">
        <v>55.062499999999993</v>
      </c>
      <c r="X1964" s="253">
        <v>59.82352941176471</v>
      </c>
      <c r="Y1964" s="253">
        <v>54.056249999999991</v>
      </c>
      <c r="Z1964" s="253">
        <v>50.769230769230766</v>
      </c>
      <c r="AA1964" s="253"/>
      <c r="AB1964" s="253"/>
      <c r="AC1964" s="253"/>
      <c r="AD1964" s="253"/>
      <c r="AE1964" s="253"/>
    </row>
    <row r="1965" spans="1:31">
      <c r="A1965" s="33">
        <v>1964</v>
      </c>
      <c r="B1965" s="69" t="s">
        <v>1123</v>
      </c>
      <c r="C1965" s="69" t="s">
        <v>1124</v>
      </c>
      <c r="D1965" s="56">
        <v>43005</v>
      </c>
      <c r="E1965" s="33" t="s">
        <v>1134</v>
      </c>
      <c r="F1965" s="69" t="s">
        <v>725</v>
      </c>
      <c r="G1965" s="69" t="str">
        <f t="shared" si="30"/>
        <v>User Registration</v>
      </c>
      <c r="H1965" s="69" t="s">
        <v>1125</v>
      </c>
      <c r="I1965" s="69" t="s">
        <v>1125</v>
      </c>
      <c r="J1965" s="69" t="s">
        <v>1135</v>
      </c>
      <c r="K1965" s="69" t="s">
        <v>1136</v>
      </c>
      <c r="L1965" s="253">
        <v>58.599999999999994</v>
      </c>
      <c r="M1965" s="253">
        <v>59.727826086956512</v>
      </c>
      <c r="N1965" s="253">
        <v>62.61</v>
      </c>
      <c r="O1965" s="253">
        <v>53.021176470588237</v>
      </c>
      <c r="P1965" s="253">
        <v>60.75</v>
      </c>
      <c r="Q1965" s="253">
        <v>58.599999999999994</v>
      </c>
      <c r="R1965" s="253">
        <v>61.25</v>
      </c>
      <c r="S1965" s="253">
        <v>58.26</v>
      </c>
      <c r="T1965" s="253">
        <v>59.599999999999994</v>
      </c>
      <c r="U1965" s="253">
        <v>64.25</v>
      </c>
      <c r="V1965" s="253"/>
      <c r="W1965" s="253">
        <v>61.23</v>
      </c>
      <c r="X1965" s="253">
        <v>67.210000000000008</v>
      </c>
      <c r="Y1965" s="253">
        <v>51.2</v>
      </c>
      <c r="Z1965" s="253">
        <v>50</v>
      </c>
      <c r="AA1965" s="253"/>
      <c r="AB1965" s="253"/>
      <c r="AC1965" s="253"/>
      <c r="AD1965" s="253"/>
      <c r="AE1965" s="253"/>
    </row>
    <row r="1966" spans="1:31">
      <c r="A1966" s="33">
        <v>1965</v>
      </c>
      <c r="B1966" s="69" t="s">
        <v>1055</v>
      </c>
      <c r="C1966" s="69" t="s">
        <v>1055</v>
      </c>
      <c r="D1966" s="56">
        <v>43005</v>
      </c>
      <c r="E1966" s="33" t="s">
        <v>781</v>
      </c>
      <c r="F1966" s="69" t="s">
        <v>532</v>
      </c>
      <c r="G1966" s="69" t="str">
        <f t="shared" si="30"/>
        <v>User Registration</v>
      </c>
      <c r="H1966" s="69" t="s">
        <v>1055</v>
      </c>
      <c r="I1966" s="69" t="s">
        <v>1055</v>
      </c>
      <c r="J1966" s="69" t="s">
        <v>1055</v>
      </c>
      <c r="K1966" s="69" t="s">
        <v>1137</v>
      </c>
      <c r="L1966" s="253">
        <v>0.62238896952104494</v>
      </c>
      <c r="M1966" s="253">
        <v>0.58891951885277249</v>
      </c>
      <c r="N1966" s="253">
        <v>0.54000335176805769</v>
      </c>
      <c r="O1966" s="253">
        <v>0.58106185932058363</v>
      </c>
      <c r="P1966" s="253">
        <v>0.64471698113207543</v>
      </c>
      <c r="Q1966" s="253">
        <v>0.5713513513513514</v>
      </c>
      <c r="R1966" s="253">
        <v>0.62584211572877302</v>
      </c>
      <c r="S1966" s="253">
        <v>0.54182692307692304</v>
      </c>
      <c r="T1966" s="253">
        <v>0.59308510638297873</v>
      </c>
      <c r="U1966" s="253">
        <v>0.62356321839080464</v>
      </c>
      <c r="V1966" s="253"/>
      <c r="W1966" s="253">
        <v>0.53259259259259262</v>
      </c>
      <c r="X1966" s="253">
        <v>0.56470588235294117</v>
      </c>
      <c r="Y1966" s="253">
        <v>0.59139583333333334</v>
      </c>
      <c r="Z1966" s="253">
        <v>0.533076923076923</v>
      </c>
      <c r="AA1966" s="253"/>
      <c r="AB1966" s="253"/>
      <c r="AC1966" s="253"/>
      <c r="AD1966" s="253"/>
      <c r="AE1966" s="253"/>
    </row>
    <row r="1967" spans="1:31">
      <c r="A1967" s="33">
        <v>1966</v>
      </c>
      <c r="B1967" s="69" t="s">
        <v>1118</v>
      </c>
      <c r="C1967" s="69" t="s">
        <v>740</v>
      </c>
      <c r="D1967" s="56">
        <v>43005</v>
      </c>
      <c r="E1967" s="33" t="s">
        <v>724</v>
      </c>
      <c r="F1967" s="69" t="s">
        <v>532</v>
      </c>
      <c r="G1967" s="69" t="str">
        <f t="shared" si="30"/>
        <v>E-Commerce</v>
      </c>
      <c r="H1967" s="69" t="s">
        <v>364</v>
      </c>
      <c r="I1967" s="69" t="s">
        <v>1119</v>
      </c>
      <c r="J1967" s="69" t="s">
        <v>1118</v>
      </c>
      <c r="K1967" s="69" t="s">
        <v>1118</v>
      </c>
      <c r="L1967" s="253">
        <v>0.59578809869375893</v>
      </c>
      <c r="M1967" s="253">
        <v>0.5393372481733506</v>
      </c>
      <c r="N1967" s="253">
        <v>0.47441860465116276</v>
      </c>
      <c r="O1967" s="253">
        <v>0.55931492832334262</v>
      </c>
      <c r="P1967" s="253">
        <v>0.59377358490566012</v>
      </c>
      <c r="Q1967" s="253">
        <v>0.46527027027027029</v>
      </c>
      <c r="R1967" s="253">
        <v>0.55493329528429758</v>
      </c>
      <c r="S1967" s="253">
        <v>0.52688679245283021</v>
      </c>
      <c r="T1967" s="253">
        <v>0.58129770992366403</v>
      </c>
      <c r="U1967" s="253">
        <v>0.5419753086419753</v>
      </c>
      <c r="V1967" s="253">
        <v>0.47441860465116281</v>
      </c>
      <c r="W1967" s="253">
        <v>0</v>
      </c>
      <c r="X1967" s="253">
        <v>0.52352941176470591</v>
      </c>
      <c r="Y1967" s="253">
        <v>0.55947916666666664</v>
      </c>
      <c r="Z1967" s="253">
        <v>0.60384615384615381</v>
      </c>
      <c r="AA1967" s="253"/>
      <c r="AB1967" s="253"/>
      <c r="AC1967" s="253"/>
      <c r="AD1967" s="253"/>
      <c r="AE1967" s="253"/>
    </row>
    <row r="1968" spans="1:31">
      <c r="A1968" s="33">
        <v>1967</v>
      </c>
      <c r="B1968" s="69" t="s">
        <v>1118</v>
      </c>
      <c r="C1968" s="69" t="s">
        <v>740</v>
      </c>
      <c r="D1968" s="56">
        <v>43005</v>
      </c>
      <c r="E1968" s="33" t="s">
        <v>724</v>
      </c>
      <c r="F1968" s="69" t="s">
        <v>532</v>
      </c>
      <c r="G1968" s="69" t="str">
        <f t="shared" si="30"/>
        <v>E-Commerce</v>
      </c>
      <c r="H1968" s="69" t="s">
        <v>364</v>
      </c>
      <c r="I1968" s="69" t="s">
        <v>1119</v>
      </c>
      <c r="J1968" s="69" t="s">
        <v>1118</v>
      </c>
      <c r="K1968" s="69" t="s">
        <v>78</v>
      </c>
      <c r="L1968" s="253">
        <v>0.64961712626995649</v>
      </c>
      <c r="M1968" s="253">
        <v>0.67614019754440202</v>
      </c>
      <c r="N1968" s="253">
        <v>0.73899999999999999</v>
      </c>
      <c r="O1968" s="253">
        <v>0.64474106380505769</v>
      </c>
      <c r="P1968" s="253">
        <v>0.65188679245283021</v>
      </c>
      <c r="Q1968" s="253">
        <v>0.6786486486486486</v>
      </c>
      <c r="R1968" s="253">
        <v>0.71519405008204318</v>
      </c>
      <c r="S1968" s="253">
        <v>0.65176886792452837</v>
      </c>
      <c r="T1968" s="253">
        <v>0.70667938931297714</v>
      </c>
      <c r="U1968" s="253">
        <v>0.65049382716049375</v>
      </c>
      <c r="V1968" s="253">
        <v>0.73674418604651171</v>
      </c>
      <c r="W1968" s="253">
        <v>0</v>
      </c>
      <c r="X1968" s="253">
        <v>0</v>
      </c>
      <c r="Y1968" s="253">
        <v>0.62781770833333339</v>
      </c>
      <c r="Z1968" s="253">
        <v>0.6405384615384615</v>
      </c>
      <c r="AA1968" s="253"/>
      <c r="AB1968" s="253"/>
      <c r="AC1968" s="253"/>
      <c r="AD1968" s="253"/>
      <c r="AE1968" s="253"/>
    </row>
    <row r="1969" spans="1:31">
      <c r="A1969" s="33">
        <v>1968</v>
      </c>
      <c r="B1969" s="69" t="s">
        <v>1118</v>
      </c>
      <c r="C1969" s="69" t="s">
        <v>740</v>
      </c>
      <c r="D1969" s="56">
        <v>43005</v>
      </c>
      <c r="E1969" s="33" t="s">
        <v>724</v>
      </c>
      <c r="F1969" s="69" t="s">
        <v>532</v>
      </c>
      <c r="G1969" s="69" t="str">
        <f t="shared" si="30"/>
        <v>E-Commerce</v>
      </c>
      <c r="H1969" s="69" t="s">
        <v>364</v>
      </c>
      <c r="I1969" s="69" t="s">
        <v>1119</v>
      </c>
      <c r="J1969" s="69" t="s">
        <v>1118</v>
      </c>
      <c r="K1969" s="69" t="s">
        <v>1122</v>
      </c>
      <c r="L1969" s="253">
        <v>0.59004354136429615</v>
      </c>
      <c r="M1969" s="253">
        <v>0.54876545702349</v>
      </c>
      <c r="N1969" s="253">
        <v>0.51348837209302334</v>
      </c>
      <c r="O1969" s="253">
        <v>0.5709689493739929</v>
      </c>
      <c r="P1969" s="253">
        <v>0.59716981132075486</v>
      </c>
      <c r="Q1969" s="253">
        <v>0.48310810810810811</v>
      </c>
      <c r="R1969" s="253">
        <v>0.56457872583291713</v>
      </c>
      <c r="S1969" s="253">
        <v>0.56792452830188678</v>
      </c>
      <c r="T1969" s="253">
        <v>0.5618320610687022</v>
      </c>
      <c r="U1969" s="253">
        <v>0.55720164609053502</v>
      </c>
      <c r="V1969" s="253">
        <v>0.51348837209302334</v>
      </c>
      <c r="W1969" s="253">
        <v>0</v>
      </c>
      <c r="X1969" s="253">
        <v>0.55823529411764705</v>
      </c>
      <c r="Y1969" s="253">
        <v>0.58416666666666661</v>
      </c>
      <c r="Z1969" s="253">
        <v>0.56153846153846154</v>
      </c>
      <c r="AA1969" s="253"/>
      <c r="AB1969" s="253"/>
      <c r="AC1969" s="253"/>
      <c r="AD1969" s="253"/>
      <c r="AE1969" s="253"/>
    </row>
    <row r="1970" spans="1:31">
      <c r="A1970" s="33">
        <v>1969</v>
      </c>
      <c r="B1970" s="69" t="s">
        <v>1118</v>
      </c>
      <c r="C1970" s="69" t="s">
        <v>740</v>
      </c>
      <c r="D1970" s="56">
        <v>43005</v>
      </c>
      <c r="E1970" s="33" t="s">
        <v>724</v>
      </c>
      <c r="F1970" s="69" t="s">
        <v>532</v>
      </c>
      <c r="G1970" s="69" t="str">
        <f t="shared" si="30"/>
        <v>E-Commerce</v>
      </c>
      <c r="H1970" s="69" t="s">
        <v>364</v>
      </c>
      <c r="I1970" s="69" t="s">
        <v>1119</v>
      </c>
      <c r="J1970" s="69" t="s">
        <v>1118</v>
      </c>
      <c r="K1970" s="69" t="s">
        <v>1121</v>
      </c>
      <c r="L1970" s="253">
        <v>0.59423512336719886</v>
      </c>
      <c r="M1970" s="253">
        <v>0.55912239284122633</v>
      </c>
      <c r="N1970" s="253">
        <v>0.5737209302325581</v>
      </c>
      <c r="O1970" s="253">
        <v>0.55373360003900285</v>
      </c>
      <c r="P1970" s="253">
        <v>0.6047169811320755</v>
      </c>
      <c r="Q1970" s="253">
        <v>0.50108108108108107</v>
      </c>
      <c r="R1970" s="253">
        <v>0.59300278233573522</v>
      </c>
      <c r="S1970" s="253">
        <v>0.52216981132075468</v>
      </c>
      <c r="T1970" s="253">
        <v>0.59885496183206111</v>
      </c>
      <c r="U1970" s="253">
        <v>0.58012345679012356</v>
      </c>
      <c r="V1970" s="253">
        <v>0.5737209302325581</v>
      </c>
      <c r="W1970" s="253">
        <v>0</v>
      </c>
      <c r="X1970" s="253">
        <v>0</v>
      </c>
      <c r="Y1970" s="253">
        <v>0.55472916666666661</v>
      </c>
      <c r="Z1970" s="253">
        <v>0.55230769230769228</v>
      </c>
      <c r="AA1970" s="253"/>
      <c r="AB1970" s="253"/>
      <c r="AC1970" s="253"/>
      <c r="AD1970" s="253"/>
      <c r="AE1970" s="253"/>
    </row>
    <row r="1971" spans="1:31">
      <c r="A1971" s="33">
        <v>1970</v>
      </c>
      <c r="B1971" s="69" t="s">
        <v>1118</v>
      </c>
      <c r="C1971" s="69" t="s">
        <v>740</v>
      </c>
      <c r="D1971" s="56">
        <v>43005</v>
      </c>
      <c r="E1971" s="33" t="s">
        <v>724</v>
      </c>
      <c r="F1971" s="69" t="s">
        <v>532</v>
      </c>
      <c r="G1971" s="69" t="str">
        <f t="shared" si="30"/>
        <v>E-Commerce</v>
      </c>
      <c r="H1971" s="69" t="s">
        <v>364</v>
      </c>
      <c r="I1971" s="69" t="s">
        <v>1119</v>
      </c>
      <c r="J1971" s="69" t="s">
        <v>1118</v>
      </c>
      <c r="K1971" s="69" t="s">
        <v>1120</v>
      </c>
      <c r="L1971" s="253">
        <v>0.55263860667634246</v>
      </c>
      <c r="M1971" s="253">
        <v>0.5388997876075643</v>
      </c>
      <c r="N1971" s="253">
        <v>0.49000000000000005</v>
      </c>
      <c r="O1971" s="253">
        <v>0.5639839207419568</v>
      </c>
      <c r="P1971" s="253">
        <v>0.54849056603773583</v>
      </c>
      <c r="Q1971" s="253">
        <v>0.44729729729729734</v>
      </c>
      <c r="R1971" s="253">
        <v>0.59386459299422134</v>
      </c>
      <c r="S1971" s="253">
        <v>0.49292452830188677</v>
      </c>
      <c r="T1971" s="253">
        <v>0.60572519083969456</v>
      </c>
      <c r="U1971" s="253">
        <v>0.54176954732510274</v>
      </c>
      <c r="V1971" s="253">
        <v>0.49000000000000005</v>
      </c>
      <c r="W1971" s="253">
        <v>0</v>
      </c>
      <c r="X1971" s="253">
        <v>0.48823529411764705</v>
      </c>
      <c r="Y1971" s="253">
        <v>0.57520833333333321</v>
      </c>
      <c r="Z1971" s="253">
        <v>0.56923076923076921</v>
      </c>
      <c r="AA1971" s="253"/>
      <c r="AB1971" s="253"/>
      <c r="AC1971" s="253"/>
      <c r="AD1971" s="253"/>
      <c r="AE1971" s="253"/>
    </row>
    <row r="1972" spans="1:31">
      <c r="A1972" s="33">
        <v>1971</v>
      </c>
      <c r="B1972" s="69" t="s">
        <v>1123</v>
      </c>
      <c r="C1972" s="69" t="s">
        <v>1124</v>
      </c>
      <c r="D1972" s="56">
        <v>43005</v>
      </c>
      <c r="E1972" s="33" t="s">
        <v>781</v>
      </c>
      <c r="F1972" s="69" t="s">
        <v>725</v>
      </c>
      <c r="G1972" s="69" t="str">
        <f t="shared" si="30"/>
        <v>User Registration</v>
      </c>
      <c r="H1972" s="69" t="s">
        <v>1125</v>
      </c>
      <c r="I1972" s="69" t="s">
        <v>1125</v>
      </c>
      <c r="J1972" s="69" t="s">
        <v>1138</v>
      </c>
      <c r="K1972" s="69" t="s">
        <v>1138</v>
      </c>
      <c r="L1972" s="253">
        <v>62.861538461538466</v>
      </c>
      <c r="M1972" s="253">
        <v>63.474581939799322</v>
      </c>
      <c r="N1972" s="253">
        <v>55.192307692307693</v>
      </c>
      <c r="O1972" s="253">
        <v>58.794886877828056</v>
      </c>
      <c r="P1972" s="253">
        <v>64</v>
      </c>
      <c r="Q1972" s="253">
        <v>65</v>
      </c>
      <c r="R1972" s="253">
        <v>67</v>
      </c>
      <c r="S1972" s="253">
        <v>58.089999999999996</v>
      </c>
      <c r="T1972" s="253">
        <v>66.23</v>
      </c>
      <c r="U1972" s="253">
        <v>63.449999999999996</v>
      </c>
      <c r="V1972" s="253"/>
      <c r="W1972" s="253">
        <v>58.25</v>
      </c>
      <c r="X1972" s="253">
        <v>45</v>
      </c>
      <c r="Y1972" s="253">
        <v>56.75</v>
      </c>
      <c r="Z1972" s="253">
        <v>58.307692307692307</v>
      </c>
      <c r="AA1972" s="253"/>
      <c r="AB1972" s="253"/>
      <c r="AC1972" s="253"/>
      <c r="AD1972" s="253"/>
      <c r="AE1972" s="253"/>
    </row>
    <row r="1973" spans="1:31">
      <c r="A1973" s="33">
        <v>1972</v>
      </c>
      <c r="B1973" s="69" t="s">
        <v>1123</v>
      </c>
      <c r="C1973" s="69" t="s">
        <v>1124</v>
      </c>
      <c r="D1973" s="56">
        <v>43005</v>
      </c>
      <c r="E1973" s="33" t="s">
        <v>916</v>
      </c>
      <c r="F1973" s="69" t="s">
        <v>725</v>
      </c>
      <c r="G1973" s="69" t="str">
        <f t="shared" si="30"/>
        <v>User Registration</v>
      </c>
      <c r="H1973" s="69" t="s">
        <v>1125</v>
      </c>
      <c r="I1973" s="69" t="s">
        <v>1125</v>
      </c>
      <c r="J1973" s="69" t="s">
        <v>1139</v>
      </c>
      <c r="K1973" s="69" t="s">
        <v>1140</v>
      </c>
      <c r="L1973" s="253">
        <v>57.646153846153844</v>
      </c>
      <c r="M1973" s="253">
        <v>58.652675585284285</v>
      </c>
      <c r="N1973" s="253">
        <v>62.468461538461526</v>
      </c>
      <c r="O1973" s="253">
        <v>60.420135746606327</v>
      </c>
      <c r="P1973" s="253">
        <v>58.999999999999993</v>
      </c>
      <c r="Q1973" s="253">
        <v>57.8</v>
      </c>
      <c r="R1973" s="253">
        <v>63.2</v>
      </c>
      <c r="S1973" s="253">
        <v>51.249999999999993</v>
      </c>
      <c r="T1973" s="253">
        <v>60.25</v>
      </c>
      <c r="U1973" s="253">
        <v>62.319999999999993</v>
      </c>
      <c r="V1973" s="253"/>
      <c r="W1973" s="253">
        <v>62.239999999999995</v>
      </c>
      <c r="X1973" s="253">
        <v>63.23</v>
      </c>
      <c r="Y1973" s="253">
        <v>63.5</v>
      </c>
      <c r="Z1973" s="253">
        <v>52.230769230769234</v>
      </c>
      <c r="AA1973" s="253"/>
      <c r="AB1973" s="253"/>
      <c r="AC1973" s="253"/>
      <c r="AD1973" s="253"/>
      <c r="AE1973" s="253"/>
    </row>
    <row r="1974" spans="1:31">
      <c r="A1974" s="33">
        <v>1973</v>
      </c>
      <c r="B1974" s="69" t="s">
        <v>1123</v>
      </c>
      <c r="C1974" s="69" t="s">
        <v>1124</v>
      </c>
      <c r="D1974" s="56">
        <v>43005</v>
      </c>
      <c r="E1974" s="33" t="s">
        <v>916</v>
      </c>
      <c r="F1974" s="69" t="s">
        <v>725</v>
      </c>
      <c r="G1974" s="69" t="str">
        <f t="shared" si="30"/>
        <v>User Registration</v>
      </c>
      <c r="H1974" s="69" t="s">
        <v>1125</v>
      </c>
      <c r="I1974" s="69" t="s">
        <v>1125</v>
      </c>
      <c r="J1974" s="69" t="s">
        <v>1139</v>
      </c>
      <c r="K1974" s="69" t="s">
        <v>1141</v>
      </c>
      <c r="L1974" s="253">
        <v>58.284615384615392</v>
      </c>
      <c r="M1974" s="253">
        <v>58.355484949832793</v>
      </c>
      <c r="N1974" s="253">
        <v>51.993846153846157</v>
      </c>
      <c r="O1974" s="253">
        <v>60.046425339366515</v>
      </c>
      <c r="P1974" s="253">
        <v>57.999999999999993</v>
      </c>
      <c r="Q1974" s="253">
        <v>55.500000000000007</v>
      </c>
      <c r="R1974" s="253">
        <v>60.25</v>
      </c>
      <c r="S1974" s="253">
        <v>54.02</v>
      </c>
      <c r="T1974" s="253">
        <v>59.25</v>
      </c>
      <c r="U1974" s="253">
        <v>61.25</v>
      </c>
      <c r="V1974" s="253"/>
      <c r="W1974" s="253">
        <v>50</v>
      </c>
      <c r="X1974" s="253">
        <v>58.64</v>
      </c>
      <c r="Y1974" s="253">
        <v>61.25</v>
      </c>
      <c r="Z1974" s="253">
        <v>59.42307692307692</v>
      </c>
      <c r="AA1974" s="253"/>
      <c r="AB1974" s="253"/>
      <c r="AC1974" s="253"/>
      <c r="AD1974" s="253"/>
      <c r="AE1974" s="253"/>
    </row>
    <row r="1975" spans="1:31">
      <c r="A1975" s="33">
        <v>1974</v>
      </c>
      <c r="B1975" s="69" t="s">
        <v>1123</v>
      </c>
      <c r="C1975" s="69" t="s">
        <v>1124</v>
      </c>
      <c r="D1975" s="56">
        <v>43005</v>
      </c>
      <c r="E1975" s="33" t="s">
        <v>1131</v>
      </c>
      <c r="F1975" s="69" t="s">
        <v>725</v>
      </c>
      <c r="G1975" s="69" t="str">
        <f t="shared" si="30"/>
        <v>User Registration</v>
      </c>
      <c r="H1975" s="69" t="s">
        <v>1125</v>
      </c>
      <c r="I1975" s="69" t="s">
        <v>1125</v>
      </c>
      <c r="J1975" s="69" t="s">
        <v>1132</v>
      </c>
      <c r="K1975" s="69" t="s">
        <v>1132</v>
      </c>
      <c r="L1975" s="253">
        <v>59.194775036284476</v>
      </c>
      <c r="M1975" s="253">
        <v>60.077524924597654</v>
      </c>
      <c r="N1975" s="253">
        <v>55.69004524886877</v>
      </c>
      <c r="O1975" s="253">
        <v>55.67194268493644</v>
      </c>
      <c r="P1975" s="253">
        <v>59.339622641509436</v>
      </c>
      <c r="Q1975" s="253">
        <v>62.905405405405403</v>
      </c>
      <c r="R1975" s="253">
        <v>61.568104991051896</v>
      </c>
      <c r="S1975" s="253">
        <v>56.826923076923073</v>
      </c>
      <c r="T1975" s="253">
        <v>58.829787234042549</v>
      </c>
      <c r="U1975" s="253">
        <v>60.258620689655174</v>
      </c>
      <c r="V1975" s="253"/>
      <c r="W1975" s="253">
        <v>56.25</v>
      </c>
      <c r="X1975" s="253">
        <v>53.823529411764703</v>
      </c>
      <c r="Y1975" s="253">
        <v>52.770833333333336</v>
      </c>
      <c r="Z1975" s="253">
        <v>58.615384615384613</v>
      </c>
      <c r="AA1975" s="253"/>
      <c r="AB1975" s="253"/>
      <c r="AC1975" s="253"/>
      <c r="AD1975" s="253"/>
      <c r="AE1975" s="253"/>
    </row>
    <row r="1976" spans="1:31">
      <c r="A1976" s="33">
        <v>1975</v>
      </c>
      <c r="B1976" s="151" t="s">
        <v>1123</v>
      </c>
      <c r="C1976" s="69" t="s">
        <v>1124</v>
      </c>
      <c r="D1976" s="56">
        <v>43005</v>
      </c>
      <c r="E1976" s="33" t="s">
        <v>1131</v>
      </c>
      <c r="F1976" s="69" t="s">
        <v>725</v>
      </c>
      <c r="G1976" s="69" t="str">
        <f t="shared" si="30"/>
        <v>User Registration</v>
      </c>
      <c r="H1976" s="69" t="s">
        <v>1125</v>
      </c>
      <c r="I1976" s="69" t="s">
        <v>1125</v>
      </c>
      <c r="J1976" s="151" t="s">
        <v>1138</v>
      </c>
      <c r="K1976" s="151" t="s">
        <v>1142</v>
      </c>
      <c r="L1976" s="253">
        <v>55.384615384615387</v>
      </c>
      <c r="M1976" s="253">
        <v>58.699999999999996</v>
      </c>
      <c r="N1976" s="253">
        <v>55.05</v>
      </c>
      <c r="O1976" s="253">
        <v>56.754604320986957</v>
      </c>
      <c r="P1976" s="253">
        <v>54.5</v>
      </c>
      <c r="Q1976" s="253">
        <v>57.608108108108112</v>
      </c>
      <c r="R1976" s="253">
        <v>61.85</v>
      </c>
      <c r="S1976" s="253">
        <v>57.75</v>
      </c>
      <c r="T1976" s="253">
        <v>58.25</v>
      </c>
      <c r="U1976" s="253">
        <v>59.75</v>
      </c>
      <c r="V1976" s="253"/>
      <c r="W1976" s="253">
        <v>55.05</v>
      </c>
      <c r="X1976" s="253"/>
      <c r="Y1976" s="253">
        <v>54.5</v>
      </c>
      <c r="Z1976" s="253">
        <v>58.92307692307692</v>
      </c>
      <c r="AA1976" s="253"/>
      <c r="AB1976" s="253"/>
      <c r="AC1976" s="253"/>
      <c r="AD1976" s="253"/>
      <c r="AE1976" s="253"/>
    </row>
    <row r="1977" spans="1:31">
      <c r="A1977" s="33">
        <v>1976</v>
      </c>
      <c r="B1977" s="69" t="s">
        <v>1123</v>
      </c>
      <c r="C1977" s="69" t="s">
        <v>1124</v>
      </c>
      <c r="D1977" s="56">
        <v>43005</v>
      </c>
      <c r="E1977" s="33" t="s">
        <v>724</v>
      </c>
      <c r="F1977" s="69" t="s">
        <v>725</v>
      </c>
      <c r="G1977" s="69" t="str">
        <f t="shared" si="30"/>
        <v>User Registration</v>
      </c>
      <c r="H1977" s="69" t="s">
        <v>1125</v>
      </c>
      <c r="I1977" s="69" t="s">
        <v>1125</v>
      </c>
      <c r="J1977" s="69" t="s">
        <v>1126</v>
      </c>
      <c r="K1977" s="69" t="s">
        <v>1143</v>
      </c>
      <c r="L1977" s="253">
        <v>57.58461538461539</v>
      </c>
      <c r="M1977" s="253">
        <v>58.20505016722408</v>
      </c>
      <c r="N1977" s="253">
        <v>57.39076923076923</v>
      </c>
      <c r="O1977" s="253">
        <v>53.462895927601807</v>
      </c>
      <c r="P1977" s="253">
        <v>60.25</v>
      </c>
      <c r="Q1977" s="253">
        <v>59.35</v>
      </c>
      <c r="R1977" s="253">
        <v>64.5</v>
      </c>
      <c r="S1977" s="253">
        <v>57.25</v>
      </c>
      <c r="T1977" s="253">
        <v>53.239999999999995</v>
      </c>
      <c r="U1977" s="253">
        <v>59.25</v>
      </c>
      <c r="V1977" s="253"/>
      <c r="W1977" s="253">
        <v>58.9</v>
      </c>
      <c r="X1977" s="253">
        <v>52.359999999999992</v>
      </c>
      <c r="Y1977" s="253">
        <v>52.249999999999993</v>
      </c>
      <c r="Z1977" s="253">
        <v>46.92307692307692</v>
      </c>
      <c r="AA1977" s="253"/>
      <c r="AB1977" s="253"/>
      <c r="AC1977" s="253"/>
      <c r="AD1977" s="253"/>
      <c r="AE1977" s="253"/>
    </row>
    <row r="1978" spans="1:31">
      <c r="A1978" s="33">
        <v>1977</v>
      </c>
      <c r="B1978" s="69" t="s">
        <v>1123</v>
      </c>
      <c r="C1978" s="69" t="s">
        <v>1124</v>
      </c>
      <c r="D1978" s="56">
        <v>43005</v>
      </c>
      <c r="E1978" s="33" t="s">
        <v>724</v>
      </c>
      <c r="F1978" s="69" t="s">
        <v>725</v>
      </c>
      <c r="G1978" s="69" t="str">
        <f t="shared" si="30"/>
        <v>User Registration</v>
      </c>
      <c r="H1978" s="69" t="s">
        <v>1125</v>
      </c>
      <c r="I1978" s="69" t="s">
        <v>1125</v>
      </c>
      <c r="J1978" s="69" t="s">
        <v>1126</v>
      </c>
      <c r="K1978" s="69" t="s">
        <v>1144</v>
      </c>
      <c r="L1978" s="253">
        <v>57.123076923076923</v>
      </c>
      <c r="M1978" s="253">
        <v>55.894381270903004</v>
      </c>
      <c r="N1978" s="253">
        <v>48.380769230769225</v>
      </c>
      <c r="O1978" s="253">
        <v>52.775067873303172</v>
      </c>
      <c r="P1978" s="253">
        <v>58.499999999999993</v>
      </c>
      <c r="Q1978" s="253">
        <v>49</v>
      </c>
      <c r="R1978" s="253">
        <v>58.3</v>
      </c>
      <c r="S1978" s="253">
        <v>59.230000000000004</v>
      </c>
      <c r="T1978" s="253">
        <v>55.64</v>
      </c>
      <c r="U1978" s="253">
        <v>58.199999999999996</v>
      </c>
      <c r="V1978" s="253"/>
      <c r="W1978" s="253">
        <v>48</v>
      </c>
      <c r="X1978" s="253">
        <v>49.65</v>
      </c>
      <c r="Y1978" s="253">
        <v>51.749999999999993</v>
      </c>
      <c r="Z1978" s="253">
        <v>51.615384615384606</v>
      </c>
      <c r="AA1978" s="253"/>
      <c r="AB1978" s="253"/>
      <c r="AC1978" s="253"/>
      <c r="AD1978" s="253"/>
      <c r="AE1978" s="253"/>
    </row>
    <row r="1979" spans="1:31">
      <c r="A1979" s="33">
        <v>1978</v>
      </c>
      <c r="B1979" s="69" t="s">
        <v>1123</v>
      </c>
      <c r="C1979" s="69" t="s">
        <v>1124</v>
      </c>
      <c r="D1979" s="56">
        <v>43005</v>
      </c>
      <c r="E1979" s="33" t="s">
        <v>916</v>
      </c>
      <c r="F1979" s="69" t="s">
        <v>725</v>
      </c>
      <c r="G1979" s="69" t="str">
        <f t="shared" si="30"/>
        <v>User Registration</v>
      </c>
      <c r="H1979" s="69" t="s">
        <v>1125</v>
      </c>
      <c r="I1979" s="69" t="s">
        <v>1125</v>
      </c>
      <c r="J1979" s="69" t="s">
        <v>1139</v>
      </c>
      <c r="K1979" s="69" t="s">
        <v>1139</v>
      </c>
      <c r="L1979" s="253">
        <v>60.646153846153837</v>
      </c>
      <c r="M1979" s="253">
        <v>57.106153846153838</v>
      </c>
      <c r="N1979" s="253">
        <v>55.919230769230772</v>
      </c>
      <c r="O1979" s="253">
        <v>58.375429864253391</v>
      </c>
      <c r="P1979" s="253">
        <v>61</v>
      </c>
      <c r="Q1979" s="253">
        <v>56.999999999999993</v>
      </c>
      <c r="R1979" s="253">
        <v>58.56</v>
      </c>
      <c r="S1979" s="253">
        <v>55.069999999999993</v>
      </c>
      <c r="T1979" s="253">
        <v>55.25</v>
      </c>
      <c r="U1979" s="253">
        <v>57.63</v>
      </c>
      <c r="V1979" s="253"/>
      <c r="W1979" s="253">
        <v>56.000000000000007</v>
      </c>
      <c r="X1979" s="253">
        <v>55.65</v>
      </c>
      <c r="Y1979" s="253">
        <v>58.550000000000004</v>
      </c>
      <c r="Z1979" s="253">
        <v>59.230769230769234</v>
      </c>
      <c r="AA1979" s="253"/>
      <c r="AB1979" s="253"/>
      <c r="AC1979" s="253"/>
      <c r="AD1979" s="253"/>
      <c r="AE1979" s="253"/>
    </row>
    <row r="1980" spans="1:31">
      <c r="A1980" s="33">
        <v>1979</v>
      </c>
      <c r="B1980" s="69" t="s">
        <v>1123</v>
      </c>
      <c r="C1980" s="69" t="s">
        <v>1124</v>
      </c>
      <c r="D1980" s="56">
        <v>43005</v>
      </c>
      <c r="E1980" s="33" t="s">
        <v>1131</v>
      </c>
      <c r="F1980" s="69" t="s">
        <v>725</v>
      </c>
      <c r="G1980" s="69" t="str">
        <f t="shared" si="30"/>
        <v>User Registration</v>
      </c>
      <c r="H1980" s="69" t="s">
        <v>1125</v>
      </c>
      <c r="I1980" s="69" t="s">
        <v>1125</v>
      </c>
      <c r="J1980" s="69" t="s">
        <v>1132</v>
      </c>
      <c r="K1980" s="69" t="s">
        <v>1145</v>
      </c>
      <c r="L1980" s="253">
        <v>54.199999999999989</v>
      </c>
      <c r="M1980" s="253">
        <v>54.123478260869575</v>
      </c>
      <c r="N1980" s="253">
        <v>45.976153846153842</v>
      </c>
      <c r="O1980" s="253">
        <v>53.955882352941174</v>
      </c>
      <c r="P1980" s="253">
        <v>56.499999999999993</v>
      </c>
      <c r="Q1980" s="253">
        <v>53.4</v>
      </c>
      <c r="R1980" s="253">
        <v>55</v>
      </c>
      <c r="S1980" s="253">
        <v>52.349999999999994</v>
      </c>
      <c r="T1980" s="253">
        <v>56.679999999999993</v>
      </c>
      <c r="U1980" s="253">
        <v>57.36</v>
      </c>
      <c r="V1980" s="253"/>
      <c r="W1980" s="253">
        <v>45</v>
      </c>
      <c r="X1980" s="253">
        <v>49.230000000000004</v>
      </c>
      <c r="Y1980" s="253">
        <v>56.65</v>
      </c>
      <c r="Z1980" s="253">
        <v>45</v>
      </c>
      <c r="AA1980" s="253"/>
      <c r="AB1980" s="253"/>
      <c r="AC1980" s="253"/>
      <c r="AD1980" s="253"/>
      <c r="AE1980" s="253"/>
    </row>
    <row r="1981" spans="1:31">
      <c r="A1981" s="33">
        <v>1980</v>
      </c>
      <c r="B1981" s="69" t="s">
        <v>1123</v>
      </c>
      <c r="C1981" s="69" t="s">
        <v>1124</v>
      </c>
      <c r="D1981" s="56">
        <v>43005</v>
      </c>
      <c r="E1981" s="33" t="s">
        <v>1134</v>
      </c>
      <c r="F1981" s="69" t="s">
        <v>725</v>
      </c>
      <c r="G1981" s="69" t="str">
        <f t="shared" si="30"/>
        <v>User Registration</v>
      </c>
      <c r="H1981" s="69" t="s">
        <v>1125</v>
      </c>
      <c r="I1981" s="69" t="s">
        <v>1125</v>
      </c>
      <c r="J1981" s="69" t="s">
        <v>1135</v>
      </c>
      <c r="K1981" s="69" t="s">
        <v>1135</v>
      </c>
      <c r="L1981" s="253">
        <v>55.692307692307693</v>
      </c>
      <c r="M1981" s="253">
        <v>55.364046822742488</v>
      </c>
      <c r="N1981" s="253">
        <v>47.192307692307693</v>
      </c>
      <c r="O1981" s="253">
        <v>54.140271493212666</v>
      </c>
      <c r="P1981" s="253">
        <v>56.000000000000007</v>
      </c>
      <c r="Q1981" s="253">
        <v>57.499999999999993</v>
      </c>
      <c r="R1981" s="253">
        <v>57.499999999999993</v>
      </c>
      <c r="S1981" s="253">
        <v>51.2</v>
      </c>
      <c r="T1981" s="253">
        <v>53.7</v>
      </c>
      <c r="U1981" s="253">
        <v>56.21</v>
      </c>
      <c r="V1981" s="253"/>
      <c r="W1981" s="253">
        <v>47.25</v>
      </c>
      <c r="X1981" s="253">
        <v>46.999999999999993</v>
      </c>
      <c r="Y1981" s="253">
        <v>53.33</v>
      </c>
      <c r="Z1981" s="253">
        <v>54.46153846153846</v>
      </c>
      <c r="AA1981" s="253"/>
      <c r="AB1981" s="253"/>
      <c r="AC1981" s="253"/>
      <c r="AD1981" s="253"/>
      <c r="AE1981" s="253"/>
    </row>
    <row r="1982" spans="1:31">
      <c r="A1982" s="33">
        <v>1981</v>
      </c>
      <c r="B1982" s="69" t="s">
        <v>1123</v>
      </c>
      <c r="C1982" s="69" t="s">
        <v>1124</v>
      </c>
      <c r="D1982" s="56">
        <v>43005</v>
      </c>
      <c r="E1982" s="33" t="s">
        <v>724</v>
      </c>
      <c r="F1982" s="69" t="s">
        <v>725</v>
      </c>
      <c r="G1982" s="69" t="str">
        <f t="shared" si="30"/>
        <v>User Registration</v>
      </c>
      <c r="H1982" s="69" t="s">
        <v>1125</v>
      </c>
      <c r="I1982" s="69" t="s">
        <v>1125</v>
      </c>
      <c r="J1982" s="69" t="s">
        <v>1126</v>
      </c>
      <c r="K1982" s="69" t="s">
        <v>1126</v>
      </c>
      <c r="L1982" s="253">
        <v>60.487518142235132</v>
      </c>
      <c r="M1982" s="253">
        <v>56.304801411466421</v>
      </c>
      <c r="N1982" s="253">
        <v>55.224830316742079</v>
      </c>
      <c r="O1982" s="253">
        <v>56.32727663753888</v>
      </c>
      <c r="P1982" s="253">
        <v>60.811320754716981</v>
      </c>
      <c r="Q1982" s="253">
        <v>57.108108108108098</v>
      </c>
      <c r="R1982" s="253">
        <v>57.211771724000805</v>
      </c>
      <c r="S1982" s="253">
        <v>54.66346153846154</v>
      </c>
      <c r="T1982" s="253">
        <v>54.62765957446809</v>
      </c>
      <c r="U1982" s="253">
        <v>55.919540229885058</v>
      </c>
      <c r="V1982" s="253"/>
      <c r="W1982" s="253">
        <v>53.96875</v>
      </c>
      <c r="X1982" s="253">
        <v>59.411764705882355</v>
      </c>
      <c r="Y1982" s="253">
        <v>55.37916666666667</v>
      </c>
      <c r="Z1982" s="253">
        <v>59.192307692307701</v>
      </c>
      <c r="AA1982" s="253"/>
      <c r="AB1982" s="253"/>
      <c r="AC1982" s="253"/>
      <c r="AD1982" s="253"/>
      <c r="AE1982" s="253"/>
    </row>
    <row r="1983" spans="1:31">
      <c r="A1983" s="33">
        <v>1982</v>
      </c>
      <c r="B1983" s="69" t="s">
        <v>1123</v>
      </c>
      <c r="C1983" s="69" t="s">
        <v>1124</v>
      </c>
      <c r="D1983" s="56">
        <v>43005</v>
      </c>
      <c r="E1983" s="33" t="s">
        <v>1128</v>
      </c>
      <c r="F1983" s="69" t="s">
        <v>725</v>
      </c>
      <c r="G1983" s="69" t="str">
        <f t="shared" si="30"/>
        <v>User Registration</v>
      </c>
      <c r="H1983" s="69" t="s">
        <v>1125</v>
      </c>
      <c r="I1983" s="69" t="s">
        <v>1125</v>
      </c>
      <c r="J1983" s="69" t="s">
        <v>1129</v>
      </c>
      <c r="K1983" s="69" t="s">
        <v>1129</v>
      </c>
      <c r="L1983" s="253">
        <v>53.84615384615384</v>
      </c>
      <c r="M1983" s="253">
        <v>53.827023411371229</v>
      </c>
      <c r="N1983" s="253">
        <v>52.750769230769222</v>
      </c>
      <c r="O1983" s="253">
        <v>55.155429864253399</v>
      </c>
      <c r="P1983" s="253">
        <v>55</v>
      </c>
      <c r="Q1983" s="253">
        <v>46.999999999999993</v>
      </c>
      <c r="R1983" s="253">
        <v>56.499999999999993</v>
      </c>
      <c r="S1983" s="253">
        <v>56.449999999999996</v>
      </c>
      <c r="T1983" s="253">
        <v>55.620000000000005</v>
      </c>
      <c r="U1983" s="253">
        <v>55.279999999999994</v>
      </c>
      <c r="V1983" s="253"/>
      <c r="W1983" s="253">
        <v>53.21</v>
      </c>
      <c r="X1983" s="253">
        <v>51.22</v>
      </c>
      <c r="Y1983" s="253">
        <v>57.35</v>
      </c>
      <c r="Z1983" s="253">
        <v>49.230769230769234</v>
      </c>
      <c r="AA1983" s="253"/>
      <c r="AB1983" s="253"/>
      <c r="AC1983" s="253"/>
      <c r="AD1983" s="253"/>
      <c r="AE1983" s="253"/>
    </row>
    <row r="1984" spans="1:31">
      <c r="A1984" s="33">
        <v>1983</v>
      </c>
      <c r="B1984" s="69" t="s">
        <v>1123</v>
      </c>
      <c r="C1984" s="69" t="s">
        <v>1124</v>
      </c>
      <c r="D1984" s="56">
        <v>43005</v>
      </c>
      <c r="E1984" s="33" t="s">
        <v>1146</v>
      </c>
      <c r="F1984" s="69" t="s">
        <v>725</v>
      </c>
      <c r="G1984" s="69" t="str">
        <f t="shared" si="30"/>
        <v>User Registration</v>
      </c>
      <c r="H1984" s="69" t="s">
        <v>1125</v>
      </c>
      <c r="I1984" s="69" t="s">
        <v>1125</v>
      </c>
      <c r="J1984" s="69" t="s">
        <v>1147</v>
      </c>
      <c r="K1984" s="69" t="s">
        <v>1147</v>
      </c>
      <c r="L1984" s="253">
        <v>56.953230769230764</v>
      </c>
      <c r="M1984" s="253">
        <v>52.985752508361195</v>
      </c>
      <c r="N1984" s="253">
        <v>55.243076923076927</v>
      </c>
      <c r="O1984" s="253">
        <v>54.768144796380092</v>
      </c>
      <c r="P1984" s="253">
        <v>57.230000000000004</v>
      </c>
      <c r="Q1984" s="253">
        <v>46</v>
      </c>
      <c r="R1984" s="253">
        <v>56.000000000000007</v>
      </c>
      <c r="S1984" s="253">
        <v>53.019999999999996</v>
      </c>
      <c r="T1984" s="253">
        <v>53.249999999999993</v>
      </c>
      <c r="U1984" s="253">
        <v>54.23</v>
      </c>
      <c r="V1984" s="253"/>
      <c r="W1984" s="253">
        <v>55.25</v>
      </c>
      <c r="X1984" s="253">
        <v>55.22</v>
      </c>
      <c r="Y1984" s="253">
        <v>55.25</v>
      </c>
      <c r="Z1984" s="253">
        <v>55.846153846153847</v>
      </c>
      <c r="AA1984" s="253"/>
      <c r="AB1984" s="253"/>
      <c r="AC1984" s="253"/>
      <c r="AD1984" s="253"/>
      <c r="AE1984" s="253"/>
    </row>
    <row r="1985" spans="1:31">
      <c r="A1985" s="33">
        <v>1984</v>
      </c>
      <c r="B1985" s="69" t="s">
        <v>1123</v>
      </c>
      <c r="C1985" s="69" t="s">
        <v>1124</v>
      </c>
      <c r="D1985" s="56">
        <v>43005</v>
      </c>
      <c r="E1985" s="33" t="s">
        <v>1131</v>
      </c>
      <c r="F1985" s="69" t="s">
        <v>725</v>
      </c>
      <c r="G1985" s="69" t="str">
        <f t="shared" si="30"/>
        <v>User Registration</v>
      </c>
      <c r="H1985" s="69" t="s">
        <v>1125</v>
      </c>
      <c r="I1985" s="69" t="s">
        <v>1125</v>
      </c>
      <c r="J1985" s="69" t="s">
        <v>1132</v>
      </c>
      <c r="K1985" s="69" t="s">
        <v>1148</v>
      </c>
      <c r="L1985" s="253">
        <v>58.076632801161111</v>
      </c>
      <c r="M1985" s="253">
        <v>55.648184507452179</v>
      </c>
      <c r="N1985" s="253">
        <v>50.089649321266968</v>
      </c>
      <c r="O1985" s="253">
        <v>52.938026715544325</v>
      </c>
      <c r="P1985" s="253">
        <v>57.018867924528315</v>
      </c>
      <c r="Q1985" s="253">
        <v>53.635135135135137</v>
      </c>
      <c r="R1985" s="253">
        <v>58.295883873533505</v>
      </c>
      <c r="S1985" s="253">
        <v>52.067307692307693</v>
      </c>
      <c r="T1985" s="253">
        <v>56.627659574468083</v>
      </c>
      <c r="U1985" s="253">
        <v>54.224137931034477</v>
      </c>
      <c r="V1985" s="253"/>
      <c r="W1985" s="253">
        <v>48.28125</v>
      </c>
      <c r="X1985" s="253">
        <v>56.117647058823529</v>
      </c>
      <c r="Y1985" s="253">
        <v>49.072916666666671</v>
      </c>
      <c r="Z1985" s="253">
        <v>62.307692307692307</v>
      </c>
      <c r="AA1985" s="253"/>
      <c r="AB1985" s="253"/>
      <c r="AC1985" s="253"/>
      <c r="AD1985" s="253"/>
      <c r="AE1985" s="253"/>
    </row>
    <row r="1986" spans="1:31">
      <c r="A1986" s="33">
        <v>1985</v>
      </c>
      <c r="B1986" s="69" t="s">
        <v>1123</v>
      </c>
      <c r="C1986" s="69" t="s">
        <v>1124</v>
      </c>
      <c r="D1986" s="56">
        <v>43005</v>
      </c>
      <c r="E1986" s="33" t="s">
        <v>1146</v>
      </c>
      <c r="F1986" s="69" t="s">
        <v>725</v>
      </c>
      <c r="G1986" s="69" t="str">
        <f t="shared" ref="G1986:G2049" si="31">IF(V1986&gt;0,IF(W1986&gt;0,"Both","E-Commerce"),IF(W1986=0, "ERROR","User Registration"))</f>
        <v>User Registration</v>
      </c>
      <c r="H1986" s="69" t="s">
        <v>1125</v>
      </c>
      <c r="I1986" s="69" t="s">
        <v>1125</v>
      </c>
      <c r="J1986" s="69" t="s">
        <v>1147</v>
      </c>
      <c r="K1986" s="69" t="s">
        <v>1149</v>
      </c>
      <c r="L1986" s="253">
        <v>60.338461538461537</v>
      </c>
      <c r="M1986" s="253">
        <v>52.747157190635448</v>
      </c>
      <c r="N1986" s="253">
        <v>53.083076923076931</v>
      </c>
      <c r="O1986" s="253">
        <v>54.928054298642522</v>
      </c>
      <c r="P1986" s="253">
        <v>59.75</v>
      </c>
      <c r="Q1986" s="253">
        <v>51</v>
      </c>
      <c r="R1986" s="253">
        <v>51</v>
      </c>
      <c r="S1986" s="253">
        <v>50.199999999999996</v>
      </c>
      <c r="T1986" s="253">
        <v>53.2</v>
      </c>
      <c r="U1986" s="253">
        <v>53.680000000000007</v>
      </c>
      <c r="V1986" s="253"/>
      <c r="W1986" s="253">
        <v>55.339999999999996</v>
      </c>
      <c r="X1986" s="253">
        <v>45.56</v>
      </c>
      <c r="Y1986" s="253">
        <v>54.25</v>
      </c>
      <c r="Z1986" s="253">
        <v>62.692307692307693</v>
      </c>
      <c r="AA1986" s="253"/>
      <c r="AB1986" s="253"/>
      <c r="AC1986" s="253"/>
      <c r="AD1986" s="253"/>
      <c r="AE1986" s="253"/>
    </row>
    <row r="1987" spans="1:31">
      <c r="A1987" s="33">
        <v>1986</v>
      </c>
      <c r="B1987" s="69" t="s">
        <v>1123</v>
      </c>
      <c r="C1987" s="69" t="s">
        <v>1124</v>
      </c>
      <c r="D1987" s="56">
        <v>43005</v>
      </c>
      <c r="E1987" s="33" t="s">
        <v>724</v>
      </c>
      <c r="F1987" s="69" t="s">
        <v>725</v>
      </c>
      <c r="G1987" s="69" t="str">
        <f t="shared" si="31"/>
        <v>User Registration</v>
      </c>
      <c r="H1987" s="69" t="s">
        <v>1125</v>
      </c>
      <c r="I1987" s="69" t="s">
        <v>1125</v>
      </c>
      <c r="J1987" s="69" t="s">
        <v>1126</v>
      </c>
      <c r="K1987" s="69" t="s">
        <v>1150</v>
      </c>
      <c r="L1987" s="253">
        <v>55.633846153846143</v>
      </c>
      <c r="M1987" s="253">
        <v>52.573411371237455</v>
      </c>
      <c r="N1987" s="253">
        <v>49.21153846153846</v>
      </c>
      <c r="O1987" s="253">
        <v>50.323981900452488</v>
      </c>
      <c r="P1987" s="253">
        <v>58.099999999999994</v>
      </c>
      <c r="Q1987" s="253">
        <v>47.5</v>
      </c>
      <c r="R1987" s="253">
        <v>56.29999999999999</v>
      </c>
      <c r="S1987" s="253">
        <v>55.6</v>
      </c>
      <c r="T1987" s="253">
        <v>52.5</v>
      </c>
      <c r="U1987" s="253">
        <v>53.249999999999993</v>
      </c>
      <c r="V1987" s="253"/>
      <c r="W1987" s="253">
        <v>49.38</v>
      </c>
      <c r="X1987" s="253">
        <v>48.65</v>
      </c>
      <c r="Y1987" s="253">
        <v>50.249999999999993</v>
      </c>
      <c r="Z1987" s="253">
        <v>45.769230769230766</v>
      </c>
      <c r="AA1987" s="253"/>
      <c r="AB1987" s="253"/>
      <c r="AC1987" s="253"/>
      <c r="AD1987" s="253"/>
      <c r="AE1987" s="253"/>
    </row>
    <row r="1988" spans="1:31">
      <c r="A1988" s="33">
        <v>1987</v>
      </c>
      <c r="B1988" s="69" t="s">
        <v>1123</v>
      </c>
      <c r="C1988" s="69" t="s">
        <v>1124</v>
      </c>
      <c r="D1988" s="56">
        <v>43005</v>
      </c>
      <c r="E1988" s="33" t="s">
        <v>1128</v>
      </c>
      <c r="F1988" s="69" t="s">
        <v>725</v>
      </c>
      <c r="G1988" s="69" t="str">
        <f t="shared" si="31"/>
        <v>User Registration</v>
      </c>
      <c r="H1988" s="69" t="s">
        <v>1125</v>
      </c>
      <c r="I1988" s="69" t="s">
        <v>1125</v>
      </c>
      <c r="J1988" s="69" t="s">
        <v>1129</v>
      </c>
      <c r="K1988" s="69" t="s">
        <v>1151</v>
      </c>
      <c r="L1988" s="253">
        <v>56.21846153846154</v>
      </c>
      <c r="M1988" s="253">
        <v>50.515852842809359</v>
      </c>
      <c r="N1988" s="253">
        <v>47.04538461538462</v>
      </c>
      <c r="O1988" s="253">
        <v>48.952760180995469</v>
      </c>
      <c r="P1988" s="253">
        <v>58.35</v>
      </c>
      <c r="Q1988" s="253">
        <v>49.4</v>
      </c>
      <c r="R1988" s="253">
        <v>50</v>
      </c>
      <c r="S1988" s="253">
        <v>52.22</v>
      </c>
      <c r="T1988" s="253">
        <v>51.249999999999993</v>
      </c>
      <c r="U1988" s="253">
        <v>51.249999999999993</v>
      </c>
      <c r="V1988" s="253"/>
      <c r="W1988" s="253">
        <v>47.26</v>
      </c>
      <c r="X1988" s="253">
        <v>46.33</v>
      </c>
      <c r="Y1988" s="253">
        <v>48.75</v>
      </c>
      <c r="Z1988" s="253">
        <v>47.692307692307693</v>
      </c>
      <c r="AA1988" s="253"/>
      <c r="AB1988" s="253"/>
      <c r="AC1988" s="253"/>
      <c r="AD1988" s="253"/>
      <c r="AE1988" s="253"/>
    </row>
    <row r="1989" spans="1:31">
      <c r="A1989" s="33">
        <v>1988</v>
      </c>
      <c r="B1989" s="69" t="s">
        <v>1123</v>
      </c>
      <c r="C1989" s="69" t="s">
        <v>1124</v>
      </c>
      <c r="D1989" s="56">
        <v>43005</v>
      </c>
      <c r="E1989" s="33" t="s">
        <v>1134</v>
      </c>
      <c r="F1989" s="69" t="s">
        <v>725</v>
      </c>
      <c r="G1989" s="69" t="str">
        <f t="shared" si="31"/>
        <v>User Registration</v>
      </c>
      <c r="H1989" s="69" t="s">
        <v>1125</v>
      </c>
      <c r="I1989" s="69" t="s">
        <v>1125</v>
      </c>
      <c r="J1989" s="69" t="s">
        <v>1135</v>
      </c>
      <c r="K1989" s="69" t="s">
        <v>1152</v>
      </c>
      <c r="L1989" s="253">
        <v>58.521538461538455</v>
      </c>
      <c r="M1989" s="253">
        <v>52.650668896321072</v>
      </c>
      <c r="N1989" s="253">
        <v>55.849999999999987</v>
      </c>
      <c r="O1989" s="253">
        <v>51.725475113122172</v>
      </c>
      <c r="P1989" s="253">
        <v>60.075000000000003</v>
      </c>
      <c r="Q1989" s="253">
        <v>56.499999999999993</v>
      </c>
      <c r="R1989" s="253">
        <v>51.580000000000005</v>
      </c>
      <c r="S1989" s="253">
        <v>52.749999999999993</v>
      </c>
      <c r="T1989" s="253">
        <v>52.749999999999993</v>
      </c>
      <c r="U1989" s="253">
        <v>50.639999999999993</v>
      </c>
      <c r="V1989" s="253"/>
      <c r="W1989" s="253">
        <v>53.33</v>
      </c>
      <c r="X1989" s="253">
        <v>64.25</v>
      </c>
      <c r="Y1989" s="253">
        <v>51</v>
      </c>
      <c r="Z1989" s="253">
        <v>52.307692307692307</v>
      </c>
      <c r="AA1989" s="253"/>
      <c r="AB1989" s="253"/>
      <c r="AC1989" s="253"/>
      <c r="AD1989" s="253"/>
      <c r="AE1989" s="253"/>
    </row>
    <row r="1990" spans="1:31">
      <c r="A1990" s="33">
        <v>1989</v>
      </c>
      <c r="B1990" s="69" t="s">
        <v>1123</v>
      </c>
      <c r="C1990" s="69" t="s">
        <v>1124</v>
      </c>
      <c r="D1990" s="56">
        <v>43005</v>
      </c>
      <c r="E1990" s="33" t="s">
        <v>1146</v>
      </c>
      <c r="F1990" s="69" t="s">
        <v>725</v>
      </c>
      <c r="G1990" s="69" t="str">
        <f t="shared" si="31"/>
        <v>User Registration</v>
      </c>
      <c r="H1990" s="69" t="s">
        <v>1125</v>
      </c>
      <c r="I1990" s="69" t="s">
        <v>1125</v>
      </c>
      <c r="J1990" s="69" t="s">
        <v>1147</v>
      </c>
      <c r="K1990" s="69" t="s">
        <v>1153</v>
      </c>
      <c r="L1990" s="253">
        <v>56.403076923076924</v>
      </c>
      <c r="M1990" s="253">
        <v>50.583076923076916</v>
      </c>
      <c r="N1990" s="253">
        <v>45.630769230769225</v>
      </c>
      <c r="O1990" s="253">
        <v>49.981538461538463</v>
      </c>
      <c r="P1990" s="253">
        <v>57.85</v>
      </c>
      <c r="Q1990" s="253">
        <v>50.32</v>
      </c>
      <c r="R1990" s="253">
        <v>53.26</v>
      </c>
      <c r="S1990" s="253">
        <v>46.999999999999993</v>
      </c>
      <c r="T1990" s="253">
        <v>52.2</v>
      </c>
      <c r="U1990" s="253">
        <v>50</v>
      </c>
      <c r="V1990" s="253"/>
      <c r="W1990" s="253">
        <v>46.12</v>
      </c>
      <c r="X1990" s="253">
        <v>44</v>
      </c>
      <c r="Y1990" s="253">
        <v>49.4</v>
      </c>
      <c r="Z1990" s="253">
        <v>50.615384615384613</v>
      </c>
      <c r="AA1990" s="253"/>
      <c r="AB1990" s="253"/>
      <c r="AC1990" s="253"/>
      <c r="AD1990" s="253"/>
      <c r="AE1990" s="253"/>
    </row>
    <row r="1991" spans="1:31">
      <c r="A1991" s="33">
        <v>1990</v>
      </c>
      <c r="B1991" s="69" t="s">
        <v>1123</v>
      </c>
      <c r="C1991" s="69" t="s">
        <v>1124</v>
      </c>
      <c r="D1991" s="56">
        <v>43005</v>
      </c>
      <c r="E1991" s="33" t="s">
        <v>724</v>
      </c>
      <c r="F1991" s="69" t="s">
        <v>725</v>
      </c>
      <c r="G1991" s="69" t="str">
        <f t="shared" si="31"/>
        <v>User Registration</v>
      </c>
      <c r="H1991" s="69" t="s">
        <v>1125</v>
      </c>
      <c r="I1991" s="69" t="s">
        <v>1125</v>
      </c>
      <c r="J1991" s="69" t="s">
        <v>1126</v>
      </c>
      <c r="K1991" s="69" t="s">
        <v>1154</v>
      </c>
      <c r="L1991" s="253">
        <v>59.369230769230761</v>
      </c>
      <c r="M1991" s="253">
        <v>53.563578595317729</v>
      </c>
      <c r="N1991" s="253">
        <v>53.519230769230774</v>
      </c>
      <c r="O1991" s="253">
        <v>55.868733031674211</v>
      </c>
      <c r="P1991" s="253">
        <v>58.75</v>
      </c>
      <c r="Q1991" s="253">
        <v>64.22999999999999</v>
      </c>
      <c r="R1991" s="253">
        <v>53.5</v>
      </c>
      <c r="S1991" s="253">
        <v>48</v>
      </c>
      <c r="T1991" s="253">
        <v>50.199999999999996</v>
      </c>
      <c r="U1991" s="253">
        <v>48.25</v>
      </c>
      <c r="V1991" s="253"/>
      <c r="W1991" s="253">
        <v>54.5</v>
      </c>
      <c r="X1991" s="253">
        <v>50.249999999999993</v>
      </c>
      <c r="Y1991" s="253">
        <v>54.5</v>
      </c>
      <c r="Z1991" s="253">
        <v>61.846153846153847</v>
      </c>
      <c r="AA1991" s="253"/>
      <c r="AB1991" s="253"/>
      <c r="AC1991" s="253"/>
      <c r="AD1991" s="253"/>
      <c r="AE1991" s="253"/>
    </row>
    <row r="1992" spans="1:31">
      <c r="A1992" s="33">
        <v>1991</v>
      </c>
      <c r="B1992" s="69" t="s">
        <v>1055</v>
      </c>
      <c r="C1992" s="69" t="s">
        <v>1055</v>
      </c>
      <c r="D1992" s="56">
        <v>43006</v>
      </c>
      <c r="E1992" s="33" t="s">
        <v>781</v>
      </c>
      <c r="F1992" s="69" t="s">
        <v>532</v>
      </c>
      <c r="G1992" s="69" t="str">
        <f t="shared" si="31"/>
        <v>User Registration</v>
      </c>
      <c r="H1992" s="69" t="s">
        <v>1055</v>
      </c>
      <c r="I1992" s="69" t="s">
        <v>1055</v>
      </c>
      <c r="J1992" s="69" t="s">
        <v>1055</v>
      </c>
      <c r="K1992" s="69" t="s">
        <v>1117</v>
      </c>
      <c r="L1992" s="253">
        <v>0.62145718432510888</v>
      </c>
      <c r="M1992" s="253">
        <v>0.6046079759765749</v>
      </c>
      <c r="N1992" s="253">
        <v>0.56724205351656332</v>
      </c>
      <c r="O1992" s="253">
        <v>0.59190486349528604</v>
      </c>
      <c r="P1992" s="253">
        <v>0.62528301886792448</v>
      </c>
      <c r="Q1992" s="253">
        <v>0.61378378378378384</v>
      </c>
      <c r="R1992" s="253">
        <v>0.63776098627957845</v>
      </c>
      <c r="S1992" s="253">
        <v>0.5658653846153846</v>
      </c>
      <c r="T1992" s="253">
        <v>0.59734042553191491</v>
      </c>
      <c r="U1992" s="253">
        <v>0.59885057471264369</v>
      </c>
      <c r="V1992" s="253"/>
      <c r="W1992" s="253">
        <v>0.57506172839506176</v>
      </c>
      <c r="X1992" s="253">
        <v>0.54117647058823526</v>
      </c>
      <c r="Y1992" s="253">
        <v>0.57887499999999992</v>
      </c>
      <c r="Z1992" s="253">
        <v>0.60615384615384627</v>
      </c>
      <c r="AA1992" s="253"/>
      <c r="AB1992" s="253"/>
      <c r="AC1992" s="253"/>
      <c r="AD1992" s="253"/>
      <c r="AE1992" s="253"/>
    </row>
    <row r="1993" spans="1:31">
      <c r="A1993" s="33">
        <v>1992</v>
      </c>
      <c r="B1993" s="69" t="s">
        <v>1115</v>
      </c>
      <c r="C1993" s="69" t="s">
        <v>791</v>
      </c>
      <c r="D1993" s="56">
        <v>43007</v>
      </c>
      <c r="E1993" s="33" t="s">
        <v>724</v>
      </c>
      <c r="F1993" s="69" t="s">
        <v>380</v>
      </c>
      <c r="G1993" s="69" t="str">
        <f t="shared" si="31"/>
        <v>User Registration</v>
      </c>
      <c r="H1993" s="69" t="s">
        <v>508</v>
      </c>
      <c r="I1993" s="69" t="s">
        <v>962</v>
      </c>
      <c r="J1993" s="69" t="s">
        <v>1115</v>
      </c>
      <c r="K1993" s="69" t="s">
        <v>391</v>
      </c>
      <c r="L1993" s="253">
        <v>72.253991291727147</v>
      </c>
      <c r="M1993" s="253">
        <v>70.187619407410722</v>
      </c>
      <c r="N1993" s="253">
        <v>71.775735294117652</v>
      </c>
      <c r="O1993" s="253">
        <v>66.996548117966142</v>
      </c>
      <c r="P1993" s="253">
        <v>73.490566037735846</v>
      </c>
      <c r="Q1993" s="253">
        <v>70.743243243243242</v>
      </c>
      <c r="R1993" s="253">
        <v>71.437661562934977</v>
      </c>
      <c r="S1993" s="253">
        <v>69.797979797979792</v>
      </c>
      <c r="T1993" s="253">
        <v>68.563829787234042</v>
      </c>
      <c r="U1993" s="253">
        <v>70.931034482758619</v>
      </c>
      <c r="V1993" s="253"/>
      <c r="W1993" s="253">
        <v>72.34375</v>
      </c>
      <c r="X1993" s="253">
        <v>69.882352941176478</v>
      </c>
      <c r="Y1993" s="253">
        <v>65.360169491525426</v>
      </c>
      <c r="Z1993" s="253">
        <v>67.307692307692307</v>
      </c>
      <c r="AA1993" s="253"/>
      <c r="AB1993" s="253"/>
      <c r="AC1993" s="253"/>
      <c r="AD1993" s="253"/>
      <c r="AE1993" s="253"/>
    </row>
    <row r="1994" spans="1:31">
      <c r="A1994" s="33">
        <v>1993</v>
      </c>
      <c r="B1994" s="69" t="s">
        <v>1115</v>
      </c>
      <c r="C1994" s="69" t="s">
        <v>791</v>
      </c>
      <c r="D1994" s="56">
        <v>43007</v>
      </c>
      <c r="E1994" s="33" t="s">
        <v>724</v>
      </c>
      <c r="F1994" s="69" t="s">
        <v>380</v>
      </c>
      <c r="G1994" s="69" t="str">
        <f t="shared" si="31"/>
        <v>User Registration</v>
      </c>
      <c r="H1994" s="69" t="s">
        <v>508</v>
      </c>
      <c r="I1994" s="69" t="s">
        <v>962</v>
      </c>
      <c r="J1994" s="69" t="s">
        <v>1115</v>
      </c>
      <c r="K1994" s="69" t="s">
        <v>1110</v>
      </c>
      <c r="L1994" s="253">
        <v>60.870537010159644</v>
      </c>
      <c r="M1994" s="253">
        <v>63.934896738222356</v>
      </c>
      <c r="N1994" s="253">
        <v>64.362273755656119</v>
      </c>
      <c r="O1994" s="253">
        <v>63.138843906604457</v>
      </c>
      <c r="P1994" s="253">
        <v>61.415094339622634</v>
      </c>
      <c r="Q1994" s="253">
        <v>63.445945945945944</v>
      </c>
      <c r="R1994" s="253">
        <v>62.199244382581021</v>
      </c>
      <c r="S1994" s="253">
        <v>66.443298969072174</v>
      </c>
      <c r="T1994" s="253">
        <v>64.255319148936167</v>
      </c>
      <c r="U1994" s="253">
        <v>65.959770114942529</v>
      </c>
      <c r="V1994" s="253"/>
      <c r="W1994" s="253">
        <v>63.906250000000007</v>
      </c>
      <c r="X1994" s="253">
        <v>65.882352941176464</v>
      </c>
      <c r="Y1994" s="253">
        <v>64.299568965517253</v>
      </c>
      <c r="Z1994" s="253">
        <v>58.692307692307686</v>
      </c>
      <c r="AA1994" s="253"/>
      <c r="AB1994" s="253"/>
      <c r="AC1994" s="253"/>
      <c r="AD1994" s="253"/>
      <c r="AE1994" s="253"/>
    </row>
    <row r="1995" spans="1:31">
      <c r="A1995" s="33">
        <v>1994</v>
      </c>
      <c r="B1995" s="69" t="s">
        <v>1115</v>
      </c>
      <c r="C1995" s="69" t="s">
        <v>791</v>
      </c>
      <c r="D1995" s="56">
        <v>43007</v>
      </c>
      <c r="E1995" s="33" t="s">
        <v>724</v>
      </c>
      <c r="F1995" s="69" t="s">
        <v>380</v>
      </c>
      <c r="G1995" s="69" t="str">
        <f t="shared" si="31"/>
        <v>User Registration</v>
      </c>
      <c r="H1995" s="69" t="s">
        <v>508</v>
      </c>
      <c r="I1995" s="69" t="s">
        <v>962</v>
      </c>
      <c r="J1995" s="69" t="s">
        <v>1115</v>
      </c>
      <c r="K1995" s="69" t="s">
        <v>1111</v>
      </c>
      <c r="L1995" s="253">
        <v>57.942235123367205</v>
      </c>
      <c r="M1995" s="253">
        <v>59.80359664676579</v>
      </c>
      <c r="N1995" s="253">
        <v>64.922794117647058</v>
      </c>
      <c r="O1995" s="253">
        <v>62.994548429296756</v>
      </c>
      <c r="P1995" s="253">
        <v>58.75471698113207</v>
      </c>
      <c r="Q1995" s="253">
        <v>57.027027027027032</v>
      </c>
      <c r="R1995" s="253">
        <v>57.509445217737117</v>
      </c>
      <c r="S1995" s="253">
        <v>60</v>
      </c>
      <c r="T1995" s="253">
        <v>63.308510638297868</v>
      </c>
      <c r="U1995" s="253">
        <v>64.103448275862078</v>
      </c>
      <c r="V1995" s="253"/>
      <c r="W1995" s="253">
        <v>65.09375</v>
      </c>
      <c r="X1995" s="253">
        <v>64.352941176470594</v>
      </c>
      <c r="Y1995" s="253">
        <v>67.47844827586205</v>
      </c>
      <c r="Z1995" s="253">
        <v>54.692307692307686</v>
      </c>
      <c r="AA1995" s="253"/>
      <c r="AB1995" s="253"/>
      <c r="AC1995" s="253"/>
      <c r="AD1995" s="253"/>
      <c r="AE1995" s="253"/>
    </row>
    <row r="1996" spans="1:31">
      <c r="A1996" s="33">
        <v>1995</v>
      </c>
      <c r="B1996" s="69" t="s">
        <v>1055</v>
      </c>
      <c r="C1996" s="69" t="s">
        <v>1055</v>
      </c>
      <c r="D1996" s="56">
        <v>43007</v>
      </c>
      <c r="E1996" s="33" t="s">
        <v>781</v>
      </c>
      <c r="F1996" s="69" t="s">
        <v>532</v>
      </c>
      <c r="G1996" s="69" t="str">
        <f t="shared" si="31"/>
        <v>User Registration</v>
      </c>
      <c r="H1996" s="69" t="s">
        <v>1055</v>
      </c>
      <c r="I1996" s="69" t="s">
        <v>1055</v>
      </c>
      <c r="J1996" s="69" t="s">
        <v>1055</v>
      </c>
      <c r="K1996" s="69" t="s">
        <v>1116</v>
      </c>
      <c r="L1996" s="253">
        <v>0.5084448476052249</v>
      </c>
      <c r="M1996" s="253">
        <v>0.4914504268809195</v>
      </c>
      <c r="N1996" s="253">
        <v>0.51547623037819112</v>
      </c>
      <c r="O1996" s="253">
        <v>0.52778927239032891</v>
      </c>
      <c r="P1996" s="253">
        <v>0.50358490566037728</v>
      </c>
      <c r="Q1996" s="253">
        <v>0.38513513513513514</v>
      </c>
      <c r="R1996" s="253">
        <v>0.54440246569894601</v>
      </c>
      <c r="S1996" s="253">
        <v>0.4721153846153846</v>
      </c>
      <c r="T1996" s="253">
        <v>0.50585106382978717</v>
      </c>
      <c r="U1996" s="253">
        <v>0.51580459770114939</v>
      </c>
      <c r="V1996" s="253"/>
      <c r="W1996" s="253">
        <v>0.49753086419753084</v>
      </c>
      <c r="X1996" s="253">
        <v>0.57529411764705884</v>
      </c>
      <c r="Y1996" s="253">
        <v>0.54427083333333337</v>
      </c>
      <c r="Z1996" s="253">
        <v>0.5278846153846154</v>
      </c>
      <c r="AA1996" s="253"/>
      <c r="AB1996" s="253"/>
      <c r="AC1996" s="253"/>
      <c r="AD1996" s="253"/>
      <c r="AE1996" s="253"/>
    </row>
    <row r="1997" spans="1:31">
      <c r="A1997" s="33">
        <v>1996</v>
      </c>
      <c r="B1997" s="69" t="s">
        <v>1115</v>
      </c>
      <c r="C1997" s="69" t="s">
        <v>791</v>
      </c>
      <c r="D1997" s="56">
        <v>43007</v>
      </c>
      <c r="E1997" s="33" t="s">
        <v>724</v>
      </c>
      <c r="F1997" s="69" t="s">
        <v>380</v>
      </c>
      <c r="G1997" s="69" t="str">
        <f t="shared" si="31"/>
        <v>User Registration</v>
      </c>
      <c r="H1997" s="69" t="s">
        <v>508</v>
      </c>
      <c r="I1997" s="69" t="s">
        <v>962</v>
      </c>
      <c r="J1997" s="69" t="s">
        <v>1115</v>
      </c>
      <c r="K1997" s="69" t="s">
        <v>379</v>
      </c>
      <c r="L1997" s="253">
        <v>64.695791001451383</v>
      </c>
      <c r="M1997" s="253">
        <v>63.801766741804329</v>
      </c>
      <c r="N1997" s="253">
        <v>63.780260180995469</v>
      </c>
      <c r="O1997" s="253">
        <v>63.832111346927618</v>
      </c>
      <c r="P1997" s="253">
        <v>65.773584905660371</v>
      </c>
      <c r="Q1997" s="253">
        <v>61.594594594594589</v>
      </c>
      <c r="R1997" s="253">
        <v>65.16106581825413</v>
      </c>
      <c r="S1997" s="253">
        <v>72.59615384615384</v>
      </c>
      <c r="T1997" s="253">
        <v>59.78723404255318</v>
      </c>
      <c r="U1997" s="253">
        <v>60.948275862068968</v>
      </c>
      <c r="V1997" s="253"/>
      <c r="W1997" s="253">
        <v>63.34375</v>
      </c>
      <c r="X1997" s="253">
        <v>65.235294117647058</v>
      </c>
      <c r="Y1997" s="253">
        <v>63.947916666666671</v>
      </c>
      <c r="Z1997" s="253">
        <v>60.38461538461538</v>
      </c>
      <c r="AA1997" s="253"/>
      <c r="AB1997" s="253"/>
      <c r="AC1997" s="253"/>
      <c r="AD1997" s="253"/>
      <c r="AE1997" s="253"/>
    </row>
    <row r="1998" spans="1:31">
      <c r="A1998" s="33">
        <v>1997</v>
      </c>
      <c r="B1998" s="69" t="s">
        <v>1115</v>
      </c>
      <c r="C1998" s="69" t="s">
        <v>791</v>
      </c>
      <c r="D1998" s="56">
        <v>43007</v>
      </c>
      <c r="E1998" s="33" t="s">
        <v>724</v>
      </c>
      <c r="F1998" s="69" t="s">
        <v>380</v>
      </c>
      <c r="G1998" s="69" t="str">
        <f t="shared" si="31"/>
        <v>User Registration</v>
      </c>
      <c r="H1998" s="69" t="s">
        <v>508</v>
      </c>
      <c r="I1998" s="69" t="s">
        <v>962</v>
      </c>
      <c r="J1998" s="69" t="s">
        <v>1115</v>
      </c>
      <c r="K1998" s="69" t="s">
        <v>1115</v>
      </c>
      <c r="L1998" s="253">
        <v>62.709433962264136</v>
      </c>
      <c r="M1998" s="253">
        <v>59.015036658355434</v>
      </c>
      <c r="N1998" s="253">
        <v>60.939196832579192</v>
      </c>
      <c r="O1998" s="253">
        <v>59.767840847819095</v>
      </c>
      <c r="P1998" s="253">
        <v>63.886792452830178</v>
      </c>
      <c r="Q1998" s="253">
        <v>58.716216216216218</v>
      </c>
      <c r="R1998" s="253">
        <v>60.046530125273421</v>
      </c>
      <c r="S1998" s="253">
        <v>57.205882352941174</v>
      </c>
      <c r="T1998" s="253">
        <v>63.882978723404257</v>
      </c>
      <c r="U1998" s="253">
        <v>57.155172413793096</v>
      </c>
      <c r="V1998" s="253"/>
      <c r="W1998" s="253">
        <v>60.656250000000007</v>
      </c>
      <c r="X1998" s="253">
        <v>61.882352941176478</v>
      </c>
      <c r="Y1998" s="253">
        <v>60.603813559322042</v>
      </c>
      <c r="Z1998" s="253">
        <v>58.000000000000007</v>
      </c>
      <c r="AA1998" s="253"/>
      <c r="AB1998" s="253"/>
      <c r="AC1998" s="253"/>
      <c r="AD1998" s="253"/>
      <c r="AE1998" s="253"/>
    </row>
    <row r="1999" spans="1:31">
      <c r="A1999" s="33">
        <v>1998</v>
      </c>
      <c r="B1999" s="69" t="s">
        <v>1055</v>
      </c>
      <c r="C1999" s="69" t="s">
        <v>1055</v>
      </c>
      <c r="D1999" s="56">
        <v>43008</v>
      </c>
      <c r="E1999" s="33" t="s">
        <v>781</v>
      </c>
      <c r="F1999" s="69" t="s">
        <v>532</v>
      </c>
      <c r="G1999" s="69" t="str">
        <f t="shared" si="31"/>
        <v>User Registration</v>
      </c>
      <c r="H1999" s="69" t="s">
        <v>1055</v>
      </c>
      <c r="I1999" s="69" t="s">
        <v>1055</v>
      </c>
      <c r="J1999" s="69" t="s">
        <v>1055</v>
      </c>
      <c r="K1999" s="69" t="s">
        <v>1114</v>
      </c>
      <c r="L1999" s="253">
        <v>0.58806676342525399</v>
      </c>
      <c r="M1999" s="253">
        <v>0.58658847775796763</v>
      </c>
      <c r="N1999" s="253">
        <v>0.59063468521311657</v>
      </c>
      <c r="O1999" s="253">
        <v>0.57566799070223329</v>
      </c>
      <c r="P1999" s="253">
        <v>0.59566037735849053</v>
      </c>
      <c r="Q1999" s="253">
        <v>0.57581081081081076</v>
      </c>
      <c r="R1999" s="253">
        <v>0.64863790017896206</v>
      </c>
      <c r="S1999" s="253">
        <v>0.50144230769230769</v>
      </c>
      <c r="T1999" s="253">
        <v>0.59840425531914898</v>
      </c>
      <c r="U1999" s="253">
        <v>0.60574712643678152</v>
      </c>
      <c r="V1999" s="253"/>
      <c r="W1999" s="253">
        <v>0.61234567901234571</v>
      </c>
      <c r="X1999" s="253">
        <v>0.51826470588235285</v>
      </c>
      <c r="Y1999" s="253">
        <v>0.57387500000000002</v>
      </c>
      <c r="Z1999" s="253">
        <v>0.55769230769230771</v>
      </c>
      <c r="AA1999" s="253"/>
      <c r="AB1999" s="253"/>
      <c r="AC1999" s="253"/>
      <c r="AD1999" s="253"/>
      <c r="AE1999" s="253"/>
    </row>
    <row r="2000" spans="1:31">
      <c r="A2000" s="33">
        <v>1999</v>
      </c>
      <c r="B2000" s="69" t="s">
        <v>1055</v>
      </c>
      <c r="C2000" s="69" t="s">
        <v>1055</v>
      </c>
      <c r="D2000" s="56">
        <v>43009</v>
      </c>
      <c r="E2000" s="33" t="s">
        <v>781</v>
      </c>
      <c r="F2000" s="69" t="s">
        <v>532</v>
      </c>
      <c r="G2000" s="69" t="str">
        <f t="shared" si="31"/>
        <v>User Registration</v>
      </c>
      <c r="H2000" s="69" t="s">
        <v>1055</v>
      </c>
      <c r="I2000" s="69" t="s">
        <v>1055</v>
      </c>
      <c r="J2000" s="69" t="s">
        <v>1055</v>
      </c>
      <c r="K2000" s="69" t="s">
        <v>1113</v>
      </c>
      <c r="L2000" s="253">
        <v>0.58306328011611031</v>
      </c>
      <c r="M2000" s="253">
        <v>0.57716091641667411</v>
      </c>
      <c r="N2000" s="253">
        <v>0.55432098765432103</v>
      </c>
      <c r="O2000" s="253">
        <v>0.5698975217271276</v>
      </c>
      <c r="P2000" s="253">
        <v>0.60188679245283017</v>
      </c>
      <c r="Q2000" s="253">
        <v>0.59405405405405409</v>
      </c>
      <c r="R2000" s="253">
        <v>0.61522370252535286</v>
      </c>
      <c r="S2000" s="253">
        <v>0.51586538461538467</v>
      </c>
      <c r="T2000" s="253">
        <v>0.56914893617021278</v>
      </c>
      <c r="U2000" s="253">
        <v>0.60718390804597699</v>
      </c>
      <c r="V2000" s="253"/>
      <c r="W2000" s="253">
        <v>0.55432098765432103</v>
      </c>
      <c r="X2000" s="253"/>
      <c r="Y2000" s="253">
        <v>0.5824583333333333</v>
      </c>
      <c r="Z2000" s="253">
        <v>0.50776923076923075</v>
      </c>
      <c r="AA2000" s="253"/>
      <c r="AB2000" s="253"/>
      <c r="AC2000" s="253"/>
      <c r="AD2000" s="253"/>
      <c r="AE2000" s="253"/>
    </row>
    <row r="2001" spans="1:31">
      <c r="A2001" s="33">
        <v>2000</v>
      </c>
      <c r="B2001" s="69" t="s">
        <v>1055</v>
      </c>
      <c r="C2001" s="69" t="s">
        <v>1055</v>
      </c>
      <c r="D2001" s="56">
        <v>43010</v>
      </c>
      <c r="E2001" s="33" t="s">
        <v>781</v>
      </c>
      <c r="F2001" s="69" t="s">
        <v>532</v>
      </c>
      <c r="G2001" s="69" t="str">
        <f t="shared" si="31"/>
        <v>User Registration</v>
      </c>
      <c r="H2001" s="69" t="s">
        <v>1055</v>
      </c>
      <c r="I2001" s="69" t="s">
        <v>1055</v>
      </c>
      <c r="J2001" s="69" t="s">
        <v>1055</v>
      </c>
      <c r="K2001" s="69" t="s">
        <v>1112</v>
      </c>
      <c r="L2001" s="253">
        <v>0.58975036284470261</v>
      </c>
      <c r="M2001" s="253">
        <v>0.54118817580761691</v>
      </c>
      <c r="N2001" s="253">
        <v>0.533934417071672</v>
      </c>
      <c r="O2001" s="253">
        <v>0.5135132749761141</v>
      </c>
      <c r="P2001" s="253">
        <v>0.59622641509433971</v>
      </c>
      <c r="Q2001" s="253">
        <v>0.5277027027027027</v>
      </c>
      <c r="R2001" s="253">
        <v>0.59001789620202827</v>
      </c>
      <c r="S2001" s="253">
        <v>0.45961538461538465</v>
      </c>
      <c r="T2001" s="253">
        <v>0.55053191489361697</v>
      </c>
      <c r="U2001" s="253">
        <v>0.55373563218390798</v>
      </c>
      <c r="V2001" s="253"/>
      <c r="W2001" s="253">
        <v>0.53493827160493823</v>
      </c>
      <c r="X2001" s="253">
        <v>0.53058823529411769</v>
      </c>
      <c r="Y2001" s="253">
        <v>0.48708333333333337</v>
      </c>
      <c r="Z2001" s="253">
        <v>0.56384615384615377</v>
      </c>
      <c r="AA2001" s="253"/>
      <c r="AB2001" s="253"/>
      <c r="AC2001" s="253"/>
      <c r="AD2001" s="253"/>
      <c r="AE2001" s="253"/>
    </row>
    <row r="2002" spans="1:31">
      <c r="A2002" s="33">
        <v>2001</v>
      </c>
      <c r="B2002" s="69" t="s">
        <v>779</v>
      </c>
      <c r="C2002" s="69" t="s">
        <v>66</v>
      </c>
      <c r="D2002" s="56">
        <v>43011</v>
      </c>
      <c r="E2002" s="33" t="s">
        <v>724</v>
      </c>
      <c r="G2002" s="69" t="str">
        <f t="shared" si="31"/>
        <v>E-Commerce</v>
      </c>
      <c r="H2002" s="69" t="s">
        <v>364</v>
      </c>
      <c r="I2002" s="69" t="s">
        <v>364</v>
      </c>
      <c r="J2002" s="69" t="s">
        <v>779</v>
      </c>
      <c r="K2002" s="151" t="s">
        <v>78</v>
      </c>
      <c r="L2002" s="253">
        <v>64.961712626995649</v>
      </c>
      <c r="M2002" s="253">
        <v>67.614019754440207</v>
      </c>
      <c r="N2002" s="253">
        <v>73.899999999999991</v>
      </c>
      <c r="O2002" s="253">
        <v>64.474106380505773</v>
      </c>
      <c r="P2002" s="253">
        <v>65.188679245283026</v>
      </c>
      <c r="Q2002" s="253">
        <v>67.864864864864856</v>
      </c>
      <c r="R2002" s="253">
        <v>71.519405008204316</v>
      </c>
      <c r="S2002" s="253">
        <v>65.176886792452834</v>
      </c>
      <c r="T2002" s="253">
        <v>70.667938931297712</v>
      </c>
      <c r="U2002" s="253">
        <v>65.049382716049379</v>
      </c>
      <c r="V2002" s="253">
        <v>73.674418604651166</v>
      </c>
      <c r="W2002" s="253"/>
      <c r="X2002" s="253"/>
      <c r="Y2002" s="253">
        <v>62.78177083333334</v>
      </c>
      <c r="Z2002" s="253">
        <v>64.053846153846152</v>
      </c>
      <c r="AA2002" s="253"/>
      <c r="AB2002" s="253"/>
      <c r="AC2002" s="253"/>
      <c r="AD2002" s="253"/>
      <c r="AE2002" s="253"/>
    </row>
    <row r="2003" spans="1:31">
      <c r="A2003" s="33">
        <v>2002</v>
      </c>
      <c r="B2003" s="69" t="s">
        <v>779</v>
      </c>
      <c r="C2003" s="69" t="s">
        <v>9</v>
      </c>
      <c r="D2003" s="56">
        <v>43011</v>
      </c>
      <c r="E2003" s="33" t="s">
        <v>824</v>
      </c>
      <c r="G2003" s="69" t="str">
        <f t="shared" si="31"/>
        <v>User Registration</v>
      </c>
      <c r="H2003" s="69" t="s">
        <v>508</v>
      </c>
      <c r="I2003" s="69" t="s">
        <v>962</v>
      </c>
      <c r="J2003" s="69" t="s">
        <v>779</v>
      </c>
      <c r="K2003" s="263" t="s">
        <v>924</v>
      </c>
      <c r="L2003" s="253">
        <v>68.194685314685302</v>
      </c>
      <c r="M2003" s="253">
        <v>66.336396266817914</v>
      </c>
      <c r="N2003" s="253">
        <v>73.055858948353887</v>
      </c>
      <c r="O2003" s="253">
        <v>61.69563990903567</v>
      </c>
      <c r="P2003" s="253">
        <v>71.781818181818167</v>
      </c>
      <c r="Q2003" s="253">
        <v>67.972972972972968</v>
      </c>
      <c r="R2003" s="253">
        <v>67.733493157526723</v>
      </c>
      <c r="S2003" s="253">
        <v>57.999999999999993</v>
      </c>
      <c r="T2003" s="253">
        <v>69.893617021276597</v>
      </c>
      <c r="U2003" s="253">
        <v>73.160919540229884</v>
      </c>
      <c r="V2003" s="253"/>
      <c r="W2003" s="253">
        <v>77.413793103448285</v>
      </c>
      <c r="X2003" s="253">
        <v>58.529411764705884</v>
      </c>
      <c r="Y2003" s="253">
        <v>62.584745762711854</v>
      </c>
      <c r="Z2003" s="253">
        <v>53.84615384615384</v>
      </c>
      <c r="AA2003" s="253"/>
      <c r="AB2003" s="253"/>
      <c r="AC2003" s="253"/>
      <c r="AD2003" s="253"/>
      <c r="AE2003" s="253"/>
    </row>
    <row r="2004" spans="1:31">
      <c r="A2004" s="33">
        <v>2003</v>
      </c>
      <c r="B2004" s="69" t="s">
        <v>779</v>
      </c>
      <c r="C2004" s="69" t="s">
        <v>496</v>
      </c>
      <c r="D2004" s="56">
        <v>43011</v>
      </c>
      <c r="E2004" s="33" t="s">
        <v>724</v>
      </c>
      <c r="G2004" s="69" t="str">
        <f t="shared" si="31"/>
        <v>User Registration</v>
      </c>
      <c r="H2004" s="69" t="s">
        <v>508</v>
      </c>
      <c r="I2004" s="69" t="s">
        <v>962</v>
      </c>
      <c r="J2004" s="69" t="s">
        <v>779</v>
      </c>
      <c r="K2004" s="69" t="s">
        <v>391</v>
      </c>
      <c r="L2004" s="253">
        <v>72.253991291727147</v>
      </c>
      <c r="M2004" s="253">
        <v>70.187619407410722</v>
      </c>
      <c r="N2004" s="253">
        <v>71.775735294117652</v>
      </c>
      <c r="O2004" s="253">
        <v>66.996548117966142</v>
      </c>
      <c r="P2004" s="253">
        <v>73.490566037735846</v>
      </c>
      <c r="Q2004" s="253">
        <v>70.743243243243242</v>
      </c>
      <c r="R2004" s="253">
        <v>71.437661562934977</v>
      </c>
      <c r="S2004" s="253">
        <v>69.797979797979792</v>
      </c>
      <c r="T2004" s="253">
        <v>68.563829787234042</v>
      </c>
      <c r="U2004" s="253">
        <v>70.931034482758619</v>
      </c>
      <c r="V2004" s="253"/>
      <c r="W2004" s="253">
        <v>72.34375</v>
      </c>
      <c r="X2004" s="253">
        <v>69.882352941176478</v>
      </c>
      <c r="Y2004" s="253">
        <v>65.360169491525426</v>
      </c>
      <c r="Z2004" s="253">
        <v>67.307692307692307</v>
      </c>
      <c r="AA2004" s="253"/>
      <c r="AB2004" s="253"/>
      <c r="AC2004" s="253"/>
      <c r="AD2004" s="253"/>
      <c r="AE2004" s="253"/>
    </row>
    <row r="2005" spans="1:31">
      <c r="A2005" s="33">
        <v>2004</v>
      </c>
      <c r="B2005" s="69" t="s">
        <v>779</v>
      </c>
      <c r="C2005" s="69" t="s">
        <v>714</v>
      </c>
      <c r="D2005" s="56">
        <v>43011</v>
      </c>
      <c r="E2005" s="33" t="s">
        <v>724</v>
      </c>
      <c r="G2005" s="69" t="str">
        <f t="shared" si="31"/>
        <v>E-Commerce</v>
      </c>
      <c r="H2005" s="69" t="s">
        <v>364</v>
      </c>
      <c r="I2005" s="69" t="s">
        <v>364</v>
      </c>
      <c r="J2005" s="69" t="s">
        <v>779</v>
      </c>
      <c r="K2005" s="69" t="s">
        <v>821</v>
      </c>
      <c r="L2005" s="253">
        <v>68.67837445573295</v>
      </c>
      <c r="M2005" s="253">
        <v>72.767980417862375</v>
      </c>
      <c r="N2005" s="253">
        <v>73.55</v>
      </c>
      <c r="O2005" s="253">
        <v>71.928146455710191</v>
      </c>
      <c r="P2005" s="253">
        <v>67.905660377358487</v>
      </c>
      <c r="Q2005" s="253">
        <v>68.567567567567551</v>
      </c>
      <c r="R2005" s="253">
        <v>66.844303615151944</v>
      </c>
      <c r="S2005" s="253">
        <v>81.839622641509436</v>
      </c>
      <c r="T2005" s="253">
        <v>73.091603053435122</v>
      </c>
      <c r="U2005" s="253">
        <v>75</v>
      </c>
      <c r="V2005" s="253">
        <v>73.034883720930225</v>
      </c>
      <c r="W2005" s="253"/>
      <c r="X2005" s="253">
        <v>76.470588235294116</v>
      </c>
      <c r="Y2005" s="253">
        <v>72.337499999999991</v>
      </c>
      <c r="Z2005" s="253">
        <v>71.769230769230759</v>
      </c>
      <c r="AA2005" s="253"/>
      <c r="AB2005" s="253"/>
      <c r="AC2005" s="253"/>
      <c r="AD2005" s="253"/>
      <c r="AE2005" s="253"/>
    </row>
    <row r="2006" spans="1:31">
      <c r="A2006" s="33">
        <v>2005</v>
      </c>
      <c r="B2006" s="69" t="s">
        <v>779</v>
      </c>
      <c r="C2006" s="69" t="s">
        <v>717</v>
      </c>
      <c r="D2006" s="56">
        <v>43011</v>
      </c>
      <c r="E2006" s="33" t="s">
        <v>724</v>
      </c>
      <c r="G2006" s="69" t="str">
        <f t="shared" si="31"/>
        <v>E-Commerce</v>
      </c>
      <c r="H2006" s="69" t="s">
        <v>364</v>
      </c>
      <c r="I2006" s="69" t="s">
        <v>364</v>
      </c>
      <c r="J2006" s="69" t="s">
        <v>779</v>
      </c>
      <c r="K2006" s="69" t="s">
        <v>554</v>
      </c>
      <c r="L2006" s="253">
        <v>63.259580419580416</v>
      </c>
      <c r="M2006" s="253">
        <v>68.989510669076722</v>
      </c>
      <c r="N2006" s="253">
        <v>68.376933599915816</v>
      </c>
      <c r="O2006" s="253">
        <v>71.935695442188972</v>
      </c>
      <c r="P2006" s="253">
        <v>63.709090909090904</v>
      </c>
      <c r="Q2006" s="253">
        <v>68.067567567567579</v>
      </c>
      <c r="R2006" s="253">
        <v>66.338758461760051</v>
      </c>
      <c r="S2006" s="253">
        <v>71.839622641509436</v>
      </c>
      <c r="T2006" s="253">
        <v>69.198473282442734</v>
      </c>
      <c r="U2006" s="253">
        <v>72.983539094650212</v>
      </c>
      <c r="V2006" s="253">
        <v>70.748837209302323</v>
      </c>
      <c r="W2006" s="253"/>
      <c r="X2006" s="253">
        <v>60.470588235294116</v>
      </c>
      <c r="Y2006" s="253">
        <v>76.593749999999986</v>
      </c>
      <c r="Z2006" s="253">
        <v>61.461538461538467</v>
      </c>
      <c r="AA2006" s="253"/>
      <c r="AB2006" s="253"/>
      <c r="AC2006" s="253"/>
      <c r="AD2006" s="253"/>
      <c r="AE2006" s="253"/>
    </row>
    <row r="2007" spans="1:31">
      <c r="A2007" s="33">
        <v>2006</v>
      </c>
      <c r="B2007" s="69" t="s">
        <v>1055</v>
      </c>
      <c r="C2007" s="69" t="s">
        <v>1055</v>
      </c>
      <c r="D2007" s="56">
        <v>43011</v>
      </c>
      <c r="E2007" s="33" t="s">
        <v>781</v>
      </c>
      <c r="F2007" s="69" t="s">
        <v>532</v>
      </c>
      <c r="G2007" s="69" t="str">
        <f t="shared" si="31"/>
        <v>User Registration</v>
      </c>
      <c r="H2007" s="69" t="s">
        <v>1055</v>
      </c>
      <c r="I2007" s="69" t="s">
        <v>1055</v>
      </c>
      <c r="J2007" s="69" t="s">
        <v>1055</v>
      </c>
      <c r="K2007" s="69" t="s">
        <v>1108</v>
      </c>
      <c r="L2007" s="253">
        <v>0.52787518142235124</v>
      </c>
      <c r="M2007" s="253">
        <v>0.51493402223173301</v>
      </c>
      <c r="N2007" s="253">
        <v>0.53234120998826884</v>
      </c>
      <c r="O2007" s="253">
        <v>0.50203227652673077</v>
      </c>
      <c r="P2007" s="253">
        <v>0.52811320754716973</v>
      </c>
      <c r="Q2007" s="253">
        <v>0.47635135135135137</v>
      </c>
      <c r="R2007" s="253">
        <v>0.55349771326307418</v>
      </c>
      <c r="S2007" s="253">
        <v>0.4548076923076923</v>
      </c>
      <c r="T2007" s="253">
        <v>0.54840425531914894</v>
      </c>
      <c r="U2007" s="253">
        <v>0.5304597701149425</v>
      </c>
      <c r="V2007" s="253"/>
      <c r="W2007" s="253">
        <v>0.5159259259259259</v>
      </c>
      <c r="X2007" s="253">
        <v>0.58705882352941174</v>
      </c>
      <c r="Y2007" s="253">
        <v>0.49156249999999996</v>
      </c>
      <c r="Z2007" s="253">
        <v>0.52692307692307694</v>
      </c>
      <c r="AA2007" s="253"/>
      <c r="AB2007" s="253"/>
      <c r="AC2007" s="253"/>
      <c r="AD2007" s="253"/>
      <c r="AE2007" s="253"/>
    </row>
    <row r="2008" spans="1:31">
      <c r="A2008" s="33">
        <v>2007</v>
      </c>
      <c r="B2008" s="69" t="s">
        <v>1109</v>
      </c>
      <c r="C2008" s="69" t="s">
        <v>791</v>
      </c>
      <c r="D2008" s="56">
        <v>43011</v>
      </c>
      <c r="E2008" s="33" t="s">
        <v>724</v>
      </c>
      <c r="F2008" s="69" t="s">
        <v>380</v>
      </c>
      <c r="G2008" s="69" t="str">
        <f t="shared" si="31"/>
        <v>User Registration</v>
      </c>
      <c r="H2008" s="69" t="s">
        <v>508</v>
      </c>
      <c r="I2008" s="69" t="s">
        <v>922</v>
      </c>
      <c r="J2008" s="69" t="s">
        <v>1109</v>
      </c>
      <c r="K2008" s="69" t="s">
        <v>391</v>
      </c>
      <c r="L2008" s="253">
        <v>0.72253991291727149</v>
      </c>
      <c r="M2008" s="253">
        <v>0.70187619407410728</v>
      </c>
      <c r="N2008" s="253">
        <v>0.71775735294117649</v>
      </c>
      <c r="O2008" s="253">
        <v>0.66996548117966137</v>
      </c>
      <c r="P2008" s="253">
        <v>0.73490566037735849</v>
      </c>
      <c r="Q2008" s="253">
        <v>0.70743243243243248</v>
      </c>
      <c r="R2008" s="253">
        <v>0.71437661562934984</v>
      </c>
      <c r="S2008" s="253">
        <v>0.69797979797979792</v>
      </c>
      <c r="T2008" s="253">
        <v>0.68563829787234043</v>
      </c>
      <c r="U2008" s="253">
        <v>0.70931034482758626</v>
      </c>
      <c r="V2008" s="253"/>
      <c r="W2008" s="253">
        <v>0.72343749999999996</v>
      </c>
      <c r="X2008" s="253">
        <v>0.69882352941176473</v>
      </c>
      <c r="Y2008" s="253">
        <v>0.65360169491525433</v>
      </c>
      <c r="Z2008" s="253">
        <v>0.67307692307692313</v>
      </c>
      <c r="AA2008" s="253"/>
      <c r="AB2008" s="253"/>
      <c r="AC2008" s="253"/>
      <c r="AD2008" s="253"/>
      <c r="AE2008" s="253"/>
    </row>
    <row r="2009" spans="1:31">
      <c r="A2009" s="33">
        <v>2008</v>
      </c>
      <c r="B2009" s="69" t="s">
        <v>1109</v>
      </c>
      <c r="C2009" s="69" t="s">
        <v>791</v>
      </c>
      <c r="D2009" s="56">
        <v>43011</v>
      </c>
      <c r="E2009" s="33" t="s">
        <v>724</v>
      </c>
      <c r="F2009" s="69" t="s">
        <v>380</v>
      </c>
      <c r="G2009" s="69" t="str">
        <f t="shared" si="31"/>
        <v>User Registration</v>
      </c>
      <c r="H2009" s="69" t="s">
        <v>508</v>
      </c>
      <c r="I2009" s="69" t="s">
        <v>922</v>
      </c>
      <c r="J2009" s="69" t="s">
        <v>1109</v>
      </c>
      <c r="K2009" s="69" t="s">
        <v>1110</v>
      </c>
      <c r="L2009" s="253">
        <v>0.60870537010159642</v>
      </c>
      <c r="M2009" s="253">
        <v>0.63934896738222358</v>
      </c>
      <c r="N2009" s="253">
        <v>0.64362273755656119</v>
      </c>
      <c r="O2009" s="253">
        <v>0.63138843906604458</v>
      </c>
      <c r="P2009" s="253">
        <v>0.61415094339622633</v>
      </c>
      <c r="Q2009" s="253">
        <v>0.63445945945945947</v>
      </c>
      <c r="R2009" s="253">
        <v>0.6219924438258102</v>
      </c>
      <c r="S2009" s="253">
        <v>0.66443298969072173</v>
      </c>
      <c r="T2009" s="253">
        <v>0.64255319148936174</v>
      </c>
      <c r="U2009" s="253">
        <v>0.65959770114942529</v>
      </c>
      <c r="V2009" s="253"/>
      <c r="W2009" s="253">
        <v>0.63906250000000009</v>
      </c>
      <c r="X2009" s="253">
        <v>0.6588235294117647</v>
      </c>
      <c r="Y2009" s="253">
        <v>0.64299568965517251</v>
      </c>
      <c r="Z2009" s="253">
        <v>0.58692307692307688</v>
      </c>
      <c r="AA2009" s="253"/>
      <c r="AB2009" s="253"/>
      <c r="AC2009" s="253"/>
      <c r="AD2009" s="253"/>
      <c r="AE2009" s="253"/>
    </row>
    <row r="2010" spans="1:31">
      <c r="A2010" s="33">
        <v>2009</v>
      </c>
      <c r="B2010" s="69" t="s">
        <v>1109</v>
      </c>
      <c r="C2010" s="69" t="s">
        <v>791</v>
      </c>
      <c r="D2010" s="56">
        <v>43011</v>
      </c>
      <c r="E2010" s="33" t="s">
        <v>724</v>
      </c>
      <c r="F2010" s="69" t="s">
        <v>380</v>
      </c>
      <c r="G2010" s="69" t="str">
        <f t="shared" si="31"/>
        <v>User Registration</v>
      </c>
      <c r="H2010" s="69" t="s">
        <v>508</v>
      </c>
      <c r="I2010" s="69" t="s">
        <v>922</v>
      </c>
      <c r="J2010" s="69" t="s">
        <v>1109</v>
      </c>
      <c r="K2010" s="69" t="s">
        <v>1111</v>
      </c>
      <c r="L2010" s="253">
        <v>0.57942235123367203</v>
      </c>
      <c r="M2010" s="253">
        <v>0.59803596646765789</v>
      </c>
      <c r="N2010" s="253">
        <v>0.64922794117647065</v>
      </c>
      <c r="O2010" s="253">
        <v>0.62994548429296759</v>
      </c>
      <c r="P2010" s="253">
        <v>0.58754716981132071</v>
      </c>
      <c r="Q2010" s="253">
        <v>0.57027027027027033</v>
      </c>
      <c r="R2010" s="253">
        <v>0.57509445217737121</v>
      </c>
      <c r="S2010" s="253">
        <v>0.6</v>
      </c>
      <c r="T2010" s="253">
        <v>0.63308510638297866</v>
      </c>
      <c r="U2010" s="253">
        <v>0.64103448275862085</v>
      </c>
      <c r="V2010" s="253"/>
      <c r="W2010" s="253">
        <v>0.65093749999999995</v>
      </c>
      <c r="X2010" s="253">
        <v>0.64352941176470591</v>
      </c>
      <c r="Y2010" s="253">
        <v>0.67478448275862057</v>
      </c>
      <c r="Z2010" s="253">
        <v>0.54692307692307685</v>
      </c>
      <c r="AA2010" s="253"/>
      <c r="AB2010" s="253"/>
      <c r="AC2010" s="253"/>
      <c r="AD2010" s="253"/>
      <c r="AE2010" s="253"/>
    </row>
    <row r="2011" spans="1:31">
      <c r="A2011" s="33">
        <v>2010</v>
      </c>
      <c r="B2011" s="69" t="s">
        <v>1109</v>
      </c>
      <c r="C2011" s="69" t="s">
        <v>791</v>
      </c>
      <c r="D2011" s="56">
        <v>43011</v>
      </c>
      <c r="E2011" s="33" t="s">
        <v>724</v>
      </c>
      <c r="F2011" s="69" t="s">
        <v>380</v>
      </c>
      <c r="G2011" s="69" t="str">
        <f t="shared" si="31"/>
        <v>User Registration</v>
      </c>
      <c r="H2011" s="69" t="s">
        <v>508</v>
      </c>
      <c r="I2011" s="69" t="s">
        <v>922</v>
      </c>
      <c r="J2011" s="69" t="s">
        <v>1109</v>
      </c>
      <c r="K2011" s="69" t="s">
        <v>379</v>
      </c>
      <c r="L2011" s="253">
        <v>0.64695791001451386</v>
      </c>
      <c r="M2011" s="253">
        <v>0.63801766741804333</v>
      </c>
      <c r="N2011" s="253">
        <v>0.63780260180995474</v>
      </c>
      <c r="O2011" s="253">
        <v>0.63832111346927622</v>
      </c>
      <c r="P2011" s="253">
        <v>0.65773584905660376</v>
      </c>
      <c r="Q2011" s="253">
        <v>0.61594594594594587</v>
      </c>
      <c r="R2011" s="253">
        <v>0.65161065818254127</v>
      </c>
      <c r="S2011" s="253">
        <v>0.72596153846153844</v>
      </c>
      <c r="T2011" s="253">
        <v>0.59787234042553183</v>
      </c>
      <c r="U2011" s="253">
        <v>0.60948275862068968</v>
      </c>
      <c r="V2011" s="253"/>
      <c r="W2011" s="253">
        <v>0.63343749999999999</v>
      </c>
      <c r="X2011" s="253">
        <v>0.65235294117647058</v>
      </c>
      <c r="Y2011" s="253">
        <v>0.63947916666666671</v>
      </c>
      <c r="Z2011" s="253">
        <v>0.60384615384615381</v>
      </c>
      <c r="AA2011" s="253"/>
      <c r="AB2011" s="253"/>
      <c r="AC2011" s="253"/>
      <c r="AD2011" s="253"/>
      <c r="AE2011" s="253"/>
    </row>
    <row r="2012" spans="1:31">
      <c r="A2012" s="33">
        <v>2011</v>
      </c>
      <c r="B2012" s="69" t="s">
        <v>1109</v>
      </c>
      <c r="C2012" s="69" t="s">
        <v>791</v>
      </c>
      <c r="D2012" s="56">
        <v>43011</v>
      </c>
      <c r="E2012" s="33" t="s">
        <v>724</v>
      </c>
      <c r="F2012" s="69" t="s">
        <v>380</v>
      </c>
      <c r="G2012" s="69" t="str">
        <f t="shared" si="31"/>
        <v>User Registration</v>
      </c>
      <c r="H2012" s="69" t="s">
        <v>508</v>
      </c>
      <c r="I2012" s="69" t="s">
        <v>922</v>
      </c>
      <c r="J2012" s="69" t="s">
        <v>1109</v>
      </c>
      <c r="K2012" s="69" t="s">
        <v>1109</v>
      </c>
      <c r="L2012" s="253">
        <v>0.62709433962264138</v>
      </c>
      <c r="M2012" s="253">
        <v>0.59015036658355435</v>
      </c>
      <c r="N2012" s="253">
        <v>0.6093919683257919</v>
      </c>
      <c r="O2012" s="253">
        <v>0.59767840847819098</v>
      </c>
      <c r="P2012" s="253">
        <v>0.63886792452830177</v>
      </c>
      <c r="Q2012" s="253">
        <v>0.58716216216216222</v>
      </c>
      <c r="R2012" s="253">
        <v>0.60046530125273423</v>
      </c>
      <c r="S2012" s="253">
        <v>0.57205882352941173</v>
      </c>
      <c r="T2012" s="253">
        <v>0.6388297872340426</v>
      </c>
      <c r="U2012" s="253">
        <v>0.57155172413793098</v>
      </c>
      <c r="V2012" s="253"/>
      <c r="W2012" s="253">
        <v>0.60656250000000012</v>
      </c>
      <c r="X2012" s="253">
        <v>0.61882352941176477</v>
      </c>
      <c r="Y2012" s="253">
        <v>0.6060381355932204</v>
      </c>
      <c r="Z2012" s="253">
        <v>0.58000000000000007</v>
      </c>
      <c r="AA2012" s="253"/>
      <c r="AB2012" s="253"/>
      <c r="AC2012" s="253"/>
      <c r="AD2012" s="253"/>
      <c r="AE2012" s="253"/>
    </row>
    <row r="2013" spans="1:31">
      <c r="A2013" s="33">
        <v>2012</v>
      </c>
      <c r="B2013" s="69" t="s">
        <v>1055</v>
      </c>
      <c r="C2013" s="69" t="s">
        <v>1055</v>
      </c>
      <c r="D2013" s="56">
        <v>43012</v>
      </c>
      <c r="E2013" s="33" t="s">
        <v>781</v>
      </c>
      <c r="F2013" s="69" t="s">
        <v>532</v>
      </c>
      <c r="G2013" s="69" t="str">
        <f t="shared" si="31"/>
        <v>User Registration</v>
      </c>
      <c r="H2013" s="69" t="s">
        <v>1055</v>
      </c>
      <c r="I2013" s="69" t="s">
        <v>1055</v>
      </c>
      <c r="J2013" s="69" t="s">
        <v>1055</v>
      </c>
      <c r="K2013" s="69" t="s">
        <v>1107</v>
      </c>
      <c r="L2013" s="253">
        <v>0.55344339622641525</v>
      </c>
      <c r="M2013" s="253">
        <v>0.53606316228859008</v>
      </c>
      <c r="N2013" s="253">
        <v>0.55165353890844093</v>
      </c>
      <c r="O2013" s="253">
        <v>0.54430008118033013</v>
      </c>
      <c r="P2013" s="253">
        <v>0.54867924528301903</v>
      </c>
      <c r="Q2013" s="253">
        <v>0.46689189189189184</v>
      </c>
      <c r="R2013" s="253">
        <v>0.55732750049711677</v>
      </c>
      <c r="S2013" s="253">
        <v>0.56009615384615385</v>
      </c>
      <c r="T2013" s="253">
        <v>0.53723404255319152</v>
      </c>
      <c r="U2013" s="253">
        <v>0.53563218390804601</v>
      </c>
      <c r="V2013" s="253"/>
      <c r="W2013" s="253">
        <v>0.55567901234567907</v>
      </c>
      <c r="X2013" s="253">
        <v>0.53823529411764703</v>
      </c>
      <c r="Y2013" s="253">
        <v>0.5393958333333333</v>
      </c>
      <c r="Z2013" s="253">
        <v>0.57250000000000001</v>
      </c>
      <c r="AA2013" s="253"/>
      <c r="AB2013" s="253"/>
      <c r="AC2013" s="253"/>
      <c r="AD2013" s="253"/>
      <c r="AE2013" s="253"/>
    </row>
    <row r="2014" spans="1:31">
      <c r="A2014" s="33">
        <v>2013</v>
      </c>
      <c r="B2014" s="69" t="s">
        <v>1055</v>
      </c>
      <c r="C2014" s="69" t="s">
        <v>1055</v>
      </c>
      <c r="D2014" s="56">
        <v>43013</v>
      </c>
      <c r="E2014" s="33" t="s">
        <v>781</v>
      </c>
      <c r="F2014" s="69" t="s">
        <v>532</v>
      </c>
      <c r="G2014" s="69" t="str">
        <f t="shared" si="31"/>
        <v>User Registration</v>
      </c>
      <c r="H2014" s="69" t="s">
        <v>1055</v>
      </c>
      <c r="I2014" s="69" t="s">
        <v>1055</v>
      </c>
      <c r="J2014" s="69" t="s">
        <v>1055</v>
      </c>
      <c r="K2014" s="69" t="s">
        <v>1106</v>
      </c>
      <c r="L2014" s="253">
        <v>0.59011320754716978</v>
      </c>
      <c r="M2014" s="253">
        <v>0.56884348187753364</v>
      </c>
      <c r="N2014" s="253">
        <v>0.50535947712418305</v>
      </c>
      <c r="O2014" s="253">
        <v>0.55968033998463396</v>
      </c>
      <c r="P2014" s="253">
        <v>0.59264150943396221</v>
      </c>
      <c r="Q2014" s="253">
        <v>0.54067567567567565</v>
      </c>
      <c r="R2014" s="253">
        <v>0.60027838536488376</v>
      </c>
      <c r="S2014" s="253">
        <v>0.53125</v>
      </c>
      <c r="T2014" s="253">
        <v>0.58882978723404256</v>
      </c>
      <c r="U2014" s="253">
        <v>0.5735632183908046</v>
      </c>
      <c r="V2014" s="253"/>
      <c r="W2014" s="253">
        <v>0.50555555555555554</v>
      </c>
      <c r="X2014" s="253">
        <v>0.50470588235294112</v>
      </c>
      <c r="Y2014" s="253">
        <v>0.55020833333333341</v>
      </c>
      <c r="Z2014" s="253">
        <v>0.58000000000000007</v>
      </c>
      <c r="AA2014" s="253"/>
      <c r="AB2014" s="253"/>
      <c r="AC2014" s="253"/>
      <c r="AD2014" s="253"/>
      <c r="AE2014" s="253"/>
    </row>
    <row r="2015" spans="1:31">
      <c r="A2015" s="33">
        <v>2014</v>
      </c>
      <c r="B2015" s="69" t="s">
        <v>1095</v>
      </c>
      <c r="C2015" s="69" t="s">
        <v>791</v>
      </c>
      <c r="D2015" s="56">
        <v>43014</v>
      </c>
      <c r="E2015" s="33" t="s">
        <v>724</v>
      </c>
      <c r="F2015" s="69" t="s">
        <v>380</v>
      </c>
      <c r="G2015" s="69" t="str">
        <f t="shared" si="31"/>
        <v>E-Commerce</v>
      </c>
      <c r="H2015" s="69" t="s">
        <v>364</v>
      </c>
      <c r="I2015" s="69" t="s">
        <v>1096</v>
      </c>
      <c r="J2015" s="69" t="s">
        <v>1095</v>
      </c>
      <c r="K2015" s="69" t="s">
        <v>78</v>
      </c>
      <c r="L2015" s="253">
        <v>0.62400000000000011</v>
      </c>
      <c r="M2015" s="253">
        <v>0.67739130434782613</v>
      </c>
      <c r="N2015" s="253">
        <v>0.73899999999999999</v>
      </c>
      <c r="O2015" s="253">
        <v>0.64647058823529413</v>
      </c>
      <c r="P2015" s="253">
        <v>0.62</v>
      </c>
      <c r="Q2015" s="253">
        <v>0.68</v>
      </c>
      <c r="R2015" s="253">
        <v>0.72</v>
      </c>
      <c r="S2015" s="253">
        <v>0.65</v>
      </c>
      <c r="T2015" s="253">
        <v>0.71</v>
      </c>
      <c r="U2015" s="253">
        <v>0.65</v>
      </c>
      <c r="V2015" s="253">
        <v>0.73670000000000002</v>
      </c>
      <c r="W2015" s="253"/>
      <c r="X2015" s="253"/>
      <c r="Y2015" s="253">
        <v>0.63</v>
      </c>
      <c r="Z2015" s="253">
        <v>0.64</v>
      </c>
      <c r="AA2015" s="253"/>
      <c r="AB2015" s="253"/>
      <c r="AC2015" s="253"/>
      <c r="AD2015" s="253"/>
      <c r="AE2015" s="253"/>
    </row>
    <row r="2016" spans="1:31">
      <c r="A2016" s="33">
        <v>2015</v>
      </c>
      <c r="B2016" s="69" t="s">
        <v>1095</v>
      </c>
      <c r="C2016" s="69" t="s">
        <v>791</v>
      </c>
      <c r="D2016" s="56">
        <v>43014</v>
      </c>
      <c r="E2016" s="33" t="s">
        <v>724</v>
      </c>
      <c r="F2016" s="69" t="s">
        <v>380</v>
      </c>
      <c r="G2016" s="69" t="str">
        <f t="shared" si="31"/>
        <v>E-Commerce</v>
      </c>
      <c r="H2016" s="69" t="s">
        <v>364</v>
      </c>
      <c r="I2016" s="69" t="s">
        <v>1096</v>
      </c>
      <c r="J2016" s="69" t="s">
        <v>1095</v>
      </c>
      <c r="K2016" s="69" t="s">
        <v>1097</v>
      </c>
      <c r="L2016" s="253">
        <v>0.61793904208998551</v>
      </c>
      <c r="M2016" s="253">
        <v>0.63832086718571635</v>
      </c>
      <c r="N2016" s="253">
        <v>0.66749999999999998</v>
      </c>
      <c r="O2016" s="253">
        <v>0.58748271875355029</v>
      </c>
      <c r="P2016" s="253">
        <v>0.62396226415094336</v>
      </c>
      <c r="Q2016" s="253">
        <v>0.61689189189189186</v>
      </c>
      <c r="R2016" s="253">
        <v>0.67949013394786117</v>
      </c>
      <c r="S2016" s="253">
        <v>0.55896226415094341</v>
      </c>
      <c r="T2016" s="253">
        <v>0.6770992366412214</v>
      </c>
      <c r="U2016" s="253">
        <v>0.67230452674897123</v>
      </c>
      <c r="V2016" s="253">
        <v>0.66749999999999998</v>
      </c>
      <c r="W2016" s="253"/>
      <c r="X2016" s="253"/>
      <c r="Y2016" s="253">
        <v>0.56708333333333338</v>
      </c>
      <c r="Z2016" s="253">
        <v>0.59384615384615391</v>
      </c>
      <c r="AA2016" s="253"/>
      <c r="AB2016" s="253"/>
      <c r="AC2016" s="253"/>
      <c r="AD2016" s="253"/>
      <c r="AE2016" s="253"/>
    </row>
    <row r="2017" spans="1:31">
      <c r="A2017" s="33">
        <v>2016</v>
      </c>
      <c r="B2017" s="69" t="s">
        <v>1095</v>
      </c>
      <c r="C2017" s="69" t="s">
        <v>791</v>
      </c>
      <c r="D2017" s="56">
        <v>43014</v>
      </c>
      <c r="E2017" s="33" t="s">
        <v>724</v>
      </c>
      <c r="F2017" s="69" t="s">
        <v>380</v>
      </c>
      <c r="G2017" s="69" t="str">
        <f t="shared" si="31"/>
        <v>E-Commerce</v>
      </c>
      <c r="H2017" s="69" t="s">
        <v>364</v>
      </c>
      <c r="I2017" s="69" t="s">
        <v>1096</v>
      </c>
      <c r="J2017" s="69" t="s">
        <v>1095</v>
      </c>
      <c r="K2017" s="69" t="s">
        <v>821</v>
      </c>
      <c r="L2017" s="253">
        <v>0.68678374455732949</v>
      </c>
      <c r="M2017" s="253">
        <v>0.72767980417862377</v>
      </c>
      <c r="N2017" s="253">
        <v>0.73550000000000004</v>
      </c>
      <c r="O2017" s="253">
        <v>0.71928146455710196</v>
      </c>
      <c r="P2017" s="253">
        <v>0.6790566037735849</v>
      </c>
      <c r="Q2017" s="253">
        <v>0.68567567567567556</v>
      </c>
      <c r="R2017" s="253">
        <v>0.66844303615151945</v>
      </c>
      <c r="S2017" s="253">
        <v>0.81839622641509435</v>
      </c>
      <c r="T2017" s="253">
        <v>0.73091603053435117</v>
      </c>
      <c r="U2017" s="253">
        <v>0.75</v>
      </c>
      <c r="V2017" s="253">
        <v>0.73034883720930222</v>
      </c>
      <c r="W2017" s="253"/>
      <c r="X2017" s="253">
        <v>0.76470588235294112</v>
      </c>
      <c r="Y2017" s="253">
        <v>0.72337499999999999</v>
      </c>
      <c r="Z2017" s="253">
        <v>0.71769230769230763</v>
      </c>
      <c r="AA2017" s="253"/>
      <c r="AB2017" s="253"/>
      <c r="AC2017" s="253"/>
      <c r="AD2017" s="253"/>
      <c r="AE2017" s="253"/>
    </row>
    <row r="2018" spans="1:31">
      <c r="A2018" s="33">
        <v>2017</v>
      </c>
      <c r="B2018" s="69" t="s">
        <v>1095</v>
      </c>
      <c r="C2018" s="69" t="s">
        <v>791</v>
      </c>
      <c r="D2018" s="56">
        <v>43014</v>
      </c>
      <c r="E2018" s="33" t="s">
        <v>724</v>
      </c>
      <c r="F2018" s="69" t="s">
        <v>380</v>
      </c>
      <c r="G2018" s="69" t="str">
        <f t="shared" si="31"/>
        <v>E-Commerce</v>
      </c>
      <c r="H2018" s="69" t="s">
        <v>364</v>
      </c>
      <c r="I2018" s="69" t="s">
        <v>1096</v>
      </c>
      <c r="J2018" s="69" t="s">
        <v>1095</v>
      </c>
      <c r="K2018" s="69" t="s">
        <v>1098</v>
      </c>
      <c r="L2018" s="253">
        <v>0.60737880986937598</v>
      </c>
      <c r="M2018" s="253">
        <v>0.60454502388254883</v>
      </c>
      <c r="N2018" s="253">
        <v>0.62397979585394081</v>
      </c>
      <c r="O2018" s="253">
        <v>0.59180729356045059</v>
      </c>
      <c r="P2018" s="253">
        <v>0.60037735849056606</v>
      </c>
      <c r="Q2018" s="253">
        <v>0.5889189189189189</v>
      </c>
      <c r="R2018" s="253">
        <v>0.65564597436266758</v>
      </c>
      <c r="S2018" s="253">
        <v>0.5641509433962264</v>
      </c>
      <c r="T2018" s="253">
        <v>0.63664122137404588</v>
      </c>
      <c r="U2018" s="253">
        <v>0.56666666666666665</v>
      </c>
      <c r="V2018" s="253">
        <v>0.62023255813953482</v>
      </c>
      <c r="W2018" s="253"/>
      <c r="X2018" s="253">
        <v>0.63647058823529412</v>
      </c>
      <c r="Y2018" s="253">
        <v>0.56902083333333331</v>
      </c>
      <c r="Z2018" s="253">
        <v>0.63538461538461544</v>
      </c>
      <c r="AA2018" s="253"/>
      <c r="AB2018" s="253"/>
      <c r="AC2018" s="253"/>
      <c r="AD2018" s="253"/>
      <c r="AE2018" s="253"/>
    </row>
    <row r="2019" spans="1:31">
      <c r="A2019" s="33">
        <v>2018</v>
      </c>
      <c r="B2019" s="69" t="s">
        <v>1095</v>
      </c>
      <c r="C2019" s="69" t="s">
        <v>791</v>
      </c>
      <c r="D2019" s="56">
        <v>43014</v>
      </c>
      <c r="E2019" s="33" t="s">
        <v>724</v>
      </c>
      <c r="F2019" s="69" t="s">
        <v>380</v>
      </c>
      <c r="G2019" s="69" t="str">
        <f t="shared" si="31"/>
        <v>E-Commerce</v>
      </c>
      <c r="H2019" s="69" t="s">
        <v>364</v>
      </c>
      <c r="I2019" s="69" t="s">
        <v>1096</v>
      </c>
      <c r="J2019" s="69" t="s">
        <v>1095</v>
      </c>
      <c r="K2019" s="69" t="s">
        <v>1099</v>
      </c>
      <c r="L2019" s="253">
        <v>0.64885631349782302</v>
      </c>
      <c r="M2019" s="253">
        <v>0.63137482839596881</v>
      </c>
      <c r="N2019" s="253">
        <v>0.65143217931179631</v>
      </c>
      <c r="O2019" s="253">
        <v>0.61002729363965502</v>
      </c>
      <c r="P2019" s="253">
        <v>0.66433962264150948</v>
      </c>
      <c r="Q2019" s="253">
        <v>0.60797297297297304</v>
      </c>
      <c r="R2019" s="253">
        <v>0.65106726199049403</v>
      </c>
      <c r="S2019" s="253">
        <v>0.60896226415094334</v>
      </c>
      <c r="T2019" s="253">
        <v>0.66488549618320603</v>
      </c>
      <c r="U2019" s="253">
        <v>0.64600823045267497</v>
      </c>
      <c r="V2019" s="253">
        <v>0.68274418604651155</v>
      </c>
      <c r="W2019" s="253"/>
      <c r="X2019" s="253">
        <v>0.54705882352941182</v>
      </c>
      <c r="Y2019" s="253">
        <v>0.60906249999999995</v>
      </c>
      <c r="Z2019" s="253">
        <v>0.58692307692307688</v>
      </c>
      <c r="AA2019" s="253"/>
      <c r="AB2019" s="253"/>
      <c r="AC2019" s="253"/>
      <c r="AD2019" s="253"/>
      <c r="AE2019" s="253"/>
    </row>
    <row r="2020" spans="1:31">
      <c r="A2020" s="33">
        <v>2019</v>
      </c>
      <c r="B2020" s="69" t="s">
        <v>1095</v>
      </c>
      <c r="C2020" s="69" t="s">
        <v>791</v>
      </c>
      <c r="D2020" s="56">
        <v>43014</v>
      </c>
      <c r="E2020" s="33" t="s">
        <v>724</v>
      </c>
      <c r="F2020" s="69" t="s">
        <v>380</v>
      </c>
      <c r="G2020" s="69" t="str">
        <f t="shared" si="31"/>
        <v>E-Commerce</v>
      </c>
      <c r="H2020" s="69" t="s">
        <v>364</v>
      </c>
      <c r="I2020" s="69" t="s">
        <v>1096</v>
      </c>
      <c r="J2020" s="69" t="s">
        <v>1095</v>
      </c>
      <c r="K2020" s="69" t="s">
        <v>1100</v>
      </c>
      <c r="L2020" s="253">
        <v>0.52876052249637162</v>
      </c>
      <c r="M2020" s="253">
        <v>0.5345017449869659</v>
      </c>
      <c r="N2020" s="253">
        <v>0.51581395348837211</v>
      </c>
      <c r="O2020" s="253">
        <v>0.53930841107918526</v>
      </c>
      <c r="P2020" s="253">
        <v>0.5405660377358491</v>
      </c>
      <c r="Q2020" s="253">
        <v>0.49594594594594599</v>
      </c>
      <c r="R2020" s="253">
        <v>0.64090450813769262</v>
      </c>
      <c r="S2020" s="253">
        <v>0.48962264150943402</v>
      </c>
      <c r="T2020" s="253">
        <v>0.53893129770992365</v>
      </c>
      <c r="U2020" s="253">
        <v>0.51337448559670773</v>
      </c>
      <c r="V2020" s="253">
        <v>0.51581395348837211</v>
      </c>
      <c r="W2020" s="253"/>
      <c r="X2020" s="253"/>
      <c r="Y2020" s="253">
        <v>0.54562499999999992</v>
      </c>
      <c r="Z2020" s="253">
        <v>0.48153846153846153</v>
      </c>
      <c r="AA2020" s="253"/>
      <c r="AB2020" s="253"/>
      <c r="AC2020" s="253"/>
      <c r="AD2020" s="253"/>
      <c r="AE2020" s="253"/>
    </row>
    <row r="2021" spans="1:31">
      <c r="A2021" s="33">
        <v>2020</v>
      </c>
      <c r="B2021" s="69" t="s">
        <v>1095</v>
      </c>
      <c r="C2021" s="69" t="s">
        <v>791</v>
      </c>
      <c r="D2021" s="56">
        <v>43014</v>
      </c>
      <c r="E2021" s="33" t="s">
        <v>724</v>
      </c>
      <c r="F2021" s="69" t="s">
        <v>380</v>
      </c>
      <c r="G2021" s="69" t="str">
        <f t="shared" si="31"/>
        <v>E-Commerce</v>
      </c>
      <c r="H2021" s="69" t="s">
        <v>364</v>
      </c>
      <c r="I2021" s="69" t="s">
        <v>1096</v>
      </c>
      <c r="J2021" s="69" t="s">
        <v>1095</v>
      </c>
      <c r="K2021" s="69" t="s">
        <v>1101</v>
      </c>
      <c r="L2021" s="253">
        <v>0.56979390420899856</v>
      </c>
      <c r="M2021" s="253">
        <v>0.58360837368915564</v>
      </c>
      <c r="N2021" s="253">
        <v>0.50992107755445648</v>
      </c>
      <c r="O2021" s="253">
        <v>0.56758226838001435</v>
      </c>
      <c r="P2021" s="253">
        <v>0.57339622641509436</v>
      </c>
      <c r="Q2021" s="253">
        <v>0.60202702702702704</v>
      </c>
      <c r="R2021" s="253">
        <v>0.63798069998559703</v>
      </c>
      <c r="S2021" s="253">
        <v>0.54433962264150937</v>
      </c>
      <c r="T2021" s="253">
        <v>0.57709923664122131</v>
      </c>
      <c r="U2021" s="253">
        <v>0.56111111111111112</v>
      </c>
      <c r="V2021" s="253">
        <v>0.50372093023255815</v>
      </c>
      <c r="W2021" s="253"/>
      <c r="X2021" s="253">
        <v>0.53058823529411769</v>
      </c>
      <c r="Y2021" s="253">
        <v>0.55604166666666666</v>
      </c>
      <c r="Z2021" s="253">
        <v>0.55538461538461537</v>
      </c>
      <c r="AA2021" s="253"/>
      <c r="AB2021" s="253"/>
      <c r="AC2021" s="253"/>
      <c r="AD2021" s="253"/>
      <c r="AE2021" s="253"/>
    </row>
    <row r="2022" spans="1:31">
      <c r="A2022" s="33">
        <v>2021</v>
      </c>
      <c r="B2022" s="69" t="s">
        <v>1095</v>
      </c>
      <c r="C2022" s="69" t="s">
        <v>791</v>
      </c>
      <c r="D2022" s="56">
        <v>43014</v>
      </c>
      <c r="E2022" s="33" t="s">
        <v>724</v>
      </c>
      <c r="F2022" s="69" t="s">
        <v>380</v>
      </c>
      <c r="G2022" s="69" t="str">
        <f t="shared" si="31"/>
        <v>E-Commerce</v>
      </c>
      <c r="H2022" s="69" t="s">
        <v>364</v>
      </c>
      <c r="I2022" s="69" t="s">
        <v>1096</v>
      </c>
      <c r="J2022" s="69" t="s">
        <v>1095</v>
      </c>
      <c r="K2022" s="69" t="s">
        <v>1095</v>
      </c>
      <c r="L2022" s="253">
        <v>0.60166908563134991</v>
      </c>
      <c r="M2022" s="253">
        <v>0.60510984423206171</v>
      </c>
      <c r="N2022" s="253">
        <v>0.64474166052825421</v>
      </c>
      <c r="O2022" s="253">
        <v>0.61732973802931601</v>
      </c>
      <c r="P2022" s="253">
        <v>0.6015094339622642</v>
      </c>
      <c r="Q2022" s="253">
        <v>0.57310810810810808</v>
      </c>
      <c r="R2022" s="253">
        <v>0.63778049834365558</v>
      </c>
      <c r="S2022" s="253">
        <v>0.57547169811320764</v>
      </c>
      <c r="T2022" s="253">
        <v>0.61641221374045807</v>
      </c>
      <c r="U2022" s="253">
        <v>0.6160905349794239</v>
      </c>
      <c r="V2022" s="253">
        <v>0.65004651162790694</v>
      </c>
      <c r="W2022" s="253"/>
      <c r="X2022" s="253">
        <v>0.62705882352941178</v>
      </c>
      <c r="Y2022" s="253">
        <v>0.62635416666666666</v>
      </c>
      <c r="Z2022" s="253">
        <v>0.60230769230769243</v>
      </c>
      <c r="AA2022" s="253"/>
      <c r="AB2022" s="253"/>
      <c r="AC2022" s="253"/>
      <c r="AD2022" s="253"/>
      <c r="AE2022" s="253"/>
    </row>
    <row r="2023" spans="1:31">
      <c r="A2023" s="33">
        <v>2022</v>
      </c>
      <c r="B2023" s="69" t="s">
        <v>1095</v>
      </c>
      <c r="C2023" s="69" t="s">
        <v>791</v>
      </c>
      <c r="D2023" s="56">
        <v>43014</v>
      </c>
      <c r="E2023" s="33" t="s">
        <v>724</v>
      </c>
      <c r="F2023" s="69" t="s">
        <v>380</v>
      </c>
      <c r="G2023" s="69" t="str">
        <f t="shared" si="31"/>
        <v>E-Commerce</v>
      </c>
      <c r="H2023" s="69" t="s">
        <v>364</v>
      </c>
      <c r="I2023" s="69" t="s">
        <v>1096</v>
      </c>
      <c r="J2023" s="69" t="s">
        <v>1095</v>
      </c>
      <c r="K2023" s="69" t="s">
        <v>1102</v>
      </c>
      <c r="L2023" s="253">
        <v>0.5842119013062409</v>
      </c>
      <c r="M2023" s="253">
        <v>0.57142992979756924</v>
      </c>
      <c r="N2023" s="253">
        <v>0.63804482794906869</v>
      </c>
      <c r="O2023" s="253">
        <v>0.56198075600850084</v>
      </c>
      <c r="P2023" s="253">
        <v>0.5962264150943396</v>
      </c>
      <c r="Q2023" s="253">
        <v>0.59364864864864864</v>
      </c>
      <c r="R2023" s="253">
        <v>0.60639060924672339</v>
      </c>
      <c r="S2023" s="253">
        <v>0.52169811320754711</v>
      </c>
      <c r="T2023" s="253">
        <v>0.60229007633587783</v>
      </c>
      <c r="U2023" s="253">
        <v>0.55407407407407405</v>
      </c>
      <c r="V2023" s="253">
        <v>0.63604651162790693</v>
      </c>
      <c r="W2023" s="253"/>
      <c r="X2023" s="253">
        <v>0.64470588235294113</v>
      </c>
      <c r="Y2023" s="253">
        <v>0.56170833333333337</v>
      </c>
      <c r="Z2023" s="253">
        <v>0.5361538461538462</v>
      </c>
      <c r="AA2023" s="253"/>
      <c r="AB2023" s="253"/>
      <c r="AC2023" s="253"/>
      <c r="AD2023" s="253"/>
      <c r="AE2023" s="253"/>
    </row>
    <row r="2024" spans="1:31">
      <c r="A2024" s="33">
        <v>2023</v>
      </c>
      <c r="B2024" s="69" t="s">
        <v>1095</v>
      </c>
      <c r="C2024" s="69" t="s">
        <v>791</v>
      </c>
      <c r="D2024" s="56">
        <v>43014</v>
      </c>
      <c r="E2024" s="33" t="s">
        <v>724</v>
      </c>
      <c r="F2024" s="69" t="s">
        <v>380</v>
      </c>
      <c r="G2024" s="69" t="str">
        <f t="shared" si="31"/>
        <v>E-Commerce</v>
      </c>
      <c r="H2024" s="69" t="s">
        <v>364</v>
      </c>
      <c r="I2024" s="69" t="s">
        <v>1096</v>
      </c>
      <c r="J2024" s="69" t="s">
        <v>1095</v>
      </c>
      <c r="K2024" s="69" t="s">
        <v>1103</v>
      </c>
      <c r="L2024" s="253">
        <v>0.56696952104499276</v>
      </c>
      <c r="M2024" s="253">
        <v>0.55408003178158505</v>
      </c>
      <c r="N2024" s="253">
        <v>0.58837209302325577</v>
      </c>
      <c r="O2024" s="253">
        <v>0.55028014511988543</v>
      </c>
      <c r="P2024" s="253">
        <v>0.57698113207547175</v>
      </c>
      <c r="Q2024" s="253">
        <v>0.57837837837837847</v>
      </c>
      <c r="R2024" s="253">
        <v>0.59334005473138418</v>
      </c>
      <c r="S2024" s="253">
        <v>0.49622641509433962</v>
      </c>
      <c r="T2024" s="253">
        <v>0.5729007633587786</v>
      </c>
      <c r="U2024" s="253">
        <v>0.54123456790123448</v>
      </c>
      <c r="V2024" s="253">
        <v>0.58837209302325577</v>
      </c>
      <c r="W2024" s="253"/>
      <c r="X2024" s="253"/>
      <c r="Y2024" s="253">
        <v>0.55127083333333338</v>
      </c>
      <c r="Z2024" s="253">
        <v>0.52692307692307694</v>
      </c>
      <c r="AA2024" s="253"/>
      <c r="AB2024" s="253"/>
      <c r="AC2024" s="253"/>
      <c r="AD2024" s="253"/>
      <c r="AE2024" s="253"/>
    </row>
    <row r="2025" spans="1:31">
      <c r="A2025" s="33">
        <v>2024</v>
      </c>
      <c r="B2025" s="69" t="s">
        <v>1095</v>
      </c>
      <c r="C2025" s="69" t="s">
        <v>791</v>
      </c>
      <c r="D2025" s="56">
        <v>43014</v>
      </c>
      <c r="E2025" s="33" t="s">
        <v>724</v>
      </c>
      <c r="F2025" s="69" t="s">
        <v>380</v>
      </c>
      <c r="G2025" s="69" t="str">
        <f t="shared" si="31"/>
        <v>E-Commerce</v>
      </c>
      <c r="H2025" s="69" t="s">
        <v>364</v>
      </c>
      <c r="I2025" s="69" t="s">
        <v>1096</v>
      </c>
      <c r="J2025" s="69" t="s">
        <v>1095</v>
      </c>
      <c r="K2025" s="69" t="s">
        <v>1104</v>
      </c>
      <c r="L2025" s="253">
        <v>0.57842089985486211</v>
      </c>
      <c r="M2025" s="253">
        <v>0.51565571097089302</v>
      </c>
      <c r="N2025" s="253">
        <v>0.57735031042828577</v>
      </c>
      <c r="O2025" s="253">
        <v>0.54130587752199866</v>
      </c>
      <c r="P2025" s="253">
        <v>0.58264150943396231</v>
      </c>
      <c r="Q2025" s="253">
        <v>0.4721283783783784</v>
      </c>
      <c r="R2025" s="253">
        <v>0.54043641077344085</v>
      </c>
      <c r="S2025" s="253">
        <v>0.54999999999999993</v>
      </c>
      <c r="T2025" s="253">
        <v>0.52977099236641223</v>
      </c>
      <c r="U2025" s="253">
        <v>0.47139917695473249</v>
      </c>
      <c r="V2025" s="253">
        <v>0.5777906976744186</v>
      </c>
      <c r="W2025" s="253"/>
      <c r="X2025" s="253">
        <v>0.57588235294117651</v>
      </c>
      <c r="Y2025" s="253">
        <v>0.54145833333333326</v>
      </c>
      <c r="Z2025" s="253">
        <v>0.56153846153846154</v>
      </c>
      <c r="AA2025" s="253"/>
      <c r="AB2025" s="253"/>
      <c r="AC2025" s="253"/>
      <c r="AD2025" s="253"/>
      <c r="AE2025" s="253"/>
    </row>
    <row r="2026" spans="1:31">
      <c r="A2026" s="33">
        <v>2025</v>
      </c>
      <c r="B2026" s="69" t="s">
        <v>1055</v>
      </c>
      <c r="C2026" s="69" t="s">
        <v>1055</v>
      </c>
      <c r="D2026" s="56">
        <v>43014</v>
      </c>
      <c r="E2026" s="33" t="s">
        <v>781</v>
      </c>
      <c r="F2026" s="69" t="s">
        <v>532</v>
      </c>
      <c r="G2026" s="69" t="str">
        <f t="shared" si="31"/>
        <v>User Registration</v>
      </c>
      <c r="H2026" s="69" t="s">
        <v>1055</v>
      </c>
      <c r="I2026" s="69" t="s">
        <v>1055</v>
      </c>
      <c r="J2026" s="69" t="s">
        <v>1055</v>
      </c>
      <c r="K2026" s="69" t="s">
        <v>1105</v>
      </c>
      <c r="L2026" s="253">
        <v>0.64447895500725694</v>
      </c>
      <c r="M2026" s="253">
        <v>0.60439581412006416</v>
      </c>
      <c r="N2026" s="253">
        <v>0.52949555890732369</v>
      </c>
      <c r="O2026" s="253">
        <v>0.55683206843562805</v>
      </c>
      <c r="P2026" s="253">
        <v>0.65886792452830201</v>
      </c>
      <c r="Q2026" s="253">
        <v>0.60351351351351357</v>
      </c>
      <c r="R2026" s="253">
        <v>0.66355140186915884</v>
      </c>
      <c r="S2026" s="253">
        <v>0.54663461538461544</v>
      </c>
      <c r="T2026" s="253">
        <v>0.625</v>
      </c>
      <c r="U2026" s="253">
        <v>0.58678160919540223</v>
      </c>
      <c r="V2026" s="253"/>
      <c r="W2026" s="253">
        <v>0.53481481481481485</v>
      </c>
      <c r="X2026" s="253">
        <v>0.5117647058823529</v>
      </c>
      <c r="Y2026" s="253">
        <v>0.52281250000000001</v>
      </c>
      <c r="Z2026" s="253">
        <v>0.58692307692307688</v>
      </c>
      <c r="AA2026" s="253"/>
      <c r="AB2026" s="253"/>
      <c r="AC2026" s="253"/>
      <c r="AD2026" s="253"/>
      <c r="AE2026" s="253"/>
    </row>
    <row r="2027" spans="1:31">
      <c r="A2027" s="33">
        <v>2026</v>
      </c>
      <c r="B2027" s="69" t="s">
        <v>1055</v>
      </c>
      <c r="C2027" s="69" t="s">
        <v>1055</v>
      </c>
      <c r="D2027" s="56">
        <v>43015</v>
      </c>
      <c r="E2027" s="33" t="s">
        <v>781</v>
      </c>
      <c r="F2027" s="69" t="s">
        <v>532</v>
      </c>
      <c r="G2027" s="69" t="str">
        <f t="shared" si="31"/>
        <v>User Registration</v>
      </c>
      <c r="H2027" s="69" t="s">
        <v>1055</v>
      </c>
      <c r="I2027" s="69" t="s">
        <v>1055</v>
      </c>
      <c r="J2027" s="69" t="s">
        <v>1055</v>
      </c>
      <c r="K2027" s="69" t="s">
        <v>1094</v>
      </c>
      <c r="L2027" s="253">
        <v>0.53187264150943381</v>
      </c>
      <c r="M2027" s="253">
        <v>0.50166036848354745</v>
      </c>
      <c r="N2027" s="253">
        <v>0.47854868443103737</v>
      </c>
      <c r="O2027" s="253">
        <v>0.46633846833062714</v>
      </c>
      <c r="P2027" s="253">
        <v>0.54452830188679224</v>
      </c>
      <c r="Q2027" s="253">
        <v>0.35472972972972971</v>
      </c>
      <c r="R2027" s="253">
        <v>0.59544641081725991</v>
      </c>
      <c r="S2027" s="253">
        <v>0.45817307692307691</v>
      </c>
      <c r="T2027" s="253">
        <v>0.54521276595744683</v>
      </c>
      <c r="U2027" s="253">
        <v>0.54224137931034477</v>
      </c>
      <c r="V2027" s="253"/>
      <c r="W2027" s="253">
        <v>0.47740740740740739</v>
      </c>
      <c r="X2027" s="253">
        <v>0.4823529411764706</v>
      </c>
      <c r="Y2027" s="253">
        <v>0.44802083333333337</v>
      </c>
      <c r="Z2027" s="253">
        <v>0.48125000000000001</v>
      </c>
      <c r="AA2027" s="253"/>
      <c r="AB2027" s="253"/>
      <c r="AC2027" s="253"/>
      <c r="AD2027" s="253"/>
      <c r="AE2027" s="253"/>
    </row>
    <row r="2028" spans="1:31">
      <c r="A2028" s="33">
        <v>2027</v>
      </c>
      <c r="B2028" s="69" t="s">
        <v>1055</v>
      </c>
      <c r="C2028" s="69" t="s">
        <v>1055</v>
      </c>
      <c r="D2028" s="56">
        <v>43016</v>
      </c>
      <c r="E2028" s="33" t="s">
        <v>781</v>
      </c>
      <c r="F2028" s="69" t="s">
        <v>532</v>
      </c>
      <c r="G2028" s="69" t="str">
        <f t="shared" si="31"/>
        <v>User Registration</v>
      </c>
      <c r="H2028" s="69" t="s">
        <v>1055</v>
      </c>
      <c r="I2028" s="69" t="s">
        <v>1055</v>
      </c>
      <c r="J2028" s="69" t="s">
        <v>1055</v>
      </c>
      <c r="K2028" s="69" t="s">
        <v>1093</v>
      </c>
      <c r="L2028" s="253">
        <v>0.53887735849056617</v>
      </c>
      <c r="M2028" s="253">
        <v>0.50541186470865551</v>
      </c>
      <c r="N2028" s="253">
        <v>0.52440087145969494</v>
      </c>
      <c r="O2028" s="253">
        <v>0.53666896222690263</v>
      </c>
      <c r="P2028" s="253">
        <v>0.54547169811320773</v>
      </c>
      <c r="Q2028" s="253">
        <v>0.43851351351351353</v>
      </c>
      <c r="R2028" s="253">
        <v>0.51871147345396695</v>
      </c>
      <c r="S2028" s="253">
        <v>0.53701923076923075</v>
      </c>
      <c r="T2028" s="253">
        <v>0.48670212765957449</v>
      </c>
      <c r="U2028" s="253">
        <v>0.52873563218390807</v>
      </c>
      <c r="V2028" s="253"/>
      <c r="W2028" s="253">
        <v>0.51407407407407402</v>
      </c>
      <c r="X2028" s="253">
        <v>0.55882352941176472</v>
      </c>
      <c r="Y2028" s="253">
        <v>0.55729166666666663</v>
      </c>
      <c r="Z2028" s="253">
        <v>0.51249999999999996</v>
      </c>
      <c r="AA2028" s="253"/>
      <c r="AB2028" s="253"/>
      <c r="AC2028" s="253"/>
      <c r="AD2028" s="253"/>
      <c r="AE2028" s="253"/>
    </row>
    <row r="2029" spans="1:31">
      <c r="A2029" s="33">
        <v>2028</v>
      </c>
      <c r="B2029" s="69" t="s">
        <v>1055</v>
      </c>
      <c r="C2029" s="69" t="s">
        <v>1055</v>
      </c>
      <c r="D2029" s="56">
        <v>43017</v>
      </c>
      <c r="E2029" s="33" t="s">
        <v>781</v>
      </c>
      <c r="F2029" s="69" t="s">
        <v>532</v>
      </c>
      <c r="G2029" s="69" t="str">
        <f t="shared" si="31"/>
        <v>User Registration</v>
      </c>
      <c r="H2029" s="69" t="s">
        <v>1055</v>
      </c>
      <c r="I2029" s="69" t="s">
        <v>1055</v>
      </c>
      <c r="J2029" s="69" t="s">
        <v>1055</v>
      </c>
      <c r="K2029" s="69" t="s">
        <v>1092</v>
      </c>
      <c r="L2029" s="253">
        <v>0.53166618287373002</v>
      </c>
      <c r="M2029" s="253">
        <v>0.50795493126187841</v>
      </c>
      <c r="N2029" s="253">
        <v>0.51717781129545837</v>
      </c>
      <c r="O2029" s="253">
        <v>0.50242467260068113</v>
      </c>
      <c r="P2029" s="253">
        <v>0.52169811320754722</v>
      </c>
      <c r="Q2029" s="253">
        <v>0.44810810810810814</v>
      </c>
      <c r="R2029" s="253">
        <v>0.49389540664147941</v>
      </c>
      <c r="S2029" s="253">
        <v>0.52403846153846156</v>
      </c>
      <c r="T2029" s="253">
        <v>0.50744680851063828</v>
      </c>
      <c r="U2029" s="253">
        <v>0.53189655172413797</v>
      </c>
      <c r="V2029" s="253"/>
      <c r="W2029" s="253">
        <v>0.51703703703703707</v>
      </c>
      <c r="X2029" s="253">
        <v>0.51764705882352946</v>
      </c>
      <c r="Y2029" s="253">
        <v>0.48666666666666664</v>
      </c>
      <c r="Z2029" s="253">
        <v>0.57153846153846155</v>
      </c>
      <c r="AA2029" s="253"/>
      <c r="AB2029" s="253"/>
      <c r="AC2029" s="253"/>
      <c r="AD2029" s="253"/>
      <c r="AE2029" s="253"/>
    </row>
    <row r="2030" spans="1:31">
      <c r="A2030" s="33">
        <v>2029</v>
      </c>
      <c r="B2030" s="69" t="s">
        <v>1055</v>
      </c>
      <c r="C2030" s="69" t="s">
        <v>1055</v>
      </c>
      <c r="D2030" s="56">
        <v>43018</v>
      </c>
      <c r="E2030" s="33" t="s">
        <v>781</v>
      </c>
      <c r="F2030" s="69" t="s">
        <v>532</v>
      </c>
      <c r="G2030" s="69" t="str">
        <f t="shared" si="31"/>
        <v>User Registration</v>
      </c>
      <c r="H2030" s="69" t="s">
        <v>1055</v>
      </c>
      <c r="I2030" s="69" t="s">
        <v>1055</v>
      </c>
      <c r="J2030" s="69" t="s">
        <v>1055</v>
      </c>
      <c r="K2030" s="69" t="s">
        <v>1086</v>
      </c>
      <c r="L2030" s="253">
        <v>0.51799129172714065</v>
      </c>
      <c r="M2030" s="253">
        <v>0.5119496061796015</v>
      </c>
      <c r="N2030" s="253">
        <v>0.52470811686497965</v>
      </c>
      <c r="O2030" s="253">
        <v>0.51221040241476135</v>
      </c>
      <c r="P2030" s="253">
        <v>0.52056603773584897</v>
      </c>
      <c r="Q2030" s="253">
        <v>0.37297297297297299</v>
      </c>
      <c r="R2030" s="253">
        <v>0.5564525750646252</v>
      </c>
      <c r="S2030" s="253">
        <v>0.54278846153846161</v>
      </c>
      <c r="T2030" s="253">
        <v>0.52234042553191495</v>
      </c>
      <c r="U2030" s="253">
        <v>0.54942528735632179</v>
      </c>
      <c r="V2030" s="253"/>
      <c r="W2030" s="253">
        <v>0.52506172839506171</v>
      </c>
      <c r="X2030" s="253">
        <v>0.52352941176470591</v>
      </c>
      <c r="Y2030" s="253">
        <v>0.51558333333333339</v>
      </c>
      <c r="Z2030" s="253">
        <v>0.50769230769230766</v>
      </c>
      <c r="AA2030" s="253"/>
      <c r="AB2030" s="253"/>
      <c r="AC2030" s="253"/>
      <c r="AD2030" s="253"/>
      <c r="AE2030" s="253"/>
    </row>
    <row r="2031" spans="1:31">
      <c r="A2031" s="33">
        <v>2030</v>
      </c>
      <c r="B2031" s="69" t="s">
        <v>1087</v>
      </c>
      <c r="C2031" s="69" t="s">
        <v>740</v>
      </c>
      <c r="D2031" s="56">
        <v>43018</v>
      </c>
      <c r="E2031" s="33" t="s">
        <v>724</v>
      </c>
      <c r="F2031" s="69" t="s">
        <v>532</v>
      </c>
      <c r="G2031" s="69" t="str">
        <f t="shared" si="31"/>
        <v>User Registration</v>
      </c>
      <c r="H2031" s="69" t="s">
        <v>508</v>
      </c>
      <c r="I2031" s="69" t="s">
        <v>1088</v>
      </c>
      <c r="J2031" s="69" t="s">
        <v>1087</v>
      </c>
      <c r="K2031" s="69" t="s">
        <v>1087</v>
      </c>
      <c r="L2031" s="253">
        <v>0.56487373004354124</v>
      </c>
      <c r="M2031" s="253">
        <v>0.56703257079814118</v>
      </c>
      <c r="N2031" s="253">
        <v>0.56843750000000004</v>
      </c>
      <c r="O2031" s="253">
        <v>0.5729786280610909</v>
      </c>
      <c r="P2031" s="253">
        <v>0.56320754716981125</v>
      </c>
      <c r="Q2031" s="253">
        <v>0.53905405405405404</v>
      </c>
      <c r="R2031" s="253">
        <v>0.59732977303070756</v>
      </c>
      <c r="S2031" s="253">
        <v>0.56105769230769231</v>
      </c>
      <c r="T2031" s="253">
        <v>0.57857142857142863</v>
      </c>
      <c r="U2031" s="253">
        <v>0.55517241379310345</v>
      </c>
      <c r="V2031" s="253">
        <v>0</v>
      </c>
      <c r="W2031" s="253">
        <v>0.56843750000000004</v>
      </c>
      <c r="X2031" s="253">
        <v>0</v>
      </c>
      <c r="Y2031" s="253">
        <v>0.57312499999999988</v>
      </c>
      <c r="Z2031" s="253">
        <v>0.57153846153846155</v>
      </c>
      <c r="AA2031" s="253"/>
      <c r="AB2031" s="253"/>
      <c r="AC2031" s="253"/>
      <c r="AD2031" s="253"/>
      <c r="AE2031" s="253"/>
    </row>
    <row r="2032" spans="1:31">
      <c r="A2032" s="33">
        <v>2031</v>
      </c>
      <c r="B2032" s="69" t="s">
        <v>1087</v>
      </c>
      <c r="C2032" s="69" t="s">
        <v>740</v>
      </c>
      <c r="D2032" s="56">
        <v>43018</v>
      </c>
      <c r="E2032" s="33" t="s">
        <v>724</v>
      </c>
      <c r="F2032" s="69" t="s">
        <v>532</v>
      </c>
      <c r="G2032" s="69" t="str">
        <f t="shared" si="31"/>
        <v>User Registration</v>
      </c>
      <c r="H2032" s="69" t="s">
        <v>508</v>
      </c>
      <c r="I2032" s="69" t="s">
        <v>1088</v>
      </c>
      <c r="J2032" s="69" t="s">
        <v>1087</v>
      </c>
      <c r="K2032" s="69" t="s">
        <v>1089</v>
      </c>
      <c r="L2032" s="253">
        <v>0.59447605224963718</v>
      </c>
      <c r="M2032" s="253">
        <v>0.58820705390332961</v>
      </c>
      <c r="N2032" s="253">
        <v>0.58718749999999997</v>
      </c>
      <c r="O2032" s="253">
        <v>0.54372412982913265</v>
      </c>
      <c r="P2032" s="253">
        <v>0.59905660377358494</v>
      </c>
      <c r="Q2032" s="253">
        <v>0.56608108108108113</v>
      </c>
      <c r="R2032" s="253">
        <v>0.65707610146862472</v>
      </c>
      <c r="S2032" s="253">
        <v>0.52836538461538463</v>
      </c>
      <c r="T2032" s="253">
        <v>0.59178571428571425</v>
      </c>
      <c r="U2032" s="253">
        <v>0.58758620689655161</v>
      </c>
      <c r="V2032" s="253">
        <v>0</v>
      </c>
      <c r="W2032" s="253">
        <v>0.58718749999999997</v>
      </c>
      <c r="X2032" s="253">
        <v>0</v>
      </c>
      <c r="Y2032" s="253">
        <v>0.510625</v>
      </c>
      <c r="Z2032" s="253">
        <v>0.57615384615384613</v>
      </c>
      <c r="AA2032" s="253"/>
      <c r="AB2032" s="253"/>
      <c r="AC2032" s="253"/>
      <c r="AD2032" s="253"/>
      <c r="AE2032" s="253"/>
    </row>
    <row r="2033" spans="1:31">
      <c r="A2033" s="33">
        <v>2032</v>
      </c>
      <c r="B2033" s="69" t="s">
        <v>1087</v>
      </c>
      <c r="C2033" s="69" t="s">
        <v>740</v>
      </c>
      <c r="D2033" s="56">
        <v>43018</v>
      </c>
      <c r="E2033" s="33" t="s">
        <v>724</v>
      </c>
      <c r="F2033" s="69" t="s">
        <v>532</v>
      </c>
      <c r="G2033" s="69" t="str">
        <f t="shared" si="31"/>
        <v>User Registration</v>
      </c>
      <c r="H2033" s="69" t="s">
        <v>508</v>
      </c>
      <c r="I2033" s="69" t="s">
        <v>1088</v>
      </c>
      <c r="J2033" s="69" t="s">
        <v>1087</v>
      </c>
      <c r="K2033" s="69" t="s">
        <v>1090</v>
      </c>
      <c r="L2033" s="253">
        <v>0.62514368650217722</v>
      </c>
      <c r="M2033" s="253">
        <v>0.60700642969816399</v>
      </c>
      <c r="N2033" s="253">
        <v>0.60250000000000004</v>
      </c>
      <c r="O2033" s="253">
        <v>0.56581562263055918</v>
      </c>
      <c r="P2033" s="253">
        <v>0.63566037735849068</v>
      </c>
      <c r="Q2033" s="253">
        <v>0.5897297297297297</v>
      </c>
      <c r="R2033" s="253">
        <v>0.64640286339232444</v>
      </c>
      <c r="S2033" s="253">
        <v>0.55480769230769222</v>
      </c>
      <c r="T2033" s="253">
        <v>0.62808510638297876</v>
      </c>
      <c r="U2033" s="253">
        <v>0.62011494252873556</v>
      </c>
      <c r="V2033" s="253">
        <v>0</v>
      </c>
      <c r="W2033" s="253">
        <v>0.60250000000000004</v>
      </c>
      <c r="X2033" s="253">
        <v>0.63823529411764701</v>
      </c>
      <c r="Y2033" s="253">
        <v>0.54322916666666665</v>
      </c>
      <c r="Z2033" s="253">
        <v>0.58307692307692305</v>
      </c>
      <c r="AA2033" s="253"/>
      <c r="AB2033" s="253"/>
      <c r="AC2033" s="253"/>
      <c r="AD2033" s="253"/>
      <c r="AE2033" s="253"/>
    </row>
    <row r="2034" spans="1:31">
      <c r="A2034" s="33">
        <v>2033</v>
      </c>
      <c r="B2034" s="69" t="s">
        <v>1087</v>
      </c>
      <c r="C2034" s="69" t="s">
        <v>740</v>
      </c>
      <c r="D2034" s="56">
        <v>43018</v>
      </c>
      <c r="E2034" s="33" t="s">
        <v>724</v>
      </c>
      <c r="F2034" s="69" t="s">
        <v>532</v>
      </c>
      <c r="G2034" s="69" t="str">
        <f t="shared" si="31"/>
        <v>User Registration</v>
      </c>
      <c r="H2034" s="69" t="s">
        <v>508</v>
      </c>
      <c r="I2034" s="69" t="s">
        <v>1088</v>
      </c>
      <c r="J2034" s="69" t="s">
        <v>1087</v>
      </c>
      <c r="K2034" s="69" t="s">
        <v>1091</v>
      </c>
      <c r="L2034" s="253">
        <v>0.60113425253991293</v>
      </c>
      <c r="M2034" s="253">
        <v>0.55518249855522017</v>
      </c>
      <c r="N2034" s="253">
        <v>0.52187499999999998</v>
      </c>
      <c r="O2034" s="253">
        <v>0.56877973480343702</v>
      </c>
      <c r="P2034" s="253">
        <v>0.60377358490566035</v>
      </c>
      <c r="Q2034" s="253">
        <v>0.55925675675675679</v>
      </c>
      <c r="R2034" s="253">
        <v>0.56981507257904151</v>
      </c>
      <c r="S2034" s="253">
        <v>0.56634615384615394</v>
      </c>
      <c r="T2034" s="253">
        <v>0.52617021276595743</v>
      </c>
      <c r="U2034" s="253">
        <v>0.5316091954022989</v>
      </c>
      <c r="V2034" s="253">
        <v>0</v>
      </c>
      <c r="W2034" s="253">
        <v>0.52187499999999998</v>
      </c>
      <c r="X2034" s="253">
        <v>0.52941176470588236</v>
      </c>
      <c r="Y2034" s="253">
        <v>0.56322916666666656</v>
      </c>
      <c r="Z2034" s="253">
        <v>0.59057692307692311</v>
      </c>
      <c r="AA2034" s="253"/>
      <c r="AB2034" s="253"/>
      <c r="AC2034" s="253"/>
      <c r="AD2034" s="253"/>
      <c r="AE2034" s="253"/>
    </row>
    <row r="2035" spans="1:31">
      <c r="A2035" s="33">
        <v>2034</v>
      </c>
      <c r="B2035" s="69" t="s">
        <v>1055</v>
      </c>
      <c r="C2035" s="69" t="s">
        <v>1055</v>
      </c>
      <c r="D2035" s="56">
        <v>43019</v>
      </c>
      <c r="E2035" s="33" t="s">
        <v>781</v>
      </c>
      <c r="F2035" s="69" t="s">
        <v>532</v>
      </c>
      <c r="G2035" s="69" t="str">
        <f t="shared" si="31"/>
        <v>User Registration</v>
      </c>
      <c r="H2035" s="69" t="s">
        <v>1055</v>
      </c>
      <c r="I2035" s="69" t="s">
        <v>1055</v>
      </c>
      <c r="J2035" s="69" t="s">
        <v>1055</v>
      </c>
      <c r="K2035" s="69" t="s">
        <v>1079</v>
      </c>
      <c r="L2035" s="253">
        <v>0.58665892597968072</v>
      </c>
      <c r="M2035" s="253">
        <v>0.61323056750535765</v>
      </c>
      <c r="N2035" s="253">
        <v>0.56627842019998886</v>
      </c>
      <c r="O2035" s="253">
        <v>0.59012409613426653</v>
      </c>
      <c r="P2035" s="253">
        <v>0.58716981132075474</v>
      </c>
      <c r="Q2035" s="253">
        <v>0.59594594594594597</v>
      </c>
      <c r="R2035" s="253">
        <v>0.63157543391188242</v>
      </c>
      <c r="S2035" s="253">
        <v>0.59374999999999989</v>
      </c>
      <c r="T2035" s="253">
        <v>0.63630952380952388</v>
      </c>
      <c r="U2035" s="253">
        <v>0.62189655172413794</v>
      </c>
      <c r="V2035" s="253"/>
      <c r="W2035" s="253">
        <v>0.54469135802469137</v>
      </c>
      <c r="X2035" s="253">
        <v>0.63823529411764701</v>
      </c>
      <c r="Y2035" s="253">
        <v>0.58254166666666662</v>
      </c>
      <c r="Z2035" s="253">
        <v>0.58461538461538465</v>
      </c>
      <c r="AA2035" s="253"/>
      <c r="AB2035" s="253"/>
      <c r="AC2035" s="253"/>
      <c r="AD2035" s="253"/>
      <c r="AE2035" s="253"/>
    </row>
    <row r="2036" spans="1:31">
      <c r="A2036" s="33">
        <v>2035</v>
      </c>
      <c r="B2036" s="69" t="s">
        <v>1080</v>
      </c>
      <c r="C2036" s="69" t="s">
        <v>723</v>
      </c>
      <c r="D2036" s="56">
        <v>43019</v>
      </c>
      <c r="E2036" s="33" t="s">
        <v>724</v>
      </c>
      <c r="F2036" s="69" t="s">
        <v>532</v>
      </c>
      <c r="G2036" s="69" t="str">
        <f t="shared" si="31"/>
        <v>User Registration</v>
      </c>
      <c r="H2036" s="69" t="s">
        <v>508</v>
      </c>
      <c r="I2036" s="69" t="s">
        <v>1081</v>
      </c>
      <c r="J2036" s="69" t="s">
        <v>1080</v>
      </c>
      <c r="K2036" s="69" t="s">
        <v>1080</v>
      </c>
      <c r="L2036" s="253">
        <v>0.58847605224963728</v>
      </c>
      <c r="M2036" s="253">
        <v>0.56904315097362423</v>
      </c>
      <c r="N2036" s="253">
        <v>0.5675</v>
      </c>
      <c r="O2036" s="253">
        <v>0.56623457132561672</v>
      </c>
      <c r="P2036" s="253">
        <v>0.58905660377358504</v>
      </c>
      <c r="Q2036" s="253">
        <v>0.52378378378378376</v>
      </c>
      <c r="R2036" s="253">
        <v>0.60105388745277388</v>
      </c>
      <c r="S2036" s="253">
        <v>0.55288461538461542</v>
      </c>
      <c r="T2036" s="253">
        <v>0.59521276595744677</v>
      </c>
      <c r="U2036" s="253">
        <v>0.56362068965517231</v>
      </c>
      <c r="V2036" s="253">
        <v>0</v>
      </c>
      <c r="W2036" s="253">
        <v>0.5675</v>
      </c>
      <c r="X2036" s="253">
        <v>0</v>
      </c>
      <c r="Y2036" s="253">
        <v>0.55887500000000001</v>
      </c>
      <c r="Z2036" s="253">
        <v>0.58615384615384603</v>
      </c>
      <c r="AA2036" s="253"/>
      <c r="AB2036" s="253"/>
      <c r="AC2036" s="253"/>
      <c r="AD2036" s="253"/>
      <c r="AE2036" s="253"/>
    </row>
    <row r="2037" spans="1:31">
      <c r="A2037" s="33">
        <v>2036</v>
      </c>
      <c r="B2037" s="69" t="s">
        <v>1080</v>
      </c>
      <c r="C2037" s="69" t="s">
        <v>723</v>
      </c>
      <c r="D2037" s="56">
        <v>43019</v>
      </c>
      <c r="E2037" s="33" t="s">
        <v>724</v>
      </c>
      <c r="F2037" s="69" t="s">
        <v>532</v>
      </c>
      <c r="G2037" s="69" t="str">
        <f t="shared" si="31"/>
        <v>User Registration</v>
      </c>
      <c r="H2037" s="69" t="s">
        <v>508</v>
      </c>
      <c r="I2037" s="69" t="s">
        <v>1081</v>
      </c>
      <c r="J2037" s="69" t="s">
        <v>1080</v>
      </c>
      <c r="K2037" s="69" t="s">
        <v>1082</v>
      </c>
      <c r="L2037" s="253">
        <v>0.6016690856313498</v>
      </c>
      <c r="M2037" s="253">
        <v>0.56663979116835306</v>
      </c>
      <c r="N2037" s="253">
        <v>0.5318750000000001</v>
      </c>
      <c r="O2037" s="253">
        <v>0.58303137040783692</v>
      </c>
      <c r="P2037" s="253">
        <v>0.6015094339622642</v>
      </c>
      <c r="Q2037" s="253">
        <v>0.46486486486486484</v>
      </c>
      <c r="R2037" s="253">
        <v>0.56690793398289918</v>
      </c>
      <c r="S2037" s="253">
        <v>0.62259615384615385</v>
      </c>
      <c r="T2037" s="253">
        <v>0.54531914893617028</v>
      </c>
      <c r="U2037" s="253">
        <v>0.60155172413793101</v>
      </c>
      <c r="V2037" s="253">
        <v>0</v>
      </c>
      <c r="W2037" s="253">
        <v>0.5318750000000001</v>
      </c>
      <c r="X2037" s="253">
        <v>0</v>
      </c>
      <c r="Y2037" s="253">
        <v>0.58833333333333337</v>
      </c>
      <c r="Z2037" s="253">
        <v>0.60230769230769232</v>
      </c>
      <c r="AA2037" s="253"/>
      <c r="AB2037" s="253"/>
      <c r="AC2037" s="253"/>
      <c r="AD2037" s="253"/>
      <c r="AE2037" s="253"/>
    </row>
    <row r="2038" spans="1:31">
      <c r="A2038" s="33">
        <v>2037</v>
      </c>
      <c r="B2038" s="69" t="s">
        <v>1080</v>
      </c>
      <c r="C2038" s="69" t="s">
        <v>723</v>
      </c>
      <c r="D2038" s="56">
        <v>43019</v>
      </c>
      <c r="E2038" s="33" t="s">
        <v>724</v>
      </c>
      <c r="F2038" s="69" t="s">
        <v>532</v>
      </c>
      <c r="G2038" s="69" t="str">
        <f t="shared" si="31"/>
        <v>User Registration</v>
      </c>
      <c r="H2038" s="69" t="s">
        <v>508</v>
      </c>
      <c r="I2038" s="69" t="s">
        <v>1081</v>
      </c>
      <c r="J2038" s="69" t="s">
        <v>1080</v>
      </c>
      <c r="K2038" s="69" t="s">
        <v>1083</v>
      </c>
      <c r="L2038" s="253">
        <v>0.6577706821480408</v>
      </c>
      <c r="M2038" s="253">
        <v>0.64634359759774485</v>
      </c>
      <c r="N2038" s="253">
        <v>0.63624999999999998</v>
      </c>
      <c r="O2038" s="253">
        <v>0.60247916462650419</v>
      </c>
      <c r="P2038" s="253">
        <v>0.66490566037735854</v>
      </c>
      <c r="Q2038" s="253">
        <v>0.6258108108108108</v>
      </c>
      <c r="R2038" s="253">
        <v>0.6834559554583417</v>
      </c>
      <c r="S2038" s="253">
        <v>0.61923076923076925</v>
      </c>
      <c r="T2038" s="253">
        <v>0.64882978723404261</v>
      </c>
      <c r="U2038" s="253">
        <v>0.65270114942528734</v>
      </c>
      <c r="V2038" s="253">
        <v>0</v>
      </c>
      <c r="W2038" s="253">
        <v>0.63624999999999998</v>
      </c>
      <c r="X2038" s="253">
        <v>0</v>
      </c>
      <c r="Y2038" s="253">
        <v>0.57425000000000004</v>
      </c>
      <c r="Z2038" s="253">
        <v>0.62923076923076937</v>
      </c>
      <c r="AA2038" s="253"/>
      <c r="AB2038" s="253"/>
      <c r="AC2038" s="253"/>
      <c r="AD2038" s="253"/>
      <c r="AE2038" s="253"/>
    </row>
    <row r="2039" spans="1:31">
      <c r="A2039" s="33">
        <v>2038</v>
      </c>
      <c r="B2039" s="69" t="s">
        <v>1080</v>
      </c>
      <c r="C2039" s="69" t="s">
        <v>723</v>
      </c>
      <c r="D2039" s="56">
        <v>43019</v>
      </c>
      <c r="E2039" s="33" t="s">
        <v>724</v>
      </c>
      <c r="F2039" s="69" t="s">
        <v>532</v>
      </c>
      <c r="G2039" s="69" t="str">
        <f t="shared" si="31"/>
        <v>User Registration</v>
      </c>
      <c r="H2039" s="69" t="s">
        <v>508</v>
      </c>
      <c r="I2039" s="69" t="s">
        <v>1081</v>
      </c>
      <c r="J2039" s="69" t="s">
        <v>1080</v>
      </c>
      <c r="K2039" s="69" t="s">
        <v>1084</v>
      </c>
      <c r="L2039" s="253">
        <v>0.61116400580551511</v>
      </c>
      <c r="M2039" s="253">
        <v>0.5895179224019137</v>
      </c>
      <c r="N2039" s="253">
        <v>0.55062499999999992</v>
      </c>
      <c r="O2039" s="253">
        <v>0.61305133185009331</v>
      </c>
      <c r="P2039" s="253">
        <v>0.61433962264150932</v>
      </c>
      <c r="Q2039" s="253">
        <v>0.56824324324324316</v>
      </c>
      <c r="R2039" s="253">
        <v>0.61800059654006756</v>
      </c>
      <c r="S2039" s="253">
        <v>0.57307692307692304</v>
      </c>
      <c r="T2039" s="253">
        <v>0.58710106382978722</v>
      </c>
      <c r="U2039" s="253">
        <v>0.58908045977011492</v>
      </c>
      <c r="V2039" s="253">
        <v>0</v>
      </c>
      <c r="W2039" s="253">
        <v>0.55062499999999992</v>
      </c>
      <c r="X2039" s="253">
        <v>0</v>
      </c>
      <c r="Y2039" s="253">
        <v>0.62491666666666679</v>
      </c>
      <c r="Z2039" s="253">
        <v>0.59846153846153849</v>
      </c>
      <c r="AA2039" s="253"/>
      <c r="AB2039" s="253"/>
      <c r="AC2039" s="253"/>
      <c r="AD2039" s="253"/>
      <c r="AE2039" s="253"/>
    </row>
    <row r="2040" spans="1:31">
      <c r="A2040" s="33">
        <v>2039</v>
      </c>
      <c r="B2040" s="69" t="s">
        <v>1080</v>
      </c>
      <c r="C2040" s="69" t="s">
        <v>723</v>
      </c>
      <c r="D2040" s="56">
        <v>43019</v>
      </c>
      <c r="E2040" s="33" t="s">
        <v>724</v>
      </c>
      <c r="F2040" s="69" t="s">
        <v>532</v>
      </c>
      <c r="G2040" s="69" t="str">
        <f t="shared" si="31"/>
        <v>User Registration</v>
      </c>
      <c r="H2040" s="69" t="s">
        <v>508</v>
      </c>
      <c r="I2040" s="69" t="s">
        <v>1081</v>
      </c>
      <c r="J2040" s="69" t="s">
        <v>1080</v>
      </c>
      <c r="K2040" s="69" t="s">
        <v>1085</v>
      </c>
      <c r="L2040" s="253">
        <v>0.56889404934687948</v>
      </c>
      <c r="M2040" s="253">
        <v>0.54590968205210399</v>
      </c>
      <c r="N2040" s="253">
        <v>0.59749999999999992</v>
      </c>
      <c r="O2040" s="253">
        <v>0.58541931041733652</v>
      </c>
      <c r="P2040" s="253">
        <v>0.57188679245283014</v>
      </c>
      <c r="Q2040" s="253">
        <v>0.47918918918918918</v>
      </c>
      <c r="R2040" s="253">
        <v>0.57632531318353553</v>
      </c>
      <c r="S2040" s="253">
        <v>0.53076923076923077</v>
      </c>
      <c r="T2040" s="253">
        <v>0.55744680851063833</v>
      </c>
      <c r="U2040" s="253">
        <v>0.56965517241379315</v>
      </c>
      <c r="V2040" s="253">
        <v>0</v>
      </c>
      <c r="W2040" s="253">
        <v>0.59749999999999992</v>
      </c>
      <c r="X2040" s="253">
        <v>0</v>
      </c>
      <c r="Y2040" s="253">
        <v>0.61187499999999984</v>
      </c>
      <c r="Z2040" s="253">
        <v>0.55692307692307697</v>
      </c>
      <c r="AA2040" s="253"/>
      <c r="AB2040" s="253"/>
      <c r="AC2040" s="253"/>
      <c r="AD2040" s="253"/>
      <c r="AE2040" s="253"/>
    </row>
    <row r="2041" spans="1:31">
      <c r="A2041" s="33">
        <v>2040</v>
      </c>
      <c r="B2041" s="69" t="s">
        <v>1057</v>
      </c>
      <c r="C2041" s="69" t="s">
        <v>1058</v>
      </c>
      <c r="D2041" s="56">
        <v>43020</v>
      </c>
      <c r="E2041" s="33" t="s">
        <v>724</v>
      </c>
      <c r="F2041" s="69" t="s">
        <v>725</v>
      </c>
      <c r="G2041" s="69" t="str">
        <f t="shared" si="31"/>
        <v>User Registration</v>
      </c>
      <c r="H2041" s="69" t="s">
        <v>493</v>
      </c>
      <c r="I2041" s="69" t="s">
        <v>1059</v>
      </c>
      <c r="J2041" s="69" t="s">
        <v>1057</v>
      </c>
      <c r="K2041" s="69" t="s">
        <v>1060</v>
      </c>
      <c r="L2041" s="253">
        <v>0.60802101596516689</v>
      </c>
      <c r="M2041" s="253">
        <v>0.62325174356624546</v>
      </c>
      <c r="N2041" s="253">
        <v>0.64421428571428574</v>
      </c>
      <c r="O2041" s="253">
        <v>0.63177984027482226</v>
      </c>
      <c r="P2041" s="253">
        <v>0.61233396226415093</v>
      </c>
      <c r="Q2041" s="253">
        <v>0.59</v>
      </c>
      <c r="R2041" s="253">
        <v>0.64572479618214362</v>
      </c>
      <c r="S2041" s="253">
        <v>0.58650000000000002</v>
      </c>
      <c r="T2041" s="253">
        <v>0.6340425531914895</v>
      </c>
      <c r="U2041" s="253">
        <v>0.6633</v>
      </c>
      <c r="V2041" s="253"/>
      <c r="W2041" s="253">
        <v>0.62649999999999995</v>
      </c>
      <c r="X2041" s="253">
        <v>0.65749999999999997</v>
      </c>
      <c r="Y2041" s="253">
        <v>0.65</v>
      </c>
      <c r="Z2041" s="253">
        <v>0.59076923076923071</v>
      </c>
      <c r="AA2041" s="253"/>
      <c r="AB2041" s="253"/>
      <c r="AC2041" s="253"/>
      <c r="AD2041" s="253"/>
      <c r="AE2041" s="253"/>
    </row>
    <row r="2042" spans="1:31">
      <c r="A2042" s="33">
        <v>2041</v>
      </c>
      <c r="B2042" s="69" t="s">
        <v>1057</v>
      </c>
      <c r="C2042" s="69" t="s">
        <v>1058</v>
      </c>
      <c r="D2042" s="56">
        <v>43020</v>
      </c>
      <c r="E2042" s="33" t="s">
        <v>916</v>
      </c>
      <c r="F2042" s="69" t="s">
        <v>725</v>
      </c>
      <c r="G2042" s="69" t="str">
        <f t="shared" si="31"/>
        <v>E-Commerce</v>
      </c>
      <c r="H2042" s="69" t="s">
        <v>493</v>
      </c>
      <c r="I2042" s="69" t="s">
        <v>1059</v>
      </c>
      <c r="J2042" s="69" t="s">
        <v>1057</v>
      </c>
      <c r="K2042" s="69" t="s">
        <v>1061</v>
      </c>
      <c r="L2042" s="253">
        <v>0.6444702467343979</v>
      </c>
      <c r="M2042" s="253">
        <v>0.63765032934313326</v>
      </c>
      <c r="N2042" s="253">
        <v>0.63581395348837222</v>
      </c>
      <c r="O2042" s="253">
        <v>0.59319260174928179</v>
      </c>
      <c r="P2042" s="253">
        <v>0.65943396226415107</v>
      </c>
      <c r="Q2042" s="253">
        <v>0.65621621621621629</v>
      </c>
      <c r="R2042" s="253">
        <v>0.65965400676078756</v>
      </c>
      <c r="S2042" s="253">
        <v>0.58990384615384617</v>
      </c>
      <c r="T2042" s="253">
        <v>0.65638297872340423</v>
      </c>
      <c r="U2042" s="253">
        <v>0.6489655172413793</v>
      </c>
      <c r="V2042" s="253">
        <v>0.63581395348837222</v>
      </c>
      <c r="W2042" s="253"/>
      <c r="X2042" s="253"/>
      <c r="Y2042" s="253">
        <v>0.5764999999999999</v>
      </c>
      <c r="Z2042" s="253">
        <v>0.58461538461538465</v>
      </c>
      <c r="AA2042" s="253"/>
      <c r="AB2042" s="253"/>
      <c r="AC2042" s="253"/>
      <c r="AD2042" s="253"/>
      <c r="AE2042" s="253"/>
    </row>
    <row r="2043" spans="1:31">
      <c r="A2043" s="33">
        <v>2042</v>
      </c>
      <c r="B2043" s="69" t="s">
        <v>1057</v>
      </c>
      <c r="C2043" s="69" t="s">
        <v>1058</v>
      </c>
      <c r="D2043" s="56">
        <v>43020</v>
      </c>
      <c r="E2043" s="33" t="s">
        <v>824</v>
      </c>
      <c r="F2043" s="69" t="s">
        <v>725</v>
      </c>
      <c r="G2043" s="69" t="str">
        <f t="shared" si="31"/>
        <v>E-Commerce</v>
      </c>
      <c r="H2043" s="69" t="s">
        <v>493</v>
      </c>
      <c r="I2043" s="69" t="s">
        <v>1059</v>
      </c>
      <c r="J2043" s="69" t="s">
        <v>1057</v>
      </c>
      <c r="K2043" s="69" t="s">
        <v>1062</v>
      </c>
      <c r="L2043" s="253">
        <v>0.56245492017416554</v>
      </c>
      <c r="M2043" s="253">
        <v>0.59333026420958157</v>
      </c>
      <c r="N2043" s="253">
        <v>0.60150000000000003</v>
      </c>
      <c r="O2043" s="253">
        <v>0.59027595164593516</v>
      </c>
      <c r="P2043" s="253">
        <v>0.56153018867924531</v>
      </c>
      <c r="Q2043" s="253">
        <v>0.63900000000000001</v>
      </c>
      <c r="R2043" s="253">
        <v>0.62611481975967953</v>
      </c>
      <c r="S2043" s="253">
        <v>0.54500000000000004</v>
      </c>
      <c r="T2043" s="253">
        <v>0.56190476190476191</v>
      </c>
      <c r="U2043" s="253">
        <v>0.59240000000000004</v>
      </c>
      <c r="V2043" s="253">
        <v>0.60150000000000003</v>
      </c>
      <c r="W2043" s="253"/>
      <c r="X2043" s="253"/>
      <c r="Y2043" s="253">
        <v>0.59</v>
      </c>
      <c r="Z2043" s="253">
        <v>0.56615384615384612</v>
      </c>
      <c r="AA2043" s="253"/>
      <c r="AB2043" s="253"/>
      <c r="AC2043" s="253"/>
      <c r="AD2043" s="253"/>
      <c r="AE2043" s="253"/>
    </row>
    <row r="2044" spans="1:31">
      <c r="A2044" s="33">
        <v>2043</v>
      </c>
      <c r="B2044" s="69" t="s">
        <v>1057</v>
      </c>
      <c r="C2044" s="69" t="s">
        <v>1058</v>
      </c>
      <c r="D2044" s="56">
        <v>43020</v>
      </c>
      <c r="E2044" s="33" t="s">
        <v>724</v>
      </c>
      <c r="F2044" s="69" t="s">
        <v>725</v>
      </c>
      <c r="G2044" s="69" t="str">
        <f t="shared" si="31"/>
        <v>E-Commerce</v>
      </c>
      <c r="H2044" s="69" t="s">
        <v>493</v>
      </c>
      <c r="I2044" s="69" t="s">
        <v>1059</v>
      </c>
      <c r="J2044" s="69" t="s">
        <v>1057</v>
      </c>
      <c r="K2044" s="69" t="s">
        <v>1063</v>
      </c>
      <c r="L2044" s="253">
        <v>0.61540058055152391</v>
      </c>
      <c r="M2044" s="253">
        <v>0.59848189444366495</v>
      </c>
      <c r="N2044" s="253">
        <v>0.60375000000000001</v>
      </c>
      <c r="O2044" s="253">
        <v>0.57688785838516699</v>
      </c>
      <c r="P2044" s="253">
        <v>0.6264622641509433</v>
      </c>
      <c r="Q2044" s="253">
        <v>0.59640000000000004</v>
      </c>
      <c r="R2044" s="253">
        <v>0.63861602704314968</v>
      </c>
      <c r="S2044" s="253">
        <v>0.52</v>
      </c>
      <c r="T2044" s="253">
        <v>0.60053191489361701</v>
      </c>
      <c r="U2044" s="253">
        <v>0.63249999999999995</v>
      </c>
      <c r="V2044" s="253">
        <v>0.625</v>
      </c>
      <c r="W2044" s="253"/>
      <c r="X2044" s="253">
        <v>0.58250000000000002</v>
      </c>
      <c r="Y2044" s="253">
        <v>0.56999999999999995</v>
      </c>
      <c r="Z2044" s="253">
        <v>0.57115384615384612</v>
      </c>
      <c r="AA2044" s="253"/>
      <c r="AB2044" s="253"/>
      <c r="AC2044" s="253"/>
      <c r="AD2044" s="253"/>
      <c r="AE2044" s="253"/>
    </row>
    <row r="2045" spans="1:31">
      <c r="A2045" s="33">
        <v>2044</v>
      </c>
      <c r="B2045" s="69" t="s">
        <v>1057</v>
      </c>
      <c r="C2045" s="69" t="s">
        <v>1058</v>
      </c>
      <c r="D2045" s="56">
        <v>43020</v>
      </c>
      <c r="E2045" s="33" t="s">
        <v>724</v>
      </c>
      <c r="F2045" s="69" t="s">
        <v>725</v>
      </c>
      <c r="G2045" s="69" t="str">
        <f t="shared" si="31"/>
        <v>User Registration</v>
      </c>
      <c r="H2045" s="69" t="s">
        <v>493</v>
      </c>
      <c r="I2045" s="69" t="s">
        <v>1059</v>
      </c>
      <c r="J2045" s="69" t="s">
        <v>1057</v>
      </c>
      <c r="K2045" s="69" t="s">
        <v>1064</v>
      </c>
      <c r="L2045" s="253">
        <v>0.58646298984034839</v>
      </c>
      <c r="M2045" s="253">
        <v>0.62035811364321058</v>
      </c>
      <c r="N2045" s="253">
        <v>0.62</v>
      </c>
      <c r="O2045" s="253">
        <v>0.61908941546271445</v>
      </c>
      <c r="P2045" s="253">
        <v>0.59740566037735854</v>
      </c>
      <c r="Q2045" s="253">
        <v>0.61219999999999997</v>
      </c>
      <c r="R2045" s="253">
        <v>0.64024656989461126</v>
      </c>
      <c r="S2045" s="253">
        <v>0.60375000000000001</v>
      </c>
      <c r="T2045" s="253">
        <v>0.63510638297872346</v>
      </c>
      <c r="U2045" s="253">
        <v>0.64249999999999996</v>
      </c>
      <c r="V2045" s="253"/>
      <c r="W2045" s="253">
        <v>0.62</v>
      </c>
      <c r="X2045" s="253"/>
      <c r="Y2045" s="253">
        <v>0.64</v>
      </c>
      <c r="Z2045" s="253">
        <v>0.5426923076923077</v>
      </c>
      <c r="AA2045" s="253"/>
      <c r="AB2045" s="253"/>
      <c r="AC2045" s="253"/>
      <c r="AD2045" s="253"/>
      <c r="AE2045" s="253"/>
    </row>
    <row r="2046" spans="1:31">
      <c r="A2046" s="33">
        <v>2045</v>
      </c>
      <c r="B2046" s="69" t="s">
        <v>1057</v>
      </c>
      <c r="C2046" s="69" t="s">
        <v>1058</v>
      </c>
      <c r="D2046" s="56">
        <v>43020</v>
      </c>
      <c r="E2046" s="33" t="s">
        <v>724</v>
      </c>
      <c r="F2046" s="69" t="s">
        <v>725</v>
      </c>
      <c r="G2046" s="69" t="str">
        <f t="shared" si="31"/>
        <v>E-Commerce</v>
      </c>
      <c r="H2046" s="69" t="s">
        <v>493</v>
      </c>
      <c r="I2046" s="69" t="s">
        <v>1059</v>
      </c>
      <c r="J2046" s="69" t="s">
        <v>1057</v>
      </c>
      <c r="K2046" s="69" t="s">
        <v>1065</v>
      </c>
      <c r="L2046" s="253">
        <v>0.59170159651669096</v>
      </c>
      <c r="M2046" s="253">
        <v>0.58987195836057227</v>
      </c>
      <c r="N2046" s="253">
        <v>0.61124999999999996</v>
      </c>
      <c r="O2046" s="253">
        <v>0.59781474461696826</v>
      </c>
      <c r="P2046" s="253">
        <v>0.58789622641509443</v>
      </c>
      <c r="Q2046" s="253">
        <v>0.56999999999999995</v>
      </c>
      <c r="R2046" s="253">
        <v>0.62229071385961421</v>
      </c>
      <c r="S2046" s="253">
        <v>0.5625</v>
      </c>
      <c r="T2046" s="253">
        <v>0.59308510638297873</v>
      </c>
      <c r="U2046" s="253">
        <v>0.58650000000000002</v>
      </c>
      <c r="V2046" s="253">
        <v>0.66249999999999998</v>
      </c>
      <c r="W2046" s="253"/>
      <c r="X2046" s="253">
        <v>0.56000000000000005</v>
      </c>
      <c r="Y2046" s="253">
        <v>0.59650000000000003</v>
      </c>
      <c r="Z2046" s="253">
        <v>0.60692307692307701</v>
      </c>
      <c r="AA2046" s="253"/>
      <c r="AB2046" s="253"/>
      <c r="AC2046" s="253"/>
      <c r="AD2046" s="253"/>
      <c r="AE2046" s="253"/>
    </row>
    <row r="2047" spans="1:31">
      <c r="A2047" s="33">
        <v>2046</v>
      </c>
      <c r="B2047" s="69" t="s">
        <v>1057</v>
      </c>
      <c r="C2047" s="69" t="s">
        <v>1058</v>
      </c>
      <c r="D2047" s="56">
        <v>43020</v>
      </c>
      <c r="E2047" s="33" t="s">
        <v>724</v>
      </c>
      <c r="F2047" s="69" t="s">
        <v>725</v>
      </c>
      <c r="G2047" s="69" t="str">
        <f t="shared" si="31"/>
        <v>E-Commerce</v>
      </c>
      <c r="H2047" s="69" t="s">
        <v>493</v>
      </c>
      <c r="I2047" s="69" t="s">
        <v>1059</v>
      </c>
      <c r="J2047" s="69" t="s">
        <v>1057</v>
      </c>
      <c r="K2047" s="69" t="s">
        <v>1066</v>
      </c>
      <c r="L2047" s="253">
        <v>0.60116400580551532</v>
      </c>
      <c r="M2047" s="253">
        <v>0.59224944844982708</v>
      </c>
      <c r="N2047" s="253">
        <v>0.58650000000000002</v>
      </c>
      <c r="O2047" s="253">
        <v>0.59650491187312682</v>
      </c>
      <c r="P2047" s="253">
        <v>0.62183962264150938</v>
      </c>
      <c r="Q2047" s="253">
        <v>0.58630000000000004</v>
      </c>
      <c r="R2047" s="253">
        <v>0.63319944322927024</v>
      </c>
      <c r="S2047" s="253">
        <v>0.5575</v>
      </c>
      <c r="T2047" s="253">
        <v>0.57287234042553192</v>
      </c>
      <c r="U2047" s="253">
        <v>0.625</v>
      </c>
      <c r="V2047" s="253">
        <v>0.58650000000000002</v>
      </c>
      <c r="W2047" s="253"/>
      <c r="X2047" s="253"/>
      <c r="Y2047" s="253">
        <v>0.61750000000000005</v>
      </c>
      <c r="Z2047" s="253">
        <v>0.51846153846153853</v>
      </c>
      <c r="AA2047" s="253"/>
      <c r="AB2047" s="253"/>
      <c r="AC2047" s="253"/>
      <c r="AD2047" s="253"/>
      <c r="AE2047" s="253"/>
    </row>
    <row r="2048" spans="1:31">
      <c r="A2048" s="33">
        <v>2047</v>
      </c>
      <c r="B2048" s="69" t="s">
        <v>1057</v>
      </c>
      <c r="C2048" s="69" t="s">
        <v>1058</v>
      </c>
      <c r="D2048" s="56">
        <v>43020</v>
      </c>
      <c r="E2048" s="33" t="s">
        <v>724</v>
      </c>
      <c r="F2048" s="69" t="s">
        <v>725</v>
      </c>
      <c r="G2048" s="69" t="str">
        <f t="shared" si="31"/>
        <v>User Registration</v>
      </c>
      <c r="H2048" s="69" t="s">
        <v>493</v>
      </c>
      <c r="I2048" s="69" t="s">
        <v>1059</v>
      </c>
      <c r="J2048" s="69" t="s">
        <v>1057</v>
      </c>
      <c r="K2048" s="69" t="s">
        <v>1067</v>
      </c>
      <c r="L2048" s="253">
        <v>0.60909724238026131</v>
      </c>
      <c r="M2048" s="253">
        <v>0.56756081616257803</v>
      </c>
      <c r="N2048" s="253">
        <v>0.5625</v>
      </c>
      <c r="O2048" s="253">
        <v>0.60447914314172368</v>
      </c>
      <c r="P2048" s="253">
        <v>0.59617924528301891</v>
      </c>
      <c r="Q2048" s="253">
        <v>0.54</v>
      </c>
      <c r="R2048" s="253">
        <v>0.55191887055080535</v>
      </c>
      <c r="S2048" s="253">
        <v>0.57499999999999996</v>
      </c>
      <c r="T2048" s="253">
        <v>0.5292553191489362</v>
      </c>
      <c r="U2048" s="253">
        <v>0.58499999999999996</v>
      </c>
      <c r="V2048" s="253"/>
      <c r="W2048" s="253">
        <v>0.5625</v>
      </c>
      <c r="X2048" s="253"/>
      <c r="Y2048" s="253">
        <v>0.60750000000000004</v>
      </c>
      <c r="Z2048" s="253">
        <v>0.66076923076923078</v>
      </c>
      <c r="AA2048" s="253"/>
      <c r="AB2048" s="253"/>
      <c r="AC2048" s="253"/>
      <c r="AD2048" s="253"/>
      <c r="AE2048" s="253"/>
    </row>
    <row r="2049" spans="1:31">
      <c r="A2049" s="33">
        <v>2048</v>
      </c>
      <c r="B2049" s="69" t="s">
        <v>1057</v>
      </c>
      <c r="C2049" s="69" t="s">
        <v>1058</v>
      </c>
      <c r="D2049" s="56">
        <v>43020</v>
      </c>
      <c r="E2049" s="33" t="s">
        <v>916</v>
      </c>
      <c r="F2049" s="69" t="s">
        <v>725</v>
      </c>
      <c r="G2049" s="69" t="str">
        <f t="shared" si="31"/>
        <v>User Registration</v>
      </c>
      <c r="H2049" s="69" t="s">
        <v>493</v>
      </c>
      <c r="I2049" s="69" t="s">
        <v>1059</v>
      </c>
      <c r="J2049" s="69" t="s">
        <v>1057</v>
      </c>
      <c r="K2049" s="69" t="s">
        <v>1068</v>
      </c>
      <c r="L2049" s="253">
        <v>0.59731204644412184</v>
      </c>
      <c r="M2049" s="253">
        <v>0.57953090968702592</v>
      </c>
      <c r="N2049" s="253">
        <v>0.63</v>
      </c>
      <c r="O2049" s="253">
        <v>0.61383986228292198</v>
      </c>
      <c r="P2049" s="253">
        <v>0.60721698113207534</v>
      </c>
      <c r="Q2049" s="253">
        <v>0.57599999999999996</v>
      </c>
      <c r="R2049" s="253">
        <v>0.642350367866375</v>
      </c>
      <c r="S2049" s="253">
        <v>0.55649999999999999</v>
      </c>
      <c r="T2049" s="253">
        <v>0.55319148936170215</v>
      </c>
      <c r="U2049" s="253">
        <v>0.5625</v>
      </c>
      <c r="V2049" s="253"/>
      <c r="W2049" s="253">
        <v>0.63</v>
      </c>
      <c r="X2049" s="253"/>
      <c r="Y2049" s="253">
        <v>0.63449999999999995</v>
      </c>
      <c r="Z2049" s="253">
        <v>0.55769230769230771</v>
      </c>
      <c r="AA2049" s="253"/>
      <c r="AB2049" s="253"/>
      <c r="AC2049" s="253"/>
      <c r="AD2049" s="253"/>
      <c r="AE2049" s="253"/>
    </row>
    <row r="2050" spans="1:31">
      <c r="A2050" s="33">
        <v>2049</v>
      </c>
      <c r="B2050" s="69" t="s">
        <v>1057</v>
      </c>
      <c r="C2050" s="69" t="s">
        <v>1058</v>
      </c>
      <c r="D2050" s="56">
        <v>43020</v>
      </c>
      <c r="E2050" s="33" t="s">
        <v>916</v>
      </c>
      <c r="F2050" s="69" t="s">
        <v>725</v>
      </c>
      <c r="G2050" s="69" t="str">
        <f t="shared" ref="G2050:G2113" si="32">IF(V2050&gt;0,IF(W2050&gt;0,"Both","E-Commerce"),IF(W2050=0, "ERROR","User Registration"))</f>
        <v>User Registration</v>
      </c>
      <c r="H2050" s="69" t="s">
        <v>493</v>
      </c>
      <c r="I2050" s="69" t="s">
        <v>1059</v>
      </c>
      <c r="J2050" s="69" t="s">
        <v>1057</v>
      </c>
      <c r="K2050" s="69" t="s">
        <v>1069</v>
      </c>
      <c r="L2050" s="253">
        <v>0.55276516690856303</v>
      </c>
      <c r="M2050" s="253">
        <v>0.54838438727620598</v>
      </c>
      <c r="N2050" s="253">
        <v>0.47749999999999998</v>
      </c>
      <c r="O2050" s="253">
        <v>0.53612383919871087</v>
      </c>
      <c r="P2050" s="253">
        <v>0.57076415094339616</v>
      </c>
      <c r="Q2050" s="253">
        <v>0.54949999999999999</v>
      </c>
      <c r="R2050" s="253">
        <v>0.60089878703519584</v>
      </c>
      <c r="S2050" s="253">
        <v>0.50049999999999994</v>
      </c>
      <c r="T2050" s="253">
        <v>0.52393617021276595</v>
      </c>
      <c r="U2050" s="253">
        <v>0.57499999999999996</v>
      </c>
      <c r="V2050" s="253"/>
      <c r="W2050" s="253">
        <v>0.47749999999999998</v>
      </c>
      <c r="X2050" s="253"/>
      <c r="Y2050" s="253">
        <v>0.54200000000000004</v>
      </c>
      <c r="Z2050" s="253">
        <v>0.48076923076923078</v>
      </c>
      <c r="AA2050" s="253"/>
      <c r="AB2050" s="253"/>
      <c r="AC2050" s="253"/>
      <c r="AD2050" s="253"/>
      <c r="AE2050" s="253"/>
    </row>
    <row r="2051" spans="1:31">
      <c r="A2051" s="33">
        <v>2050</v>
      </c>
      <c r="B2051" s="69" t="s">
        <v>1057</v>
      </c>
      <c r="C2051" s="69" t="s">
        <v>1058</v>
      </c>
      <c r="D2051" s="56">
        <v>43020</v>
      </c>
      <c r="E2051" s="33" t="s">
        <v>916</v>
      </c>
      <c r="F2051" s="69" t="s">
        <v>725</v>
      </c>
      <c r="G2051" s="69" t="str">
        <f t="shared" si="32"/>
        <v>User Registration</v>
      </c>
      <c r="H2051" s="69" t="s">
        <v>493</v>
      </c>
      <c r="I2051" s="69" t="s">
        <v>1059</v>
      </c>
      <c r="J2051" s="69" t="s">
        <v>1057</v>
      </c>
      <c r="K2051" s="69" t="s">
        <v>1070</v>
      </c>
      <c r="L2051" s="253">
        <v>0.59226531204644428</v>
      </c>
      <c r="M2051" s="253">
        <v>0.55384620305904675</v>
      </c>
      <c r="N2051" s="253">
        <v>0.52071428571428569</v>
      </c>
      <c r="O2051" s="253">
        <v>0.56110840248729321</v>
      </c>
      <c r="P2051" s="253">
        <v>0.59225471698113219</v>
      </c>
      <c r="Q2051" s="253">
        <v>0.55300000000000005</v>
      </c>
      <c r="R2051" s="253">
        <v>0.59070988268045344</v>
      </c>
      <c r="S2051" s="253">
        <v>0.52749999999999997</v>
      </c>
      <c r="T2051" s="253">
        <v>0.53776595744680844</v>
      </c>
      <c r="U2051" s="253">
        <v>0.53300000000000003</v>
      </c>
      <c r="V2051" s="253"/>
      <c r="W2051" s="253">
        <v>0.51500000000000001</v>
      </c>
      <c r="X2051" s="253">
        <v>0.52500000000000002</v>
      </c>
      <c r="Y2051" s="253">
        <v>0.55000000000000004</v>
      </c>
      <c r="Z2051" s="253">
        <v>0.59230769230769231</v>
      </c>
      <c r="AA2051" s="253"/>
      <c r="AB2051" s="253"/>
      <c r="AC2051" s="253"/>
      <c r="AD2051" s="253"/>
      <c r="AE2051" s="253"/>
    </row>
    <row r="2052" spans="1:31">
      <c r="A2052" s="33">
        <v>2051</v>
      </c>
      <c r="B2052" s="69" t="s">
        <v>1057</v>
      </c>
      <c r="C2052" s="69" t="s">
        <v>1058</v>
      </c>
      <c r="D2052" s="56">
        <v>43020</v>
      </c>
      <c r="E2052" s="33" t="s">
        <v>916</v>
      </c>
      <c r="F2052" s="69" t="s">
        <v>725</v>
      </c>
      <c r="G2052" s="69" t="str">
        <f t="shared" si="32"/>
        <v>User Registration</v>
      </c>
      <c r="H2052" s="69" t="s">
        <v>493</v>
      </c>
      <c r="I2052" s="69" t="s">
        <v>1059</v>
      </c>
      <c r="J2052" s="69" t="s">
        <v>1057</v>
      </c>
      <c r="K2052" s="69" t="s">
        <v>1071</v>
      </c>
      <c r="L2052" s="253">
        <v>0.55895343976777934</v>
      </c>
      <c r="M2052" s="253">
        <v>0.58802440414159751</v>
      </c>
      <c r="N2052" s="253">
        <v>0.61270000000000002</v>
      </c>
      <c r="O2052" s="253">
        <v>0.57087065760669575</v>
      </c>
      <c r="P2052" s="253">
        <v>0.57532641509433957</v>
      </c>
      <c r="Q2052" s="253">
        <v>0.58360000000000001</v>
      </c>
      <c r="R2052" s="253">
        <v>0.61615828196460543</v>
      </c>
      <c r="S2052" s="253">
        <v>0.54349999999999998</v>
      </c>
      <c r="T2052" s="253">
        <v>0.61914893617021283</v>
      </c>
      <c r="U2052" s="253">
        <v>0.61819999999999997</v>
      </c>
      <c r="V2052" s="253"/>
      <c r="W2052" s="253">
        <v>0.61270000000000002</v>
      </c>
      <c r="X2052" s="253"/>
      <c r="Y2052" s="253">
        <v>0.58650000000000002</v>
      </c>
      <c r="Z2052" s="253">
        <v>0.4934615384615384</v>
      </c>
      <c r="AA2052" s="253"/>
      <c r="AB2052" s="253"/>
      <c r="AC2052" s="253"/>
      <c r="AD2052" s="253"/>
      <c r="AE2052" s="253"/>
    </row>
    <row r="2053" spans="1:31">
      <c r="A2053" s="33">
        <v>2052</v>
      </c>
      <c r="B2053" s="69" t="s">
        <v>1057</v>
      </c>
      <c r="C2053" s="69" t="s">
        <v>1058</v>
      </c>
      <c r="D2053" s="56">
        <v>43020</v>
      </c>
      <c r="E2053" s="33" t="s">
        <v>916</v>
      </c>
      <c r="F2053" s="69" t="s">
        <v>725</v>
      </c>
      <c r="G2053" s="69" t="str">
        <f t="shared" si="32"/>
        <v>User Registration</v>
      </c>
      <c r="H2053" s="69" t="s">
        <v>493</v>
      </c>
      <c r="I2053" s="69" t="s">
        <v>1059</v>
      </c>
      <c r="J2053" s="69" t="s">
        <v>1057</v>
      </c>
      <c r="K2053" s="69" t="s">
        <v>1072</v>
      </c>
      <c r="L2053" s="253">
        <v>0.58461828737300436</v>
      </c>
      <c r="M2053" s="253">
        <v>0.53709238689846384</v>
      </c>
      <c r="N2053" s="253">
        <v>0.55349999999999999</v>
      </c>
      <c r="O2053" s="253">
        <v>0.58074041352013528</v>
      </c>
      <c r="P2053" s="253">
        <v>0.59231132075471693</v>
      </c>
      <c r="Q2053" s="253">
        <v>0.5</v>
      </c>
      <c r="R2053" s="253">
        <v>0.54839928415191885</v>
      </c>
      <c r="S2053" s="253">
        <v>0.60424999999999995</v>
      </c>
      <c r="T2053" s="253">
        <v>0.50797872340425532</v>
      </c>
      <c r="U2053" s="253">
        <v>0.51249999999999996</v>
      </c>
      <c r="V2053" s="253"/>
      <c r="W2053" s="253">
        <v>0.55349999999999999</v>
      </c>
      <c r="X2053" s="253"/>
      <c r="Y2053" s="253">
        <v>0.60099999999999998</v>
      </c>
      <c r="Z2053" s="253">
        <v>0.55384615384615388</v>
      </c>
      <c r="AA2053" s="253"/>
      <c r="AB2053" s="253"/>
      <c r="AC2053" s="253"/>
      <c r="AD2053" s="253"/>
      <c r="AE2053" s="253"/>
    </row>
    <row r="2054" spans="1:31">
      <c r="A2054" s="33">
        <v>2053</v>
      </c>
      <c r="B2054" s="69" t="s">
        <v>1057</v>
      </c>
      <c r="C2054" s="69" t="s">
        <v>1058</v>
      </c>
      <c r="D2054" s="56">
        <v>43020</v>
      </c>
      <c r="E2054" s="33" t="s">
        <v>824</v>
      </c>
      <c r="F2054" s="69" t="s">
        <v>725</v>
      </c>
      <c r="G2054" s="69" t="str">
        <f t="shared" si="32"/>
        <v>User Registration</v>
      </c>
      <c r="H2054" s="69" t="s">
        <v>493</v>
      </c>
      <c r="I2054" s="69" t="s">
        <v>1059</v>
      </c>
      <c r="J2054" s="69" t="s">
        <v>1057</v>
      </c>
      <c r="K2054" s="69" t="s">
        <v>1073</v>
      </c>
      <c r="L2054" s="253">
        <v>0.59347460087082726</v>
      </c>
      <c r="M2054" s="253">
        <v>0.61953233353572679</v>
      </c>
      <c r="N2054" s="253">
        <v>0.63749999999999996</v>
      </c>
      <c r="O2054" s="253">
        <v>0.61436911074141032</v>
      </c>
      <c r="P2054" s="253">
        <v>0.59665094339622637</v>
      </c>
      <c r="Q2054" s="253">
        <v>0.64449999999999996</v>
      </c>
      <c r="R2054" s="253">
        <v>0.6524835951481408</v>
      </c>
      <c r="S2054" s="253">
        <v>0.63249999999999995</v>
      </c>
      <c r="T2054" s="253">
        <v>0.60159574468085109</v>
      </c>
      <c r="U2054" s="253">
        <v>0.58250000000000002</v>
      </c>
      <c r="V2054" s="253"/>
      <c r="W2054" s="253">
        <v>0.63749999999999996</v>
      </c>
      <c r="X2054" s="253"/>
      <c r="Y2054" s="253">
        <v>0.61199999999999999</v>
      </c>
      <c r="Z2054" s="253">
        <v>0.58076923076923082</v>
      </c>
      <c r="AA2054" s="253"/>
      <c r="AB2054" s="253"/>
      <c r="AC2054" s="253"/>
      <c r="AD2054" s="253"/>
      <c r="AE2054" s="253"/>
    </row>
    <row r="2055" spans="1:31">
      <c r="A2055" s="33">
        <v>2054</v>
      </c>
      <c r="B2055" s="69" t="s">
        <v>1057</v>
      </c>
      <c r="C2055" s="69" t="s">
        <v>1058</v>
      </c>
      <c r="D2055" s="56">
        <v>43020</v>
      </c>
      <c r="E2055" s="33" t="s">
        <v>824</v>
      </c>
      <c r="F2055" s="69" t="s">
        <v>725</v>
      </c>
      <c r="G2055" s="69" t="str">
        <f t="shared" si="32"/>
        <v>User Registration</v>
      </c>
      <c r="H2055" s="69" t="s">
        <v>493</v>
      </c>
      <c r="I2055" s="69" t="s">
        <v>1059</v>
      </c>
      <c r="J2055" s="69" t="s">
        <v>1057</v>
      </c>
      <c r="K2055" s="69" t="s">
        <v>1074</v>
      </c>
      <c r="L2055" s="253">
        <v>0.54965602322206086</v>
      </c>
      <c r="M2055" s="253">
        <v>0.59320578311346039</v>
      </c>
      <c r="N2055" s="253">
        <v>0.59</v>
      </c>
      <c r="O2055" s="253">
        <v>0.5792073002827941</v>
      </c>
      <c r="P2055" s="253">
        <v>0.55985849056603765</v>
      </c>
      <c r="Q2055" s="253">
        <v>0.59570000000000001</v>
      </c>
      <c r="R2055" s="253">
        <v>0.63089282163451987</v>
      </c>
      <c r="S2055" s="253">
        <v>0.53749999999999998</v>
      </c>
      <c r="T2055" s="253">
        <v>0.62542553191489358</v>
      </c>
      <c r="U2055" s="253">
        <v>0.61250000000000004</v>
      </c>
      <c r="V2055" s="253"/>
      <c r="W2055" s="253">
        <v>0.59</v>
      </c>
      <c r="X2055" s="253"/>
      <c r="Y2055" s="253">
        <v>0.59250000000000003</v>
      </c>
      <c r="Z2055" s="253">
        <v>0.50884615384615373</v>
      </c>
      <c r="AA2055" s="253"/>
      <c r="AB2055" s="253"/>
      <c r="AC2055" s="253"/>
      <c r="AD2055" s="253"/>
      <c r="AE2055" s="253"/>
    </row>
    <row r="2056" spans="1:31">
      <c r="A2056" s="33">
        <v>2055</v>
      </c>
      <c r="B2056" s="69" t="s">
        <v>1057</v>
      </c>
      <c r="C2056" s="69" t="s">
        <v>1058</v>
      </c>
      <c r="D2056" s="56">
        <v>43020</v>
      </c>
      <c r="E2056" s="33" t="s">
        <v>824</v>
      </c>
      <c r="F2056" s="69" t="s">
        <v>725</v>
      </c>
      <c r="G2056" s="69" t="str">
        <f t="shared" si="32"/>
        <v>User Registration</v>
      </c>
      <c r="H2056" s="69" t="s">
        <v>493</v>
      </c>
      <c r="I2056" s="69" t="s">
        <v>1059</v>
      </c>
      <c r="J2056" s="69" t="s">
        <v>1057</v>
      </c>
      <c r="K2056" s="69" t="s">
        <v>1075</v>
      </c>
      <c r="L2056" s="253">
        <v>0.57375059506531212</v>
      </c>
      <c r="M2056" s="253">
        <v>0.56814433908747319</v>
      </c>
      <c r="N2056" s="253">
        <v>0.53</v>
      </c>
      <c r="O2056" s="253">
        <v>0.54158589187238904</v>
      </c>
      <c r="P2056" s="253">
        <v>0.58911132075471706</v>
      </c>
      <c r="Q2056" s="253">
        <v>0.55500000000000005</v>
      </c>
      <c r="R2056" s="253">
        <v>0.61576854245376811</v>
      </c>
      <c r="S2056" s="253">
        <v>0.51849999999999996</v>
      </c>
      <c r="T2056" s="253">
        <v>0.60478723404255308</v>
      </c>
      <c r="U2056" s="253">
        <v>0.57110000000000005</v>
      </c>
      <c r="V2056" s="253"/>
      <c r="W2056" s="253">
        <v>0.53</v>
      </c>
      <c r="X2056" s="253"/>
      <c r="Y2056" s="253">
        <v>0.53649999999999998</v>
      </c>
      <c r="Z2056" s="253">
        <v>0.51230769230769224</v>
      </c>
      <c r="AA2056" s="253"/>
      <c r="AB2056" s="253"/>
      <c r="AC2056" s="253"/>
      <c r="AD2056" s="253"/>
      <c r="AE2056" s="253"/>
    </row>
    <row r="2057" spans="1:31">
      <c r="A2057" s="33">
        <v>2056</v>
      </c>
      <c r="B2057" s="69" t="s">
        <v>1057</v>
      </c>
      <c r="C2057" s="69" t="s">
        <v>1058</v>
      </c>
      <c r="D2057" s="56">
        <v>43020</v>
      </c>
      <c r="E2057" s="33" t="s">
        <v>824</v>
      </c>
      <c r="F2057" s="69" t="s">
        <v>725</v>
      </c>
      <c r="G2057" s="69" t="str">
        <f t="shared" si="32"/>
        <v>E-Commerce</v>
      </c>
      <c r="H2057" s="69" t="s">
        <v>493</v>
      </c>
      <c r="I2057" s="69" t="s">
        <v>1059</v>
      </c>
      <c r="J2057" s="69" t="s">
        <v>1057</v>
      </c>
      <c r="K2057" s="69" t="s">
        <v>1076</v>
      </c>
      <c r="L2057" s="253">
        <v>0.61227332365747456</v>
      </c>
      <c r="M2057" s="253">
        <v>0.61092699107717052</v>
      </c>
      <c r="N2057" s="253">
        <v>0.59250000000000003</v>
      </c>
      <c r="O2057" s="253">
        <v>0.60590795053846058</v>
      </c>
      <c r="P2057" s="253">
        <v>0.6105339622641508</v>
      </c>
      <c r="Q2057" s="253">
        <v>0.60319999999999996</v>
      </c>
      <c r="R2057" s="253">
        <v>0.63527142573076145</v>
      </c>
      <c r="S2057" s="253">
        <v>0.59399999999999997</v>
      </c>
      <c r="T2057" s="253">
        <v>0.61223404255319147</v>
      </c>
      <c r="U2057" s="253">
        <v>0.60219999999999996</v>
      </c>
      <c r="V2057" s="253">
        <v>0.59250000000000003</v>
      </c>
      <c r="W2057" s="253"/>
      <c r="X2057" s="253"/>
      <c r="Y2057" s="253">
        <v>0.59750000000000003</v>
      </c>
      <c r="Z2057" s="253">
        <v>0.61923076923076925</v>
      </c>
      <c r="AA2057" s="253"/>
      <c r="AB2057" s="253"/>
      <c r="AC2057" s="253"/>
      <c r="AD2057" s="253"/>
      <c r="AE2057" s="253"/>
    </row>
    <row r="2058" spans="1:31">
      <c r="A2058" s="33">
        <v>2057</v>
      </c>
      <c r="B2058" s="69" t="s">
        <v>1057</v>
      </c>
      <c r="C2058" s="69" t="s">
        <v>1058</v>
      </c>
      <c r="D2058" s="56">
        <v>43020</v>
      </c>
      <c r="E2058" s="33" t="s">
        <v>824</v>
      </c>
      <c r="F2058" s="69" t="s">
        <v>725</v>
      </c>
      <c r="G2058" s="69" t="str">
        <f t="shared" si="32"/>
        <v>User Registration</v>
      </c>
      <c r="H2058" s="69" t="s">
        <v>493</v>
      </c>
      <c r="I2058" s="69" t="s">
        <v>1059</v>
      </c>
      <c r="J2058" s="69" t="s">
        <v>1057</v>
      </c>
      <c r="K2058" s="69" t="s">
        <v>1077</v>
      </c>
      <c r="L2058" s="253">
        <v>0.57973759071117559</v>
      </c>
      <c r="M2058" s="253">
        <v>0.55731759839752182</v>
      </c>
      <c r="N2058" s="253">
        <v>0.55600000000000005</v>
      </c>
      <c r="O2058" s="253">
        <v>0.57668567287110328</v>
      </c>
      <c r="P2058" s="253">
        <v>0.56755660377358486</v>
      </c>
      <c r="Q2058" s="253">
        <v>0.57250000000000001</v>
      </c>
      <c r="R2058" s="253">
        <v>0.53863591171207004</v>
      </c>
      <c r="S2058" s="253">
        <v>0.57350000000000001</v>
      </c>
      <c r="T2058" s="253">
        <v>0.53723404255319152</v>
      </c>
      <c r="U2058" s="253">
        <v>0.53449999999999998</v>
      </c>
      <c r="V2058" s="253"/>
      <c r="W2058" s="253">
        <v>0.55600000000000005</v>
      </c>
      <c r="X2058" s="253"/>
      <c r="Y2058" s="253">
        <v>0.56950000000000001</v>
      </c>
      <c r="Z2058" s="253">
        <v>0.62846153846153852</v>
      </c>
      <c r="AA2058" s="253"/>
      <c r="AB2058" s="253"/>
      <c r="AC2058" s="253"/>
      <c r="AD2058" s="253"/>
      <c r="AE2058" s="253"/>
    </row>
    <row r="2059" spans="1:31">
      <c r="A2059" s="33">
        <v>2058</v>
      </c>
      <c r="B2059" s="69" t="s">
        <v>1055</v>
      </c>
      <c r="C2059" s="69" t="s">
        <v>1055</v>
      </c>
      <c r="D2059" s="56">
        <v>43020</v>
      </c>
      <c r="E2059" s="33" t="s">
        <v>781</v>
      </c>
      <c r="F2059" s="69" t="s">
        <v>532</v>
      </c>
      <c r="G2059" s="69" t="str">
        <f t="shared" si="32"/>
        <v>User Registration</v>
      </c>
      <c r="H2059" s="69" t="s">
        <v>1055</v>
      </c>
      <c r="I2059" s="69" t="s">
        <v>1055</v>
      </c>
      <c r="J2059" s="69" t="s">
        <v>1055</v>
      </c>
      <c r="K2059" s="69" t="s">
        <v>1078</v>
      </c>
      <c r="L2059" s="253">
        <v>0.60477213352685055</v>
      </c>
      <c r="M2059" s="253">
        <v>0.60178415800060037</v>
      </c>
      <c r="N2059" s="253">
        <v>0.56085972850678734</v>
      </c>
      <c r="O2059" s="253">
        <v>0.58427357517848111</v>
      </c>
      <c r="P2059" s="253">
        <v>0.61981132075471701</v>
      </c>
      <c r="Q2059" s="253">
        <v>0.57972972972972969</v>
      </c>
      <c r="R2059" s="253">
        <v>0.63754225492145555</v>
      </c>
      <c r="S2059" s="253">
        <v>0.57836538461538456</v>
      </c>
      <c r="T2059" s="253">
        <v>0.59361702127659577</v>
      </c>
      <c r="U2059" s="253">
        <v>0.6301724137931034</v>
      </c>
      <c r="V2059" s="253"/>
      <c r="W2059" s="253">
        <v>0.57999999999999996</v>
      </c>
      <c r="X2059" s="253">
        <v>0.49705882352941178</v>
      </c>
      <c r="Y2059" s="253">
        <v>0.58656249999999999</v>
      </c>
      <c r="Z2059" s="253">
        <v>0.54461538461538472</v>
      </c>
      <c r="AA2059" s="253"/>
      <c r="AB2059" s="253"/>
      <c r="AC2059" s="253"/>
      <c r="AD2059" s="253"/>
      <c r="AE2059" s="253"/>
    </row>
    <row r="2060" spans="1:31">
      <c r="A2060" s="33">
        <v>2059</v>
      </c>
      <c r="B2060" s="69" t="s">
        <v>1051</v>
      </c>
      <c r="C2060" s="69" t="s">
        <v>791</v>
      </c>
      <c r="D2060" s="56">
        <v>43021</v>
      </c>
      <c r="E2060" s="33" t="s">
        <v>724</v>
      </c>
      <c r="F2060" s="69" t="s">
        <v>380</v>
      </c>
      <c r="G2060" s="69" t="str">
        <f t="shared" si="32"/>
        <v>E-Commerce</v>
      </c>
      <c r="H2060" s="69" t="s">
        <v>749</v>
      </c>
      <c r="I2060" s="69" t="s">
        <v>888</v>
      </c>
      <c r="J2060" s="69" t="s">
        <v>1051</v>
      </c>
      <c r="K2060" s="69" t="s">
        <v>1052</v>
      </c>
      <c r="L2060" s="253">
        <v>0.64830209790209792</v>
      </c>
      <c r="M2060" s="253">
        <v>0.67294693031404174</v>
      </c>
      <c r="N2060" s="253">
        <v>0.67877144059770578</v>
      </c>
      <c r="O2060" s="253">
        <v>0.65776638302904711</v>
      </c>
      <c r="P2060" s="253">
        <v>0.63345454545454538</v>
      </c>
      <c r="Q2060" s="253">
        <v>0.65743243243243243</v>
      </c>
      <c r="R2060" s="253">
        <v>0.6901699553507129</v>
      </c>
      <c r="S2060" s="253">
        <v>0.62367924528301888</v>
      </c>
      <c r="T2060" s="253">
        <v>0.70763358778625951</v>
      </c>
      <c r="U2060" s="253">
        <v>0.6728395061728395</v>
      </c>
      <c r="V2060" s="253">
        <v>0.68325581395348822</v>
      </c>
      <c r="W2060" s="253"/>
      <c r="X2060" s="253">
        <v>0.6638235294117647</v>
      </c>
      <c r="Y2060" s="253">
        <v>0.63974999999999993</v>
      </c>
      <c r="Z2060" s="253">
        <v>0.70769230769230773</v>
      </c>
      <c r="AA2060" s="253"/>
      <c r="AB2060" s="253"/>
      <c r="AC2060" s="253"/>
      <c r="AD2060" s="253"/>
      <c r="AE2060" s="253"/>
    </row>
    <row r="2061" spans="1:31">
      <c r="A2061" s="33">
        <v>2060</v>
      </c>
      <c r="B2061" s="69" t="s">
        <v>1051</v>
      </c>
      <c r="C2061" s="69" t="s">
        <v>791</v>
      </c>
      <c r="D2061" s="56">
        <v>43021</v>
      </c>
      <c r="E2061" s="33" t="s">
        <v>724</v>
      </c>
      <c r="F2061" s="69" t="s">
        <v>380</v>
      </c>
      <c r="G2061" s="69" t="str">
        <f t="shared" si="32"/>
        <v>E-Commerce</v>
      </c>
      <c r="H2061" s="69" t="s">
        <v>749</v>
      </c>
      <c r="I2061" s="69" t="s">
        <v>888</v>
      </c>
      <c r="J2061" s="69" t="s">
        <v>1051</v>
      </c>
      <c r="K2061" s="69" t="s">
        <v>554</v>
      </c>
      <c r="L2061" s="253">
        <v>0.63259580419580419</v>
      </c>
      <c r="M2061" s="253">
        <v>0.68989510669076726</v>
      </c>
      <c r="N2061" s="253">
        <v>0.68376933599915812</v>
      </c>
      <c r="O2061" s="253">
        <v>0.71935695442188974</v>
      </c>
      <c r="P2061" s="253">
        <v>0.63709090909090904</v>
      </c>
      <c r="Q2061" s="253">
        <v>0.68067567567567577</v>
      </c>
      <c r="R2061" s="253">
        <v>0.6633875846176005</v>
      </c>
      <c r="S2061" s="253">
        <v>0.71839622641509437</v>
      </c>
      <c r="T2061" s="253">
        <v>0.69198473282442741</v>
      </c>
      <c r="U2061" s="253">
        <v>0.72983539094650207</v>
      </c>
      <c r="V2061" s="253">
        <v>0.70748837209302329</v>
      </c>
      <c r="W2061" s="253"/>
      <c r="X2061" s="253">
        <v>0.6047058823529412</v>
      </c>
      <c r="Y2061" s="253">
        <v>0.76593749999999994</v>
      </c>
      <c r="Z2061" s="253">
        <v>0.61461538461538467</v>
      </c>
      <c r="AA2061" s="253"/>
      <c r="AB2061" s="253"/>
      <c r="AC2061" s="253"/>
      <c r="AD2061" s="253"/>
      <c r="AE2061" s="253"/>
    </row>
    <row r="2062" spans="1:31">
      <c r="A2062" s="33">
        <v>2061</v>
      </c>
      <c r="B2062" s="69" t="s">
        <v>1051</v>
      </c>
      <c r="C2062" s="69" t="s">
        <v>791</v>
      </c>
      <c r="D2062" s="56">
        <v>43021</v>
      </c>
      <c r="E2062" s="33" t="s">
        <v>724</v>
      </c>
      <c r="F2062" s="69" t="s">
        <v>380</v>
      </c>
      <c r="G2062" s="69" t="str">
        <f t="shared" si="32"/>
        <v>E-Commerce</v>
      </c>
      <c r="H2062" s="69" t="s">
        <v>749</v>
      </c>
      <c r="I2062" s="69" t="s">
        <v>888</v>
      </c>
      <c r="J2062" s="69" t="s">
        <v>1051</v>
      </c>
      <c r="K2062" s="69" t="s">
        <v>1051</v>
      </c>
      <c r="L2062" s="253">
        <v>0.6266797202797203</v>
      </c>
      <c r="M2062" s="253">
        <v>0.63355056528361375</v>
      </c>
      <c r="N2062" s="253">
        <v>0.58351257497632325</v>
      </c>
      <c r="O2062" s="253">
        <v>0.62978365518055612</v>
      </c>
      <c r="P2062" s="253">
        <v>0.63527272727272732</v>
      </c>
      <c r="Q2062" s="253">
        <v>0.64243243243243242</v>
      </c>
      <c r="R2062" s="253">
        <v>0.63981782693558864</v>
      </c>
      <c r="S2062" s="253">
        <v>0.66462264150943395</v>
      </c>
      <c r="T2062" s="253">
        <v>0.63534482758620692</v>
      </c>
      <c r="U2062" s="253">
        <v>0.61074074074074058</v>
      </c>
      <c r="V2062" s="253">
        <v>0.57786046511627909</v>
      </c>
      <c r="W2062" s="253"/>
      <c r="X2062" s="253">
        <v>0.60235294117647054</v>
      </c>
      <c r="Y2062" s="253">
        <v>0.63427083333333334</v>
      </c>
      <c r="Z2062" s="253">
        <v>0.59230769230769231</v>
      </c>
      <c r="AA2062" s="253"/>
      <c r="AB2062" s="253"/>
      <c r="AC2062" s="253"/>
      <c r="AD2062" s="253"/>
      <c r="AE2062" s="253"/>
    </row>
    <row r="2063" spans="1:31">
      <c r="A2063" s="33">
        <v>2062</v>
      </c>
      <c r="B2063" s="69" t="s">
        <v>1051</v>
      </c>
      <c r="C2063" s="69" t="s">
        <v>791</v>
      </c>
      <c r="D2063" s="56">
        <v>43021</v>
      </c>
      <c r="E2063" s="33" t="s">
        <v>724</v>
      </c>
      <c r="F2063" s="69" t="s">
        <v>380</v>
      </c>
      <c r="G2063" s="69" t="str">
        <f t="shared" si="32"/>
        <v>E-Commerce</v>
      </c>
      <c r="H2063" s="69" t="s">
        <v>749</v>
      </c>
      <c r="I2063" s="69" t="s">
        <v>888</v>
      </c>
      <c r="J2063" s="69" t="s">
        <v>1051</v>
      </c>
      <c r="K2063" s="69" t="s">
        <v>1053</v>
      </c>
      <c r="L2063" s="253">
        <v>0.61916643356643353</v>
      </c>
      <c r="M2063" s="253">
        <v>0.6561530653558213</v>
      </c>
      <c r="N2063" s="253">
        <v>0.63541197516573711</v>
      </c>
      <c r="O2063" s="253">
        <v>0.60589807776752314</v>
      </c>
      <c r="P2063" s="253">
        <v>0.61472727272727268</v>
      </c>
      <c r="Q2063" s="253">
        <v>0.72837837837837838</v>
      </c>
      <c r="R2063" s="253">
        <v>0.63720293821114793</v>
      </c>
      <c r="S2063" s="253">
        <v>0.63254716981132075</v>
      </c>
      <c r="T2063" s="253">
        <v>0.65572519083969472</v>
      </c>
      <c r="U2063" s="253">
        <v>0.64415637860082298</v>
      </c>
      <c r="V2063" s="253">
        <v>0.65697674418604646</v>
      </c>
      <c r="W2063" s="253"/>
      <c r="X2063" s="253">
        <v>0.56352941176470595</v>
      </c>
      <c r="Y2063" s="253">
        <v>0.57541666666666669</v>
      </c>
      <c r="Z2063" s="253">
        <v>0.63692307692307693</v>
      </c>
      <c r="AA2063" s="253"/>
      <c r="AB2063" s="253"/>
      <c r="AC2063" s="253"/>
      <c r="AD2063" s="253"/>
      <c r="AE2063" s="253"/>
    </row>
    <row r="2064" spans="1:31">
      <c r="A2064" s="33">
        <v>2063</v>
      </c>
      <c r="B2064" s="69" t="s">
        <v>1051</v>
      </c>
      <c r="C2064" s="69" t="s">
        <v>791</v>
      </c>
      <c r="D2064" s="56">
        <v>43021</v>
      </c>
      <c r="E2064" s="33" t="s">
        <v>724</v>
      </c>
      <c r="F2064" s="69" t="s">
        <v>380</v>
      </c>
      <c r="G2064" s="69" t="str">
        <f t="shared" si="32"/>
        <v>E-Commerce</v>
      </c>
      <c r="H2064" s="69" t="s">
        <v>749</v>
      </c>
      <c r="I2064" s="69" t="s">
        <v>888</v>
      </c>
      <c r="J2064" s="69" t="s">
        <v>1051</v>
      </c>
      <c r="K2064" s="69" t="s">
        <v>1054</v>
      </c>
      <c r="L2064" s="253">
        <v>0.6381510489510489</v>
      </c>
      <c r="M2064" s="253">
        <v>0.62697603102161692</v>
      </c>
      <c r="N2064" s="253">
        <v>0.63252341365884457</v>
      </c>
      <c r="O2064" s="253">
        <v>0.64150068111929293</v>
      </c>
      <c r="P2064" s="253">
        <v>0.64672727272727271</v>
      </c>
      <c r="Q2064" s="253">
        <v>0.5654054054054054</v>
      </c>
      <c r="R2064" s="253">
        <v>0.58596428057035865</v>
      </c>
      <c r="S2064" s="253">
        <v>0.68726415094339632</v>
      </c>
      <c r="T2064" s="253">
        <v>0.60687022900763354</v>
      </c>
      <c r="U2064" s="253">
        <v>0.69032921810699577</v>
      </c>
      <c r="V2064" s="253">
        <v>0.63116279069767445</v>
      </c>
      <c r="W2064" s="253"/>
      <c r="X2064" s="253">
        <v>0.63705882352941179</v>
      </c>
      <c r="Y2064" s="253">
        <v>0.66693749999999996</v>
      </c>
      <c r="Z2064" s="253">
        <v>0.60384615384615381</v>
      </c>
      <c r="AA2064" s="253"/>
      <c r="AB2064" s="253"/>
      <c r="AC2064" s="253"/>
      <c r="AD2064" s="253"/>
      <c r="AE2064" s="253"/>
    </row>
    <row r="2065" spans="1:31">
      <c r="A2065" s="33">
        <v>2064</v>
      </c>
      <c r="B2065" s="69" t="s">
        <v>1055</v>
      </c>
      <c r="C2065" s="69" t="s">
        <v>1055</v>
      </c>
      <c r="D2065" s="56">
        <v>43021</v>
      </c>
      <c r="E2065" s="33" t="s">
        <v>781</v>
      </c>
      <c r="F2065" s="69" t="s">
        <v>532</v>
      </c>
      <c r="G2065" s="69" t="str">
        <f t="shared" si="32"/>
        <v>User Registration</v>
      </c>
      <c r="H2065" s="69" t="s">
        <v>1055</v>
      </c>
      <c r="I2065" s="69" t="s">
        <v>1055</v>
      </c>
      <c r="J2065" s="69" t="s">
        <v>1055</v>
      </c>
      <c r="K2065" s="69" t="s">
        <v>1056</v>
      </c>
      <c r="L2065" s="253">
        <v>0.51873149492017423</v>
      </c>
      <c r="M2065" s="253">
        <v>0.51946483151262746</v>
      </c>
      <c r="N2065" s="253">
        <v>0.38271604938271603</v>
      </c>
      <c r="O2065" s="253">
        <v>0.47664125268116969</v>
      </c>
      <c r="P2065" s="253">
        <v>0.50245283018867926</v>
      </c>
      <c r="Q2065" s="253">
        <v>0.39527027027027029</v>
      </c>
      <c r="R2065" s="253">
        <v>0.5808908331676278</v>
      </c>
      <c r="S2065" s="253">
        <v>0.48701923076923076</v>
      </c>
      <c r="T2065" s="253">
        <v>0.5292553191489362</v>
      </c>
      <c r="U2065" s="253">
        <v>0.55172413793103448</v>
      </c>
      <c r="V2065" s="253"/>
      <c r="W2065" s="253">
        <v>0.38271604938271603</v>
      </c>
      <c r="X2065" s="253"/>
      <c r="Y2065" s="253">
        <v>0.43072916666666666</v>
      </c>
      <c r="Z2065" s="253">
        <v>0.5838461538461539</v>
      </c>
      <c r="AA2065" s="253"/>
      <c r="AB2065" s="253"/>
      <c r="AC2065" s="253"/>
      <c r="AD2065" s="253"/>
      <c r="AE2065" s="253"/>
    </row>
    <row r="2066" spans="1:31">
      <c r="A2066" s="33">
        <v>2065</v>
      </c>
      <c r="B2066" s="69" t="s">
        <v>1044</v>
      </c>
      <c r="C2066" s="69" t="s">
        <v>740</v>
      </c>
      <c r="D2066" s="56">
        <v>43025</v>
      </c>
      <c r="E2066" s="33" t="s">
        <v>1045</v>
      </c>
      <c r="F2066" s="69" t="s">
        <v>532</v>
      </c>
      <c r="G2066" s="69" t="str">
        <f t="shared" si="32"/>
        <v>User Registration</v>
      </c>
      <c r="H2066" s="69" t="s">
        <v>493</v>
      </c>
      <c r="I2066" s="69" t="s">
        <v>1046</v>
      </c>
      <c r="J2066" s="69" t="s">
        <v>1044</v>
      </c>
      <c r="K2066" s="69" t="s">
        <v>1044</v>
      </c>
      <c r="L2066" s="253">
        <v>0.58934107402031943</v>
      </c>
      <c r="M2066" s="253">
        <v>0.60130057334082232</v>
      </c>
      <c r="N2066" s="253">
        <v>0.58797794117647062</v>
      </c>
      <c r="O2066" s="253">
        <v>0.58334997709749148</v>
      </c>
      <c r="P2066" s="253">
        <v>0.59283018867924542</v>
      </c>
      <c r="Q2066" s="253">
        <v>0.58202702702702713</v>
      </c>
      <c r="R2066" s="253">
        <v>0.63981706104593361</v>
      </c>
      <c r="S2066" s="253">
        <v>0.57163461538461535</v>
      </c>
      <c r="T2066" s="253">
        <v>0.63234042553191494</v>
      </c>
      <c r="U2066" s="253">
        <v>0.59367816091954018</v>
      </c>
      <c r="V2066" s="253">
        <v>0</v>
      </c>
      <c r="W2066" s="253">
        <v>0.59531250000000002</v>
      </c>
      <c r="X2066" s="253">
        <v>0.56352941176470583</v>
      </c>
      <c r="Y2066" s="253">
        <v>0.57574999999999998</v>
      </c>
      <c r="Z2066" s="253">
        <v>0.57538461538461538</v>
      </c>
      <c r="AA2066" s="253"/>
      <c r="AB2066" s="253"/>
      <c r="AC2066" s="253"/>
      <c r="AD2066" s="253"/>
      <c r="AE2066" s="253"/>
    </row>
    <row r="2067" spans="1:31">
      <c r="A2067" s="33">
        <v>2066</v>
      </c>
      <c r="B2067" s="69" t="s">
        <v>1044</v>
      </c>
      <c r="C2067" s="69" t="s">
        <v>740</v>
      </c>
      <c r="D2067" s="56">
        <v>43025</v>
      </c>
      <c r="E2067" s="33" t="s">
        <v>1045</v>
      </c>
      <c r="F2067" s="69" t="s">
        <v>532</v>
      </c>
      <c r="G2067" s="69" t="str">
        <f t="shared" si="32"/>
        <v>User Registration</v>
      </c>
      <c r="H2067" s="69" t="s">
        <v>493</v>
      </c>
      <c r="I2067" s="69" t="s">
        <v>1046</v>
      </c>
      <c r="J2067" s="69" t="s">
        <v>1044</v>
      </c>
      <c r="K2067" s="69" t="s">
        <v>1047</v>
      </c>
      <c r="L2067" s="253">
        <v>0.5977184325108853</v>
      </c>
      <c r="M2067" s="253">
        <v>0.56496488580153092</v>
      </c>
      <c r="N2067" s="253">
        <v>0.57540723981900443</v>
      </c>
      <c r="O2067" s="253">
        <v>0.56165549492025779</v>
      </c>
      <c r="P2067" s="253">
        <v>0.61830188679245279</v>
      </c>
      <c r="Q2067" s="253">
        <v>0.56891891891891899</v>
      </c>
      <c r="R2067" s="253">
        <v>0.61663949095247561</v>
      </c>
      <c r="S2067" s="253">
        <v>0.55000000000000004</v>
      </c>
      <c r="T2067" s="253">
        <v>0.56234042553191488</v>
      </c>
      <c r="U2067" s="253">
        <v>0.54350574712643684</v>
      </c>
      <c r="V2067" s="253">
        <v>0</v>
      </c>
      <c r="W2067" s="253">
        <v>0.58249999999999991</v>
      </c>
      <c r="X2067" s="253">
        <v>0.55176470588235293</v>
      </c>
      <c r="Y2067" s="253">
        <v>0.5649791666666667</v>
      </c>
      <c r="Z2067" s="253">
        <v>0.51538461538461533</v>
      </c>
      <c r="AA2067" s="253"/>
      <c r="AB2067" s="253"/>
      <c r="AC2067" s="253"/>
      <c r="AD2067" s="253"/>
      <c r="AE2067" s="253"/>
    </row>
    <row r="2068" spans="1:31">
      <c r="A2068" s="33">
        <v>2067</v>
      </c>
      <c r="B2068" s="69" t="s">
        <v>1044</v>
      </c>
      <c r="C2068" s="69" t="s">
        <v>740</v>
      </c>
      <c r="D2068" s="56">
        <v>43025</v>
      </c>
      <c r="E2068" s="33" t="s">
        <v>1045</v>
      </c>
      <c r="F2068" s="69" t="s">
        <v>532</v>
      </c>
      <c r="G2068" s="69" t="str">
        <f t="shared" si="32"/>
        <v>User Registration</v>
      </c>
      <c r="H2068" s="69" t="s">
        <v>493</v>
      </c>
      <c r="I2068" s="69" t="s">
        <v>1046</v>
      </c>
      <c r="J2068" s="69" t="s">
        <v>1044</v>
      </c>
      <c r="K2068" s="69" t="s">
        <v>1048</v>
      </c>
      <c r="L2068" s="253">
        <v>0.6196371552975326</v>
      </c>
      <c r="M2068" s="253">
        <v>0.57946086612250891</v>
      </c>
      <c r="N2068" s="253">
        <v>0.57203054298642531</v>
      </c>
      <c r="O2068" s="253">
        <v>0.55272478029552441</v>
      </c>
      <c r="P2068" s="253">
        <v>0.62358490566037728</v>
      </c>
      <c r="Q2068" s="253">
        <v>0.55743243243243235</v>
      </c>
      <c r="R2068" s="253">
        <v>0.60414794193676669</v>
      </c>
      <c r="S2068" s="253">
        <v>0.54134615384615381</v>
      </c>
      <c r="T2068" s="253">
        <v>0.60106382978723394</v>
      </c>
      <c r="U2068" s="253">
        <v>0.58017241379310336</v>
      </c>
      <c r="V2068" s="253">
        <v>0</v>
      </c>
      <c r="W2068" s="253">
        <v>0.57687500000000003</v>
      </c>
      <c r="X2068" s="253">
        <v>0.55588235294117649</v>
      </c>
      <c r="Y2068" s="253">
        <v>0.52777083333333341</v>
      </c>
      <c r="Z2068" s="253">
        <v>0.60384615384615381</v>
      </c>
      <c r="AA2068" s="253"/>
      <c r="AB2068" s="253"/>
      <c r="AC2068" s="253"/>
      <c r="AD2068" s="253"/>
      <c r="AE2068" s="253"/>
    </row>
    <row r="2069" spans="1:31">
      <c r="A2069" s="33">
        <v>2068</v>
      </c>
      <c r="B2069" s="69" t="s">
        <v>1044</v>
      </c>
      <c r="C2069" s="69" t="s">
        <v>740</v>
      </c>
      <c r="D2069" s="56">
        <v>43025</v>
      </c>
      <c r="E2069" s="33" t="s">
        <v>1045</v>
      </c>
      <c r="F2069" s="69" t="s">
        <v>532</v>
      </c>
      <c r="G2069" s="69" t="str">
        <f t="shared" si="32"/>
        <v>User Registration</v>
      </c>
      <c r="H2069" s="69" t="s">
        <v>493</v>
      </c>
      <c r="I2069" s="69" t="s">
        <v>1046</v>
      </c>
      <c r="J2069" s="69" t="s">
        <v>1044</v>
      </c>
      <c r="K2069" s="69" t="s">
        <v>1049</v>
      </c>
      <c r="L2069" s="253">
        <v>0.56156168359941949</v>
      </c>
      <c r="M2069" s="253">
        <v>0.58287097143460209</v>
      </c>
      <c r="N2069" s="253">
        <v>0.60840497737556565</v>
      </c>
      <c r="O2069" s="253">
        <v>0.56229139580685172</v>
      </c>
      <c r="P2069" s="253">
        <v>0.56849056603773584</v>
      </c>
      <c r="Q2069" s="253">
        <v>0.57635135135135129</v>
      </c>
      <c r="R2069" s="253">
        <v>0.62579638099025636</v>
      </c>
      <c r="S2069" s="253">
        <v>0.53509615384615383</v>
      </c>
      <c r="T2069" s="253">
        <v>0.62617021276595741</v>
      </c>
      <c r="U2069" s="253">
        <v>0.57701149425287346</v>
      </c>
      <c r="V2069" s="253">
        <v>0</v>
      </c>
      <c r="W2069" s="253">
        <v>0.62874999999999992</v>
      </c>
      <c r="X2069" s="253">
        <v>0.5405882352941177</v>
      </c>
      <c r="Y2069" s="253">
        <v>0.55943749999999992</v>
      </c>
      <c r="Z2069" s="253">
        <v>0.53384615384615386</v>
      </c>
      <c r="AA2069" s="253"/>
      <c r="AB2069" s="253"/>
      <c r="AC2069" s="253"/>
      <c r="AD2069" s="253"/>
      <c r="AE2069" s="253"/>
    </row>
    <row r="2070" spans="1:31">
      <c r="A2070" s="33">
        <v>2069</v>
      </c>
      <c r="B2070" s="69" t="s">
        <v>1044</v>
      </c>
      <c r="C2070" s="69" t="s">
        <v>740</v>
      </c>
      <c r="D2070" s="56">
        <v>43025</v>
      </c>
      <c r="E2070" s="33" t="s">
        <v>1045</v>
      </c>
      <c r="F2070" s="69" t="s">
        <v>532</v>
      </c>
      <c r="G2070" s="69" t="str">
        <f t="shared" si="32"/>
        <v>User Registration</v>
      </c>
      <c r="H2070" s="69" t="s">
        <v>493</v>
      </c>
      <c r="I2070" s="69" t="s">
        <v>1046</v>
      </c>
      <c r="J2070" s="69" t="s">
        <v>1044</v>
      </c>
      <c r="K2070" s="69" t="s">
        <v>1050</v>
      </c>
      <c r="L2070" s="253">
        <v>0.63917851959361405</v>
      </c>
      <c r="M2070" s="253">
        <v>0.66635817899101801</v>
      </c>
      <c r="N2070" s="253">
        <v>0.69572680995475111</v>
      </c>
      <c r="O2070" s="253">
        <v>0.59782102662532932</v>
      </c>
      <c r="P2070" s="253">
        <v>0.63839622641509441</v>
      </c>
      <c r="Q2070" s="253">
        <v>0.62635135135135134</v>
      </c>
      <c r="R2070" s="253">
        <v>0.69976138397295673</v>
      </c>
      <c r="S2070" s="253">
        <v>0.65432692307692308</v>
      </c>
      <c r="T2070" s="253">
        <v>0.68457446808510636</v>
      </c>
      <c r="U2070" s="253">
        <v>0.6732758620689655</v>
      </c>
      <c r="V2070" s="253">
        <v>0</v>
      </c>
      <c r="W2070" s="253">
        <v>0.69656249999999997</v>
      </c>
      <c r="X2070" s="253">
        <v>0.69294117647058828</v>
      </c>
      <c r="Y2070" s="253">
        <v>0.55558333333333332</v>
      </c>
      <c r="Z2070" s="253">
        <v>0.64230769230769236</v>
      </c>
      <c r="AA2070" s="253"/>
      <c r="AB2070" s="253"/>
      <c r="AC2070" s="253"/>
      <c r="AD2070" s="253"/>
      <c r="AE2070" s="253"/>
    </row>
    <row r="2071" spans="1:31">
      <c r="A2071" s="33">
        <v>2070</v>
      </c>
      <c r="B2071" s="69" t="s">
        <v>1042</v>
      </c>
      <c r="C2071" s="69" t="s">
        <v>823</v>
      </c>
      <c r="D2071" s="56">
        <v>43027</v>
      </c>
      <c r="E2071" s="33" t="s">
        <v>896</v>
      </c>
      <c r="F2071" s="69" t="s">
        <v>532</v>
      </c>
      <c r="G2071" s="69" t="str">
        <f t="shared" si="32"/>
        <v>User Registration</v>
      </c>
      <c r="H2071" s="69" t="s">
        <v>749</v>
      </c>
      <c r="I2071" s="69" t="s">
        <v>1043</v>
      </c>
      <c r="J2071" s="69" t="s">
        <v>1042</v>
      </c>
      <c r="K2071" s="69" t="s">
        <v>815</v>
      </c>
      <c r="L2071" s="253">
        <v>0.64034833091436871</v>
      </c>
      <c r="M2071" s="253">
        <v>0.68620001492798943</v>
      </c>
      <c r="N2071" s="253">
        <v>0.68061651583710414</v>
      </c>
      <c r="O2071" s="253">
        <v>0.70230971873062464</v>
      </c>
      <c r="P2071" s="253">
        <v>0.64735849056603767</v>
      </c>
      <c r="Q2071" s="253">
        <v>0.63432432432432428</v>
      </c>
      <c r="R2071" s="253">
        <v>0.68128454961224894</v>
      </c>
      <c r="S2071" s="253">
        <v>0.76586538461538467</v>
      </c>
      <c r="T2071" s="253">
        <v>0.67095744680851066</v>
      </c>
      <c r="U2071" s="253">
        <v>0.70758620689655172</v>
      </c>
      <c r="V2071" s="253">
        <v>0</v>
      </c>
      <c r="W2071" s="253">
        <v>0.69562499999999994</v>
      </c>
      <c r="X2071" s="253">
        <v>0.63058823529411778</v>
      </c>
      <c r="Y2071" s="253">
        <v>0.73395833333333338</v>
      </c>
      <c r="Z2071" s="253">
        <v>0.61230769230769222</v>
      </c>
      <c r="AA2071" s="253"/>
      <c r="AB2071" s="253"/>
      <c r="AC2071" s="253"/>
      <c r="AD2071" s="253"/>
      <c r="AE2071" s="253"/>
    </row>
    <row r="2072" spans="1:31">
      <c r="A2072" s="33">
        <v>2071</v>
      </c>
      <c r="B2072" s="69" t="s">
        <v>1037</v>
      </c>
      <c r="C2072" s="69" t="s">
        <v>1038</v>
      </c>
      <c r="D2072" s="56">
        <v>43033</v>
      </c>
      <c r="E2072" s="33" t="s">
        <v>724</v>
      </c>
      <c r="F2072" s="69" t="s">
        <v>755</v>
      </c>
      <c r="G2072" s="69" t="str">
        <f t="shared" si="32"/>
        <v>User Registration</v>
      </c>
      <c r="H2072" s="69" t="s">
        <v>512</v>
      </c>
      <c r="I2072" s="69" t="s">
        <v>1039</v>
      </c>
      <c r="J2072" s="69" t="s">
        <v>1037</v>
      </c>
      <c r="K2072" s="69" t="s">
        <v>1037</v>
      </c>
      <c r="L2072" s="253">
        <v>0.59709470246734397</v>
      </c>
      <c r="M2072" s="253">
        <v>0.57671284729385597</v>
      </c>
      <c r="N2072" s="253">
        <v>0.56750000000000012</v>
      </c>
      <c r="O2072" s="253">
        <v>0.54338139096428528</v>
      </c>
      <c r="P2072" s="253">
        <v>0.60509433962264147</v>
      </c>
      <c r="Q2072" s="253">
        <v>0.57655405405405402</v>
      </c>
      <c r="R2072" s="253">
        <v>0.6081010141181149</v>
      </c>
      <c r="S2072" s="253">
        <v>0.50673076923076921</v>
      </c>
      <c r="T2072" s="253">
        <v>0.60744680851063826</v>
      </c>
      <c r="U2072" s="253">
        <v>0.58764367816091956</v>
      </c>
      <c r="V2072" s="253"/>
      <c r="W2072" s="253">
        <v>0.56750000000000012</v>
      </c>
      <c r="X2072" s="253"/>
      <c r="Y2072" s="253">
        <v>0.52427083333333335</v>
      </c>
      <c r="Z2072" s="253">
        <v>0.56509615384615386</v>
      </c>
      <c r="AA2072" s="253"/>
      <c r="AB2072" s="253"/>
      <c r="AC2072" s="253"/>
      <c r="AD2072" s="253"/>
      <c r="AE2072" s="253"/>
    </row>
    <row r="2073" spans="1:31">
      <c r="A2073" s="33">
        <v>2072</v>
      </c>
      <c r="B2073" s="69" t="s">
        <v>1037</v>
      </c>
      <c r="C2073" s="69" t="s">
        <v>1038</v>
      </c>
      <c r="D2073" s="56">
        <v>43033</v>
      </c>
      <c r="E2073" s="33" t="s">
        <v>724</v>
      </c>
      <c r="F2073" s="69" t="s">
        <v>755</v>
      </c>
      <c r="G2073" s="69" t="str">
        <f t="shared" si="32"/>
        <v>User Registration</v>
      </c>
      <c r="H2073" s="69" t="s">
        <v>512</v>
      </c>
      <c r="I2073" s="69" t="s">
        <v>1039</v>
      </c>
      <c r="J2073" s="69" t="s">
        <v>1037</v>
      </c>
      <c r="K2073" s="69" t="s">
        <v>1040</v>
      </c>
      <c r="L2073" s="253">
        <v>0.64058925979680703</v>
      </c>
      <c r="M2073" s="253">
        <v>0.59531691897992689</v>
      </c>
      <c r="N2073" s="253">
        <v>0.54937500000000006</v>
      </c>
      <c r="O2073" s="253">
        <v>0.57592810817250983</v>
      </c>
      <c r="P2073" s="253">
        <v>0.64169811320754722</v>
      </c>
      <c r="Q2073" s="253">
        <v>0.60371621621621629</v>
      </c>
      <c r="R2073" s="253">
        <v>0.62659972161463517</v>
      </c>
      <c r="S2073" s="253">
        <v>0.52644230769230771</v>
      </c>
      <c r="T2073" s="253">
        <v>0.57393617021276599</v>
      </c>
      <c r="U2073" s="253">
        <v>0.60890804597701154</v>
      </c>
      <c r="V2073" s="253"/>
      <c r="W2073" s="253">
        <v>0.54937500000000006</v>
      </c>
      <c r="X2073" s="253"/>
      <c r="Y2073" s="253">
        <v>0.54989583333333336</v>
      </c>
      <c r="Z2073" s="253">
        <v>0.63615384615384618</v>
      </c>
      <c r="AA2073" s="253"/>
      <c r="AB2073" s="253"/>
      <c r="AC2073" s="253"/>
      <c r="AD2073" s="253"/>
      <c r="AE2073" s="253"/>
    </row>
    <row r="2074" spans="1:31">
      <c r="A2074" s="33">
        <v>2073</v>
      </c>
      <c r="B2074" s="69" t="s">
        <v>1037</v>
      </c>
      <c r="C2074" s="69" t="s">
        <v>1038</v>
      </c>
      <c r="D2074" s="56">
        <v>43033</v>
      </c>
      <c r="E2074" s="33" t="s">
        <v>724</v>
      </c>
      <c r="F2074" s="69" t="s">
        <v>755</v>
      </c>
      <c r="G2074" s="69" t="str">
        <f t="shared" si="32"/>
        <v>User Registration</v>
      </c>
      <c r="H2074" s="69" t="s">
        <v>512</v>
      </c>
      <c r="I2074" s="69" t="s">
        <v>1039</v>
      </c>
      <c r="J2074" s="69" t="s">
        <v>1037</v>
      </c>
      <c r="K2074" s="69" t="s">
        <v>699</v>
      </c>
      <c r="L2074" s="253">
        <v>0.67023222060957921</v>
      </c>
      <c r="M2074" s="253">
        <v>0.63551274463968987</v>
      </c>
      <c r="N2074" s="253">
        <v>0.6875</v>
      </c>
      <c r="O2074" s="253">
        <v>0.6429430051897681</v>
      </c>
      <c r="P2074" s="253">
        <v>0.66990566037735855</v>
      </c>
      <c r="Q2074" s="253">
        <v>0.67668918918918919</v>
      </c>
      <c r="R2074" s="253">
        <v>0.65077351362099822</v>
      </c>
      <c r="S2074" s="253">
        <v>0.56634615384615372</v>
      </c>
      <c r="T2074" s="253">
        <v>0.64521276595744681</v>
      </c>
      <c r="U2074" s="253">
        <v>0.62241379310344835</v>
      </c>
      <c r="V2074" s="253"/>
      <c r="W2074" s="253">
        <v>0.6875</v>
      </c>
      <c r="X2074" s="253"/>
      <c r="Y2074" s="253">
        <v>0.63708333333333333</v>
      </c>
      <c r="Z2074" s="253">
        <v>0.67153846153846153</v>
      </c>
      <c r="AA2074" s="253"/>
      <c r="AB2074" s="253"/>
      <c r="AC2074" s="253"/>
      <c r="AD2074" s="253"/>
      <c r="AE2074" s="253"/>
    </row>
    <row r="2075" spans="1:31">
      <c r="A2075" s="33">
        <v>2074</v>
      </c>
      <c r="B2075" s="69" t="s">
        <v>1037</v>
      </c>
      <c r="C2075" s="69" t="s">
        <v>1038</v>
      </c>
      <c r="D2075" s="56">
        <v>43033</v>
      </c>
      <c r="E2075" s="33" t="s">
        <v>724</v>
      </c>
      <c r="F2075" s="69" t="s">
        <v>755</v>
      </c>
      <c r="G2075" s="69" t="str">
        <f t="shared" si="32"/>
        <v>User Registration</v>
      </c>
      <c r="H2075" s="69" t="s">
        <v>512</v>
      </c>
      <c r="I2075" s="69" t="s">
        <v>1039</v>
      </c>
      <c r="J2075" s="69" t="s">
        <v>1037</v>
      </c>
      <c r="K2075" s="69" t="s">
        <v>698</v>
      </c>
      <c r="L2075" s="253">
        <v>0.62014804063860673</v>
      </c>
      <c r="M2075" s="253">
        <v>0.62720875530107767</v>
      </c>
      <c r="N2075" s="253">
        <v>0.59843750000000007</v>
      </c>
      <c r="O2075" s="253">
        <v>0.63974741360185938</v>
      </c>
      <c r="P2075" s="253">
        <v>0.63037735849056609</v>
      </c>
      <c r="Q2075" s="253">
        <v>0.58641891891891895</v>
      </c>
      <c r="R2075" s="253">
        <v>0.61133426128454971</v>
      </c>
      <c r="S2075" s="253">
        <v>0.65913461538461537</v>
      </c>
      <c r="T2075" s="253">
        <v>0.6202127659574469</v>
      </c>
      <c r="U2075" s="253">
        <v>0.67356321839080469</v>
      </c>
      <c r="V2075" s="253"/>
      <c r="W2075" s="253">
        <v>0.59843750000000007</v>
      </c>
      <c r="X2075" s="253"/>
      <c r="Y2075" s="253">
        <v>0.6669791666666669</v>
      </c>
      <c r="Z2075" s="253">
        <v>0.57923076923076922</v>
      </c>
      <c r="AA2075" s="253"/>
      <c r="AB2075" s="253"/>
      <c r="AC2075" s="253"/>
      <c r="AD2075" s="253"/>
      <c r="AE2075" s="253"/>
    </row>
    <row r="2076" spans="1:31">
      <c r="A2076" s="33">
        <v>2075</v>
      </c>
      <c r="B2076" s="69" t="s">
        <v>1037</v>
      </c>
      <c r="C2076" s="69" t="s">
        <v>1038</v>
      </c>
      <c r="D2076" s="56">
        <v>43033</v>
      </c>
      <c r="E2076" s="33" t="s">
        <v>724</v>
      </c>
      <c r="F2076" s="69" t="s">
        <v>755</v>
      </c>
      <c r="G2076" s="69" t="str">
        <f t="shared" si="32"/>
        <v>User Registration</v>
      </c>
      <c r="H2076" s="69" t="s">
        <v>512</v>
      </c>
      <c r="I2076" s="69" t="s">
        <v>1039</v>
      </c>
      <c r="J2076" s="69" t="s">
        <v>1037</v>
      </c>
      <c r="K2076" s="69" t="s">
        <v>1041</v>
      </c>
      <c r="L2076" s="253">
        <v>0.61338461538461531</v>
      </c>
      <c r="M2076" s="253">
        <v>0.62163466610520934</v>
      </c>
      <c r="N2076" s="253">
        <v>0.64218750000000002</v>
      </c>
      <c r="O2076" s="253">
        <v>0.64515410874763401</v>
      </c>
      <c r="P2076" s="253">
        <v>0.61499999999999988</v>
      </c>
      <c r="Q2076" s="253">
        <v>0.61128378378378379</v>
      </c>
      <c r="R2076" s="253">
        <v>0.65824816066812497</v>
      </c>
      <c r="S2076" s="253">
        <v>0.57740384615384621</v>
      </c>
      <c r="T2076" s="253">
        <v>0.68404255319148943</v>
      </c>
      <c r="U2076" s="253">
        <v>0.59712643678160926</v>
      </c>
      <c r="V2076" s="253"/>
      <c r="W2076" s="253">
        <v>0.64218750000000002</v>
      </c>
      <c r="X2076" s="253"/>
      <c r="Y2076" s="253">
        <v>0.66416666666666668</v>
      </c>
      <c r="Z2076" s="253">
        <v>0.60692307692307701</v>
      </c>
      <c r="AA2076" s="253"/>
      <c r="AB2076" s="253"/>
      <c r="AC2076" s="253"/>
      <c r="AD2076" s="253"/>
      <c r="AE2076" s="253"/>
    </row>
    <row r="2077" spans="1:31">
      <c r="A2077" s="33">
        <v>2076</v>
      </c>
      <c r="B2077" s="69" t="s">
        <v>1031</v>
      </c>
      <c r="C2077" s="69" t="s">
        <v>723</v>
      </c>
      <c r="D2077" s="56">
        <v>43035</v>
      </c>
      <c r="E2077" s="33" t="s">
        <v>724</v>
      </c>
      <c r="F2077" s="69" t="s">
        <v>725</v>
      </c>
      <c r="G2077" s="69" t="str">
        <f t="shared" si="32"/>
        <v>E-Commerce</v>
      </c>
      <c r="H2077" s="69" t="s">
        <v>364</v>
      </c>
      <c r="I2077" s="69" t="s">
        <v>1032</v>
      </c>
      <c r="J2077" s="69" t="s">
        <v>1031</v>
      </c>
      <c r="K2077" s="69" t="s">
        <v>1031</v>
      </c>
      <c r="L2077" s="253">
        <v>0.61322496371552981</v>
      </c>
      <c r="M2077" s="253">
        <v>0.5982650477998005</v>
      </c>
      <c r="N2077" s="253">
        <v>0.60371207087486156</v>
      </c>
      <c r="O2077" s="253">
        <v>0.63509353908344046</v>
      </c>
      <c r="P2077" s="253">
        <v>0.62037735849056608</v>
      </c>
      <c r="Q2077" s="253">
        <v>0.59932432432432425</v>
      </c>
      <c r="R2077" s="253">
        <v>0.59823500035670973</v>
      </c>
      <c r="S2077" s="253">
        <v>0.59528301886792445</v>
      </c>
      <c r="T2077" s="253">
        <v>0.62251908396946576</v>
      </c>
      <c r="U2077" s="253">
        <v>0.59074074074074079</v>
      </c>
      <c r="V2077" s="253">
        <v>0.59413953488372095</v>
      </c>
      <c r="W2077" s="253"/>
      <c r="X2077" s="253">
        <v>0.62285714285714289</v>
      </c>
      <c r="Y2077" s="253">
        <v>0.66516666666666668</v>
      </c>
      <c r="Z2077" s="253">
        <v>0.58461538461538465</v>
      </c>
      <c r="AA2077" s="253"/>
      <c r="AB2077" s="253"/>
      <c r="AC2077" s="253"/>
      <c r="AD2077" s="253"/>
      <c r="AE2077" s="253"/>
    </row>
    <row r="2078" spans="1:31">
      <c r="A2078" s="33">
        <v>2077</v>
      </c>
      <c r="B2078" s="69" t="s">
        <v>1031</v>
      </c>
      <c r="C2078" s="69" t="s">
        <v>723</v>
      </c>
      <c r="D2078" s="56">
        <v>43035</v>
      </c>
      <c r="E2078" s="33" t="s">
        <v>724</v>
      </c>
      <c r="F2078" s="69" t="s">
        <v>725</v>
      </c>
      <c r="G2078" s="69" t="str">
        <f t="shared" si="32"/>
        <v>E-Commerce</v>
      </c>
      <c r="H2078" s="69" t="s">
        <v>364</v>
      </c>
      <c r="I2078" s="69" t="s">
        <v>1032</v>
      </c>
      <c r="J2078" s="69" t="s">
        <v>1031</v>
      </c>
      <c r="K2078" s="69" t="s">
        <v>1033</v>
      </c>
      <c r="L2078" s="253">
        <v>0.61672218287373004</v>
      </c>
      <c r="M2078" s="253">
        <v>0.61360728632285599</v>
      </c>
      <c r="N2078" s="253">
        <v>0.57803433001107429</v>
      </c>
      <c r="O2078" s="253">
        <v>0.64262471243592545</v>
      </c>
      <c r="P2078" s="253">
        <v>0.61301811320754718</v>
      </c>
      <c r="Q2078" s="253">
        <v>0.59162162162162168</v>
      </c>
      <c r="R2078" s="253">
        <v>0.6500838481843475</v>
      </c>
      <c r="S2078" s="253">
        <v>0.60613207547169812</v>
      </c>
      <c r="T2078" s="253">
        <v>0.63587786259541978</v>
      </c>
      <c r="U2078" s="253">
        <v>0.58016460905349787</v>
      </c>
      <c r="V2078" s="253">
        <v>0.58883720930232553</v>
      </c>
      <c r="W2078" s="253"/>
      <c r="X2078" s="253">
        <v>0.55642857142857149</v>
      </c>
      <c r="Y2078" s="253">
        <v>0.65320833333333339</v>
      </c>
      <c r="Z2078" s="253">
        <v>0.63153846153846149</v>
      </c>
      <c r="AA2078" s="253"/>
      <c r="AB2078" s="253"/>
      <c r="AC2078" s="253"/>
      <c r="AD2078" s="253"/>
      <c r="AE2078" s="253"/>
    </row>
    <row r="2079" spans="1:31">
      <c r="A2079" s="33">
        <v>2078</v>
      </c>
      <c r="B2079" s="69" t="s">
        <v>1031</v>
      </c>
      <c r="C2079" s="69" t="s">
        <v>723</v>
      </c>
      <c r="D2079" s="56">
        <v>43035</v>
      </c>
      <c r="E2079" s="33" t="s">
        <v>724</v>
      </c>
      <c r="F2079" s="69" t="s">
        <v>725</v>
      </c>
      <c r="G2079" s="69" t="str">
        <f t="shared" si="32"/>
        <v>E-Commerce</v>
      </c>
      <c r="H2079" s="69" t="s">
        <v>364</v>
      </c>
      <c r="I2079" s="69" t="s">
        <v>1032</v>
      </c>
      <c r="J2079" s="69" t="s">
        <v>1031</v>
      </c>
      <c r="K2079" s="69" t="s">
        <v>389</v>
      </c>
      <c r="L2079" s="253">
        <v>0.70200580551523961</v>
      </c>
      <c r="M2079" s="253">
        <v>0.71764639871973945</v>
      </c>
      <c r="N2079" s="253">
        <v>0.69720018239854087</v>
      </c>
      <c r="O2079" s="253">
        <v>0.73759247302831155</v>
      </c>
      <c r="P2079" s="253">
        <v>0.74962264150943403</v>
      </c>
      <c r="Q2079" s="253">
        <v>0.70337837837837835</v>
      </c>
      <c r="R2079" s="253">
        <v>0.69625454804879783</v>
      </c>
      <c r="S2079" s="253">
        <v>0.78773584905660377</v>
      </c>
      <c r="T2079" s="253">
        <v>0.61832061068702293</v>
      </c>
      <c r="U2079" s="253">
        <v>0.8364197530864198</v>
      </c>
      <c r="V2079" s="253">
        <v>0.6969767441860466</v>
      </c>
      <c r="W2079" s="253"/>
      <c r="X2079" s="253">
        <v>0.6976470588235294</v>
      </c>
      <c r="Y2079" s="253">
        <v>0.81208333333333338</v>
      </c>
      <c r="Z2079" s="253">
        <v>0.5115384615384615</v>
      </c>
      <c r="AA2079" s="253"/>
      <c r="AB2079" s="253"/>
      <c r="AC2079" s="253"/>
      <c r="AD2079" s="253"/>
      <c r="AE2079" s="253"/>
    </row>
    <row r="2080" spans="1:31">
      <c r="A2080" s="33">
        <v>2079</v>
      </c>
      <c r="B2080" s="69" t="s">
        <v>1031</v>
      </c>
      <c r="C2080" s="69" t="s">
        <v>723</v>
      </c>
      <c r="D2080" s="56">
        <v>43035</v>
      </c>
      <c r="E2080" s="33" t="s">
        <v>724</v>
      </c>
      <c r="F2080" s="69" t="s">
        <v>725</v>
      </c>
      <c r="G2080" s="69" t="str">
        <f t="shared" si="32"/>
        <v>E-Commerce</v>
      </c>
      <c r="H2080" s="69" t="s">
        <v>364</v>
      </c>
      <c r="I2080" s="69" t="s">
        <v>1032</v>
      </c>
      <c r="J2080" s="69" t="s">
        <v>1031</v>
      </c>
      <c r="K2080" s="69" t="s">
        <v>1034</v>
      </c>
      <c r="L2080" s="253">
        <v>0.65298984034833096</v>
      </c>
      <c r="M2080" s="253">
        <v>0.63622579937569879</v>
      </c>
      <c r="N2080" s="253">
        <v>0.6452941176470588</v>
      </c>
      <c r="O2080" s="253">
        <v>0.61403997232319474</v>
      </c>
      <c r="P2080" s="253">
        <v>0.65566037735849059</v>
      </c>
      <c r="Q2080" s="253">
        <v>0.60810810810810811</v>
      </c>
      <c r="R2080" s="253">
        <v>0.61164728543910973</v>
      </c>
      <c r="S2080" s="253">
        <v>0.63160377358490571</v>
      </c>
      <c r="T2080" s="253">
        <v>0.62977099236641221</v>
      </c>
      <c r="U2080" s="253">
        <v>0.68843621399176935</v>
      </c>
      <c r="V2080" s="253">
        <v>0.66</v>
      </c>
      <c r="W2080" s="253"/>
      <c r="X2080" s="253">
        <v>0.61588235294117644</v>
      </c>
      <c r="Y2080" s="253">
        <v>0.60487499999999994</v>
      </c>
      <c r="Z2080" s="253">
        <v>0.64230769230769236</v>
      </c>
      <c r="AA2080" s="253"/>
      <c r="AB2080" s="253"/>
      <c r="AC2080" s="253"/>
      <c r="AD2080" s="253"/>
      <c r="AE2080" s="253"/>
    </row>
    <row r="2081" spans="1:31">
      <c r="A2081" s="33">
        <v>2080</v>
      </c>
      <c r="B2081" s="69" t="s">
        <v>1031</v>
      </c>
      <c r="C2081" s="69" t="s">
        <v>723</v>
      </c>
      <c r="D2081" s="56">
        <v>43035</v>
      </c>
      <c r="E2081" s="33" t="s">
        <v>724</v>
      </c>
      <c r="F2081" s="69" t="s">
        <v>725</v>
      </c>
      <c r="G2081" s="69" t="str">
        <f t="shared" si="32"/>
        <v>E-Commerce</v>
      </c>
      <c r="H2081" s="69" t="s">
        <v>364</v>
      </c>
      <c r="I2081" s="69" t="s">
        <v>1032</v>
      </c>
      <c r="J2081" s="69" t="s">
        <v>1031</v>
      </c>
      <c r="K2081" s="69" t="s">
        <v>1035</v>
      </c>
      <c r="L2081" s="253">
        <v>0.62202322206095806</v>
      </c>
      <c r="M2081" s="253">
        <v>0.63043460683306574</v>
      </c>
      <c r="N2081" s="253">
        <v>0.64863657090743265</v>
      </c>
      <c r="O2081" s="253">
        <v>0.63164500713435634</v>
      </c>
      <c r="P2081" s="253">
        <v>0.6284905660377359</v>
      </c>
      <c r="Q2081" s="253">
        <v>0.58716216216216222</v>
      </c>
      <c r="R2081" s="253">
        <v>0.63377684240565024</v>
      </c>
      <c r="S2081" s="253">
        <v>0.64103773584905654</v>
      </c>
      <c r="T2081" s="253">
        <v>0.6610687022900763</v>
      </c>
      <c r="U2081" s="253">
        <v>0.64855967078189303</v>
      </c>
      <c r="V2081" s="253">
        <v>0.6688372093023256</v>
      </c>
      <c r="W2081" s="253"/>
      <c r="X2081" s="253">
        <v>0.6082352941176471</v>
      </c>
      <c r="Y2081" s="253">
        <v>0.64537499999999992</v>
      </c>
      <c r="Z2081" s="253">
        <v>0.59615384615384615</v>
      </c>
      <c r="AA2081" s="253"/>
      <c r="AB2081" s="253"/>
      <c r="AC2081" s="253"/>
      <c r="AD2081" s="253"/>
      <c r="AE2081" s="253"/>
    </row>
    <row r="2082" spans="1:31">
      <c r="A2082" s="33">
        <v>2081</v>
      </c>
      <c r="B2082" s="69" t="s">
        <v>1031</v>
      </c>
      <c r="C2082" s="69" t="s">
        <v>723</v>
      </c>
      <c r="D2082" s="56">
        <v>43035</v>
      </c>
      <c r="E2082" s="33" t="s">
        <v>724</v>
      </c>
      <c r="F2082" s="69" t="s">
        <v>725</v>
      </c>
      <c r="G2082" s="69" t="str">
        <f t="shared" si="32"/>
        <v>E-Commerce</v>
      </c>
      <c r="H2082" s="69" t="s">
        <v>364</v>
      </c>
      <c r="I2082" s="69" t="s">
        <v>1032</v>
      </c>
      <c r="J2082" s="69" t="s">
        <v>1031</v>
      </c>
      <c r="K2082" s="69" t="s">
        <v>1036</v>
      </c>
      <c r="L2082" s="253">
        <v>0.61785486211901297</v>
      </c>
      <c r="M2082" s="253">
        <v>0.63901319432369041</v>
      </c>
      <c r="N2082" s="253">
        <v>0.57777473780209765</v>
      </c>
      <c r="O2082" s="253">
        <v>0.66309111705294144</v>
      </c>
      <c r="P2082" s="253">
        <v>0.60943396226415092</v>
      </c>
      <c r="Q2082" s="253">
        <v>0.58108108108108103</v>
      </c>
      <c r="R2082" s="253">
        <v>0.6261896268816437</v>
      </c>
      <c r="S2082" s="253">
        <v>0.67405660377358489</v>
      </c>
      <c r="T2082" s="253">
        <v>0.69503816793893125</v>
      </c>
      <c r="U2082" s="253">
        <v>0.63152263374485595</v>
      </c>
      <c r="V2082" s="253">
        <v>0.60372093023255824</v>
      </c>
      <c r="W2082" s="253"/>
      <c r="X2082" s="253">
        <v>0.52588235294117647</v>
      </c>
      <c r="Y2082" s="253">
        <v>0.68104166666666666</v>
      </c>
      <c r="Z2082" s="253">
        <v>0.6515384615384614</v>
      </c>
      <c r="AA2082" s="253"/>
      <c r="AB2082" s="253"/>
      <c r="AC2082" s="253"/>
      <c r="AD2082" s="253"/>
      <c r="AE2082" s="253"/>
    </row>
    <row r="2083" spans="1:31">
      <c r="A2083" s="33">
        <v>2082</v>
      </c>
      <c r="B2083" s="69" t="s">
        <v>1031</v>
      </c>
      <c r="C2083" s="69" t="s">
        <v>723</v>
      </c>
      <c r="D2083" s="56">
        <v>43035</v>
      </c>
      <c r="E2083" s="33" t="s">
        <v>724</v>
      </c>
      <c r="F2083" s="69" t="s">
        <v>725</v>
      </c>
      <c r="G2083" s="69" t="str">
        <f t="shared" si="32"/>
        <v>E-Commerce</v>
      </c>
      <c r="H2083" s="69" t="s">
        <v>364</v>
      </c>
      <c r="I2083" s="69" t="s">
        <v>1032</v>
      </c>
      <c r="J2083" s="69" t="s">
        <v>1031</v>
      </c>
      <c r="K2083" s="69" t="s">
        <v>942</v>
      </c>
      <c r="L2083" s="253">
        <v>0.5993207547169811</v>
      </c>
      <c r="M2083" s="253">
        <v>0.6166235275723092</v>
      </c>
      <c r="N2083" s="253">
        <v>0.64734610123119019</v>
      </c>
      <c r="O2083" s="253">
        <v>0.62423809888545856</v>
      </c>
      <c r="P2083" s="253">
        <v>0.59415094339622643</v>
      </c>
      <c r="Q2083" s="253">
        <v>0.60567567567567571</v>
      </c>
      <c r="R2083" s="253">
        <v>0.6304580152671756</v>
      </c>
      <c r="S2083" s="253">
        <v>0.57462264150943398</v>
      </c>
      <c r="T2083" s="253">
        <v>0.65381679389312986</v>
      </c>
      <c r="U2083" s="253">
        <v>0.62148148148148163</v>
      </c>
      <c r="V2083" s="253">
        <v>0.63837209302325582</v>
      </c>
      <c r="W2083" s="253"/>
      <c r="X2083" s="253">
        <v>0.66529411764705892</v>
      </c>
      <c r="Y2083" s="253">
        <v>0.63108333333333333</v>
      </c>
      <c r="Z2083" s="253">
        <v>0.62</v>
      </c>
      <c r="AA2083" s="253"/>
      <c r="AB2083" s="253"/>
      <c r="AC2083" s="253"/>
      <c r="AD2083" s="253"/>
      <c r="AE2083" s="253"/>
    </row>
    <row r="2084" spans="1:31">
      <c r="A2084" s="33">
        <v>2083</v>
      </c>
      <c r="B2084" s="69" t="s">
        <v>1025</v>
      </c>
      <c r="C2084" s="69" t="s">
        <v>791</v>
      </c>
      <c r="D2084" s="56">
        <v>43042</v>
      </c>
      <c r="E2084" s="33" t="s">
        <v>781</v>
      </c>
      <c r="F2084" s="69" t="s">
        <v>380</v>
      </c>
      <c r="G2084" s="69" t="str">
        <f t="shared" si="32"/>
        <v>User Registration</v>
      </c>
      <c r="H2084" s="69" t="s">
        <v>508</v>
      </c>
      <c r="I2084" s="69" t="s">
        <v>922</v>
      </c>
      <c r="J2084" s="69" t="s">
        <v>1025</v>
      </c>
      <c r="K2084" s="69" t="s">
        <v>1026</v>
      </c>
      <c r="L2084" s="253">
        <v>0.65970682148040649</v>
      </c>
      <c r="M2084" s="253">
        <v>0.64125859298558097</v>
      </c>
      <c r="N2084" s="253">
        <v>0.64638574660633485</v>
      </c>
      <c r="O2084" s="253">
        <v>0.60649341820579517</v>
      </c>
      <c r="P2084" s="253">
        <v>0.67905660377358501</v>
      </c>
      <c r="Q2084" s="253">
        <v>0.6493243243243243</v>
      </c>
      <c r="R2084" s="253">
        <v>0.68391330284350771</v>
      </c>
      <c r="S2084" s="253">
        <v>0.59423076923076923</v>
      </c>
      <c r="T2084" s="253">
        <v>0.65297872340425533</v>
      </c>
      <c r="U2084" s="253">
        <v>0.64632183908045981</v>
      </c>
      <c r="V2084" s="253"/>
      <c r="W2084" s="253">
        <v>0.63312499999999994</v>
      </c>
      <c r="X2084" s="253">
        <v>0.69058823529411772</v>
      </c>
      <c r="Y2084" s="253">
        <v>0.59520833333333334</v>
      </c>
      <c r="Z2084" s="253">
        <v>0.58230769230769219</v>
      </c>
      <c r="AA2084" s="253"/>
      <c r="AB2084" s="253"/>
      <c r="AC2084" s="253"/>
      <c r="AD2084" s="253"/>
      <c r="AE2084" s="253"/>
    </row>
    <row r="2085" spans="1:31">
      <c r="A2085" s="33">
        <v>2084</v>
      </c>
      <c r="B2085" s="69" t="s">
        <v>1025</v>
      </c>
      <c r="C2085" s="69" t="s">
        <v>791</v>
      </c>
      <c r="D2085" s="56">
        <v>43042</v>
      </c>
      <c r="E2085" s="33" t="s">
        <v>781</v>
      </c>
      <c r="F2085" s="69" t="s">
        <v>380</v>
      </c>
      <c r="G2085" s="69" t="str">
        <f t="shared" si="32"/>
        <v>User Registration</v>
      </c>
      <c r="H2085" s="69" t="s">
        <v>508</v>
      </c>
      <c r="I2085" s="69" t="s">
        <v>922</v>
      </c>
      <c r="J2085" s="69" t="s">
        <v>1025</v>
      </c>
      <c r="K2085" s="69" t="s">
        <v>1027</v>
      </c>
      <c r="L2085" s="253">
        <v>0.58857764876632801</v>
      </c>
      <c r="M2085" s="253">
        <v>0.60829457049363156</v>
      </c>
      <c r="N2085" s="253">
        <v>0.63975113122171934</v>
      </c>
      <c r="O2085" s="253">
        <v>0.58313035356977561</v>
      </c>
      <c r="P2085" s="253">
        <v>0.59245283018867922</v>
      </c>
      <c r="Q2085" s="253">
        <v>0.62635135135135134</v>
      </c>
      <c r="R2085" s="253">
        <v>0.62340027838536483</v>
      </c>
      <c r="S2085" s="253">
        <v>0.54999999999999993</v>
      </c>
      <c r="T2085" s="253">
        <v>0.63106382978723408</v>
      </c>
      <c r="U2085" s="253">
        <v>0.62580459770114938</v>
      </c>
      <c r="V2085" s="253"/>
      <c r="W2085" s="253">
        <v>0.64250000000000007</v>
      </c>
      <c r="X2085" s="253">
        <v>0.63058823529411756</v>
      </c>
      <c r="Y2085" s="253">
        <v>0.5770833333333335</v>
      </c>
      <c r="Z2085" s="253">
        <v>0.57307692307692304</v>
      </c>
      <c r="AA2085" s="253"/>
      <c r="AB2085" s="253"/>
      <c r="AC2085" s="253"/>
      <c r="AD2085" s="253"/>
      <c r="AE2085" s="253"/>
    </row>
    <row r="2086" spans="1:31">
      <c r="A2086" s="33">
        <v>2085</v>
      </c>
      <c r="B2086" s="69" t="s">
        <v>1025</v>
      </c>
      <c r="C2086" s="69" t="s">
        <v>791</v>
      </c>
      <c r="D2086" s="56">
        <v>43042</v>
      </c>
      <c r="E2086" s="33" t="s">
        <v>781</v>
      </c>
      <c r="F2086" s="69" t="s">
        <v>380</v>
      </c>
      <c r="G2086" s="69" t="str">
        <f t="shared" si="32"/>
        <v>User Registration</v>
      </c>
      <c r="H2086" s="69" t="s">
        <v>508</v>
      </c>
      <c r="I2086" s="69" t="s">
        <v>922</v>
      </c>
      <c r="J2086" s="69" t="s">
        <v>1025</v>
      </c>
      <c r="K2086" s="69" t="s">
        <v>1028</v>
      </c>
      <c r="L2086" s="253">
        <v>0.62006095791001448</v>
      </c>
      <c r="M2086" s="253">
        <v>0.58247455474635279</v>
      </c>
      <c r="N2086" s="253">
        <v>0.60083144796380095</v>
      </c>
      <c r="O2086" s="253">
        <v>0.57564846879923115</v>
      </c>
      <c r="P2086" s="253">
        <v>0.62603773584905653</v>
      </c>
      <c r="Q2086" s="253">
        <v>0.56432432432432433</v>
      </c>
      <c r="R2086" s="253">
        <v>0.61507257904155899</v>
      </c>
      <c r="S2086" s="253">
        <v>0.53413461538461537</v>
      </c>
      <c r="T2086" s="253">
        <v>0.60021276595744688</v>
      </c>
      <c r="U2086" s="253">
        <v>0.58695402298850574</v>
      </c>
      <c r="V2086" s="253"/>
      <c r="W2086" s="253">
        <v>0.59437499999999999</v>
      </c>
      <c r="X2086" s="253">
        <v>0.62235294117647055</v>
      </c>
      <c r="Y2086" s="253">
        <v>0.56689583333333338</v>
      </c>
      <c r="Z2086" s="253">
        <v>0.59615384615384615</v>
      </c>
      <c r="AA2086" s="253"/>
      <c r="AB2086" s="253"/>
      <c r="AC2086" s="253"/>
      <c r="AD2086" s="253"/>
      <c r="AE2086" s="253"/>
    </row>
    <row r="2087" spans="1:31">
      <c r="A2087" s="33">
        <v>2086</v>
      </c>
      <c r="B2087" s="69" t="s">
        <v>1025</v>
      </c>
      <c r="C2087" s="69" t="s">
        <v>791</v>
      </c>
      <c r="D2087" s="56">
        <v>43042</v>
      </c>
      <c r="E2087" s="33" t="s">
        <v>781</v>
      </c>
      <c r="F2087" s="69" t="s">
        <v>380</v>
      </c>
      <c r="G2087" s="69" t="str">
        <f t="shared" si="32"/>
        <v>User Registration</v>
      </c>
      <c r="H2087" s="69" t="s">
        <v>508</v>
      </c>
      <c r="I2087" s="69" t="s">
        <v>922</v>
      </c>
      <c r="J2087" s="69" t="s">
        <v>1025</v>
      </c>
      <c r="K2087" s="69" t="s">
        <v>1029</v>
      </c>
      <c r="L2087" s="253">
        <v>0.59305660377358493</v>
      </c>
      <c r="M2087" s="253">
        <v>0.56610293182889659</v>
      </c>
      <c r="N2087" s="253">
        <v>0.59185803167420825</v>
      </c>
      <c r="O2087" s="253">
        <v>0.54876603117332612</v>
      </c>
      <c r="P2087" s="253">
        <v>0.60132075471698121</v>
      </c>
      <c r="Q2087" s="253">
        <v>0.57067567567567568</v>
      </c>
      <c r="R2087" s="253">
        <v>0.5834122091867171</v>
      </c>
      <c r="S2087" s="253">
        <v>0.52548076923076925</v>
      </c>
      <c r="T2087" s="253">
        <v>0.58308510638297872</v>
      </c>
      <c r="U2087" s="253">
        <v>0.56988505747126428</v>
      </c>
      <c r="V2087" s="253"/>
      <c r="W2087" s="253">
        <v>0.60406250000000006</v>
      </c>
      <c r="X2087" s="253">
        <v>0.55117647058823527</v>
      </c>
      <c r="Y2087" s="253">
        <v>0.53860416666666666</v>
      </c>
      <c r="Z2087" s="253">
        <v>0.55999999999999994</v>
      </c>
      <c r="AA2087" s="253"/>
      <c r="AB2087" s="253"/>
      <c r="AC2087" s="253"/>
      <c r="AD2087" s="253"/>
      <c r="AE2087" s="253"/>
    </row>
    <row r="2088" spans="1:31">
      <c r="A2088" s="33">
        <v>2087</v>
      </c>
      <c r="B2088" s="69" t="s">
        <v>1025</v>
      </c>
      <c r="C2088" s="69" t="s">
        <v>791</v>
      </c>
      <c r="D2088" s="56">
        <v>43042</v>
      </c>
      <c r="E2088" s="33" t="s">
        <v>781</v>
      </c>
      <c r="F2088" s="69" t="s">
        <v>380</v>
      </c>
      <c r="G2088" s="69" t="str">
        <f t="shared" si="32"/>
        <v>User Registration</v>
      </c>
      <c r="H2088" s="69" t="s">
        <v>508</v>
      </c>
      <c r="I2088" s="69" t="s">
        <v>922</v>
      </c>
      <c r="J2088" s="69" t="s">
        <v>1025</v>
      </c>
      <c r="K2088" s="69" t="s">
        <v>1030</v>
      </c>
      <c r="L2088" s="253">
        <v>0.56792162554426717</v>
      </c>
      <c r="M2088" s="253">
        <v>0.57158655635073363</v>
      </c>
      <c r="N2088" s="253">
        <v>0.56557409502262446</v>
      </c>
      <c r="O2088" s="253">
        <v>0.57439905187939388</v>
      </c>
      <c r="P2088" s="253">
        <v>0.56509433962264166</v>
      </c>
      <c r="Q2088" s="253">
        <v>0.54905405405405394</v>
      </c>
      <c r="R2088" s="253">
        <v>0.59184728574269241</v>
      </c>
      <c r="S2088" s="253">
        <v>0.55288461538461542</v>
      </c>
      <c r="T2088" s="253">
        <v>0.60212765957446812</v>
      </c>
      <c r="U2088" s="253">
        <v>0.56293103448275861</v>
      </c>
      <c r="V2088" s="253"/>
      <c r="W2088" s="253">
        <v>0.54218750000000004</v>
      </c>
      <c r="X2088" s="253">
        <v>0.64352941176470579</v>
      </c>
      <c r="Y2088" s="253">
        <v>0.57414583333333336</v>
      </c>
      <c r="Z2088" s="253">
        <v>0.57923076923076922</v>
      </c>
      <c r="AA2088" s="253"/>
      <c r="AB2088" s="253"/>
      <c r="AC2088" s="253"/>
      <c r="AD2088" s="253"/>
      <c r="AE2088" s="253"/>
    </row>
    <row r="2089" spans="1:31">
      <c r="A2089" s="33">
        <v>2088</v>
      </c>
      <c r="B2089" s="69" t="s">
        <v>1020</v>
      </c>
      <c r="C2089" s="69" t="s">
        <v>868</v>
      </c>
      <c r="D2089" s="56">
        <v>43048</v>
      </c>
      <c r="E2089" s="33" t="s">
        <v>724</v>
      </c>
      <c r="F2089" s="69" t="s">
        <v>725</v>
      </c>
      <c r="G2089" s="69" t="str">
        <f t="shared" si="32"/>
        <v>User Registration</v>
      </c>
      <c r="H2089" s="69" t="s">
        <v>493</v>
      </c>
      <c r="I2089" s="69" t="s">
        <v>974</v>
      </c>
      <c r="J2089" s="69" t="s">
        <v>1020</v>
      </c>
      <c r="K2089" s="69" t="s">
        <v>1020</v>
      </c>
      <c r="L2089" s="253">
        <v>0.64348040638606674</v>
      </c>
      <c r="M2089" s="253">
        <v>0.63176671335231072</v>
      </c>
      <c r="N2089" s="253">
        <v>0.60468750000000004</v>
      </c>
      <c r="O2089" s="253">
        <v>0.61890625215151063</v>
      </c>
      <c r="P2089" s="253">
        <v>0.64377358490566028</v>
      </c>
      <c r="Q2089" s="253">
        <v>0.64067567567567574</v>
      </c>
      <c r="R2089" s="253">
        <v>0.67229639519359141</v>
      </c>
      <c r="S2089" s="253">
        <v>0.57692307692307687</v>
      </c>
      <c r="T2089" s="253">
        <v>0.61726190476190479</v>
      </c>
      <c r="U2089" s="253">
        <v>0.63247126436781609</v>
      </c>
      <c r="V2089" s="253"/>
      <c r="W2089" s="253">
        <v>0.60468750000000004</v>
      </c>
      <c r="X2089" s="253"/>
      <c r="Y2089" s="253">
        <v>0.60322916666666671</v>
      </c>
      <c r="Z2089" s="253">
        <v>0.64230769230769236</v>
      </c>
      <c r="AA2089" s="253"/>
      <c r="AB2089" s="253"/>
      <c r="AC2089" s="253"/>
      <c r="AD2089" s="253"/>
      <c r="AE2089" s="253"/>
    </row>
    <row r="2090" spans="1:31">
      <c r="A2090" s="33">
        <v>2089</v>
      </c>
      <c r="B2090" s="69" t="s">
        <v>1020</v>
      </c>
      <c r="C2090" s="69" t="s">
        <v>868</v>
      </c>
      <c r="D2090" s="56">
        <v>43048</v>
      </c>
      <c r="E2090" s="33" t="s">
        <v>724</v>
      </c>
      <c r="F2090" s="69" t="s">
        <v>725</v>
      </c>
      <c r="G2090" s="69" t="str">
        <f t="shared" si="32"/>
        <v>User Registration</v>
      </c>
      <c r="H2090" s="69" t="s">
        <v>493</v>
      </c>
      <c r="I2090" s="69" t="s">
        <v>974</v>
      </c>
      <c r="J2090" s="69" t="s">
        <v>1020</v>
      </c>
      <c r="K2090" s="69" t="s">
        <v>1021</v>
      </c>
      <c r="L2090" s="253">
        <v>0.59397677793904213</v>
      </c>
      <c r="M2090" s="253">
        <v>0.50477617080046011</v>
      </c>
      <c r="N2090" s="253">
        <v>0.54062500000000002</v>
      </c>
      <c r="O2090" s="253">
        <v>0.52054601942589851</v>
      </c>
      <c r="P2090" s="253">
        <v>0.59150943396226419</v>
      </c>
      <c r="Q2090" s="253">
        <v>0.50270270270270279</v>
      </c>
      <c r="R2090" s="253">
        <v>0.55293724966622171</v>
      </c>
      <c r="S2090" s="253">
        <v>0.41874999999999996</v>
      </c>
      <c r="T2090" s="253">
        <v>0.44940476190476192</v>
      </c>
      <c r="U2090" s="253">
        <v>0.52068965517241383</v>
      </c>
      <c r="V2090" s="253"/>
      <c r="W2090" s="253">
        <v>0.54062500000000002</v>
      </c>
      <c r="X2090" s="253"/>
      <c r="Y2090" s="253">
        <v>0.50104166666666672</v>
      </c>
      <c r="Z2090" s="253">
        <v>0.60384615384615381</v>
      </c>
      <c r="AA2090" s="253"/>
      <c r="AB2090" s="253"/>
      <c r="AC2090" s="253"/>
      <c r="AD2090" s="253"/>
      <c r="AE2090" s="253"/>
    </row>
    <row r="2091" spans="1:31">
      <c r="A2091" s="33">
        <v>2090</v>
      </c>
      <c r="B2091" s="69" t="s">
        <v>1020</v>
      </c>
      <c r="C2091" s="69" t="s">
        <v>868</v>
      </c>
      <c r="D2091" s="56">
        <v>43048</v>
      </c>
      <c r="E2091" s="33" t="s">
        <v>724</v>
      </c>
      <c r="F2091" s="69" t="s">
        <v>725</v>
      </c>
      <c r="G2091" s="69" t="str">
        <f t="shared" si="32"/>
        <v>User Registration</v>
      </c>
      <c r="H2091" s="69" t="s">
        <v>493</v>
      </c>
      <c r="I2091" s="69" t="s">
        <v>974</v>
      </c>
      <c r="J2091" s="69" t="s">
        <v>1020</v>
      </c>
      <c r="K2091" s="69" t="s">
        <v>1022</v>
      </c>
      <c r="L2091" s="253">
        <v>0.66943686502177069</v>
      </c>
      <c r="M2091" s="253">
        <v>0.62103021167401362</v>
      </c>
      <c r="N2091" s="253">
        <v>0.58125000000000004</v>
      </c>
      <c r="O2091" s="253">
        <v>0.62073149878503098</v>
      </c>
      <c r="P2091" s="253">
        <v>0.66660377358490563</v>
      </c>
      <c r="Q2091" s="253">
        <v>0.61567567567567572</v>
      </c>
      <c r="R2091" s="253">
        <v>0.58564753004005332</v>
      </c>
      <c r="S2091" s="253">
        <v>0.59086538461538463</v>
      </c>
      <c r="T2091" s="253">
        <v>0.62440476190476191</v>
      </c>
      <c r="U2091" s="253">
        <v>0.65890804597701147</v>
      </c>
      <c r="V2091" s="253"/>
      <c r="W2091" s="253">
        <v>0.58125000000000004</v>
      </c>
      <c r="X2091" s="253"/>
      <c r="Y2091" s="253">
        <v>0.61322916666666671</v>
      </c>
      <c r="Z2091" s="253">
        <v>0.68076923076923079</v>
      </c>
      <c r="AA2091" s="253"/>
      <c r="AB2091" s="253"/>
      <c r="AC2091" s="253"/>
      <c r="AD2091" s="253"/>
      <c r="AE2091" s="253"/>
    </row>
    <row r="2092" spans="1:31">
      <c r="A2092" s="33">
        <v>2091</v>
      </c>
      <c r="B2092" s="69" t="s">
        <v>1020</v>
      </c>
      <c r="C2092" s="69" t="s">
        <v>868</v>
      </c>
      <c r="D2092" s="56">
        <v>43048</v>
      </c>
      <c r="E2092" s="33" t="s">
        <v>724</v>
      </c>
      <c r="F2092" s="69" t="s">
        <v>725</v>
      </c>
      <c r="G2092" s="69" t="str">
        <f t="shared" si="32"/>
        <v>User Registration</v>
      </c>
      <c r="H2092" s="69" t="s">
        <v>493</v>
      </c>
      <c r="I2092" s="69" t="s">
        <v>974</v>
      </c>
      <c r="J2092" s="69" t="s">
        <v>1020</v>
      </c>
      <c r="K2092" s="69" t="s">
        <v>1023</v>
      </c>
      <c r="L2092" s="253">
        <v>0.62756458635703904</v>
      </c>
      <c r="M2092" s="253">
        <v>0.61152121635209533</v>
      </c>
      <c r="N2092" s="253">
        <v>0.59187500000000004</v>
      </c>
      <c r="O2092" s="253">
        <v>0.57779979110380431</v>
      </c>
      <c r="P2092" s="253">
        <v>0.6383018867924527</v>
      </c>
      <c r="Q2092" s="253">
        <v>0.59527027027027024</v>
      </c>
      <c r="R2092" s="253">
        <v>0.64539385847797059</v>
      </c>
      <c r="S2092" s="253">
        <v>0.52644230769230771</v>
      </c>
      <c r="T2092" s="253">
        <v>0.65595238095238095</v>
      </c>
      <c r="U2092" s="253">
        <v>0.64281609195402301</v>
      </c>
      <c r="V2092" s="253"/>
      <c r="W2092" s="253">
        <v>0.59187500000000004</v>
      </c>
      <c r="X2092" s="253"/>
      <c r="Y2092" s="253">
        <v>0.56562500000000004</v>
      </c>
      <c r="Z2092" s="253">
        <v>0.58461538461538465</v>
      </c>
      <c r="AA2092" s="253"/>
      <c r="AB2092" s="253"/>
      <c r="AC2092" s="253"/>
      <c r="AD2092" s="253"/>
      <c r="AE2092" s="253"/>
    </row>
    <row r="2093" spans="1:31">
      <c r="A2093" s="33">
        <v>2092</v>
      </c>
      <c r="B2093" s="69" t="s">
        <v>1020</v>
      </c>
      <c r="C2093" s="69" t="s">
        <v>868</v>
      </c>
      <c r="D2093" s="56">
        <v>43048</v>
      </c>
      <c r="E2093" s="33" t="s">
        <v>724</v>
      </c>
      <c r="F2093" s="69" t="s">
        <v>725</v>
      </c>
      <c r="G2093" s="69" t="str">
        <f t="shared" si="32"/>
        <v>User Registration</v>
      </c>
      <c r="H2093" s="69" t="s">
        <v>493</v>
      </c>
      <c r="I2093" s="69" t="s">
        <v>981</v>
      </c>
      <c r="J2093" s="69" t="s">
        <v>1020</v>
      </c>
      <c r="K2093" s="69" t="s">
        <v>1024</v>
      </c>
      <c r="L2093" s="253">
        <v>0.62376197387518151</v>
      </c>
      <c r="M2093" s="253">
        <v>0.56990533516942032</v>
      </c>
      <c r="N2093" s="253">
        <v>0.59687500000000004</v>
      </c>
      <c r="O2093" s="253">
        <v>0.54258875724206945</v>
      </c>
      <c r="P2093" s="253">
        <v>0.63547169811320758</v>
      </c>
      <c r="Q2093" s="253">
        <v>0.55486486486486486</v>
      </c>
      <c r="R2093" s="253">
        <v>0.56241655540720958</v>
      </c>
      <c r="S2093" s="253">
        <v>0.50624999999999998</v>
      </c>
      <c r="T2093" s="253">
        <v>0.59464285714285714</v>
      </c>
      <c r="U2093" s="253">
        <v>0.62270114942528743</v>
      </c>
      <c r="V2093" s="253"/>
      <c r="W2093" s="253">
        <v>0.59687500000000004</v>
      </c>
      <c r="X2093" s="253"/>
      <c r="Y2093" s="253">
        <v>0.5307291666666667</v>
      </c>
      <c r="Z2093" s="253">
        <v>0.57692307692307687</v>
      </c>
      <c r="AA2093" s="253"/>
      <c r="AB2093" s="253"/>
      <c r="AC2093" s="253"/>
      <c r="AD2093" s="253"/>
      <c r="AE2093" s="253"/>
    </row>
    <row r="2094" spans="1:31">
      <c r="A2094" s="33">
        <v>2093</v>
      </c>
      <c r="B2094" s="69" t="s">
        <v>1013</v>
      </c>
      <c r="C2094" s="69" t="s">
        <v>740</v>
      </c>
      <c r="D2094" s="56">
        <v>43049</v>
      </c>
      <c r="E2094" s="33" t="s">
        <v>724</v>
      </c>
      <c r="F2094" s="69" t="s">
        <v>532</v>
      </c>
      <c r="G2094" s="69" t="str">
        <f t="shared" si="32"/>
        <v>User Registration</v>
      </c>
      <c r="H2094" s="69" t="s">
        <v>1014</v>
      </c>
      <c r="I2094" s="69" t="s">
        <v>1015</v>
      </c>
      <c r="J2094" s="69" t="s">
        <v>1013</v>
      </c>
      <c r="K2094" s="69" t="s">
        <v>1013</v>
      </c>
      <c r="L2094" s="253">
        <v>0.66382275519157641</v>
      </c>
      <c r="M2094" s="253">
        <v>0.62595451951560654</v>
      </c>
      <c r="N2094" s="253">
        <v>0.60384375000000001</v>
      </c>
      <c r="O2094" s="253">
        <v>0.6471723124036084</v>
      </c>
      <c r="P2094" s="253">
        <v>0.66920152091254759</v>
      </c>
      <c r="Q2094" s="253">
        <v>0.65260273972602745</v>
      </c>
      <c r="R2094" s="253">
        <v>0.64380767362797486</v>
      </c>
      <c r="S2094" s="253">
        <v>0.60757575757575766</v>
      </c>
      <c r="T2094" s="253">
        <v>0.54942528735632179</v>
      </c>
      <c r="U2094" s="253">
        <v>0.64086206896551745</v>
      </c>
      <c r="V2094" s="253">
        <v>0</v>
      </c>
      <c r="W2094" s="253">
        <v>0.47281250000000002</v>
      </c>
      <c r="X2094" s="253">
        <v>0.66</v>
      </c>
      <c r="Y2094" s="253">
        <v>0.65272123893805301</v>
      </c>
      <c r="Z2094" s="253">
        <v>0.64230769230769236</v>
      </c>
      <c r="AA2094" s="253"/>
      <c r="AB2094" s="253"/>
      <c r="AC2094" s="253"/>
      <c r="AD2094" s="253"/>
      <c r="AE2094" s="253"/>
    </row>
    <row r="2095" spans="1:31">
      <c r="A2095" s="33">
        <v>2094</v>
      </c>
      <c r="B2095" s="69" t="s">
        <v>1013</v>
      </c>
      <c r="C2095" s="69" t="s">
        <v>740</v>
      </c>
      <c r="D2095" s="56">
        <v>43049</v>
      </c>
      <c r="E2095" s="33" t="s">
        <v>724</v>
      </c>
      <c r="F2095" s="69" t="s">
        <v>532</v>
      </c>
      <c r="G2095" s="69" t="str">
        <f t="shared" si="32"/>
        <v>User Registration</v>
      </c>
      <c r="H2095" s="69" t="s">
        <v>1014</v>
      </c>
      <c r="I2095" s="69" t="s">
        <v>1015</v>
      </c>
      <c r="J2095" s="69" t="s">
        <v>1013</v>
      </c>
      <c r="K2095" s="69" t="s">
        <v>1016</v>
      </c>
      <c r="L2095" s="253">
        <v>0.57938227551915755</v>
      </c>
      <c r="M2095" s="253">
        <v>0.53278828978009873</v>
      </c>
      <c r="N2095" s="253">
        <v>0.48618749999999999</v>
      </c>
      <c r="O2095" s="253">
        <v>0.59942724082981746</v>
      </c>
      <c r="P2095" s="253">
        <v>0.56692015209125468</v>
      </c>
      <c r="Q2095" s="253">
        <v>0.4589041095890411</v>
      </c>
      <c r="R2095" s="253">
        <v>0.57451837461550925</v>
      </c>
      <c r="S2095" s="253">
        <v>0.52272727272727271</v>
      </c>
      <c r="T2095" s="253">
        <v>0.5431034482758621</v>
      </c>
      <c r="U2095" s="253">
        <v>0.51344827586206887</v>
      </c>
      <c r="V2095" s="253">
        <v>0</v>
      </c>
      <c r="W2095" s="253">
        <v>0.43062500000000004</v>
      </c>
      <c r="X2095" s="253">
        <v>0.5099999999999999</v>
      </c>
      <c r="Y2095" s="253">
        <v>0.61719026548672573</v>
      </c>
      <c r="Z2095" s="253">
        <v>0.62923076923076926</v>
      </c>
      <c r="AA2095" s="253"/>
      <c r="AB2095" s="253"/>
      <c r="AC2095" s="253"/>
      <c r="AD2095" s="253"/>
      <c r="AE2095" s="253"/>
    </row>
    <row r="2096" spans="1:31">
      <c r="A2096" s="33">
        <v>2095</v>
      </c>
      <c r="B2096" s="69" t="s">
        <v>1013</v>
      </c>
      <c r="C2096" s="69" t="s">
        <v>740</v>
      </c>
      <c r="D2096" s="56">
        <v>43049</v>
      </c>
      <c r="E2096" s="33" t="s">
        <v>724</v>
      </c>
      <c r="F2096" s="69" t="s">
        <v>532</v>
      </c>
      <c r="G2096" s="69" t="str">
        <f t="shared" si="32"/>
        <v>User Registration</v>
      </c>
      <c r="H2096" s="69" t="s">
        <v>1014</v>
      </c>
      <c r="I2096" s="69" t="s">
        <v>1015</v>
      </c>
      <c r="J2096" s="69" t="s">
        <v>1013</v>
      </c>
      <c r="K2096" s="69" t="s">
        <v>1017</v>
      </c>
      <c r="L2096" s="253">
        <v>0.62026908452763962</v>
      </c>
      <c r="M2096" s="253">
        <v>0.60332547421366511</v>
      </c>
      <c r="N2096" s="253">
        <v>0.52509375000000003</v>
      </c>
      <c r="O2096" s="253">
        <v>0.57821344496391081</v>
      </c>
      <c r="P2096" s="253">
        <v>0.6041825095057034</v>
      </c>
      <c r="Q2096" s="253">
        <v>0.59794520547945207</v>
      </c>
      <c r="R2096" s="253">
        <v>0.65873401327505265</v>
      </c>
      <c r="S2096" s="253">
        <v>0.54797979797979801</v>
      </c>
      <c r="T2096" s="253">
        <v>0.62758620689655176</v>
      </c>
      <c r="U2096" s="253">
        <v>0.5494252873563219</v>
      </c>
      <c r="V2096" s="253">
        <v>0</v>
      </c>
      <c r="W2096" s="253">
        <v>0.49031249999999993</v>
      </c>
      <c r="X2096" s="253">
        <v>0.54</v>
      </c>
      <c r="Y2096" s="253">
        <v>0.53123893805309741</v>
      </c>
      <c r="Z2096" s="253">
        <v>0.68461538461538463</v>
      </c>
      <c r="AA2096" s="253"/>
      <c r="AB2096" s="253"/>
      <c r="AC2096" s="253"/>
      <c r="AD2096" s="253"/>
      <c r="AE2096" s="253"/>
    </row>
    <row r="2097" spans="1:31">
      <c r="A2097" s="33">
        <v>2096</v>
      </c>
      <c r="B2097" s="69" t="s">
        <v>1013</v>
      </c>
      <c r="C2097" s="69" t="s">
        <v>740</v>
      </c>
      <c r="D2097" s="56">
        <v>43049</v>
      </c>
      <c r="E2097" s="33" t="s">
        <v>724</v>
      </c>
      <c r="F2097" s="69" t="s">
        <v>532</v>
      </c>
      <c r="G2097" s="69" t="str">
        <f t="shared" si="32"/>
        <v>User Registration</v>
      </c>
      <c r="H2097" s="69" t="s">
        <v>1014</v>
      </c>
      <c r="I2097" s="69" t="s">
        <v>1015</v>
      </c>
      <c r="J2097" s="69" t="s">
        <v>1013</v>
      </c>
      <c r="K2097" s="69" t="s">
        <v>1018</v>
      </c>
      <c r="L2097" s="253">
        <v>0.67399532026908449</v>
      </c>
      <c r="M2097" s="253">
        <v>0.61079067330513725</v>
      </c>
      <c r="N2097" s="253">
        <v>0.58625000000000005</v>
      </c>
      <c r="O2097" s="253">
        <v>0.55156997653878703</v>
      </c>
      <c r="P2097" s="253">
        <v>0.68384030418250941</v>
      </c>
      <c r="Q2097" s="253">
        <v>0.57753424657534247</v>
      </c>
      <c r="R2097" s="253">
        <v>0.64970050186174522</v>
      </c>
      <c r="S2097" s="253">
        <v>0.56161616161616168</v>
      </c>
      <c r="T2097" s="253">
        <v>0.64655172413793105</v>
      </c>
      <c r="U2097" s="253">
        <v>0.60683908045976986</v>
      </c>
      <c r="V2097" s="253">
        <v>0</v>
      </c>
      <c r="W2097" s="253">
        <v>0.64750000000000008</v>
      </c>
      <c r="X2097" s="253">
        <v>0.56000000000000005</v>
      </c>
      <c r="Y2097" s="253">
        <v>0.50342920353982301</v>
      </c>
      <c r="Z2097" s="253">
        <v>0.63461538461538458</v>
      </c>
      <c r="AA2097" s="253"/>
      <c r="AB2097" s="253"/>
      <c r="AC2097" s="253"/>
      <c r="AD2097" s="253"/>
      <c r="AE2097" s="253"/>
    </row>
    <row r="2098" spans="1:31">
      <c r="A2098" s="33">
        <v>2097</v>
      </c>
      <c r="B2098" s="69" t="s">
        <v>1013</v>
      </c>
      <c r="C2098" s="69" t="s">
        <v>740</v>
      </c>
      <c r="D2098" s="56">
        <v>43049</v>
      </c>
      <c r="E2098" s="33" t="s">
        <v>724</v>
      </c>
      <c r="F2098" s="69" t="s">
        <v>532</v>
      </c>
      <c r="G2098" s="69" t="str">
        <f t="shared" si="32"/>
        <v>User Registration</v>
      </c>
      <c r="H2098" s="69" t="s">
        <v>1014</v>
      </c>
      <c r="I2098" s="69" t="s">
        <v>1015</v>
      </c>
      <c r="J2098" s="69" t="s">
        <v>1013</v>
      </c>
      <c r="K2098" s="69" t="s">
        <v>1019</v>
      </c>
      <c r="L2098" s="253">
        <v>0.64593448376718343</v>
      </c>
      <c r="M2098" s="253">
        <v>0.50782791585529086</v>
      </c>
      <c r="N2098" s="253">
        <v>0.47593749999999996</v>
      </c>
      <c r="O2098" s="253">
        <v>0.53482863598948449</v>
      </c>
      <c r="P2098" s="253">
        <v>0.67376425855513311</v>
      </c>
      <c r="Q2098" s="253">
        <v>0.42260273972602735</v>
      </c>
      <c r="R2098" s="253">
        <v>0.55297069774971663</v>
      </c>
      <c r="S2098" s="253">
        <v>0.50505050505050508</v>
      </c>
      <c r="T2098" s="253">
        <v>0.48735632183908045</v>
      </c>
      <c r="U2098" s="253">
        <v>0.53465517241379323</v>
      </c>
      <c r="V2098" s="253">
        <v>0</v>
      </c>
      <c r="W2098" s="253">
        <v>0.46468749999999998</v>
      </c>
      <c r="X2098" s="253">
        <v>0</v>
      </c>
      <c r="Y2098" s="253">
        <v>0.54546460176991152</v>
      </c>
      <c r="Z2098" s="253">
        <v>0.5346153846153846</v>
      </c>
      <c r="AA2098" s="253"/>
      <c r="AB2098" s="253"/>
      <c r="AC2098" s="253"/>
      <c r="AD2098" s="253"/>
      <c r="AE2098" s="253"/>
    </row>
    <row r="2099" spans="1:31">
      <c r="A2099" s="33">
        <v>2098</v>
      </c>
      <c r="B2099" s="69" t="s">
        <v>973</v>
      </c>
      <c r="C2099" s="69" t="s">
        <v>868</v>
      </c>
      <c r="D2099" s="56">
        <v>43054</v>
      </c>
      <c r="E2099" s="33" t="s">
        <v>724</v>
      </c>
      <c r="F2099" s="69" t="s">
        <v>725</v>
      </c>
      <c r="G2099" s="69" t="str">
        <f t="shared" si="32"/>
        <v>User Registration</v>
      </c>
      <c r="H2099" s="69" t="s">
        <v>493</v>
      </c>
      <c r="I2099" s="69" t="s">
        <v>974</v>
      </c>
      <c r="J2099" s="69" t="s">
        <v>973</v>
      </c>
      <c r="K2099" s="69" t="s">
        <v>973</v>
      </c>
      <c r="L2099" s="253">
        <v>0.63589550072568946</v>
      </c>
      <c r="M2099" s="253">
        <v>0.59915874226990462</v>
      </c>
      <c r="N2099" s="253">
        <v>0.60731052036199096</v>
      </c>
      <c r="O2099" s="253">
        <v>0.55689211008563777</v>
      </c>
      <c r="P2099" s="253">
        <v>0.64679245283018871</v>
      </c>
      <c r="Q2099" s="253">
        <v>0.58783783783783794</v>
      </c>
      <c r="R2099" s="253">
        <v>0.64234831168079631</v>
      </c>
      <c r="S2099" s="253">
        <v>0.5625</v>
      </c>
      <c r="T2099" s="253">
        <v>0.59718782249742008</v>
      </c>
      <c r="U2099" s="253">
        <v>0.59827586206896555</v>
      </c>
      <c r="V2099" s="253"/>
      <c r="W2099" s="253">
        <v>0.6015625</v>
      </c>
      <c r="X2099" s="253">
        <v>0.62647058823529411</v>
      </c>
      <c r="Y2099" s="253">
        <v>0.52552083333333333</v>
      </c>
      <c r="Z2099" s="253">
        <v>0.59230769230769231</v>
      </c>
      <c r="AA2099" s="253"/>
      <c r="AB2099" s="253"/>
      <c r="AC2099" s="253"/>
      <c r="AD2099" s="253"/>
      <c r="AE2099" s="253"/>
    </row>
    <row r="2100" spans="1:31">
      <c r="A2100" s="33">
        <v>2099</v>
      </c>
      <c r="B2100" s="69" t="s">
        <v>973</v>
      </c>
      <c r="C2100" s="69" t="s">
        <v>868</v>
      </c>
      <c r="D2100" s="56">
        <v>43054</v>
      </c>
      <c r="E2100" s="33" t="s">
        <v>724</v>
      </c>
      <c r="F2100" s="69" t="s">
        <v>725</v>
      </c>
      <c r="G2100" s="69" t="str">
        <f t="shared" si="32"/>
        <v>User Registration</v>
      </c>
      <c r="H2100" s="69" t="s">
        <v>493</v>
      </c>
      <c r="I2100" s="69" t="s">
        <v>974</v>
      </c>
      <c r="J2100" s="69" t="s">
        <v>973</v>
      </c>
      <c r="K2100" s="69" t="s">
        <v>975</v>
      </c>
      <c r="L2100" s="253">
        <v>0.66694920174165462</v>
      </c>
      <c r="M2100" s="253">
        <v>0.60751570177925862</v>
      </c>
      <c r="N2100" s="253">
        <v>0.53841063348416296</v>
      </c>
      <c r="O2100" s="253">
        <v>0.57483312052592805</v>
      </c>
      <c r="P2100" s="253">
        <v>0.66830188679245295</v>
      </c>
      <c r="Q2100" s="253">
        <v>0.58054054054054061</v>
      </c>
      <c r="R2100" s="253">
        <v>0.64613176702063024</v>
      </c>
      <c r="S2100" s="253">
        <v>0.54807692307692313</v>
      </c>
      <c r="T2100" s="253">
        <v>0.61860165118679056</v>
      </c>
      <c r="U2100" s="253">
        <v>0.60977011494252875</v>
      </c>
      <c r="V2100" s="253"/>
      <c r="W2100" s="253">
        <v>0.52187499999999998</v>
      </c>
      <c r="X2100" s="253">
        <v>0.59352941176470586</v>
      </c>
      <c r="Y2100" s="253">
        <v>0.53666666666666674</v>
      </c>
      <c r="Z2100" s="253">
        <v>0.66153846153846152</v>
      </c>
      <c r="AA2100" s="253"/>
      <c r="AB2100" s="253"/>
      <c r="AC2100" s="253"/>
      <c r="AD2100" s="253"/>
      <c r="AE2100" s="253"/>
    </row>
    <row r="2101" spans="1:31">
      <c r="A2101" s="33">
        <v>2100</v>
      </c>
      <c r="B2101" s="69" t="s">
        <v>973</v>
      </c>
      <c r="C2101" s="69" t="s">
        <v>868</v>
      </c>
      <c r="D2101" s="56">
        <v>43054</v>
      </c>
      <c r="E2101" s="33" t="s">
        <v>724</v>
      </c>
      <c r="F2101" s="69" t="s">
        <v>725</v>
      </c>
      <c r="G2101" s="69" t="str">
        <f t="shared" si="32"/>
        <v>User Registration</v>
      </c>
      <c r="H2101" s="69" t="s">
        <v>493</v>
      </c>
      <c r="I2101" s="69" t="s">
        <v>974</v>
      </c>
      <c r="J2101" s="69" t="s">
        <v>973</v>
      </c>
      <c r="K2101" s="69" t="s">
        <v>976</v>
      </c>
      <c r="L2101" s="253">
        <v>0.6293323657474601</v>
      </c>
      <c r="M2101" s="253">
        <v>0.62464124332454007</v>
      </c>
      <c r="N2101" s="253">
        <v>0.53558540723981896</v>
      </c>
      <c r="O2101" s="253">
        <v>0.59935086859264841</v>
      </c>
      <c r="P2101" s="253">
        <v>0.64339622641509442</v>
      </c>
      <c r="Q2101" s="253">
        <v>0.65540540540540537</v>
      </c>
      <c r="R2101" s="253">
        <v>0.64963224443737155</v>
      </c>
      <c r="S2101" s="253">
        <v>0.62548076923076923</v>
      </c>
      <c r="T2101" s="253">
        <v>0.64551083591331271</v>
      </c>
      <c r="U2101" s="253">
        <v>0.58247126436781615</v>
      </c>
      <c r="V2101" s="253"/>
      <c r="W2101" s="253">
        <v>0.49843749999999998</v>
      </c>
      <c r="X2101" s="253">
        <v>0.65941176470588236</v>
      </c>
      <c r="Y2101" s="253">
        <v>0.58895833333333347</v>
      </c>
      <c r="Z2101" s="253">
        <v>0.57307692307692304</v>
      </c>
      <c r="AA2101" s="253"/>
      <c r="AB2101" s="253"/>
      <c r="AC2101" s="253"/>
      <c r="AD2101" s="253"/>
      <c r="AE2101" s="253"/>
    </row>
    <row r="2102" spans="1:31">
      <c r="A2102" s="33">
        <v>2101</v>
      </c>
      <c r="B2102" s="69" t="s">
        <v>973</v>
      </c>
      <c r="C2102" s="69" t="s">
        <v>868</v>
      </c>
      <c r="D2102" s="56">
        <v>43054</v>
      </c>
      <c r="E2102" s="33" t="s">
        <v>724</v>
      </c>
      <c r="F2102" s="69" t="s">
        <v>725</v>
      </c>
      <c r="G2102" s="69" t="str">
        <f t="shared" si="32"/>
        <v>User Registration</v>
      </c>
      <c r="H2102" s="69" t="s">
        <v>493</v>
      </c>
      <c r="I2102" s="69" t="s">
        <v>974</v>
      </c>
      <c r="J2102" s="69" t="s">
        <v>973</v>
      </c>
      <c r="K2102" s="69" t="s">
        <v>977</v>
      </c>
      <c r="L2102" s="253">
        <v>0.60076052249637146</v>
      </c>
      <c r="M2102" s="253">
        <v>0.64095796220541379</v>
      </c>
      <c r="N2102" s="253">
        <v>0.5753167420814479</v>
      </c>
      <c r="O2102" s="253">
        <v>0.61221493935615567</v>
      </c>
      <c r="P2102" s="253">
        <v>0.61056603773584894</v>
      </c>
      <c r="Q2102" s="253">
        <v>0.6425675675675675</v>
      </c>
      <c r="R2102" s="253">
        <v>0.67621307253841045</v>
      </c>
      <c r="S2102" s="253">
        <v>0.60096153846153844</v>
      </c>
      <c r="T2102" s="253">
        <v>0.66924664602683182</v>
      </c>
      <c r="U2102" s="253">
        <v>0.65120689655172403</v>
      </c>
      <c r="V2102" s="253"/>
      <c r="W2102" s="253">
        <v>0.54249999999999998</v>
      </c>
      <c r="X2102" s="253">
        <v>0.68470588235294116</v>
      </c>
      <c r="Y2102" s="253">
        <v>0.61270833333333341</v>
      </c>
      <c r="Z2102" s="253">
        <v>0.56153846153846154</v>
      </c>
      <c r="AA2102" s="253"/>
      <c r="AB2102" s="253"/>
      <c r="AC2102" s="253"/>
      <c r="AD2102" s="253"/>
      <c r="AE2102" s="253"/>
    </row>
    <row r="2103" spans="1:31">
      <c r="A2103" s="33">
        <v>2102</v>
      </c>
      <c r="B2103" s="69" t="s">
        <v>973</v>
      </c>
      <c r="C2103" s="69" t="s">
        <v>868</v>
      </c>
      <c r="D2103" s="56">
        <v>43054</v>
      </c>
      <c r="E2103" s="33" t="s">
        <v>724</v>
      </c>
      <c r="F2103" s="69" t="s">
        <v>725</v>
      </c>
      <c r="G2103" s="69" t="str">
        <f t="shared" si="32"/>
        <v>User Registration</v>
      </c>
      <c r="H2103" s="69" t="s">
        <v>493</v>
      </c>
      <c r="I2103" s="69" t="s">
        <v>974</v>
      </c>
      <c r="J2103" s="69" t="s">
        <v>973</v>
      </c>
      <c r="K2103" s="69" t="s">
        <v>978</v>
      </c>
      <c r="L2103" s="253">
        <v>0.61593323657474608</v>
      </c>
      <c r="M2103" s="253">
        <v>0.57459115816875894</v>
      </c>
      <c r="N2103" s="253">
        <v>0.52553733031674199</v>
      </c>
      <c r="O2103" s="253">
        <v>0.55273313679107483</v>
      </c>
      <c r="P2103" s="253">
        <v>0.62433962264150955</v>
      </c>
      <c r="Q2103" s="253">
        <v>0.54864864864864871</v>
      </c>
      <c r="R2103" s="253">
        <v>0.59315413327160682</v>
      </c>
      <c r="S2103" s="253">
        <v>0.5</v>
      </c>
      <c r="T2103" s="253">
        <v>0.6244582043343655</v>
      </c>
      <c r="U2103" s="253">
        <v>0.60344827586206906</v>
      </c>
      <c r="V2103" s="253"/>
      <c r="W2103" s="253">
        <v>0.50937500000000002</v>
      </c>
      <c r="X2103" s="253">
        <v>0.5794117647058824</v>
      </c>
      <c r="Y2103" s="253">
        <v>0.54145833333333326</v>
      </c>
      <c r="Z2103" s="253">
        <v>0.5823076923076923</v>
      </c>
      <c r="AA2103" s="253"/>
      <c r="AB2103" s="253"/>
      <c r="AC2103" s="253"/>
      <c r="AD2103" s="253"/>
      <c r="AE2103" s="253"/>
    </row>
    <row r="2104" spans="1:31">
      <c r="A2104" s="33">
        <v>2103</v>
      </c>
      <c r="B2104" s="69" t="s">
        <v>979</v>
      </c>
      <c r="C2104" s="69" t="s">
        <v>980</v>
      </c>
      <c r="D2104" s="56">
        <v>43054</v>
      </c>
      <c r="E2104" s="33" t="s">
        <v>724</v>
      </c>
      <c r="F2104" s="69" t="s">
        <v>725</v>
      </c>
      <c r="G2104" s="69" t="str">
        <f t="shared" si="32"/>
        <v>Both</v>
      </c>
      <c r="H2104" s="69" t="s">
        <v>493</v>
      </c>
      <c r="I2104" s="69" t="s">
        <v>981</v>
      </c>
      <c r="J2104" s="69" t="s">
        <v>979</v>
      </c>
      <c r="K2104" s="69" t="s">
        <v>982</v>
      </c>
      <c r="L2104" s="253">
        <v>0.59</v>
      </c>
      <c r="M2104" s="253">
        <v>0.6</v>
      </c>
      <c r="N2104" s="253">
        <v>0.6</v>
      </c>
      <c r="O2104" s="253">
        <v>0.57999999999999996</v>
      </c>
      <c r="P2104" s="253">
        <v>0.61</v>
      </c>
      <c r="Q2104" s="253">
        <v>0.67</v>
      </c>
      <c r="R2104" s="253">
        <v>0.66</v>
      </c>
      <c r="S2104" s="253">
        <v>0.55000000000000004</v>
      </c>
      <c r="T2104" s="253">
        <v>0.61</v>
      </c>
      <c r="U2104" s="253">
        <v>0.56000000000000005</v>
      </c>
      <c r="V2104" s="253">
        <v>0.59</v>
      </c>
      <c r="W2104" s="253">
        <v>0.62</v>
      </c>
      <c r="X2104" s="253">
        <v>0.56999999999999995</v>
      </c>
      <c r="Y2104" s="253">
        <v>0.55000000000000004</v>
      </c>
      <c r="Z2104" s="253"/>
      <c r="AA2104" s="253"/>
      <c r="AB2104" s="253"/>
      <c r="AC2104" s="253"/>
      <c r="AD2104" s="253"/>
      <c r="AE2104" s="253"/>
    </row>
    <row r="2105" spans="1:31">
      <c r="A2105" s="33">
        <v>2104</v>
      </c>
      <c r="B2105" s="69" t="s">
        <v>979</v>
      </c>
      <c r="C2105" s="69" t="s">
        <v>980</v>
      </c>
      <c r="D2105" s="56">
        <v>43054</v>
      </c>
      <c r="E2105" s="33" t="s">
        <v>724</v>
      </c>
      <c r="F2105" s="69" t="s">
        <v>725</v>
      </c>
      <c r="G2105" s="69" t="str">
        <f t="shared" si="32"/>
        <v>Both</v>
      </c>
      <c r="H2105" s="69" t="s">
        <v>493</v>
      </c>
      <c r="I2105" s="69" t="s">
        <v>981</v>
      </c>
      <c r="J2105" s="69" t="s">
        <v>979</v>
      </c>
      <c r="K2105" s="69" t="s">
        <v>983</v>
      </c>
      <c r="L2105" s="253">
        <v>0.61</v>
      </c>
      <c r="M2105" s="253">
        <v>0.59</v>
      </c>
      <c r="N2105" s="253">
        <v>0.59</v>
      </c>
      <c r="O2105" s="253">
        <v>0.6</v>
      </c>
      <c r="P2105" s="253">
        <v>0.6</v>
      </c>
      <c r="Q2105" s="253">
        <v>0.55000000000000004</v>
      </c>
      <c r="R2105" s="253">
        <v>0.59</v>
      </c>
      <c r="S2105" s="253">
        <v>0.56000000000000005</v>
      </c>
      <c r="T2105" s="253">
        <v>0.6</v>
      </c>
      <c r="U2105" s="253">
        <v>0.59</v>
      </c>
      <c r="V2105" s="253">
        <v>0.61</v>
      </c>
      <c r="W2105" s="253">
        <v>0.55000000000000004</v>
      </c>
      <c r="X2105" s="253">
        <v>0.59</v>
      </c>
      <c r="Y2105" s="253">
        <v>0.68</v>
      </c>
      <c r="Z2105" s="253"/>
      <c r="AA2105" s="253"/>
      <c r="AB2105" s="253"/>
      <c r="AC2105" s="253"/>
      <c r="AD2105" s="253"/>
      <c r="AE2105" s="253"/>
    </row>
    <row r="2106" spans="1:31">
      <c r="A2106" s="33">
        <v>2105</v>
      </c>
      <c r="B2106" s="69" t="s">
        <v>979</v>
      </c>
      <c r="C2106" s="69" t="s">
        <v>980</v>
      </c>
      <c r="D2106" s="56">
        <v>43054</v>
      </c>
      <c r="E2106" s="33" t="s">
        <v>724</v>
      </c>
      <c r="F2106" s="69" t="s">
        <v>725</v>
      </c>
      <c r="G2106" s="69" t="str">
        <f t="shared" si="32"/>
        <v>Both</v>
      </c>
      <c r="H2106" s="69" t="s">
        <v>493</v>
      </c>
      <c r="I2106" s="69" t="s">
        <v>981</v>
      </c>
      <c r="J2106" s="69" t="s">
        <v>979</v>
      </c>
      <c r="K2106" s="69" t="s">
        <v>984</v>
      </c>
      <c r="L2106" s="253">
        <v>0.59</v>
      </c>
      <c r="M2106" s="253">
        <v>0.57999999999999996</v>
      </c>
      <c r="N2106" s="253">
        <v>0.59</v>
      </c>
      <c r="O2106" s="253">
        <v>0.54</v>
      </c>
      <c r="P2106" s="253">
        <v>0.62</v>
      </c>
      <c r="Q2106" s="253">
        <v>0.66</v>
      </c>
      <c r="R2106" s="253">
        <v>0.56000000000000005</v>
      </c>
      <c r="S2106" s="253">
        <v>0.55000000000000004</v>
      </c>
      <c r="T2106" s="253">
        <v>0.53</v>
      </c>
      <c r="U2106" s="253">
        <v>0.61</v>
      </c>
      <c r="V2106" s="253">
        <v>0.56999999999999995</v>
      </c>
      <c r="W2106" s="253">
        <v>0.64</v>
      </c>
      <c r="X2106" s="253">
        <v>0.53</v>
      </c>
      <c r="Y2106" s="253">
        <v>0.49</v>
      </c>
      <c r="Z2106" s="253"/>
      <c r="AA2106" s="253"/>
      <c r="AB2106" s="253"/>
      <c r="AC2106" s="253"/>
      <c r="AD2106" s="253"/>
      <c r="AE2106" s="253"/>
    </row>
    <row r="2107" spans="1:31">
      <c r="A2107" s="33">
        <v>2106</v>
      </c>
      <c r="B2107" s="69" t="s">
        <v>979</v>
      </c>
      <c r="C2107" s="69" t="s">
        <v>980</v>
      </c>
      <c r="D2107" s="56">
        <v>43054</v>
      </c>
      <c r="E2107" s="33" t="s">
        <v>724</v>
      </c>
      <c r="F2107" s="69" t="s">
        <v>725</v>
      </c>
      <c r="G2107" s="69" t="str">
        <f t="shared" si="32"/>
        <v>Both</v>
      </c>
      <c r="H2107" s="69" t="s">
        <v>493</v>
      </c>
      <c r="I2107" s="69" t="s">
        <v>981</v>
      </c>
      <c r="J2107" s="69" t="s">
        <v>979</v>
      </c>
      <c r="K2107" s="69" t="s">
        <v>985</v>
      </c>
      <c r="L2107" s="253">
        <v>0.57999999999999996</v>
      </c>
      <c r="M2107" s="253">
        <v>0.6</v>
      </c>
      <c r="N2107" s="253">
        <v>0.55000000000000004</v>
      </c>
      <c r="O2107" s="253">
        <v>0.53</v>
      </c>
      <c r="P2107" s="253">
        <v>0.6</v>
      </c>
      <c r="Q2107" s="253">
        <v>0.65</v>
      </c>
      <c r="R2107" s="253">
        <v>0.63</v>
      </c>
      <c r="S2107" s="253">
        <v>0.61</v>
      </c>
      <c r="T2107" s="253">
        <v>0.57999999999999996</v>
      </c>
      <c r="U2107" s="253">
        <v>0.55000000000000004</v>
      </c>
      <c r="V2107" s="253">
        <v>0.52</v>
      </c>
      <c r="W2107" s="253">
        <v>0.63</v>
      </c>
      <c r="X2107" s="253">
        <v>0.5</v>
      </c>
      <c r="Y2107" s="253">
        <v>0.49</v>
      </c>
      <c r="Z2107" s="253"/>
      <c r="AA2107" s="253"/>
      <c r="AB2107" s="253"/>
      <c r="AC2107" s="253"/>
      <c r="AD2107" s="253"/>
      <c r="AE2107" s="253"/>
    </row>
    <row r="2108" spans="1:31">
      <c r="A2108" s="33">
        <v>2107</v>
      </c>
      <c r="B2108" s="69" t="s">
        <v>979</v>
      </c>
      <c r="C2108" s="69" t="s">
        <v>980</v>
      </c>
      <c r="D2108" s="56">
        <v>43054</v>
      </c>
      <c r="E2108" s="33" t="s">
        <v>724</v>
      </c>
      <c r="F2108" s="69" t="s">
        <v>725</v>
      </c>
      <c r="G2108" s="69" t="str">
        <f t="shared" si="32"/>
        <v>Both</v>
      </c>
      <c r="H2108" s="69" t="s">
        <v>493</v>
      </c>
      <c r="I2108" s="69" t="s">
        <v>981</v>
      </c>
      <c r="J2108" s="69" t="s">
        <v>979</v>
      </c>
      <c r="K2108" s="69" t="s">
        <v>986</v>
      </c>
      <c r="L2108" s="253">
        <v>0.56000000000000005</v>
      </c>
      <c r="M2108" s="253">
        <v>0.57999999999999996</v>
      </c>
      <c r="N2108" s="253">
        <v>0.53</v>
      </c>
      <c r="O2108" s="253">
        <v>0.53</v>
      </c>
      <c r="P2108" s="253">
        <v>0.56999999999999995</v>
      </c>
      <c r="Q2108" s="253">
        <v>0.56000000000000005</v>
      </c>
      <c r="R2108" s="253">
        <v>0.57999999999999996</v>
      </c>
      <c r="S2108" s="253">
        <v>0.59</v>
      </c>
      <c r="T2108" s="253">
        <v>0.53</v>
      </c>
      <c r="U2108" s="253">
        <v>0.62</v>
      </c>
      <c r="V2108" s="253">
        <v>0.5</v>
      </c>
      <c r="W2108" s="253">
        <v>0.66</v>
      </c>
      <c r="X2108" s="253">
        <v>0.51</v>
      </c>
      <c r="Y2108" s="253">
        <v>0.54</v>
      </c>
      <c r="Z2108" s="253"/>
      <c r="AA2108" s="253"/>
      <c r="AB2108" s="253"/>
      <c r="AC2108" s="253"/>
      <c r="AD2108" s="253"/>
      <c r="AE2108" s="253"/>
    </row>
    <row r="2109" spans="1:31">
      <c r="A2109" s="33">
        <v>2108</v>
      </c>
      <c r="B2109" s="69" t="s">
        <v>979</v>
      </c>
      <c r="C2109" s="69" t="s">
        <v>980</v>
      </c>
      <c r="D2109" s="56">
        <v>43054</v>
      </c>
      <c r="E2109" s="33" t="s">
        <v>724</v>
      </c>
      <c r="F2109" s="69" t="s">
        <v>725</v>
      </c>
      <c r="G2109" s="69" t="str">
        <f t="shared" si="32"/>
        <v>Both</v>
      </c>
      <c r="H2109" s="69" t="s">
        <v>493</v>
      </c>
      <c r="I2109" s="69" t="s">
        <v>981</v>
      </c>
      <c r="J2109" s="69" t="s">
        <v>979</v>
      </c>
      <c r="K2109" s="69" t="s">
        <v>987</v>
      </c>
      <c r="L2109" s="253">
        <v>0.57999999999999996</v>
      </c>
      <c r="M2109" s="253">
        <v>0.56999999999999995</v>
      </c>
      <c r="N2109" s="253">
        <v>0.54</v>
      </c>
      <c r="O2109" s="253">
        <v>0.52</v>
      </c>
      <c r="P2109" s="253">
        <v>0.6</v>
      </c>
      <c r="Q2109" s="253">
        <v>0.51</v>
      </c>
      <c r="R2109" s="253">
        <v>0.6</v>
      </c>
      <c r="S2109" s="253">
        <v>0.56000000000000005</v>
      </c>
      <c r="T2109" s="253">
        <v>0.57999999999999996</v>
      </c>
      <c r="U2109" s="253">
        <v>0.62</v>
      </c>
      <c r="V2109" s="253">
        <v>0.53</v>
      </c>
      <c r="W2109" s="253">
        <v>0.57999999999999996</v>
      </c>
      <c r="X2109" s="253">
        <v>0.51</v>
      </c>
      <c r="Y2109" s="253">
        <v>0.48</v>
      </c>
      <c r="Z2109" s="253"/>
      <c r="AA2109" s="253"/>
      <c r="AB2109" s="253"/>
      <c r="AC2109" s="253"/>
      <c r="AD2109" s="253"/>
      <c r="AE2109" s="253"/>
    </row>
    <row r="2110" spans="1:31">
      <c r="A2110" s="33">
        <v>2109</v>
      </c>
      <c r="B2110" s="69" t="s">
        <v>979</v>
      </c>
      <c r="C2110" s="69" t="s">
        <v>980</v>
      </c>
      <c r="D2110" s="56">
        <v>43054</v>
      </c>
      <c r="E2110" s="33" t="s">
        <v>724</v>
      </c>
      <c r="F2110" s="69" t="s">
        <v>725</v>
      </c>
      <c r="G2110" s="69" t="str">
        <f t="shared" si="32"/>
        <v>Both</v>
      </c>
      <c r="H2110" s="69" t="s">
        <v>493</v>
      </c>
      <c r="I2110" s="69" t="s">
        <v>981</v>
      </c>
      <c r="J2110" s="69" t="s">
        <v>979</v>
      </c>
      <c r="K2110" s="69" t="s">
        <v>988</v>
      </c>
      <c r="L2110" s="253">
        <v>0.56999999999999995</v>
      </c>
      <c r="M2110" s="253">
        <v>0.57999999999999996</v>
      </c>
      <c r="N2110" s="253">
        <v>0.51</v>
      </c>
      <c r="O2110" s="253">
        <v>0.55000000000000004</v>
      </c>
      <c r="P2110" s="253">
        <v>0.59</v>
      </c>
      <c r="Q2110" s="253">
        <v>0.56999999999999995</v>
      </c>
      <c r="R2110" s="253">
        <v>0.62</v>
      </c>
      <c r="S2110" s="253">
        <v>0.51</v>
      </c>
      <c r="T2110" s="253">
        <v>0.63</v>
      </c>
      <c r="U2110" s="253">
        <v>0.6</v>
      </c>
      <c r="V2110" s="253">
        <v>0.49</v>
      </c>
      <c r="W2110" s="253">
        <v>0.56000000000000005</v>
      </c>
      <c r="X2110" s="253">
        <v>0.56000000000000005</v>
      </c>
      <c r="Y2110" s="253">
        <v>0.47</v>
      </c>
      <c r="Z2110" s="253"/>
      <c r="AA2110" s="253"/>
      <c r="AB2110" s="253"/>
      <c r="AC2110" s="253"/>
      <c r="AD2110" s="253"/>
      <c r="AE2110" s="253"/>
    </row>
    <row r="2111" spans="1:31">
      <c r="A2111" s="33">
        <v>2110</v>
      </c>
      <c r="B2111" s="69" t="s">
        <v>979</v>
      </c>
      <c r="C2111" s="69" t="s">
        <v>980</v>
      </c>
      <c r="D2111" s="56">
        <v>43054</v>
      </c>
      <c r="E2111" s="33" t="s">
        <v>724</v>
      </c>
      <c r="F2111" s="69" t="s">
        <v>725</v>
      </c>
      <c r="G2111" s="69" t="str">
        <f t="shared" si="32"/>
        <v>Both</v>
      </c>
      <c r="H2111" s="69" t="s">
        <v>493</v>
      </c>
      <c r="I2111" s="69" t="s">
        <v>981</v>
      </c>
      <c r="J2111" s="69" t="s">
        <v>979</v>
      </c>
      <c r="K2111" s="69" t="s">
        <v>989</v>
      </c>
      <c r="L2111" s="253">
        <v>0.55000000000000004</v>
      </c>
      <c r="M2111" s="253">
        <v>0.57999999999999996</v>
      </c>
      <c r="N2111" s="253">
        <v>0.5</v>
      </c>
      <c r="O2111" s="253">
        <v>0.49</v>
      </c>
      <c r="P2111" s="253">
        <v>0.57999999999999996</v>
      </c>
      <c r="Q2111" s="253">
        <v>0.59</v>
      </c>
      <c r="R2111" s="253">
        <v>0.64</v>
      </c>
      <c r="S2111" s="253">
        <v>0.57999999999999996</v>
      </c>
      <c r="T2111" s="253">
        <v>0.56999999999999995</v>
      </c>
      <c r="U2111" s="253">
        <v>0.59</v>
      </c>
      <c r="V2111" s="253">
        <v>0.5</v>
      </c>
      <c r="W2111" s="253">
        <v>0.49</v>
      </c>
      <c r="X2111" s="253">
        <v>0.46</v>
      </c>
      <c r="Y2111" s="253">
        <v>0.44</v>
      </c>
      <c r="Z2111" s="253"/>
      <c r="AA2111" s="253"/>
      <c r="AB2111" s="253"/>
      <c r="AC2111" s="253"/>
      <c r="AD2111" s="253"/>
      <c r="AE2111" s="253"/>
    </row>
    <row r="2112" spans="1:31">
      <c r="A2112" s="33">
        <v>2111</v>
      </c>
      <c r="B2112" s="69" t="s">
        <v>979</v>
      </c>
      <c r="C2112" s="69" t="s">
        <v>980</v>
      </c>
      <c r="D2112" s="56">
        <v>43054</v>
      </c>
      <c r="E2112" s="33" t="s">
        <v>724</v>
      </c>
      <c r="F2112" s="69" t="s">
        <v>725</v>
      </c>
      <c r="G2112" s="69" t="str">
        <f t="shared" si="32"/>
        <v>E-Commerce</v>
      </c>
      <c r="H2112" s="69" t="s">
        <v>493</v>
      </c>
      <c r="I2112" s="69" t="s">
        <v>981</v>
      </c>
      <c r="J2112" s="69" t="s">
        <v>979</v>
      </c>
      <c r="K2112" s="69" t="s">
        <v>990</v>
      </c>
      <c r="L2112" s="253">
        <v>0.54</v>
      </c>
      <c r="M2112" s="253">
        <v>0.55000000000000004</v>
      </c>
      <c r="N2112" s="253">
        <v>0.47</v>
      </c>
      <c r="O2112" s="253">
        <v>0.52</v>
      </c>
      <c r="P2112" s="253">
        <v>0.55000000000000004</v>
      </c>
      <c r="Q2112" s="253">
        <v>0.56999999999999995</v>
      </c>
      <c r="R2112" s="253">
        <v>0.52</v>
      </c>
      <c r="S2112" s="253">
        <v>0.53</v>
      </c>
      <c r="T2112" s="253">
        <v>0.51</v>
      </c>
      <c r="U2112" s="253">
        <v>0.61</v>
      </c>
      <c r="V2112" s="253">
        <v>0.47</v>
      </c>
      <c r="W2112" s="253"/>
      <c r="X2112" s="253">
        <v>0.52</v>
      </c>
      <c r="Y2112" s="253">
        <v>0.5</v>
      </c>
      <c r="Z2112" s="253"/>
      <c r="AA2112" s="253"/>
      <c r="AB2112" s="253"/>
      <c r="AC2112" s="253"/>
      <c r="AD2112" s="253"/>
      <c r="AE2112" s="253"/>
    </row>
    <row r="2113" spans="1:31">
      <c r="A2113" s="33">
        <v>2112</v>
      </c>
      <c r="B2113" s="69" t="s">
        <v>979</v>
      </c>
      <c r="C2113" s="69" t="s">
        <v>980</v>
      </c>
      <c r="D2113" s="56">
        <v>43054</v>
      </c>
      <c r="E2113" s="33" t="s">
        <v>724</v>
      </c>
      <c r="F2113" s="69" t="s">
        <v>725</v>
      </c>
      <c r="G2113" s="69" t="str">
        <f t="shared" si="32"/>
        <v>E-Commerce</v>
      </c>
      <c r="H2113" s="69" t="s">
        <v>493</v>
      </c>
      <c r="I2113" s="69" t="s">
        <v>981</v>
      </c>
      <c r="J2113" s="69" t="s">
        <v>979</v>
      </c>
      <c r="K2113" s="69" t="s">
        <v>991</v>
      </c>
      <c r="L2113" s="253">
        <v>0.54</v>
      </c>
      <c r="M2113" s="253">
        <v>0.55000000000000004</v>
      </c>
      <c r="N2113" s="253">
        <v>0.46</v>
      </c>
      <c r="O2113" s="253">
        <v>0.51</v>
      </c>
      <c r="P2113" s="253">
        <v>0.55000000000000004</v>
      </c>
      <c r="Q2113" s="253">
        <v>0.59</v>
      </c>
      <c r="R2113" s="253">
        <v>0.56000000000000005</v>
      </c>
      <c r="S2113" s="253">
        <v>0.46</v>
      </c>
      <c r="T2113" s="253">
        <v>0.5</v>
      </c>
      <c r="U2113" s="253">
        <v>0.6</v>
      </c>
      <c r="V2113" s="253">
        <v>0.46</v>
      </c>
      <c r="W2113" s="253"/>
      <c r="X2113" s="253">
        <v>0.5</v>
      </c>
      <c r="Y2113" s="253">
        <v>0.51</v>
      </c>
      <c r="Z2113" s="253"/>
      <c r="AA2113" s="253"/>
      <c r="AB2113" s="253"/>
      <c r="AC2113" s="253"/>
      <c r="AD2113" s="253"/>
      <c r="AE2113" s="253"/>
    </row>
    <row r="2114" spans="1:31">
      <c r="A2114" s="33">
        <v>2113</v>
      </c>
      <c r="B2114" s="69" t="s">
        <v>979</v>
      </c>
      <c r="C2114" s="69" t="s">
        <v>980</v>
      </c>
      <c r="D2114" s="56">
        <v>43054</v>
      </c>
      <c r="E2114" s="33" t="s">
        <v>724</v>
      </c>
      <c r="F2114" s="69" t="s">
        <v>725</v>
      </c>
      <c r="G2114" s="69" t="str">
        <f t="shared" ref="G2114:G2177" si="33">IF(V2114&gt;0,IF(W2114&gt;0,"Both","E-Commerce"),IF(W2114=0, "ERROR","User Registration"))</f>
        <v>Both</v>
      </c>
      <c r="H2114" s="69" t="s">
        <v>493</v>
      </c>
      <c r="I2114" s="69" t="s">
        <v>974</v>
      </c>
      <c r="J2114" s="69" t="s">
        <v>979</v>
      </c>
      <c r="K2114" s="69" t="s">
        <v>992</v>
      </c>
      <c r="L2114" s="253">
        <v>0.59</v>
      </c>
      <c r="M2114" s="253">
        <v>0.65</v>
      </c>
      <c r="N2114" s="253">
        <v>0.56999999999999995</v>
      </c>
      <c r="O2114" s="253">
        <v>0.61</v>
      </c>
      <c r="P2114" s="253">
        <v>0.59</v>
      </c>
      <c r="Q2114" s="253">
        <v>0.68</v>
      </c>
      <c r="R2114" s="253">
        <v>0.7</v>
      </c>
      <c r="S2114" s="253">
        <v>0.56000000000000005</v>
      </c>
      <c r="T2114" s="253">
        <v>0.7</v>
      </c>
      <c r="U2114" s="253">
        <v>0.64</v>
      </c>
      <c r="V2114" s="253">
        <v>0.54</v>
      </c>
      <c r="W2114" s="253">
        <v>0.7</v>
      </c>
      <c r="X2114" s="253">
        <v>0.6</v>
      </c>
      <c r="Y2114" s="253">
        <v>0.56000000000000005</v>
      </c>
      <c r="Z2114" s="253"/>
      <c r="AA2114" s="253"/>
      <c r="AB2114" s="253"/>
      <c r="AC2114" s="253"/>
      <c r="AD2114" s="253"/>
      <c r="AE2114" s="253"/>
    </row>
    <row r="2115" spans="1:31">
      <c r="A2115" s="33">
        <v>2114</v>
      </c>
      <c r="B2115" s="69" t="s">
        <v>979</v>
      </c>
      <c r="C2115" s="69" t="s">
        <v>980</v>
      </c>
      <c r="D2115" s="56">
        <v>43054</v>
      </c>
      <c r="E2115" s="33" t="s">
        <v>724</v>
      </c>
      <c r="F2115" s="69" t="s">
        <v>725</v>
      </c>
      <c r="G2115" s="69" t="str">
        <f t="shared" si="33"/>
        <v>Both</v>
      </c>
      <c r="H2115" s="69" t="s">
        <v>493</v>
      </c>
      <c r="I2115" s="69" t="s">
        <v>974</v>
      </c>
      <c r="J2115" s="69" t="s">
        <v>979</v>
      </c>
      <c r="K2115" s="69" t="s">
        <v>993</v>
      </c>
      <c r="L2115" s="253">
        <v>0.56000000000000005</v>
      </c>
      <c r="M2115" s="253">
        <v>0.63</v>
      </c>
      <c r="N2115" s="253">
        <v>0.62</v>
      </c>
      <c r="O2115" s="253">
        <v>0.62</v>
      </c>
      <c r="P2115" s="253">
        <v>0.56000000000000005</v>
      </c>
      <c r="Q2115" s="253">
        <v>0.62</v>
      </c>
      <c r="R2115" s="253">
        <v>0.64</v>
      </c>
      <c r="S2115" s="253">
        <v>0.59</v>
      </c>
      <c r="T2115" s="253">
        <v>0.64</v>
      </c>
      <c r="U2115" s="253">
        <v>0.67</v>
      </c>
      <c r="V2115" s="253">
        <v>0.6</v>
      </c>
      <c r="W2115" s="253">
        <v>0.69</v>
      </c>
      <c r="X2115" s="253">
        <v>0.63</v>
      </c>
      <c r="Y2115" s="253">
        <v>0.59</v>
      </c>
      <c r="Z2115" s="253"/>
      <c r="AA2115" s="253"/>
      <c r="AB2115" s="253"/>
      <c r="AC2115" s="253"/>
      <c r="AD2115" s="253"/>
      <c r="AE2115" s="253"/>
    </row>
    <row r="2116" spans="1:31">
      <c r="A2116" s="33">
        <v>2115</v>
      </c>
      <c r="B2116" s="69" t="s">
        <v>979</v>
      </c>
      <c r="C2116" s="69" t="s">
        <v>980</v>
      </c>
      <c r="D2116" s="56">
        <v>43054</v>
      </c>
      <c r="E2116" s="33" t="s">
        <v>724</v>
      </c>
      <c r="F2116" s="69" t="s">
        <v>725</v>
      </c>
      <c r="G2116" s="69" t="str">
        <f t="shared" si="33"/>
        <v>Both</v>
      </c>
      <c r="H2116" s="69" t="s">
        <v>493</v>
      </c>
      <c r="I2116" s="69" t="s">
        <v>974</v>
      </c>
      <c r="J2116" s="69" t="s">
        <v>979</v>
      </c>
      <c r="K2116" s="69" t="s">
        <v>994</v>
      </c>
      <c r="L2116" s="253">
        <v>0.59</v>
      </c>
      <c r="M2116" s="253">
        <v>0.61</v>
      </c>
      <c r="N2116" s="253">
        <v>0.62</v>
      </c>
      <c r="O2116" s="253">
        <v>0.59</v>
      </c>
      <c r="P2116" s="253">
        <v>0.57999999999999996</v>
      </c>
      <c r="Q2116" s="253">
        <v>0.63</v>
      </c>
      <c r="R2116" s="253">
        <v>0.63</v>
      </c>
      <c r="S2116" s="253">
        <v>0.52</v>
      </c>
      <c r="T2116" s="253">
        <v>0.64</v>
      </c>
      <c r="U2116" s="253">
        <v>0.62</v>
      </c>
      <c r="V2116" s="253">
        <v>0.62</v>
      </c>
      <c r="W2116" s="253">
        <v>0.6</v>
      </c>
      <c r="X2116" s="253">
        <v>0.56999999999999995</v>
      </c>
      <c r="Y2116" s="253">
        <v>0.63</v>
      </c>
      <c r="Z2116" s="253"/>
      <c r="AA2116" s="253"/>
      <c r="AB2116" s="253"/>
      <c r="AC2116" s="253"/>
      <c r="AD2116" s="253"/>
      <c r="AE2116" s="253"/>
    </row>
    <row r="2117" spans="1:31">
      <c r="A2117" s="33">
        <v>2116</v>
      </c>
      <c r="B2117" s="69" t="s">
        <v>979</v>
      </c>
      <c r="C2117" s="69" t="s">
        <v>980</v>
      </c>
      <c r="D2117" s="56">
        <v>43054</v>
      </c>
      <c r="E2117" s="33" t="s">
        <v>724</v>
      </c>
      <c r="F2117" s="69" t="s">
        <v>725</v>
      </c>
      <c r="G2117" s="69" t="str">
        <f t="shared" si="33"/>
        <v>Both</v>
      </c>
      <c r="H2117" s="69" t="s">
        <v>493</v>
      </c>
      <c r="I2117" s="69" t="s">
        <v>974</v>
      </c>
      <c r="J2117" s="69" t="s">
        <v>979</v>
      </c>
      <c r="K2117" s="69" t="s">
        <v>995</v>
      </c>
      <c r="L2117" s="253">
        <v>0.56999999999999995</v>
      </c>
      <c r="M2117" s="253">
        <v>0.63</v>
      </c>
      <c r="N2117" s="253">
        <v>0.59</v>
      </c>
      <c r="O2117" s="253">
        <v>0.6</v>
      </c>
      <c r="P2117" s="253">
        <v>0.56000000000000005</v>
      </c>
      <c r="Q2117" s="253">
        <v>0.6</v>
      </c>
      <c r="R2117" s="253">
        <v>0.67</v>
      </c>
      <c r="S2117" s="253">
        <v>0.62</v>
      </c>
      <c r="T2117" s="253">
        <v>0.66</v>
      </c>
      <c r="U2117" s="253">
        <v>0.63</v>
      </c>
      <c r="V2117" s="253">
        <v>0.57999999999999996</v>
      </c>
      <c r="W2117" s="253">
        <v>0.61</v>
      </c>
      <c r="X2117" s="253">
        <v>0.59</v>
      </c>
      <c r="Y2117" s="253">
        <v>0.56999999999999995</v>
      </c>
      <c r="Z2117" s="253"/>
      <c r="AA2117" s="253"/>
      <c r="AB2117" s="253"/>
      <c r="AC2117" s="253"/>
      <c r="AD2117" s="253"/>
      <c r="AE2117" s="253"/>
    </row>
    <row r="2118" spans="1:31">
      <c r="A2118" s="33">
        <v>2117</v>
      </c>
      <c r="B2118" s="69" t="s">
        <v>979</v>
      </c>
      <c r="C2118" s="69" t="s">
        <v>980</v>
      </c>
      <c r="D2118" s="56">
        <v>43054</v>
      </c>
      <c r="E2118" s="33" t="s">
        <v>724</v>
      </c>
      <c r="F2118" s="69" t="s">
        <v>725</v>
      </c>
      <c r="G2118" s="69" t="str">
        <f t="shared" si="33"/>
        <v>Both</v>
      </c>
      <c r="H2118" s="69" t="s">
        <v>493</v>
      </c>
      <c r="I2118" s="69" t="s">
        <v>974</v>
      </c>
      <c r="J2118" s="69" t="s">
        <v>979</v>
      </c>
      <c r="K2118" s="69" t="s">
        <v>996</v>
      </c>
      <c r="L2118" s="253">
        <v>0.56000000000000005</v>
      </c>
      <c r="M2118" s="253">
        <v>0.63</v>
      </c>
      <c r="N2118" s="253">
        <v>0.56999999999999995</v>
      </c>
      <c r="O2118" s="253">
        <v>0.57999999999999996</v>
      </c>
      <c r="P2118" s="253">
        <v>0.56000000000000005</v>
      </c>
      <c r="Q2118" s="253">
        <v>0.64</v>
      </c>
      <c r="R2118" s="253">
        <v>0.66</v>
      </c>
      <c r="S2118" s="253">
        <v>0.56999999999999995</v>
      </c>
      <c r="T2118" s="253">
        <v>0.67</v>
      </c>
      <c r="U2118" s="253">
        <v>0.65</v>
      </c>
      <c r="V2118" s="253">
        <v>0.55000000000000004</v>
      </c>
      <c r="W2118" s="253">
        <v>0.66</v>
      </c>
      <c r="X2118" s="253">
        <v>0.56999999999999995</v>
      </c>
      <c r="Y2118" s="253">
        <v>0.56999999999999995</v>
      </c>
      <c r="Z2118" s="253"/>
      <c r="AA2118" s="253"/>
      <c r="AB2118" s="253"/>
      <c r="AC2118" s="253"/>
      <c r="AD2118" s="253"/>
      <c r="AE2118" s="253"/>
    </row>
    <row r="2119" spans="1:31">
      <c r="A2119" s="33">
        <v>2118</v>
      </c>
      <c r="B2119" s="69" t="s">
        <v>979</v>
      </c>
      <c r="C2119" s="69" t="s">
        <v>980</v>
      </c>
      <c r="D2119" s="56">
        <v>43054</v>
      </c>
      <c r="E2119" s="33" t="s">
        <v>724</v>
      </c>
      <c r="F2119" s="69" t="s">
        <v>725</v>
      </c>
      <c r="G2119" s="69" t="str">
        <f t="shared" si="33"/>
        <v>Both</v>
      </c>
      <c r="H2119" s="69" t="s">
        <v>493</v>
      </c>
      <c r="I2119" s="69" t="s">
        <v>974</v>
      </c>
      <c r="J2119" s="69" t="s">
        <v>979</v>
      </c>
      <c r="K2119" s="69" t="s">
        <v>997</v>
      </c>
      <c r="L2119" s="253">
        <v>0.56999999999999995</v>
      </c>
      <c r="M2119" s="253">
        <v>0.6</v>
      </c>
      <c r="N2119" s="253">
        <v>0.56999999999999995</v>
      </c>
      <c r="O2119" s="253">
        <v>0.56999999999999995</v>
      </c>
      <c r="P2119" s="253">
        <v>0.57999999999999996</v>
      </c>
      <c r="Q2119" s="253">
        <v>0.56999999999999995</v>
      </c>
      <c r="R2119" s="253">
        <v>0.66</v>
      </c>
      <c r="S2119" s="253">
        <v>0.54</v>
      </c>
      <c r="T2119" s="253">
        <v>0.63</v>
      </c>
      <c r="U2119" s="253">
        <v>0.61</v>
      </c>
      <c r="V2119" s="253">
        <v>0.54</v>
      </c>
      <c r="W2119" s="253">
        <v>0.68</v>
      </c>
      <c r="X2119" s="253">
        <v>0.55000000000000004</v>
      </c>
      <c r="Y2119" s="253">
        <v>0.55000000000000004</v>
      </c>
      <c r="Z2119" s="253"/>
      <c r="AA2119" s="253"/>
      <c r="AB2119" s="253"/>
      <c r="AC2119" s="253"/>
      <c r="AD2119" s="253"/>
      <c r="AE2119" s="253"/>
    </row>
    <row r="2120" spans="1:31">
      <c r="A2120" s="33">
        <v>2119</v>
      </c>
      <c r="B2120" s="69" t="s">
        <v>979</v>
      </c>
      <c r="C2120" s="69" t="s">
        <v>980</v>
      </c>
      <c r="D2120" s="56">
        <v>43054</v>
      </c>
      <c r="E2120" s="33" t="s">
        <v>724</v>
      </c>
      <c r="F2120" s="69" t="s">
        <v>725</v>
      </c>
      <c r="G2120" s="69" t="str">
        <f t="shared" si="33"/>
        <v>Both</v>
      </c>
      <c r="H2120" s="69" t="s">
        <v>493</v>
      </c>
      <c r="I2120" s="69" t="s">
        <v>974</v>
      </c>
      <c r="J2120" s="69" t="s">
        <v>979</v>
      </c>
      <c r="K2120" s="69" t="s">
        <v>998</v>
      </c>
      <c r="L2120" s="253">
        <v>0.55000000000000004</v>
      </c>
      <c r="M2120" s="253">
        <v>0.6</v>
      </c>
      <c r="N2120" s="253">
        <v>0.56999999999999995</v>
      </c>
      <c r="O2120" s="253">
        <v>0.55000000000000004</v>
      </c>
      <c r="P2120" s="253">
        <v>0.54</v>
      </c>
      <c r="Q2120" s="253">
        <v>0.53</v>
      </c>
      <c r="R2120" s="253">
        <v>0.65</v>
      </c>
      <c r="S2120" s="253">
        <v>0.6</v>
      </c>
      <c r="T2120" s="253">
        <v>0.63</v>
      </c>
      <c r="U2120" s="253">
        <v>0.61</v>
      </c>
      <c r="V2120" s="253">
        <v>0.55000000000000004</v>
      </c>
      <c r="W2120" s="253">
        <v>0.64</v>
      </c>
      <c r="X2120" s="253">
        <v>0.52</v>
      </c>
      <c r="Y2120" s="253">
        <v>0.56000000000000005</v>
      </c>
      <c r="Z2120" s="253"/>
      <c r="AA2120" s="253"/>
      <c r="AB2120" s="253"/>
      <c r="AC2120" s="253"/>
      <c r="AD2120" s="253"/>
      <c r="AE2120" s="253"/>
    </row>
    <row r="2121" spans="1:31">
      <c r="A2121" s="33">
        <v>2120</v>
      </c>
      <c r="B2121" s="69" t="s">
        <v>979</v>
      </c>
      <c r="C2121" s="69" t="s">
        <v>980</v>
      </c>
      <c r="D2121" s="56">
        <v>43054</v>
      </c>
      <c r="E2121" s="33" t="s">
        <v>724</v>
      </c>
      <c r="F2121" s="69" t="s">
        <v>725</v>
      </c>
      <c r="G2121" s="69" t="str">
        <f t="shared" si="33"/>
        <v>Both</v>
      </c>
      <c r="H2121" s="69" t="s">
        <v>493</v>
      </c>
      <c r="I2121" s="69" t="s">
        <v>974</v>
      </c>
      <c r="J2121" s="69" t="s">
        <v>979</v>
      </c>
      <c r="K2121" s="69" t="s">
        <v>986</v>
      </c>
      <c r="L2121" s="253">
        <v>0.56999999999999995</v>
      </c>
      <c r="M2121" s="253">
        <v>0.59</v>
      </c>
      <c r="N2121" s="253">
        <v>0.56000000000000005</v>
      </c>
      <c r="O2121" s="253">
        <v>0.54</v>
      </c>
      <c r="P2121" s="253">
        <v>0.57999999999999996</v>
      </c>
      <c r="Q2121" s="253">
        <v>0.56000000000000005</v>
      </c>
      <c r="R2121" s="253">
        <v>0.62</v>
      </c>
      <c r="S2121" s="253">
        <v>0.59</v>
      </c>
      <c r="T2121" s="253">
        <v>0.59</v>
      </c>
      <c r="U2121" s="253">
        <v>0.61</v>
      </c>
      <c r="V2121" s="253">
        <v>0.53</v>
      </c>
      <c r="W2121" s="253">
        <v>0.68</v>
      </c>
      <c r="X2121" s="253">
        <v>0.52</v>
      </c>
      <c r="Y2121" s="253">
        <v>0.53</v>
      </c>
      <c r="Z2121" s="253"/>
      <c r="AA2121" s="253"/>
      <c r="AB2121" s="253"/>
      <c r="AC2121" s="253"/>
      <c r="AD2121" s="253"/>
      <c r="AE2121" s="253"/>
    </row>
    <row r="2122" spans="1:31">
      <c r="A2122" s="33">
        <v>2121</v>
      </c>
      <c r="B2122" s="69" t="s">
        <v>979</v>
      </c>
      <c r="C2122" s="69" t="s">
        <v>980</v>
      </c>
      <c r="D2122" s="56">
        <v>43054</v>
      </c>
      <c r="E2122" s="33" t="s">
        <v>724</v>
      </c>
      <c r="F2122" s="69" t="s">
        <v>725</v>
      </c>
      <c r="G2122" s="69" t="str">
        <f t="shared" si="33"/>
        <v>User Registration</v>
      </c>
      <c r="H2122" s="69" t="s">
        <v>493</v>
      </c>
      <c r="I2122" s="69" t="s">
        <v>999</v>
      </c>
      <c r="J2122" s="69" t="s">
        <v>979</v>
      </c>
      <c r="K2122" s="69" t="s">
        <v>1000</v>
      </c>
      <c r="L2122" s="253">
        <v>0.64</v>
      </c>
      <c r="M2122" s="253">
        <v>0.6</v>
      </c>
      <c r="N2122" s="253">
        <v>0.64</v>
      </c>
      <c r="O2122" s="253">
        <v>0.59</v>
      </c>
      <c r="P2122" s="253">
        <v>0.65</v>
      </c>
      <c r="Q2122" s="253">
        <v>0.62</v>
      </c>
      <c r="R2122" s="253">
        <v>0.6</v>
      </c>
      <c r="S2122" s="253">
        <v>0.55000000000000004</v>
      </c>
      <c r="T2122" s="253">
        <v>0.61</v>
      </c>
      <c r="U2122" s="253">
        <v>0.63</v>
      </c>
      <c r="V2122" s="253"/>
      <c r="W2122" s="253">
        <v>0.59</v>
      </c>
      <c r="X2122" s="253">
        <v>0.67</v>
      </c>
      <c r="Y2122" s="253">
        <v>0.56999999999999995</v>
      </c>
      <c r="Z2122" s="253">
        <v>0.63</v>
      </c>
      <c r="AA2122" s="253"/>
      <c r="AB2122" s="253"/>
      <c r="AC2122" s="253"/>
      <c r="AD2122" s="253"/>
      <c r="AE2122" s="253"/>
    </row>
    <row r="2123" spans="1:31">
      <c r="A2123" s="33">
        <v>2122</v>
      </c>
      <c r="B2123" s="69" t="s">
        <v>979</v>
      </c>
      <c r="C2123" s="69" t="s">
        <v>980</v>
      </c>
      <c r="D2123" s="56">
        <v>43054</v>
      </c>
      <c r="E2123" s="33" t="s">
        <v>724</v>
      </c>
      <c r="F2123" s="69" t="s">
        <v>725</v>
      </c>
      <c r="G2123" s="69" t="str">
        <f t="shared" si="33"/>
        <v>User Registration</v>
      </c>
      <c r="H2123" s="69" t="s">
        <v>493</v>
      </c>
      <c r="I2123" s="69" t="s">
        <v>999</v>
      </c>
      <c r="J2123" s="69" t="s">
        <v>979</v>
      </c>
      <c r="K2123" s="69" t="s">
        <v>1001</v>
      </c>
      <c r="L2123" s="253">
        <v>0.66</v>
      </c>
      <c r="M2123" s="253">
        <v>0.57999999999999996</v>
      </c>
      <c r="N2123" s="253">
        <v>0.52</v>
      </c>
      <c r="O2123" s="253">
        <v>0.56999999999999995</v>
      </c>
      <c r="P2123" s="253">
        <v>0.66</v>
      </c>
      <c r="Q2123" s="253">
        <v>0.66</v>
      </c>
      <c r="R2123" s="253">
        <v>0.56000000000000005</v>
      </c>
      <c r="S2123" s="253">
        <v>0.54</v>
      </c>
      <c r="T2123" s="253">
        <v>0.56000000000000005</v>
      </c>
      <c r="U2123" s="253">
        <v>0.55000000000000004</v>
      </c>
      <c r="V2123" s="253"/>
      <c r="W2123" s="253">
        <v>0.52</v>
      </c>
      <c r="X2123" s="253"/>
      <c r="Y2123" s="253">
        <v>0.53</v>
      </c>
      <c r="Z2123" s="253">
        <v>0.7</v>
      </c>
      <c r="AA2123" s="253"/>
      <c r="AB2123" s="253"/>
      <c r="AC2123" s="253"/>
      <c r="AD2123" s="253"/>
      <c r="AE2123" s="253"/>
    </row>
    <row r="2124" spans="1:31">
      <c r="A2124" s="33">
        <v>2123</v>
      </c>
      <c r="B2124" s="69" t="s">
        <v>979</v>
      </c>
      <c r="C2124" s="69" t="s">
        <v>980</v>
      </c>
      <c r="D2124" s="56">
        <v>43054</v>
      </c>
      <c r="E2124" s="33" t="s">
        <v>724</v>
      </c>
      <c r="F2124" s="69" t="s">
        <v>725</v>
      </c>
      <c r="G2124" s="69" t="str">
        <f t="shared" si="33"/>
        <v>User Registration</v>
      </c>
      <c r="H2124" s="69" t="s">
        <v>493</v>
      </c>
      <c r="I2124" s="69" t="s">
        <v>999</v>
      </c>
      <c r="J2124" s="69" t="s">
        <v>979</v>
      </c>
      <c r="K2124" s="69" t="s">
        <v>1002</v>
      </c>
      <c r="L2124" s="253">
        <v>0.57999999999999996</v>
      </c>
      <c r="M2124" s="253">
        <v>0.59</v>
      </c>
      <c r="N2124" s="253">
        <v>0.59</v>
      </c>
      <c r="O2124" s="253">
        <v>0.54</v>
      </c>
      <c r="P2124" s="253">
        <v>0.6</v>
      </c>
      <c r="Q2124" s="253">
        <v>0.65</v>
      </c>
      <c r="R2124" s="253">
        <v>0.65</v>
      </c>
      <c r="S2124" s="253">
        <v>0.48</v>
      </c>
      <c r="T2124" s="253">
        <v>0.56000000000000005</v>
      </c>
      <c r="U2124" s="253">
        <v>0.62</v>
      </c>
      <c r="V2124" s="253"/>
      <c r="W2124" s="253">
        <v>0.59</v>
      </c>
      <c r="X2124" s="253"/>
      <c r="Y2124" s="253">
        <v>0.54</v>
      </c>
      <c r="Z2124" s="253">
        <v>0.47</v>
      </c>
      <c r="AA2124" s="253"/>
      <c r="AB2124" s="253"/>
      <c r="AC2124" s="253"/>
      <c r="AD2124" s="253"/>
      <c r="AE2124" s="253"/>
    </row>
    <row r="2125" spans="1:31">
      <c r="A2125" s="33">
        <v>2124</v>
      </c>
      <c r="B2125" s="69" t="s">
        <v>979</v>
      </c>
      <c r="C2125" s="69" t="s">
        <v>980</v>
      </c>
      <c r="D2125" s="56">
        <v>43054</v>
      </c>
      <c r="E2125" s="33" t="s">
        <v>724</v>
      </c>
      <c r="F2125" s="69" t="s">
        <v>725</v>
      </c>
      <c r="G2125" s="69" t="str">
        <f t="shared" si="33"/>
        <v>User Registration</v>
      </c>
      <c r="H2125" s="69" t="s">
        <v>493</v>
      </c>
      <c r="I2125" s="69" t="s">
        <v>999</v>
      </c>
      <c r="J2125" s="69" t="s">
        <v>979</v>
      </c>
      <c r="K2125" s="69" t="s">
        <v>1003</v>
      </c>
      <c r="L2125" s="253">
        <v>0.61</v>
      </c>
      <c r="M2125" s="253">
        <v>0.56000000000000005</v>
      </c>
      <c r="N2125" s="253">
        <v>0.56999999999999995</v>
      </c>
      <c r="O2125" s="253">
        <v>0.53</v>
      </c>
      <c r="P2125" s="253">
        <v>0.62</v>
      </c>
      <c r="Q2125" s="253">
        <v>0.6</v>
      </c>
      <c r="R2125" s="253">
        <v>0.56000000000000005</v>
      </c>
      <c r="S2125" s="253">
        <v>0.51</v>
      </c>
      <c r="T2125" s="253">
        <v>0.56000000000000005</v>
      </c>
      <c r="U2125" s="253">
        <v>0.57999999999999996</v>
      </c>
      <c r="V2125" s="253"/>
      <c r="W2125" s="253">
        <v>0.56999999999999995</v>
      </c>
      <c r="X2125" s="253"/>
      <c r="Y2125" s="253">
        <v>0.5</v>
      </c>
      <c r="Z2125" s="253">
        <v>0.6</v>
      </c>
      <c r="AA2125" s="253"/>
      <c r="AB2125" s="253"/>
      <c r="AC2125" s="253"/>
      <c r="AD2125" s="253"/>
      <c r="AE2125" s="253"/>
    </row>
    <row r="2126" spans="1:31">
      <c r="A2126" s="33">
        <v>2125</v>
      </c>
      <c r="B2126" s="69" t="s">
        <v>979</v>
      </c>
      <c r="C2126" s="69" t="s">
        <v>980</v>
      </c>
      <c r="D2126" s="56">
        <v>43054</v>
      </c>
      <c r="E2126" s="33" t="s">
        <v>724</v>
      </c>
      <c r="F2126" s="69" t="s">
        <v>725</v>
      </c>
      <c r="G2126" s="69" t="str">
        <f t="shared" si="33"/>
        <v>E-Commerce</v>
      </c>
      <c r="H2126" s="69" t="s">
        <v>493</v>
      </c>
      <c r="I2126" s="69" t="s">
        <v>999</v>
      </c>
      <c r="J2126" s="69" t="s">
        <v>979</v>
      </c>
      <c r="K2126" s="69" t="s">
        <v>1004</v>
      </c>
      <c r="L2126" s="253">
        <v>0.54</v>
      </c>
      <c r="M2126" s="253">
        <v>0.61</v>
      </c>
      <c r="N2126" s="253">
        <v>0.54</v>
      </c>
      <c r="O2126" s="253">
        <v>0.56999999999999995</v>
      </c>
      <c r="P2126" s="253">
        <v>0.55000000000000004</v>
      </c>
      <c r="Q2126" s="253">
        <v>0.65</v>
      </c>
      <c r="R2126" s="253">
        <v>0.65</v>
      </c>
      <c r="S2126" s="253">
        <v>0.55000000000000004</v>
      </c>
      <c r="T2126" s="253">
        <v>0.62</v>
      </c>
      <c r="U2126" s="253">
        <v>0.6</v>
      </c>
      <c r="V2126" s="253">
        <v>0.54</v>
      </c>
      <c r="W2126" s="253"/>
      <c r="X2126" s="253"/>
      <c r="Y2126" s="253">
        <v>0.55000000000000004</v>
      </c>
      <c r="Z2126" s="253">
        <v>0.52</v>
      </c>
      <c r="AA2126" s="253"/>
      <c r="AB2126" s="253"/>
      <c r="AC2126" s="253"/>
      <c r="AD2126" s="253"/>
      <c r="AE2126" s="253"/>
    </row>
    <row r="2127" spans="1:31">
      <c r="A2127" s="33">
        <v>2126</v>
      </c>
      <c r="B2127" s="69" t="s">
        <v>979</v>
      </c>
      <c r="C2127" s="69" t="s">
        <v>980</v>
      </c>
      <c r="D2127" s="56">
        <v>43054</v>
      </c>
      <c r="E2127" s="33" t="s">
        <v>724</v>
      </c>
      <c r="F2127" s="69" t="s">
        <v>725</v>
      </c>
      <c r="G2127" s="69" t="str">
        <f t="shared" si="33"/>
        <v>User Registration</v>
      </c>
      <c r="H2127" s="69" t="s">
        <v>493</v>
      </c>
      <c r="I2127" s="69" t="s">
        <v>999</v>
      </c>
      <c r="J2127" s="69" t="s">
        <v>979</v>
      </c>
      <c r="K2127" s="69" t="s">
        <v>1005</v>
      </c>
      <c r="L2127" s="253">
        <v>0.56999999999999995</v>
      </c>
      <c r="M2127" s="253">
        <v>0.56000000000000005</v>
      </c>
      <c r="N2127" s="253">
        <v>0.56999999999999995</v>
      </c>
      <c r="O2127" s="253">
        <v>0.56999999999999995</v>
      </c>
      <c r="P2127" s="253">
        <v>0.56999999999999995</v>
      </c>
      <c r="Q2127" s="253">
        <v>0.57999999999999996</v>
      </c>
      <c r="R2127" s="253">
        <v>0.54</v>
      </c>
      <c r="S2127" s="253">
        <v>0.55000000000000004</v>
      </c>
      <c r="T2127" s="253">
        <v>0.54</v>
      </c>
      <c r="U2127" s="253">
        <v>0.59</v>
      </c>
      <c r="V2127" s="253"/>
      <c r="W2127" s="253">
        <v>0.56999999999999995</v>
      </c>
      <c r="X2127" s="253"/>
      <c r="Y2127" s="253">
        <v>0.57999999999999996</v>
      </c>
      <c r="Z2127" s="253">
        <v>0.56000000000000005</v>
      </c>
      <c r="AA2127" s="253"/>
      <c r="AB2127" s="253"/>
      <c r="AC2127" s="253"/>
      <c r="AD2127" s="253"/>
      <c r="AE2127" s="253"/>
    </row>
    <row r="2128" spans="1:31">
      <c r="A2128" s="33">
        <v>2127</v>
      </c>
      <c r="B2128" s="69" t="s">
        <v>979</v>
      </c>
      <c r="C2128" s="69" t="s">
        <v>980</v>
      </c>
      <c r="D2128" s="56">
        <v>43054</v>
      </c>
      <c r="E2128" s="33" t="s">
        <v>724</v>
      </c>
      <c r="F2128" s="69" t="s">
        <v>725</v>
      </c>
      <c r="G2128" s="69" t="str">
        <f t="shared" si="33"/>
        <v>User Registration</v>
      </c>
      <c r="H2128" s="69" t="s">
        <v>493</v>
      </c>
      <c r="I2128" s="69" t="s">
        <v>999</v>
      </c>
      <c r="J2128" s="69" t="s">
        <v>979</v>
      </c>
      <c r="K2128" s="69" t="s">
        <v>1006</v>
      </c>
      <c r="L2128" s="253">
        <v>0.56999999999999995</v>
      </c>
      <c r="M2128" s="253">
        <v>0.55000000000000004</v>
      </c>
      <c r="N2128" s="253">
        <v>0.56000000000000005</v>
      </c>
      <c r="O2128" s="253">
        <v>0.54</v>
      </c>
      <c r="P2128" s="253">
        <v>0.57999999999999996</v>
      </c>
      <c r="Q2128" s="253">
        <v>0.56999999999999995</v>
      </c>
      <c r="R2128" s="253">
        <v>0.54</v>
      </c>
      <c r="S2128" s="253">
        <v>0.52</v>
      </c>
      <c r="T2128" s="253">
        <v>0.54</v>
      </c>
      <c r="U2128" s="253">
        <v>0.57999999999999996</v>
      </c>
      <c r="V2128" s="253"/>
      <c r="W2128" s="253">
        <v>0.56000000000000005</v>
      </c>
      <c r="X2128" s="253">
        <v>0.56000000000000005</v>
      </c>
      <c r="Y2128" s="253">
        <v>0.55000000000000004</v>
      </c>
      <c r="Z2128" s="253">
        <v>0.53</v>
      </c>
      <c r="AA2128" s="253"/>
      <c r="AB2128" s="253"/>
      <c r="AC2128" s="253"/>
      <c r="AD2128" s="253"/>
      <c r="AE2128" s="253"/>
    </row>
    <row r="2129" spans="1:31">
      <c r="A2129" s="33">
        <v>2128</v>
      </c>
      <c r="B2129" s="69" t="s">
        <v>979</v>
      </c>
      <c r="C2129" s="69" t="s">
        <v>980</v>
      </c>
      <c r="D2129" s="56">
        <v>43054</v>
      </c>
      <c r="E2129" s="33" t="s">
        <v>724</v>
      </c>
      <c r="F2129" s="69" t="s">
        <v>725</v>
      </c>
      <c r="G2129" s="69" t="str">
        <f t="shared" si="33"/>
        <v>User Registration</v>
      </c>
      <c r="H2129" s="69" t="s">
        <v>493</v>
      </c>
      <c r="I2129" s="69" t="s">
        <v>999</v>
      </c>
      <c r="J2129" s="69" t="s">
        <v>979</v>
      </c>
      <c r="K2129" s="69" t="s">
        <v>1007</v>
      </c>
      <c r="L2129" s="253">
        <v>0.61</v>
      </c>
      <c r="M2129" s="253">
        <v>0.56000000000000005</v>
      </c>
      <c r="N2129" s="253">
        <v>0.5</v>
      </c>
      <c r="O2129" s="253">
        <v>0.52</v>
      </c>
      <c r="P2129" s="253">
        <v>0.62</v>
      </c>
      <c r="Q2129" s="253">
        <v>0.64</v>
      </c>
      <c r="R2129" s="253">
        <v>0.54</v>
      </c>
      <c r="S2129" s="253">
        <v>0.48</v>
      </c>
      <c r="T2129" s="253">
        <v>0.54</v>
      </c>
      <c r="U2129" s="253">
        <v>0.56999999999999995</v>
      </c>
      <c r="V2129" s="253"/>
      <c r="W2129" s="253">
        <v>0.5</v>
      </c>
      <c r="X2129" s="253"/>
      <c r="Y2129" s="253">
        <v>0.48</v>
      </c>
      <c r="Z2129" s="253">
        <v>0.57999999999999996</v>
      </c>
      <c r="AA2129" s="253"/>
      <c r="AB2129" s="253"/>
      <c r="AC2129" s="253"/>
      <c r="AD2129" s="253"/>
      <c r="AE2129" s="253"/>
    </row>
    <row r="2130" spans="1:31">
      <c r="A2130" s="33">
        <v>2129</v>
      </c>
      <c r="B2130" s="69" t="s">
        <v>979</v>
      </c>
      <c r="C2130" s="69" t="s">
        <v>980</v>
      </c>
      <c r="D2130" s="56">
        <v>43054</v>
      </c>
      <c r="E2130" s="33" t="s">
        <v>724</v>
      </c>
      <c r="F2130" s="69" t="s">
        <v>725</v>
      </c>
      <c r="G2130" s="69" t="str">
        <f t="shared" si="33"/>
        <v>User Registration</v>
      </c>
      <c r="H2130" s="69" t="s">
        <v>493</v>
      </c>
      <c r="I2130" s="69" t="s">
        <v>999</v>
      </c>
      <c r="J2130" s="69" t="s">
        <v>979</v>
      </c>
      <c r="K2130" s="69" t="s">
        <v>1008</v>
      </c>
      <c r="L2130" s="253">
        <v>0.61</v>
      </c>
      <c r="M2130" s="253">
        <v>0.56000000000000005</v>
      </c>
      <c r="N2130" s="253">
        <v>0.48</v>
      </c>
      <c r="O2130" s="253">
        <v>0.53</v>
      </c>
      <c r="P2130" s="253">
        <v>0.61</v>
      </c>
      <c r="Q2130" s="253">
        <v>0.65</v>
      </c>
      <c r="R2130" s="253">
        <v>0.54</v>
      </c>
      <c r="S2130" s="253">
        <v>0.51</v>
      </c>
      <c r="T2130" s="253">
        <v>0.54</v>
      </c>
      <c r="U2130" s="253">
        <v>0.56999999999999995</v>
      </c>
      <c r="V2130" s="253"/>
      <c r="W2130" s="253">
        <v>0.45</v>
      </c>
      <c r="X2130" s="253">
        <v>0.5</v>
      </c>
      <c r="Y2130" s="253">
        <v>0.5</v>
      </c>
      <c r="Z2130" s="253">
        <v>0.57999999999999996</v>
      </c>
      <c r="AA2130" s="253"/>
      <c r="AB2130" s="253"/>
      <c r="AC2130" s="253"/>
      <c r="AD2130" s="253"/>
      <c r="AE2130" s="253"/>
    </row>
    <row r="2131" spans="1:31">
      <c r="A2131" s="33">
        <v>2130</v>
      </c>
      <c r="B2131" s="69" t="s">
        <v>979</v>
      </c>
      <c r="C2131" s="69" t="s">
        <v>980</v>
      </c>
      <c r="D2131" s="56">
        <v>43054</v>
      </c>
      <c r="E2131" s="33" t="s">
        <v>724</v>
      </c>
      <c r="F2131" s="69" t="s">
        <v>725</v>
      </c>
      <c r="G2131" s="69" t="str">
        <f t="shared" si="33"/>
        <v>User Registration</v>
      </c>
      <c r="H2131" s="69" t="s">
        <v>493</v>
      </c>
      <c r="I2131" s="69" t="s">
        <v>999</v>
      </c>
      <c r="J2131" s="69" t="s">
        <v>979</v>
      </c>
      <c r="K2131" s="69" t="s">
        <v>1009</v>
      </c>
      <c r="L2131" s="253">
        <v>0.6</v>
      </c>
      <c r="M2131" s="253">
        <v>0.56000000000000005</v>
      </c>
      <c r="N2131" s="253">
        <v>0.48</v>
      </c>
      <c r="O2131" s="253">
        <v>0.51</v>
      </c>
      <c r="P2131" s="253">
        <v>0.59</v>
      </c>
      <c r="Q2131" s="253">
        <v>0.59</v>
      </c>
      <c r="R2131" s="253">
        <v>0.55000000000000004</v>
      </c>
      <c r="S2131" s="253">
        <v>0.53</v>
      </c>
      <c r="T2131" s="253">
        <v>0.55000000000000004</v>
      </c>
      <c r="U2131" s="253">
        <v>0.56000000000000005</v>
      </c>
      <c r="V2131" s="253"/>
      <c r="W2131" s="253">
        <v>0.48</v>
      </c>
      <c r="X2131" s="253"/>
      <c r="Y2131" s="253">
        <v>0.45</v>
      </c>
      <c r="Z2131" s="253">
        <v>0.65</v>
      </c>
      <c r="AA2131" s="253"/>
      <c r="AB2131" s="253"/>
      <c r="AC2131" s="253"/>
      <c r="AD2131" s="253"/>
      <c r="AE2131" s="253"/>
    </row>
    <row r="2132" spans="1:31">
      <c r="A2132" s="33">
        <v>2131</v>
      </c>
      <c r="B2132" s="69" t="s">
        <v>979</v>
      </c>
      <c r="C2132" s="69" t="s">
        <v>980</v>
      </c>
      <c r="D2132" s="56">
        <v>43054</v>
      </c>
      <c r="E2132" s="33" t="s">
        <v>724</v>
      </c>
      <c r="F2132" s="69" t="s">
        <v>725</v>
      </c>
      <c r="G2132" s="69" t="str">
        <f t="shared" si="33"/>
        <v>E-Commerce</v>
      </c>
      <c r="H2132" s="69" t="s">
        <v>493</v>
      </c>
      <c r="I2132" s="69" t="s">
        <v>999</v>
      </c>
      <c r="J2132" s="69" t="s">
        <v>979</v>
      </c>
      <c r="K2132" s="69" t="s">
        <v>1010</v>
      </c>
      <c r="L2132" s="253">
        <v>0.56000000000000005</v>
      </c>
      <c r="M2132" s="253">
        <v>0.55000000000000004</v>
      </c>
      <c r="N2132" s="253">
        <v>0.5</v>
      </c>
      <c r="O2132" s="253">
        <v>0.55000000000000004</v>
      </c>
      <c r="P2132" s="253">
        <v>0.56999999999999995</v>
      </c>
      <c r="Q2132" s="253">
        <v>0.46</v>
      </c>
      <c r="R2132" s="253">
        <v>0.59</v>
      </c>
      <c r="S2132" s="253">
        <v>0.56999999999999995</v>
      </c>
      <c r="T2132" s="253">
        <v>0.57999999999999996</v>
      </c>
      <c r="U2132" s="253">
        <v>0.56999999999999995</v>
      </c>
      <c r="V2132" s="253">
        <v>0.5</v>
      </c>
      <c r="W2132" s="253"/>
      <c r="X2132" s="253"/>
      <c r="Y2132" s="253">
        <v>0.56000000000000005</v>
      </c>
      <c r="Z2132" s="253">
        <v>0.52</v>
      </c>
      <c r="AA2132" s="253"/>
      <c r="AB2132" s="253"/>
      <c r="AC2132" s="253"/>
      <c r="AD2132" s="253"/>
      <c r="AE2132" s="253"/>
    </row>
    <row r="2133" spans="1:31">
      <c r="A2133" s="33">
        <v>2132</v>
      </c>
      <c r="B2133" s="69" t="s">
        <v>979</v>
      </c>
      <c r="C2133" s="69" t="s">
        <v>980</v>
      </c>
      <c r="D2133" s="56">
        <v>43054</v>
      </c>
      <c r="E2133" s="33" t="s">
        <v>724</v>
      </c>
      <c r="F2133" s="69" t="s">
        <v>725</v>
      </c>
      <c r="G2133" s="69" t="str">
        <f t="shared" si="33"/>
        <v>User Registration</v>
      </c>
      <c r="H2133" s="69" t="s">
        <v>493</v>
      </c>
      <c r="I2133" s="69" t="s">
        <v>999</v>
      </c>
      <c r="J2133" s="69" t="s">
        <v>979</v>
      </c>
      <c r="K2133" s="69" t="s">
        <v>1011</v>
      </c>
      <c r="L2133" s="253">
        <v>0.55000000000000004</v>
      </c>
      <c r="M2133" s="253">
        <v>0.54</v>
      </c>
      <c r="N2133" s="253">
        <v>0.56000000000000005</v>
      </c>
      <c r="O2133" s="253">
        <v>0.5</v>
      </c>
      <c r="P2133" s="253">
        <v>0.55000000000000004</v>
      </c>
      <c r="Q2133" s="253">
        <v>0.61</v>
      </c>
      <c r="R2133" s="253">
        <v>0.53</v>
      </c>
      <c r="S2133" s="253">
        <v>0.49</v>
      </c>
      <c r="T2133" s="253">
        <v>0.53</v>
      </c>
      <c r="U2133" s="253">
        <v>0.54</v>
      </c>
      <c r="V2133" s="253"/>
      <c r="W2133" s="253">
        <v>0.56000000000000005</v>
      </c>
      <c r="X2133" s="253"/>
      <c r="Y2133" s="253">
        <v>0.46</v>
      </c>
      <c r="Z2133" s="253">
        <v>0.56999999999999995</v>
      </c>
      <c r="AA2133" s="253"/>
      <c r="AB2133" s="253"/>
      <c r="AC2133" s="253"/>
      <c r="AD2133" s="253"/>
      <c r="AE2133" s="253"/>
    </row>
    <row r="2134" spans="1:31">
      <c r="A2134" s="33">
        <v>2133</v>
      </c>
      <c r="B2134" s="69" t="s">
        <v>979</v>
      </c>
      <c r="C2134" s="69" t="s">
        <v>980</v>
      </c>
      <c r="D2134" s="56">
        <v>43054</v>
      </c>
      <c r="E2134" s="33" t="s">
        <v>724</v>
      </c>
      <c r="F2134" s="69" t="s">
        <v>725</v>
      </c>
      <c r="G2134" s="69" t="str">
        <f t="shared" si="33"/>
        <v>User Registration</v>
      </c>
      <c r="H2134" s="69" t="s">
        <v>493</v>
      </c>
      <c r="I2134" s="69" t="s">
        <v>999</v>
      </c>
      <c r="J2134" s="69" t="s">
        <v>979</v>
      </c>
      <c r="K2134" s="69" t="s">
        <v>1012</v>
      </c>
      <c r="L2134" s="253">
        <v>0.56000000000000005</v>
      </c>
      <c r="M2134" s="253">
        <v>0.54</v>
      </c>
      <c r="N2134" s="253">
        <v>0.51</v>
      </c>
      <c r="O2134" s="253">
        <v>0.5</v>
      </c>
      <c r="P2134" s="253">
        <v>0.56000000000000005</v>
      </c>
      <c r="Q2134" s="253">
        <v>0.55000000000000004</v>
      </c>
      <c r="R2134" s="253">
        <v>0.52</v>
      </c>
      <c r="S2134" s="253">
        <v>0.53</v>
      </c>
      <c r="T2134" s="253">
        <v>0.52</v>
      </c>
      <c r="U2134" s="253">
        <v>0.56999999999999995</v>
      </c>
      <c r="V2134" s="253"/>
      <c r="W2134" s="253">
        <v>0.51</v>
      </c>
      <c r="X2134" s="253"/>
      <c r="Y2134" s="253">
        <v>0.47</v>
      </c>
      <c r="Z2134" s="253">
        <v>0.54</v>
      </c>
      <c r="AA2134" s="253"/>
      <c r="AB2134" s="253"/>
      <c r="AC2134" s="253"/>
      <c r="AD2134" s="253"/>
      <c r="AE2134" s="253"/>
    </row>
    <row r="2135" spans="1:31">
      <c r="A2135" s="33">
        <v>2134</v>
      </c>
      <c r="B2135" s="69" t="s">
        <v>961</v>
      </c>
      <c r="C2135" s="69" t="s">
        <v>868</v>
      </c>
      <c r="D2135" s="56">
        <v>43055</v>
      </c>
      <c r="E2135" s="33" t="s">
        <v>724</v>
      </c>
      <c r="F2135" s="69" t="s">
        <v>725</v>
      </c>
      <c r="G2135" s="69" t="str">
        <f t="shared" si="33"/>
        <v>User Registration</v>
      </c>
      <c r="H2135" s="69" t="s">
        <v>508</v>
      </c>
      <c r="I2135" s="69" t="s">
        <v>962</v>
      </c>
      <c r="J2135" s="69" t="s">
        <v>961</v>
      </c>
      <c r="K2135" s="69" t="s">
        <v>961</v>
      </c>
      <c r="L2135" s="253">
        <v>0.7195184168203036</v>
      </c>
      <c r="M2135" s="253">
        <v>0.70341252035564017</v>
      </c>
      <c r="N2135" s="253">
        <v>0.71677834169010635</v>
      </c>
      <c r="O2135" s="253">
        <v>0.67768891397202635</v>
      </c>
      <c r="P2135" s="253">
        <v>0.72941101478837334</v>
      </c>
      <c r="Q2135" s="253">
        <v>0.70743243243243248</v>
      </c>
      <c r="R2135" s="253">
        <v>0.7149431405953578</v>
      </c>
      <c r="S2135" s="253">
        <v>0.69987032487032486</v>
      </c>
      <c r="T2135" s="253">
        <v>0.68999712478435893</v>
      </c>
      <c r="U2135" s="253">
        <v>0.70893476234855557</v>
      </c>
      <c r="V2135" s="253"/>
      <c r="W2135" s="253">
        <v>0.72023648648648653</v>
      </c>
      <c r="X2135" s="253">
        <v>0.70525119236883949</v>
      </c>
      <c r="Y2135" s="253">
        <v>0.66436784241869007</v>
      </c>
      <c r="Z2135" s="253">
        <v>0.67994802494802509</v>
      </c>
      <c r="AA2135" s="253"/>
      <c r="AB2135" s="253"/>
      <c r="AC2135" s="253"/>
      <c r="AD2135" s="253"/>
      <c r="AE2135" s="253"/>
    </row>
    <row r="2136" spans="1:31">
      <c r="A2136" s="33">
        <v>2135</v>
      </c>
      <c r="B2136" s="69" t="s">
        <v>961</v>
      </c>
      <c r="C2136" s="69" t="s">
        <v>868</v>
      </c>
      <c r="D2136" s="56">
        <v>43055</v>
      </c>
      <c r="E2136" s="33" t="s">
        <v>724</v>
      </c>
      <c r="F2136" s="69" t="s">
        <v>725</v>
      </c>
      <c r="G2136" s="69" t="str">
        <f t="shared" si="33"/>
        <v>User Registration</v>
      </c>
      <c r="H2136" s="69" t="s">
        <v>508</v>
      </c>
      <c r="I2136" s="69" t="s">
        <v>962</v>
      </c>
      <c r="J2136" s="69" t="s">
        <v>961</v>
      </c>
      <c r="K2136" s="69" t="s">
        <v>963</v>
      </c>
      <c r="L2136" s="253">
        <v>0.67951866002432038</v>
      </c>
      <c r="M2136" s="253">
        <v>0.66733983887270532</v>
      </c>
      <c r="N2136" s="253">
        <v>0.72039281753277706</v>
      </c>
      <c r="O2136" s="253">
        <v>0.62972594336389398</v>
      </c>
      <c r="P2136" s="253">
        <v>0.70771953085160622</v>
      </c>
      <c r="Q2136" s="253">
        <v>0.67972972972972967</v>
      </c>
      <c r="R2136" s="253">
        <v>0.67729692110085815</v>
      </c>
      <c r="S2136" s="253">
        <v>0.6046328146328146</v>
      </c>
      <c r="T2136" s="253">
        <v>0.69509488211615866</v>
      </c>
      <c r="U2136" s="253">
        <v>0.72123330226778504</v>
      </c>
      <c r="V2136" s="253"/>
      <c r="W2136" s="253">
        <v>0.75525629077353229</v>
      </c>
      <c r="X2136" s="253">
        <v>0.60418124006359308</v>
      </c>
      <c r="Y2136" s="253">
        <v>0.63662391204764091</v>
      </c>
      <c r="Z2136" s="253">
        <v>0.56671517671517679</v>
      </c>
      <c r="AA2136" s="253"/>
      <c r="AB2136" s="253"/>
      <c r="AC2136" s="253"/>
      <c r="AD2136" s="253"/>
      <c r="AE2136" s="253"/>
    </row>
    <row r="2137" spans="1:31">
      <c r="A2137" s="33">
        <v>2136</v>
      </c>
      <c r="B2137" s="69" t="s">
        <v>961</v>
      </c>
      <c r="C2137" s="69" t="s">
        <v>868</v>
      </c>
      <c r="D2137" s="56">
        <v>43055</v>
      </c>
      <c r="E2137" s="33" t="s">
        <v>724</v>
      </c>
      <c r="F2137" s="69" t="s">
        <v>725</v>
      </c>
      <c r="G2137" s="69" t="str">
        <f t="shared" si="33"/>
        <v>User Registration</v>
      </c>
      <c r="H2137" s="69" t="s">
        <v>508</v>
      </c>
      <c r="I2137" s="69" t="s">
        <v>962</v>
      </c>
      <c r="J2137" s="69" t="s">
        <v>961</v>
      </c>
      <c r="K2137" s="69" t="s">
        <v>964</v>
      </c>
      <c r="L2137" s="253">
        <v>0.69795343819872113</v>
      </c>
      <c r="M2137" s="253">
        <v>0.67023669459274504</v>
      </c>
      <c r="N2137" s="253">
        <v>0.63921425950837718</v>
      </c>
      <c r="O2137" s="253">
        <v>0.64519165571980419</v>
      </c>
      <c r="P2137" s="253">
        <v>0.71383732789393162</v>
      </c>
      <c r="Q2137" s="253">
        <v>0.6182432432432432</v>
      </c>
      <c r="R2137" s="253">
        <v>0.63831306530232768</v>
      </c>
      <c r="S2137" s="253">
        <v>0.68364864864864872</v>
      </c>
      <c r="T2137" s="253">
        <v>0.68560609545715934</v>
      </c>
      <c r="U2137" s="253">
        <v>0.73813140726933835</v>
      </c>
      <c r="V2137" s="253"/>
      <c r="W2137" s="253">
        <v>0.63364864864864867</v>
      </c>
      <c r="X2137" s="253">
        <v>0.65776629570747214</v>
      </c>
      <c r="Y2137" s="253">
        <v>0.64864864864864868</v>
      </c>
      <c r="Z2137" s="253">
        <v>0.63441787941787942</v>
      </c>
      <c r="AA2137" s="253"/>
      <c r="AB2137" s="253"/>
      <c r="AC2137" s="253"/>
      <c r="AD2137" s="253"/>
      <c r="AE2137" s="253"/>
    </row>
    <row r="2138" spans="1:31">
      <c r="A2138" s="33">
        <v>2137</v>
      </c>
      <c r="B2138" s="69" t="s">
        <v>961</v>
      </c>
      <c r="C2138" s="69" t="s">
        <v>868</v>
      </c>
      <c r="D2138" s="56">
        <v>43055</v>
      </c>
      <c r="E2138" s="33" t="s">
        <v>724</v>
      </c>
      <c r="F2138" s="69" t="s">
        <v>725</v>
      </c>
      <c r="G2138" s="69" t="str">
        <f t="shared" si="33"/>
        <v>User Registration</v>
      </c>
      <c r="H2138" s="69" t="s">
        <v>508</v>
      </c>
      <c r="I2138" s="69" t="s">
        <v>962</v>
      </c>
      <c r="J2138" s="69" t="s">
        <v>961</v>
      </c>
      <c r="K2138" s="69" t="s">
        <v>965</v>
      </c>
      <c r="L2138" s="253">
        <v>0.67362385752951792</v>
      </c>
      <c r="M2138" s="253">
        <v>0.63855849153630728</v>
      </c>
      <c r="N2138" s="253">
        <v>0.64422708353540004</v>
      </c>
      <c r="O2138" s="253">
        <v>0.62153965172878312</v>
      </c>
      <c r="P2138" s="253">
        <v>0.68607088220295775</v>
      </c>
      <c r="Q2138" s="253">
        <v>0.61148648648648651</v>
      </c>
      <c r="R2138" s="253">
        <v>0.64836265874146171</v>
      </c>
      <c r="S2138" s="253">
        <v>0.60754982254982259</v>
      </c>
      <c r="T2138" s="253">
        <v>0.64102070155261648</v>
      </c>
      <c r="U2138" s="253">
        <v>0.67963063063063067</v>
      </c>
      <c r="V2138" s="253"/>
      <c r="W2138" s="253">
        <v>0.64367660764212487</v>
      </c>
      <c r="X2138" s="253">
        <v>0.64606200317965023</v>
      </c>
      <c r="Y2138" s="253">
        <v>0.61789051763628033</v>
      </c>
      <c r="Z2138" s="253">
        <v>0.62383575883575892</v>
      </c>
      <c r="AA2138" s="253"/>
      <c r="AB2138" s="253"/>
      <c r="AC2138" s="253"/>
      <c r="AD2138" s="253"/>
      <c r="AE2138" s="253"/>
    </row>
    <row r="2139" spans="1:31">
      <c r="A2139" s="33">
        <v>2138</v>
      </c>
      <c r="B2139" s="69" t="s">
        <v>961</v>
      </c>
      <c r="C2139" s="69" t="s">
        <v>868</v>
      </c>
      <c r="D2139" s="56">
        <v>43055</v>
      </c>
      <c r="E2139" s="33" t="s">
        <v>724</v>
      </c>
      <c r="F2139" s="69" t="s">
        <v>725</v>
      </c>
      <c r="G2139" s="69" t="str">
        <f t="shared" si="33"/>
        <v>User Registration</v>
      </c>
      <c r="H2139" s="69" t="s">
        <v>508</v>
      </c>
      <c r="I2139" s="69" t="s">
        <v>962</v>
      </c>
      <c r="J2139" s="69" t="s">
        <v>961</v>
      </c>
      <c r="K2139" s="69" t="s">
        <v>966</v>
      </c>
      <c r="L2139" s="253">
        <v>0.68029703840269884</v>
      </c>
      <c r="M2139" s="253">
        <v>0.6238768802588931</v>
      </c>
      <c r="N2139" s="253">
        <v>0.63553512164059833</v>
      </c>
      <c r="O2139" s="253">
        <v>0.58238748711043309</v>
      </c>
      <c r="P2139" s="253">
        <v>0.69409790922998482</v>
      </c>
      <c r="Q2139" s="253">
        <v>0.57162162162162167</v>
      </c>
      <c r="R2139" s="253">
        <v>0.6297022673896806</v>
      </c>
      <c r="S2139" s="253">
        <v>0.63917280917280916</v>
      </c>
      <c r="T2139" s="253">
        <v>0.63219666474985636</v>
      </c>
      <c r="U2139" s="253">
        <v>0.64214041627834739</v>
      </c>
      <c r="V2139" s="253"/>
      <c r="W2139" s="253">
        <v>0.62742777260018645</v>
      </c>
      <c r="X2139" s="253">
        <v>0.66255961844197142</v>
      </c>
      <c r="Y2139" s="253">
        <v>0.55551076500229046</v>
      </c>
      <c r="Z2139" s="253">
        <v>0.62509355509355513</v>
      </c>
      <c r="AA2139" s="253"/>
      <c r="AB2139" s="253"/>
      <c r="AC2139" s="253"/>
      <c r="AD2139" s="253"/>
      <c r="AE2139" s="253"/>
    </row>
    <row r="2140" spans="1:31">
      <c r="A2140" s="33">
        <v>2139</v>
      </c>
      <c r="B2140" s="69" t="s">
        <v>967</v>
      </c>
      <c r="C2140" s="69" t="s">
        <v>791</v>
      </c>
      <c r="D2140" s="56">
        <v>43055</v>
      </c>
      <c r="E2140" s="33" t="s">
        <v>896</v>
      </c>
      <c r="F2140" s="69" t="s">
        <v>380</v>
      </c>
      <c r="G2140" s="69" t="str">
        <f t="shared" si="33"/>
        <v>User Registration</v>
      </c>
      <c r="H2140" s="69" t="s">
        <v>508</v>
      </c>
      <c r="I2140" s="69" t="s">
        <v>922</v>
      </c>
      <c r="J2140" s="69" t="s">
        <v>967</v>
      </c>
      <c r="K2140" s="69" t="s">
        <v>968</v>
      </c>
      <c r="L2140" s="253">
        <v>0.67017416545718433</v>
      </c>
      <c r="M2140" s="253">
        <v>0.62791750675539693</v>
      </c>
      <c r="N2140" s="253">
        <v>0.60830033936651584</v>
      </c>
      <c r="O2140" s="253">
        <v>0.59803392190179427</v>
      </c>
      <c r="P2140" s="253">
        <v>0.68867924528301883</v>
      </c>
      <c r="Q2140" s="253">
        <v>0.59527027027027024</v>
      </c>
      <c r="R2140" s="253">
        <v>0.61948697554185728</v>
      </c>
      <c r="S2140" s="253">
        <v>0.65404040404040409</v>
      </c>
      <c r="T2140" s="253">
        <v>0.66808510638297869</v>
      </c>
      <c r="U2140" s="253">
        <v>0.63017241379310351</v>
      </c>
      <c r="V2140" s="253"/>
      <c r="W2140" s="253">
        <v>0.59843749999999996</v>
      </c>
      <c r="X2140" s="253">
        <v>0.64117647058823535</v>
      </c>
      <c r="Y2140" s="253">
        <v>0.58898305084745761</v>
      </c>
      <c r="Z2140" s="253">
        <v>0.59615384615384615</v>
      </c>
      <c r="AA2140" s="253"/>
      <c r="AB2140" s="253"/>
      <c r="AC2140" s="253"/>
      <c r="AD2140" s="253"/>
      <c r="AE2140" s="253"/>
    </row>
    <row r="2141" spans="1:31">
      <c r="A2141" s="33">
        <v>2140</v>
      </c>
      <c r="B2141" s="69" t="s">
        <v>967</v>
      </c>
      <c r="C2141" s="69" t="s">
        <v>791</v>
      </c>
      <c r="D2141" s="56">
        <v>43055</v>
      </c>
      <c r="E2141" s="33" t="s">
        <v>969</v>
      </c>
      <c r="F2141" s="69" t="s">
        <v>380</v>
      </c>
      <c r="G2141" s="69" t="str">
        <f t="shared" si="33"/>
        <v>User Registration</v>
      </c>
      <c r="H2141" s="69" t="s">
        <v>508</v>
      </c>
      <c r="I2141" s="69" t="s">
        <v>922</v>
      </c>
      <c r="J2141" s="69" t="s">
        <v>967</v>
      </c>
      <c r="K2141" s="69" t="s">
        <v>970</v>
      </c>
      <c r="L2141" s="253">
        <v>0.59644121915820025</v>
      </c>
      <c r="M2141" s="253">
        <v>0.56922689826849893</v>
      </c>
      <c r="N2141" s="253">
        <v>0.56621606334841634</v>
      </c>
      <c r="O2141" s="253">
        <v>0.56268435030082908</v>
      </c>
      <c r="P2141" s="253">
        <v>0.611320754716981</v>
      </c>
      <c r="Q2141" s="253">
        <v>0.55932432432432433</v>
      </c>
      <c r="R2141" s="253">
        <v>0.57837116154873169</v>
      </c>
      <c r="S2141" s="253">
        <v>0.53317307692307692</v>
      </c>
      <c r="T2141" s="253">
        <v>0.60476190476190483</v>
      </c>
      <c r="U2141" s="253">
        <v>0.58844827586206905</v>
      </c>
      <c r="V2141" s="253"/>
      <c r="W2141" s="253">
        <v>0.57937499999999997</v>
      </c>
      <c r="X2141" s="253">
        <v>0.52235294117647058</v>
      </c>
      <c r="Y2141" s="253">
        <v>0.57056249999999997</v>
      </c>
      <c r="Z2141" s="253">
        <v>0.53692307692307695</v>
      </c>
      <c r="AA2141" s="253"/>
      <c r="AB2141" s="253"/>
      <c r="AC2141" s="253"/>
      <c r="AD2141" s="253"/>
      <c r="AE2141" s="253"/>
    </row>
    <row r="2142" spans="1:31">
      <c r="A2142" s="33">
        <v>2141</v>
      </c>
      <c r="B2142" s="69" t="s">
        <v>967</v>
      </c>
      <c r="C2142" s="69" t="s">
        <v>791</v>
      </c>
      <c r="D2142" s="56">
        <v>43055</v>
      </c>
      <c r="E2142" s="33" t="s">
        <v>969</v>
      </c>
      <c r="F2142" s="69" t="s">
        <v>380</v>
      </c>
      <c r="G2142" s="69" t="str">
        <f t="shared" si="33"/>
        <v>User Registration</v>
      </c>
      <c r="H2142" s="69" t="s">
        <v>508</v>
      </c>
      <c r="I2142" s="69" t="s">
        <v>922</v>
      </c>
      <c r="J2142" s="69" t="s">
        <v>967</v>
      </c>
      <c r="K2142" s="69" t="s">
        <v>971</v>
      </c>
      <c r="L2142" s="253">
        <v>0.59150000000000003</v>
      </c>
      <c r="M2142" s="253">
        <v>0.54849999999999999</v>
      </c>
      <c r="N2142" s="253">
        <v>0.60559106334841628</v>
      </c>
      <c r="O2142" s="253">
        <v>0.54720000000000002</v>
      </c>
      <c r="P2142" s="253">
        <v>0.60150943396226408</v>
      </c>
      <c r="Q2142" s="253">
        <v>0.52405405405405403</v>
      </c>
      <c r="R2142" s="253">
        <v>0.55225690992244969</v>
      </c>
      <c r="S2142" s="253">
        <v>0.51009615384615392</v>
      </c>
      <c r="T2142" s="253">
        <v>0.57319148936170206</v>
      </c>
      <c r="U2142" s="253">
        <v>0.58028735632183903</v>
      </c>
      <c r="V2142" s="253"/>
      <c r="W2142" s="253">
        <v>0.62156249999999991</v>
      </c>
      <c r="X2142" s="253">
        <v>0.5523529411764706</v>
      </c>
      <c r="Y2142" s="253">
        <v>0.56620833333333331</v>
      </c>
      <c r="Z2142" s="253"/>
      <c r="AA2142" s="253"/>
      <c r="AB2142" s="253"/>
      <c r="AC2142" s="253"/>
      <c r="AD2142" s="253"/>
      <c r="AE2142" s="253"/>
    </row>
    <row r="2143" spans="1:31">
      <c r="A2143" s="33">
        <v>2142</v>
      </c>
      <c r="B2143" s="69" t="s">
        <v>967</v>
      </c>
      <c r="C2143" s="69" t="s">
        <v>791</v>
      </c>
      <c r="D2143" s="56">
        <v>43055</v>
      </c>
      <c r="E2143" s="33" t="s">
        <v>969</v>
      </c>
      <c r="F2143" s="69" t="s">
        <v>380</v>
      </c>
      <c r="G2143" s="69" t="str">
        <f t="shared" si="33"/>
        <v>User Registration</v>
      </c>
      <c r="H2143" s="69" t="s">
        <v>508</v>
      </c>
      <c r="I2143" s="69" t="s">
        <v>922</v>
      </c>
      <c r="J2143" s="69" t="s">
        <v>967</v>
      </c>
      <c r="K2143" s="69" t="s">
        <v>972</v>
      </c>
      <c r="L2143" s="253">
        <v>0.57777068214804073</v>
      </c>
      <c r="M2143" s="253">
        <v>0.55458882993077341</v>
      </c>
      <c r="N2143" s="253">
        <v>0.54038461538461535</v>
      </c>
      <c r="O2143" s="253">
        <v>0.55018476019045515</v>
      </c>
      <c r="P2143" s="253">
        <v>0.58490566037735858</v>
      </c>
      <c r="Q2143" s="253">
        <v>0.55324324324324325</v>
      </c>
      <c r="R2143" s="253">
        <v>0.55771326307416991</v>
      </c>
      <c r="S2143" s="253">
        <v>0.5211538461538463</v>
      </c>
      <c r="T2143" s="253">
        <v>0.56425531914893623</v>
      </c>
      <c r="U2143" s="253">
        <v>0.57563218390804605</v>
      </c>
      <c r="V2143" s="253"/>
      <c r="W2143" s="253">
        <v>0.55249999999999999</v>
      </c>
      <c r="X2143" s="253">
        <v>0.5</v>
      </c>
      <c r="Y2143" s="253">
        <v>0.55156249999999996</v>
      </c>
      <c r="Z2143" s="253">
        <v>0.5492307692307693</v>
      </c>
      <c r="AA2143" s="253"/>
      <c r="AB2143" s="253"/>
      <c r="AC2143" s="253"/>
      <c r="AD2143" s="253"/>
      <c r="AE2143" s="253"/>
    </row>
    <row r="2144" spans="1:31">
      <c r="A2144" s="33">
        <v>2143</v>
      </c>
      <c r="B2144" s="69" t="s">
        <v>967</v>
      </c>
      <c r="C2144" s="69" t="s">
        <v>791</v>
      </c>
      <c r="D2144" s="56">
        <v>43055</v>
      </c>
      <c r="E2144" s="33" t="s">
        <v>781</v>
      </c>
      <c r="F2144" s="69" t="s">
        <v>380</v>
      </c>
      <c r="G2144" s="69" t="str">
        <f t="shared" si="33"/>
        <v>User Registration</v>
      </c>
      <c r="H2144" s="69" t="s">
        <v>508</v>
      </c>
      <c r="I2144" s="69" t="s">
        <v>922</v>
      </c>
      <c r="J2144" s="69" t="s">
        <v>967</v>
      </c>
      <c r="K2144" s="69" t="s">
        <v>967</v>
      </c>
      <c r="L2144" s="253">
        <v>0.56904208998548611</v>
      </c>
      <c r="M2144" s="253">
        <v>0.55935946579683371</v>
      </c>
      <c r="N2144" s="253">
        <v>0.548701923076923</v>
      </c>
      <c r="O2144" s="253">
        <v>0.55210688925616613</v>
      </c>
      <c r="P2144" s="253">
        <v>0.57226415094339611</v>
      </c>
      <c r="Q2144" s="253">
        <v>0.54851351351351352</v>
      </c>
      <c r="R2144" s="253">
        <v>0.54595148140783467</v>
      </c>
      <c r="S2144" s="253">
        <v>0.58798076923076925</v>
      </c>
      <c r="T2144" s="253">
        <v>0.55744680851063833</v>
      </c>
      <c r="U2144" s="253">
        <v>0.56097701149425294</v>
      </c>
      <c r="V2144" s="253"/>
      <c r="W2144" s="253">
        <v>0.57156249999999997</v>
      </c>
      <c r="X2144" s="253">
        <v>0.47249999999999998</v>
      </c>
      <c r="Y2144" s="253">
        <v>0.54889583333333336</v>
      </c>
      <c r="Z2144" s="253">
        <v>0.55615384615384611</v>
      </c>
      <c r="AA2144" s="253"/>
      <c r="AB2144" s="253"/>
      <c r="AC2144" s="253"/>
      <c r="AD2144" s="253"/>
      <c r="AE2144" s="253"/>
    </row>
    <row r="2145" spans="1:31">
      <c r="A2145" s="33">
        <v>2144</v>
      </c>
      <c r="B2145" s="69" t="s">
        <v>950</v>
      </c>
      <c r="C2145" s="69" t="s">
        <v>740</v>
      </c>
      <c r="D2145" s="56">
        <v>43060</v>
      </c>
      <c r="E2145" s="33" t="s">
        <v>781</v>
      </c>
      <c r="F2145" s="69" t="s">
        <v>532</v>
      </c>
      <c r="G2145" s="69" t="str">
        <f t="shared" si="33"/>
        <v>E-Commerce</v>
      </c>
      <c r="H2145" s="69" t="s">
        <v>951</v>
      </c>
      <c r="I2145" s="69" t="s">
        <v>952</v>
      </c>
      <c r="J2145" s="69" t="s">
        <v>950</v>
      </c>
      <c r="K2145" s="69" t="s">
        <v>950</v>
      </c>
      <c r="L2145" s="253">
        <v>0.62345079825834537</v>
      </c>
      <c r="M2145" s="253">
        <v>0.60325168487319758</v>
      </c>
      <c r="N2145" s="253">
        <v>0.55524851801185582</v>
      </c>
      <c r="O2145" s="253">
        <v>0.60687862701948536</v>
      </c>
      <c r="P2145" s="253">
        <v>0.6196981132075472</v>
      </c>
      <c r="Q2145" s="253">
        <v>0.60750000000000004</v>
      </c>
      <c r="R2145" s="253">
        <v>0.64327602197331801</v>
      </c>
      <c r="S2145" s="253">
        <v>0.60750000000000004</v>
      </c>
      <c r="T2145" s="253">
        <v>0.5671755725190839</v>
      </c>
      <c r="U2145" s="253">
        <v>0.56399176954732511</v>
      </c>
      <c r="V2145" s="253">
        <v>0.54581395348837203</v>
      </c>
      <c r="W2145" s="253">
        <v>0</v>
      </c>
      <c r="X2145" s="253">
        <v>0.57411764705882351</v>
      </c>
      <c r="Y2145" s="253">
        <v>0.59</v>
      </c>
      <c r="Z2145" s="253">
        <v>0.63846153846153841</v>
      </c>
      <c r="AA2145" s="253"/>
      <c r="AB2145" s="253"/>
      <c r="AC2145" s="253"/>
      <c r="AD2145" s="253"/>
      <c r="AE2145" s="253"/>
    </row>
    <row r="2146" spans="1:31">
      <c r="A2146" s="33">
        <v>2145</v>
      </c>
      <c r="B2146" s="69" t="s">
        <v>950</v>
      </c>
      <c r="C2146" s="69" t="s">
        <v>740</v>
      </c>
      <c r="D2146" s="56">
        <v>43060</v>
      </c>
      <c r="E2146" s="33" t="s">
        <v>781</v>
      </c>
      <c r="F2146" s="69" t="s">
        <v>532</v>
      </c>
      <c r="G2146" s="69" t="str">
        <f t="shared" si="33"/>
        <v>E-Commerce</v>
      </c>
      <c r="H2146" s="69" t="s">
        <v>951</v>
      </c>
      <c r="I2146" s="69" t="s">
        <v>952</v>
      </c>
      <c r="J2146" s="69" t="s">
        <v>950</v>
      </c>
      <c r="K2146" s="69" t="s">
        <v>953</v>
      </c>
      <c r="L2146" s="253">
        <v>0.63279245283018859</v>
      </c>
      <c r="M2146" s="253">
        <v>0.59034783637530963</v>
      </c>
      <c r="N2146" s="253">
        <v>0.54528541226215643</v>
      </c>
      <c r="O2146" s="253">
        <v>0.56976404492024391</v>
      </c>
      <c r="P2146" s="253">
        <v>0.6484905660377358</v>
      </c>
      <c r="Q2146" s="253">
        <v>0.55000000000000004</v>
      </c>
      <c r="R2146" s="253">
        <v>0.59874438182207323</v>
      </c>
      <c r="S2146" s="253">
        <v>0.62849999999999995</v>
      </c>
      <c r="T2146" s="253">
        <v>0.62442748091603051</v>
      </c>
      <c r="U2146" s="253">
        <v>0.57139917695473252</v>
      </c>
      <c r="V2146" s="253">
        <v>0.5588372093023255</v>
      </c>
      <c r="W2146" s="253">
        <v>0</v>
      </c>
      <c r="X2146" s="253">
        <v>0.51818181818181819</v>
      </c>
      <c r="Y2146" s="253">
        <v>0.56000000000000005</v>
      </c>
      <c r="Z2146" s="253">
        <v>0.56999999999999995</v>
      </c>
      <c r="AA2146" s="253"/>
      <c r="AB2146" s="253"/>
      <c r="AC2146" s="253"/>
      <c r="AD2146" s="253"/>
      <c r="AE2146" s="253"/>
    </row>
    <row r="2147" spans="1:31">
      <c r="A2147" s="33">
        <v>2146</v>
      </c>
      <c r="B2147" s="69" t="s">
        <v>950</v>
      </c>
      <c r="C2147" s="69" t="s">
        <v>740</v>
      </c>
      <c r="D2147" s="56">
        <v>43060</v>
      </c>
      <c r="E2147" s="33" t="s">
        <v>781</v>
      </c>
      <c r="F2147" s="69" t="s">
        <v>532</v>
      </c>
      <c r="G2147" s="69" t="str">
        <f t="shared" si="33"/>
        <v>E-Commerce</v>
      </c>
      <c r="H2147" s="69" t="s">
        <v>951</v>
      </c>
      <c r="I2147" s="69" t="s">
        <v>952</v>
      </c>
      <c r="J2147" s="69" t="s">
        <v>950</v>
      </c>
      <c r="K2147" s="69" t="s">
        <v>954</v>
      </c>
      <c r="L2147" s="253">
        <v>0.66108911465892606</v>
      </c>
      <c r="M2147" s="253">
        <v>0.59440195608947222</v>
      </c>
      <c r="N2147" s="253">
        <v>0.52446793516560952</v>
      </c>
      <c r="O2147" s="253">
        <v>0.60010113365896678</v>
      </c>
      <c r="P2147" s="253">
        <v>0.65520754716981133</v>
      </c>
      <c r="Q2147" s="253">
        <v>0.5625</v>
      </c>
      <c r="R2147" s="253">
        <v>0.60518655917814079</v>
      </c>
      <c r="S2147" s="253">
        <v>0.57499999999999996</v>
      </c>
      <c r="T2147" s="253">
        <v>0.58091603053435115</v>
      </c>
      <c r="U2147" s="253">
        <v>0.59666666666666668</v>
      </c>
      <c r="V2147" s="253">
        <v>0.53488372093023251</v>
      </c>
      <c r="W2147" s="253">
        <v>0</v>
      </c>
      <c r="X2147" s="253">
        <v>0.50363636363636366</v>
      </c>
      <c r="Y2147" s="253">
        <v>0.57999999999999996</v>
      </c>
      <c r="Z2147" s="253">
        <v>0.68461538461538463</v>
      </c>
      <c r="AA2147" s="253"/>
      <c r="AB2147" s="253"/>
      <c r="AC2147" s="253"/>
      <c r="AD2147" s="253"/>
      <c r="AE2147" s="253"/>
    </row>
    <row r="2148" spans="1:31">
      <c r="A2148" s="33">
        <v>2147</v>
      </c>
      <c r="B2148" s="69" t="s">
        <v>950</v>
      </c>
      <c r="C2148" s="69" t="s">
        <v>740</v>
      </c>
      <c r="D2148" s="56">
        <v>43060</v>
      </c>
      <c r="E2148" s="33" t="s">
        <v>781</v>
      </c>
      <c r="F2148" s="69" t="s">
        <v>532</v>
      </c>
      <c r="G2148" s="69" t="str">
        <f t="shared" si="33"/>
        <v>User Registration</v>
      </c>
      <c r="H2148" s="69" t="s">
        <v>951</v>
      </c>
      <c r="I2148" s="69" t="s">
        <v>952</v>
      </c>
      <c r="J2148" s="69" t="s">
        <v>950</v>
      </c>
      <c r="K2148" s="69" t="s">
        <v>955</v>
      </c>
      <c r="L2148" s="253">
        <v>0.62260377358490571</v>
      </c>
      <c r="M2148" s="253">
        <v>0.58466751917032267</v>
      </c>
      <c r="N2148" s="253">
        <v>0.5285294117647058</v>
      </c>
      <c r="O2148" s="253">
        <v>0.61279408617267273</v>
      </c>
      <c r="P2148" s="253">
        <v>0.61075471698113215</v>
      </c>
      <c r="Q2148" s="253">
        <v>0.6</v>
      </c>
      <c r="R2148" s="253">
        <v>0.56374973246771765</v>
      </c>
      <c r="S2148" s="253">
        <v>0.64500000000000002</v>
      </c>
      <c r="T2148" s="253">
        <v>0.56068702290076322</v>
      </c>
      <c r="U2148" s="253">
        <v>0.52530864197530858</v>
      </c>
      <c r="V2148" s="253">
        <v>0</v>
      </c>
      <c r="W2148" s="253">
        <v>0.51249999999999996</v>
      </c>
      <c r="X2148" s="253">
        <v>0.56058823529411761</v>
      </c>
      <c r="Y2148" s="253">
        <v>0.60350000000000004</v>
      </c>
      <c r="Z2148" s="253">
        <v>0.67</v>
      </c>
      <c r="AA2148" s="253"/>
      <c r="AB2148" s="253"/>
      <c r="AC2148" s="253"/>
      <c r="AD2148" s="253"/>
      <c r="AE2148" s="253"/>
    </row>
    <row r="2149" spans="1:31">
      <c r="A2149" s="33">
        <v>2148</v>
      </c>
      <c r="B2149" s="69" t="s">
        <v>950</v>
      </c>
      <c r="C2149" s="69" t="s">
        <v>740</v>
      </c>
      <c r="D2149" s="56">
        <v>43060</v>
      </c>
      <c r="E2149" s="33" t="s">
        <v>781</v>
      </c>
      <c r="F2149" s="69" t="s">
        <v>532</v>
      </c>
      <c r="G2149" s="69" t="str">
        <f t="shared" si="33"/>
        <v>E-Commerce</v>
      </c>
      <c r="H2149" s="69" t="s">
        <v>951</v>
      </c>
      <c r="I2149" s="69" t="s">
        <v>952</v>
      </c>
      <c r="J2149" s="69" t="s">
        <v>950</v>
      </c>
      <c r="K2149" s="69" t="s">
        <v>956</v>
      </c>
      <c r="L2149" s="253">
        <v>0.66201509433962258</v>
      </c>
      <c r="M2149" s="253">
        <v>0.62140444383071725</v>
      </c>
      <c r="N2149" s="253">
        <v>0.52733698130414963</v>
      </c>
      <c r="O2149" s="253">
        <v>0.62406534376324552</v>
      </c>
      <c r="P2149" s="253">
        <v>0.66501886792452825</v>
      </c>
      <c r="Q2149" s="253">
        <v>0.59</v>
      </c>
      <c r="R2149" s="253">
        <v>0.67200542198758639</v>
      </c>
      <c r="S2149" s="253">
        <v>0.60009999999999997</v>
      </c>
      <c r="T2149" s="253">
        <v>0.6400763358778625</v>
      </c>
      <c r="U2149" s="253">
        <v>0.59032921810699579</v>
      </c>
      <c r="V2149" s="253">
        <v>0.52953488372093027</v>
      </c>
      <c r="W2149" s="253">
        <v>0</v>
      </c>
      <c r="X2149" s="253">
        <v>0.52294117647058824</v>
      </c>
      <c r="Y2149" s="253">
        <v>0.61250000000000004</v>
      </c>
      <c r="Z2149" s="253">
        <v>0.65</v>
      </c>
      <c r="AA2149" s="253"/>
      <c r="AB2149" s="253"/>
      <c r="AC2149" s="253"/>
      <c r="AD2149" s="253"/>
      <c r="AE2149" s="253"/>
    </row>
    <row r="2150" spans="1:31">
      <c r="A2150" s="33">
        <v>2149</v>
      </c>
      <c r="B2150" s="69" t="s">
        <v>950</v>
      </c>
      <c r="C2150" s="69" t="s">
        <v>740</v>
      </c>
      <c r="D2150" s="56">
        <v>43060</v>
      </c>
      <c r="E2150" s="33" t="s">
        <v>781</v>
      </c>
      <c r="F2150" s="69" t="s">
        <v>532</v>
      </c>
      <c r="G2150" s="69" t="str">
        <f t="shared" si="33"/>
        <v>User Registration</v>
      </c>
      <c r="H2150" s="69" t="s">
        <v>951</v>
      </c>
      <c r="I2150" s="69" t="s">
        <v>952</v>
      </c>
      <c r="J2150" s="69" t="s">
        <v>950</v>
      </c>
      <c r="K2150" s="69" t="s">
        <v>957</v>
      </c>
      <c r="L2150" s="253">
        <v>0.63963309143686486</v>
      </c>
      <c r="M2150" s="253">
        <v>0.58405410251126644</v>
      </c>
      <c r="N2150" s="253">
        <v>0.55921568627450979</v>
      </c>
      <c r="O2150" s="253">
        <v>0.61790213741749267</v>
      </c>
      <c r="P2150" s="253">
        <v>0.64184905660377345</v>
      </c>
      <c r="Q2150" s="253">
        <v>0.56999999999999995</v>
      </c>
      <c r="R2150" s="253">
        <v>0.575264321894842</v>
      </c>
      <c r="S2150" s="253">
        <v>0.61650000000000005</v>
      </c>
      <c r="T2150" s="253">
        <v>0.59122137404580155</v>
      </c>
      <c r="U2150" s="253">
        <v>0.55514403292181058</v>
      </c>
      <c r="V2150" s="253">
        <v>0</v>
      </c>
      <c r="W2150" s="253">
        <v>0.55374999999999996</v>
      </c>
      <c r="X2150" s="253">
        <v>0.57014705882352934</v>
      </c>
      <c r="Y2150" s="253">
        <v>0.62749999999999995</v>
      </c>
      <c r="Z2150" s="253">
        <v>0.63076923076923075</v>
      </c>
      <c r="AA2150" s="253"/>
      <c r="AB2150" s="253"/>
      <c r="AC2150" s="253"/>
      <c r="AD2150" s="253"/>
      <c r="AE2150" s="253"/>
    </row>
    <row r="2151" spans="1:31">
      <c r="A2151" s="33">
        <v>2150</v>
      </c>
      <c r="B2151" s="69" t="s">
        <v>950</v>
      </c>
      <c r="C2151" s="69" t="s">
        <v>740</v>
      </c>
      <c r="D2151" s="56">
        <v>43060</v>
      </c>
      <c r="E2151" s="33" t="s">
        <v>781</v>
      </c>
      <c r="F2151" s="69" t="s">
        <v>532</v>
      </c>
      <c r="G2151" s="69" t="str">
        <f t="shared" si="33"/>
        <v>E-Commerce</v>
      </c>
      <c r="H2151" s="69" t="s">
        <v>951</v>
      </c>
      <c r="I2151" s="69" t="s">
        <v>952</v>
      </c>
      <c r="J2151" s="69" t="s">
        <v>950</v>
      </c>
      <c r="K2151" s="69" t="s">
        <v>958</v>
      </c>
      <c r="L2151" s="253">
        <v>0.57370566037735848</v>
      </c>
      <c r="M2151" s="253">
        <v>0.49928535580718114</v>
      </c>
      <c r="N2151" s="253">
        <v>0.49632135306553909</v>
      </c>
      <c r="O2151" s="253">
        <v>0.51101503846169982</v>
      </c>
      <c r="P2151" s="253">
        <v>0.5871320754716981</v>
      </c>
      <c r="Q2151" s="253">
        <v>0.46250000000000002</v>
      </c>
      <c r="R2151" s="253">
        <v>0.51237782692444889</v>
      </c>
      <c r="S2151" s="253">
        <v>0.54</v>
      </c>
      <c r="T2151" s="253">
        <v>0.4637404580152672</v>
      </c>
      <c r="U2151" s="253">
        <v>0.4960905349794239</v>
      </c>
      <c r="V2151" s="253">
        <v>0.49720930232558136</v>
      </c>
      <c r="W2151" s="253">
        <v>0</v>
      </c>
      <c r="X2151" s="253">
        <v>0.49454545454545451</v>
      </c>
      <c r="Y2151" s="253">
        <v>0.51</v>
      </c>
      <c r="Z2151" s="253">
        <v>0.52</v>
      </c>
      <c r="AA2151" s="253"/>
      <c r="AB2151" s="253"/>
      <c r="AC2151" s="253"/>
      <c r="AD2151" s="253"/>
      <c r="AE2151" s="253"/>
    </row>
    <row r="2152" spans="1:31">
      <c r="A2152" s="33">
        <v>2151</v>
      </c>
      <c r="B2152" s="69" t="s">
        <v>950</v>
      </c>
      <c r="C2152" s="69" t="s">
        <v>740</v>
      </c>
      <c r="D2152" s="56">
        <v>43060</v>
      </c>
      <c r="E2152" s="33" t="s">
        <v>781</v>
      </c>
      <c r="F2152" s="69" t="s">
        <v>532</v>
      </c>
      <c r="G2152" s="69" t="str">
        <f t="shared" si="33"/>
        <v>User Registration</v>
      </c>
      <c r="H2152" s="69" t="s">
        <v>951</v>
      </c>
      <c r="I2152" s="69" t="s">
        <v>952</v>
      </c>
      <c r="J2152" s="69" t="s">
        <v>950</v>
      </c>
      <c r="K2152" s="69" t="s">
        <v>959</v>
      </c>
      <c r="L2152" s="253">
        <v>0.61168650217706821</v>
      </c>
      <c r="M2152" s="253">
        <v>0.59552359502737284</v>
      </c>
      <c r="N2152" s="253">
        <v>0.50661764705882362</v>
      </c>
      <c r="O2152" s="253">
        <v>0.57157091937811777</v>
      </c>
      <c r="P2152" s="253">
        <v>0.62037735849056619</v>
      </c>
      <c r="Q2152" s="253">
        <v>0.65</v>
      </c>
      <c r="R2152" s="253">
        <v>0.62971819932938566</v>
      </c>
      <c r="S2152" s="253">
        <v>0.59150000000000003</v>
      </c>
      <c r="T2152" s="253">
        <v>0.57366412213740448</v>
      </c>
      <c r="U2152" s="253">
        <v>0.54152263374485599</v>
      </c>
      <c r="V2152" s="253">
        <v>0</v>
      </c>
      <c r="W2152" s="253">
        <v>0.49375000000000002</v>
      </c>
      <c r="X2152" s="253">
        <v>0.53235294117647058</v>
      </c>
      <c r="Y2152" s="253">
        <v>0.54849999999999999</v>
      </c>
      <c r="Z2152" s="253">
        <v>0.57692307692307687</v>
      </c>
      <c r="AA2152" s="253"/>
      <c r="AB2152" s="253"/>
      <c r="AC2152" s="253"/>
      <c r="AD2152" s="253"/>
      <c r="AE2152" s="253"/>
    </row>
    <row r="2153" spans="1:31">
      <c r="A2153" s="33">
        <v>2152</v>
      </c>
      <c r="B2153" s="69" t="s">
        <v>646</v>
      </c>
      <c r="C2153" s="69" t="s">
        <v>960</v>
      </c>
      <c r="D2153" s="56">
        <v>43060</v>
      </c>
      <c r="E2153" s="33" t="s">
        <v>724</v>
      </c>
      <c r="F2153" s="69" t="s">
        <v>532</v>
      </c>
      <c r="G2153" s="69" t="str">
        <f t="shared" si="33"/>
        <v>E-Commerce</v>
      </c>
      <c r="H2153" s="69" t="s">
        <v>364</v>
      </c>
      <c r="I2153" s="69" t="s">
        <v>364</v>
      </c>
      <c r="J2153" s="69" t="s">
        <v>646</v>
      </c>
      <c r="K2153" s="69" t="s">
        <v>646</v>
      </c>
      <c r="L2153" s="253">
        <v>0.58638026124818576</v>
      </c>
      <c r="M2153" s="253">
        <v>0.61839020818305113</v>
      </c>
      <c r="N2153" s="253">
        <v>0.65353204251289065</v>
      </c>
      <c r="O2153" s="253">
        <v>0.57412442622078952</v>
      </c>
      <c r="P2153" s="253">
        <v>0.58528301886792455</v>
      </c>
      <c r="Q2153" s="253">
        <v>0.63027027027027027</v>
      </c>
      <c r="R2153" s="253">
        <v>0.63626667617892552</v>
      </c>
      <c r="S2153" s="253">
        <v>0.55896226415094341</v>
      </c>
      <c r="T2153" s="253">
        <v>0.66717557251908399</v>
      </c>
      <c r="U2153" s="253">
        <v>0.62032921810699582</v>
      </c>
      <c r="V2153" s="253">
        <v>0.63720930232558137</v>
      </c>
      <c r="W2153" s="253">
        <v>0</v>
      </c>
      <c r="X2153" s="253">
        <v>0.70794117647058818</v>
      </c>
      <c r="Y2153" s="253">
        <v>0.55260416666666667</v>
      </c>
      <c r="Z2153" s="253">
        <v>0.59076923076923071</v>
      </c>
      <c r="AA2153" s="253"/>
      <c r="AB2153" s="253"/>
      <c r="AC2153" s="253"/>
      <c r="AD2153" s="253"/>
      <c r="AE2153" s="253"/>
    </row>
    <row r="2154" spans="1:31">
      <c r="A2154" s="33">
        <v>2153</v>
      </c>
      <c r="B2154" s="69" t="s">
        <v>646</v>
      </c>
      <c r="C2154" s="69" t="s">
        <v>960</v>
      </c>
      <c r="D2154" s="56">
        <v>43060</v>
      </c>
      <c r="E2154" s="33" t="s">
        <v>724</v>
      </c>
      <c r="F2154" s="69" t="s">
        <v>532</v>
      </c>
      <c r="G2154" s="69" t="str">
        <f t="shared" si="33"/>
        <v>E-Commerce</v>
      </c>
      <c r="H2154" s="69" t="s">
        <v>364</v>
      </c>
      <c r="I2154" s="69" t="s">
        <v>364</v>
      </c>
      <c r="J2154" s="69" t="s">
        <v>646</v>
      </c>
      <c r="K2154" s="69" t="s">
        <v>78</v>
      </c>
      <c r="L2154" s="253">
        <v>0.64022786647314944</v>
      </c>
      <c r="M2154" s="253">
        <v>0.68589354627015187</v>
      </c>
      <c r="N2154" s="253">
        <v>0.73899999999999999</v>
      </c>
      <c r="O2154" s="253">
        <v>0.67419504242890704</v>
      </c>
      <c r="P2154" s="253">
        <v>0.64018867924528289</v>
      </c>
      <c r="Q2154" s="253">
        <v>0.67121621621621619</v>
      </c>
      <c r="R2154" s="253">
        <v>0.69674680744809869</v>
      </c>
      <c r="S2154" s="253">
        <v>0.70566037735849063</v>
      </c>
      <c r="T2154" s="253">
        <v>0.70419847328244267</v>
      </c>
      <c r="U2154" s="253">
        <v>0.6781893004115227</v>
      </c>
      <c r="V2154" s="253">
        <v>0.73895348837209307</v>
      </c>
      <c r="W2154" s="253">
        <v>0</v>
      </c>
      <c r="X2154" s="253">
        <v>0</v>
      </c>
      <c r="Y2154" s="253">
        <v>0.6769791666666668</v>
      </c>
      <c r="Z2154" s="253">
        <v>0.64038461538461533</v>
      </c>
      <c r="AA2154" s="253"/>
      <c r="AB2154" s="253"/>
      <c r="AC2154" s="253"/>
      <c r="AD2154" s="253"/>
      <c r="AE2154" s="253"/>
    </row>
    <row r="2155" spans="1:31">
      <c r="A2155" s="33">
        <v>2154</v>
      </c>
      <c r="B2155" s="69" t="s">
        <v>646</v>
      </c>
      <c r="C2155" s="69" t="s">
        <v>960</v>
      </c>
      <c r="D2155" s="56">
        <v>43060</v>
      </c>
      <c r="E2155" s="33" t="s">
        <v>724</v>
      </c>
      <c r="F2155" s="69" t="s">
        <v>532</v>
      </c>
      <c r="G2155" s="69" t="str">
        <f t="shared" si="33"/>
        <v>E-Commerce</v>
      </c>
      <c r="H2155" s="69" t="s">
        <v>364</v>
      </c>
      <c r="I2155" s="69" t="s">
        <v>364</v>
      </c>
      <c r="J2155" s="69" t="s">
        <v>646</v>
      </c>
      <c r="K2155" s="69" t="s">
        <v>55</v>
      </c>
      <c r="L2155" s="253">
        <v>0.67837735849056613</v>
      </c>
      <c r="M2155" s="253">
        <v>0.66371402936556112</v>
      </c>
      <c r="N2155" s="253">
        <v>0.68268967694412297</v>
      </c>
      <c r="O2155" s="253">
        <v>0.60757549656223631</v>
      </c>
      <c r="P2155" s="253">
        <v>0.68547169811320763</v>
      </c>
      <c r="Q2155" s="253">
        <v>0.62445945945945946</v>
      </c>
      <c r="R2155" s="253">
        <v>0.66847684953984454</v>
      </c>
      <c r="S2155" s="253">
        <v>0.62924528301886795</v>
      </c>
      <c r="T2155" s="253">
        <v>0.66145038167938941</v>
      </c>
      <c r="U2155" s="253">
        <v>0.72477366255144038</v>
      </c>
      <c r="V2155" s="253">
        <v>0.68279069767441869</v>
      </c>
      <c r="W2155" s="253">
        <v>0</v>
      </c>
      <c r="X2155" s="253">
        <v>0.68235294117647061</v>
      </c>
      <c r="Y2155" s="253">
        <v>0.57881250000000006</v>
      </c>
      <c r="Z2155" s="253">
        <v>0.65</v>
      </c>
      <c r="AA2155" s="253">
        <v>0.59809523809523801</v>
      </c>
      <c r="AB2155" s="253"/>
      <c r="AC2155" s="253"/>
      <c r="AD2155" s="253"/>
      <c r="AE2155" s="253"/>
    </row>
    <row r="2156" spans="1:31">
      <c r="A2156" s="33">
        <v>2155</v>
      </c>
      <c r="B2156" s="69" t="s">
        <v>646</v>
      </c>
      <c r="C2156" s="69" t="s">
        <v>960</v>
      </c>
      <c r="D2156" s="56">
        <v>43060</v>
      </c>
      <c r="E2156" s="33" t="s">
        <v>724</v>
      </c>
      <c r="F2156" s="69" t="s">
        <v>532</v>
      </c>
      <c r="G2156" s="69" t="str">
        <f t="shared" si="33"/>
        <v>E-Commerce</v>
      </c>
      <c r="H2156" s="69" t="s">
        <v>364</v>
      </c>
      <c r="I2156" s="69" t="s">
        <v>364</v>
      </c>
      <c r="J2156" s="69" t="s">
        <v>646</v>
      </c>
      <c r="K2156" s="69" t="s">
        <v>393</v>
      </c>
      <c r="L2156" s="253">
        <v>0.69455152394775044</v>
      </c>
      <c r="M2156" s="253">
        <v>0.65860155389280906</v>
      </c>
      <c r="N2156" s="253">
        <v>0.67620751341681573</v>
      </c>
      <c r="O2156" s="253">
        <v>0.61542439729562071</v>
      </c>
      <c r="P2156" s="253">
        <v>0.69415094339622652</v>
      </c>
      <c r="Q2156" s="253">
        <v>0.62027027027027026</v>
      </c>
      <c r="R2156" s="253">
        <v>0.6496325889990725</v>
      </c>
      <c r="S2156" s="253">
        <v>0.60150943396226408</v>
      </c>
      <c r="T2156" s="253">
        <v>0.69351145038167938</v>
      </c>
      <c r="U2156" s="253">
        <v>0.70794238683127575</v>
      </c>
      <c r="V2156" s="253">
        <v>0.65706976744186041</v>
      </c>
      <c r="W2156" s="253">
        <v>0</v>
      </c>
      <c r="X2156" s="253">
        <v>0.74</v>
      </c>
      <c r="Y2156" s="253">
        <v>0.5852708333333333</v>
      </c>
      <c r="Z2156" s="253">
        <v>0.69615384615384612</v>
      </c>
      <c r="AA2156" s="253">
        <v>0</v>
      </c>
      <c r="AB2156" s="253"/>
      <c r="AC2156" s="253"/>
      <c r="AD2156" s="253"/>
      <c r="AE2156" s="253"/>
    </row>
    <row r="2157" spans="1:31">
      <c r="A2157" s="33">
        <v>2156</v>
      </c>
      <c r="B2157" s="69" t="s">
        <v>646</v>
      </c>
      <c r="C2157" s="69" t="s">
        <v>960</v>
      </c>
      <c r="D2157" s="56">
        <v>43060</v>
      </c>
      <c r="E2157" s="33" t="s">
        <v>724</v>
      </c>
      <c r="F2157" s="69" t="s">
        <v>532</v>
      </c>
      <c r="G2157" s="69" t="str">
        <f t="shared" si="33"/>
        <v>E-Commerce</v>
      </c>
      <c r="H2157" s="69" t="s">
        <v>364</v>
      </c>
      <c r="I2157" s="69" t="s">
        <v>364</v>
      </c>
      <c r="J2157" s="69" t="s">
        <v>646</v>
      </c>
      <c r="K2157" s="69" t="s">
        <v>647</v>
      </c>
      <c r="L2157" s="253">
        <v>0.63751814223512326</v>
      </c>
      <c r="M2157" s="253">
        <v>0.66130352466079467</v>
      </c>
      <c r="N2157" s="253">
        <v>0.66678417341892027</v>
      </c>
      <c r="O2157" s="253">
        <v>0.61714042658739765</v>
      </c>
      <c r="P2157" s="253">
        <v>0.63132075471698101</v>
      </c>
      <c r="Q2157" s="253">
        <v>0.64121621621621627</v>
      </c>
      <c r="R2157" s="253">
        <v>0.66019119640436608</v>
      </c>
      <c r="S2157" s="253">
        <v>0.6334905660377359</v>
      </c>
      <c r="T2157" s="253">
        <v>0.67900763358778626</v>
      </c>
      <c r="U2157" s="253">
        <v>0.68971193415637877</v>
      </c>
      <c r="V2157" s="253">
        <v>0.67534883720930228</v>
      </c>
      <c r="W2157" s="253">
        <v>0</v>
      </c>
      <c r="X2157" s="253">
        <v>0.63823529411764701</v>
      </c>
      <c r="Y2157" s="253">
        <v>0.5909375</v>
      </c>
      <c r="Z2157" s="253">
        <v>0.66230769230769226</v>
      </c>
      <c r="AA2157" s="253">
        <v>0.70190476190476192</v>
      </c>
      <c r="AB2157" s="253"/>
      <c r="AC2157" s="253"/>
      <c r="AD2157" s="253"/>
      <c r="AE2157" s="253"/>
    </row>
    <row r="2158" spans="1:31">
      <c r="A2158" s="33">
        <v>2157</v>
      </c>
      <c r="B2158" s="69" t="s">
        <v>942</v>
      </c>
      <c r="C2158" s="69" t="s">
        <v>740</v>
      </c>
      <c r="D2158" s="56">
        <v>43061</v>
      </c>
      <c r="E2158" s="33" t="s">
        <v>724</v>
      </c>
      <c r="F2158" s="69" t="s">
        <v>532</v>
      </c>
      <c r="G2158" s="69" t="str">
        <f t="shared" si="33"/>
        <v>E-Commerce</v>
      </c>
      <c r="H2158" s="69" t="s">
        <v>364</v>
      </c>
      <c r="I2158" s="69" t="s">
        <v>943</v>
      </c>
      <c r="J2158" s="69" t="s">
        <v>942</v>
      </c>
      <c r="K2158" s="69" t="s">
        <v>942</v>
      </c>
      <c r="L2158" s="253">
        <v>0.61410256410256392</v>
      </c>
      <c r="M2158" s="253">
        <v>0.58337260965389337</v>
      </c>
      <c r="N2158" s="253">
        <v>0.55721063982746233</v>
      </c>
      <c r="O2158" s="253">
        <v>0.62138399183273141</v>
      </c>
      <c r="P2158" s="253">
        <v>0.59358974358974348</v>
      </c>
      <c r="Q2158" s="253">
        <v>0.51863013698630123</v>
      </c>
      <c r="R2158" s="253">
        <v>0.59014084507042253</v>
      </c>
      <c r="S2158" s="253">
        <v>0.50398058252427191</v>
      </c>
      <c r="T2158" s="253">
        <v>0.55999999999999994</v>
      </c>
      <c r="U2158" s="253">
        <v>0.66082304526748969</v>
      </c>
      <c r="V2158" s="253">
        <v>0.55037383177570098</v>
      </c>
      <c r="W2158" s="253"/>
      <c r="X2158" s="253">
        <v>0.57999999999999996</v>
      </c>
      <c r="Y2158" s="253">
        <v>0.62721739130434784</v>
      </c>
      <c r="Z2158" s="253">
        <v>0.69615384615384612</v>
      </c>
      <c r="AA2158" s="253">
        <v>0</v>
      </c>
      <c r="AB2158" s="253"/>
      <c r="AC2158" s="253"/>
      <c r="AD2158" s="253"/>
      <c r="AE2158" s="253"/>
    </row>
    <row r="2159" spans="1:31">
      <c r="A2159" s="33">
        <v>2158</v>
      </c>
      <c r="B2159" s="260" t="s">
        <v>942</v>
      </c>
      <c r="C2159" s="260" t="s">
        <v>740</v>
      </c>
      <c r="D2159" s="261">
        <v>43061</v>
      </c>
      <c r="E2159" s="262" t="s">
        <v>724</v>
      </c>
      <c r="F2159" s="260" t="s">
        <v>532</v>
      </c>
      <c r="G2159" s="260" t="str">
        <f t="shared" si="33"/>
        <v>ERROR</v>
      </c>
      <c r="H2159" s="260" t="s">
        <v>364</v>
      </c>
      <c r="I2159" s="260" t="s">
        <v>943</v>
      </c>
      <c r="J2159" s="260" t="s">
        <v>942</v>
      </c>
      <c r="K2159" s="260" t="s">
        <v>944</v>
      </c>
      <c r="L2159" s="256">
        <v>0.64571428571428569</v>
      </c>
      <c r="M2159" s="256">
        <v>0.57311054448170307</v>
      </c>
      <c r="N2159" s="256">
        <v>0.66</v>
      </c>
      <c r="O2159" s="256">
        <v>0.54416843115707647</v>
      </c>
      <c r="P2159" s="256">
        <v>0.65714285714285714</v>
      </c>
      <c r="Q2159" s="256">
        <v>0.58493150684931505</v>
      </c>
      <c r="R2159" s="256">
        <v>0.54600938967136159</v>
      </c>
      <c r="S2159" s="256">
        <v>0.6</v>
      </c>
      <c r="T2159" s="256">
        <v>0.54000000000000015</v>
      </c>
      <c r="U2159" s="256">
        <v>0.57835390946502052</v>
      </c>
      <c r="V2159" s="256"/>
      <c r="W2159" s="256"/>
      <c r="X2159" s="256">
        <v>0.66</v>
      </c>
      <c r="Y2159" s="256">
        <v>0.5173913043478261</v>
      </c>
      <c r="Z2159" s="256">
        <v>0.6</v>
      </c>
      <c r="AA2159" s="253">
        <v>0.64571428571428569</v>
      </c>
      <c r="AB2159" s="253"/>
      <c r="AC2159" s="253"/>
      <c r="AD2159" s="253"/>
      <c r="AE2159" s="253"/>
    </row>
    <row r="2160" spans="1:31">
      <c r="A2160" s="33">
        <v>2159</v>
      </c>
      <c r="B2160" s="260" t="s">
        <v>942</v>
      </c>
      <c r="C2160" s="260" t="s">
        <v>740</v>
      </c>
      <c r="D2160" s="261">
        <v>43061</v>
      </c>
      <c r="E2160" s="262" t="s">
        <v>724</v>
      </c>
      <c r="F2160" s="260" t="s">
        <v>532</v>
      </c>
      <c r="G2160" s="260" t="str">
        <f t="shared" si="33"/>
        <v>ERROR</v>
      </c>
      <c r="H2160" s="260" t="s">
        <v>364</v>
      </c>
      <c r="I2160" s="260" t="s">
        <v>943</v>
      </c>
      <c r="J2160" s="260" t="s">
        <v>942</v>
      </c>
      <c r="K2160" s="260" t="s">
        <v>945</v>
      </c>
      <c r="L2160" s="256">
        <v>0.62904761904761908</v>
      </c>
      <c r="M2160" s="256">
        <v>0.61774850462785036</v>
      </c>
      <c r="N2160" s="256">
        <v>0.67</v>
      </c>
      <c r="O2160" s="256">
        <v>0.57552094152479982</v>
      </c>
      <c r="P2160" s="256">
        <v>0.66996336996337003</v>
      </c>
      <c r="Q2160" s="256">
        <v>0.65698630136986291</v>
      </c>
      <c r="R2160" s="256">
        <v>0.59530516431924885</v>
      </c>
      <c r="S2160" s="256">
        <v>0.64184466019417474</v>
      </c>
      <c r="T2160" s="256">
        <v>0.64</v>
      </c>
      <c r="U2160" s="256">
        <v>0.63711934156378625</v>
      </c>
      <c r="V2160" s="256"/>
      <c r="W2160" s="256"/>
      <c r="X2160" s="256">
        <v>0.67</v>
      </c>
      <c r="Y2160" s="256">
        <v>0.58982608695652172</v>
      </c>
      <c r="Z2160" s="256">
        <v>0.4653846153846154</v>
      </c>
      <c r="AA2160" s="253">
        <v>0</v>
      </c>
      <c r="AB2160" s="253"/>
      <c r="AC2160" s="253"/>
      <c r="AD2160" s="253"/>
      <c r="AE2160" s="253"/>
    </row>
    <row r="2161" spans="1:31">
      <c r="A2161" s="33">
        <v>2160</v>
      </c>
      <c r="B2161" s="69" t="s">
        <v>942</v>
      </c>
      <c r="C2161" s="69" t="s">
        <v>740</v>
      </c>
      <c r="D2161" s="56">
        <v>43061</v>
      </c>
      <c r="E2161" s="33" t="s">
        <v>724</v>
      </c>
      <c r="F2161" s="69" t="s">
        <v>532</v>
      </c>
      <c r="G2161" s="69" t="str">
        <f t="shared" si="33"/>
        <v>E-Commerce</v>
      </c>
      <c r="H2161" s="69" t="s">
        <v>364</v>
      </c>
      <c r="I2161" s="69" t="s">
        <v>943</v>
      </c>
      <c r="J2161" s="69" t="s">
        <v>942</v>
      </c>
      <c r="K2161" s="69" t="s">
        <v>78</v>
      </c>
      <c r="L2161" s="253">
        <v>0.6666849816849818</v>
      </c>
      <c r="M2161" s="253">
        <v>0.66208516864352995</v>
      </c>
      <c r="N2161" s="253">
        <v>0.72978971962616823</v>
      </c>
      <c r="O2161" s="253">
        <v>0.63574067112101484</v>
      </c>
      <c r="P2161" s="253">
        <v>0.67326007326007331</v>
      </c>
      <c r="Q2161" s="253">
        <v>0.66671232876712316</v>
      </c>
      <c r="R2161" s="253">
        <v>0.72067519621546072</v>
      </c>
      <c r="S2161" s="253">
        <v>0.60359223300970888</v>
      </c>
      <c r="T2161" s="253">
        <v>0.70419847328244267</v>
      </c>
      <c r="U2161" s="253">
        <v>0.63</v>
      </c>
      <c r="V2161" s="253">
        <v>0.72978971962616823</v>
      </c>
      <c r="W2161" s="253"/>
      <c r="X2161" s="253"/>
      <c r="Y2161" s="253">
        <v>0.61747826086956525</v>
      </c>
      <c r="Z2161" s="253">
        <v>0.64038461538461533</v>
      </c>
      <c r="AA2161" s="253"/>
      <c r="AB2161" s="253"/>
      <c r="AC2161" s="253"/>
      <c r="AD2161" s="253"/>
      <c r="AE2161" s="253"/>
    </row>
    <row r="2162" spans="1:31">
      <c r="A2162" s="33">
        <v>2161</v>
      </c>
      <c r="B2162" s="69" t="s">
        <v>942</v>
      </c>
      <c r="C2162" s="69" t="s">
        <v>740</v>
      </c>
      <c r="D2162" s="56">
        <v>43061</v>
      </c>
      <c r="E2162" s="33" t="s">
        <v>781</v>
      </c>
      <c r="F2162" s="69" t="s">
        <v>532</v>
      </c>
      <c r="G2162" s="69" t="str">
        <f t="shared" si="33"/>
        <v>E-Commerce</v>
      </c>
      <c r="H2162" s="69" t="s">
        <v>364</v>
      </c>
      <c r="I2162" s="69" t="s">
        <v>943</v>
      </c>
      <c r="J2162" s="69" t="s">
        <v>942</v>
      </c>
      <c r="K2162" s="69" t="s">
        <v>946</v>
      </c>
      <c r="L2162" s="253">
        <v>0.62802197802197801</v>
      </c>
      <c r="M2162" s="253">
        <v>0.60663986630366784</v>
      </c>
      <c r="N2162" s="253">
        <v>0.60789719626168226</v>
      </c>
      <c r="O2162" s="253">
        <v>0.57142167440906333</v>
      </c>
      <c r="P2162" s="253">
        <v>0.6186813186813187</v>
      </c>
      <c r="Q2162" s="253">
        <v>0.63821917808219186</v>
      </c>
      <c r="R2162" s="253">
        <v>0.63568075117370892</v>
      </c>
      <c r="S2162" s="253">
        <v>0.46582524271844655</v>
      </c>
      <c r="T2162" s="253">
        <v>0.65</v>
      </c>
      <c r="U2162" s="253">
        <v>0.61547325102880646</v>
      </c>
      <c r="V2162" s="253">
        <v>0.60789719626168226</v>
      </c>
      <c r="W2162" s="253"/>
      <c r="X2162" s="253"/>
      <c r="Y2162" s="253">
        <v>0.53426086956521734</v>
      </c>
      <c r="Z2162" s="253">
        <v>0.66538461538461535</v>
      </c>
      <c r="AA2162" s="253"/>
      <c r="AB2162" s="253"/>
      <c r="AC2162" s="253"/>
      <c r="AD2162" s="253"/>
      <c r="AE2162" s="253"/>
    </row>
    <row r="2163" spans="1:31">
      <c r="A2163" s="33">
        <v>2162</v>
      </c>
      <c r="B2163" s="69" t="s">
        <v>947</v>
      </c>
      <c r="C2163" s="69" t="s">
        <v>791</v>
      </c>
      <c r="D2163" s="56">
        <v>43061</v>
      </c>
      <c r="E2163" s="33" t="s">
        <v>724</v>
      </c>
      <c r="F2163" s="69" t="s">
        <v>380</v>
      </c>
      <c r="G2163" s="69" t="str">
        <f t="shared" si="33"/>
        <v>User Registration</v>
      </c>
      <c r="H2163" s="69" t="s">
        <v>508</v>
      </c>
      <c r="I2163" s="69" t="s">
        <v>922</v>
      </c>
      <c r="J2163" s="69" t="s">
        <v>947</v>
      </c>
      <c r="K2163" s="69" t="s">
        <v>929</v>
      </c>
      <c r="L2163" s="253">
        <v>0.66890856313497837</v>
      </c>
      <c r="M2163" s="253">
        <v>0.62657823185764283</v>
      </c>
      <c r="N2163" s="253">
        <v>0.62775452488687788</v>
      </c>
      <c r="O2163" s="253">
        <v>0.63396327902259675</v>
      </c>
      <c r="P2163" s="253">
        <v>0.67094339622641519</v>
      </c>
      <c r="Q2163" s="253">
        <v>0.57405405405405407</v>
      </c>
      <c r="R2163" s="253">
        <v>0.63754225492145555</v>
      </c>
      <c r="S2163" s="253">
        <v>0.57259615384615381</v>
      </c>
      <c r="T2163" s="253">
        <v>0.60361702127659578</v>
      </c>
      <c r="U2163" s="253">
        <v>0.70091954022988501</v>
      </c>
      <c r="V2163" s="253"/>
      <c r="W2163" s="253">
        <v>0.62937500000000002</v>
      </c>
      <c r="X2163" s="253">
        <v>0.62235294117647055</v>
      </c>
      <c r="Y2163" s="253">
        <v>0.63733333333333342</v>
      </c>
      <c r="Z2163" s="253">
        <v>0.66076923076923078</v>
      </c>
      <c r="AA2163" s="253"/>
      <c r="AB2163" s="253"/>
      <c r="AC2163" s="253"/>
      <c r="AD2163" s="253"/>
      <c r="AE2163" s="253"/>
    </row>
    <row r="2164" spans="1:31">
      <c r="A2164" s="33">
        <v>2163</v>
      </c>
      <c r="B2164" s="69" t="s">
        <v>947</v>
      </c>
      <c r="C2164" s="69" t="s">
        <v>791</v>
      </c>
      <c r="D2164" s="56">
        <v>43061</v>
      </c>
      <c r="E2164" s="33" t="s">
        <v>724</v>
      </c>
      <c r="F2164" s="69" t="s">
        <v>380</v>
      </c>
      <c r="G2164" s="69" t="str">
        <f t="shared" si="33"/>
        <v>User Registration</v>
      </c>
      <c r="H2164" s="69" t="s">
        <v>508</v>
      </c>
      <c r="I2164" s="69" t="s">
        <v>922</v>
      </c>
      <c r="J2164" s="69" t="s">
        <v>947</v>
      </c>
      <c r="K2164" s="69" t="s">
        <v>948</v>
      </c>
      <c r="L2164" s="253">
        <v>0.66235703918722777</v>
      </c>
      <c r="M2164" s="253">
        <v>0.63447955934569111</v>
      </c>
      <c r="N2164" s="253">
        <v>0.64434106334841634</v>
      </c>
      <c r="O2164" s="253">
        <v>0.6144715679429047</v>
      </c>
      <c r="P2164" s="253">
        <v>0.66679245283018862</v>
      </c>
      <c r="Q2164" s="253">
        <v>0.63540540540540547</v>
      </c>
      <c r="R2164" s="253">
        <v>0.62254921455557755</v>
      </c>
      <c r="S2164" s="253">
        <v>0.59375</v>
      </c>
      <c r="T2164" s="253">
        <v>0.62021276595744668</v>
      </c>
      <c r="U2164" s="253">
        <v>0.6827586206896552</v>
      </c>
      <c r="V2164" s="253"/>
      <c r="W2164" s="253">
        <v>0.66593750000000007</v>
      </c>
      <c r="X2164" s="253">
        <v>0.57235294117647062</v>
      </c>
      <c r="Y2164" s="253">
        <v>0.60379166666666662</v>
      </c>
      <c r="Z2164" s="253">
        <v>0.64461538461538459</v>
      </c>
      <c r="AA2164" s="253"/>
      <c r="AB2164" s="253"/>
      <c r="AC2164" s="253"/>
      <c r="AD2164" s="253"/>
      <c r="AE2164" s="253"/>
    </row>
    <row r="2165" spans="1:31">
      <c r="A2165" s="33">
        <v>2164</v>
      </c>
      <c r="B2165" s="69" t="s">
        <v>947</v>
      </c>
      <c r="C2165" s="69" t="s">
        <v>791</v>
      </c>
      <c r="D2165" s="56">
        <v>43061</v>
      </c>
      <c r="E2165" s="33" t="s">
        <v>724</v>
      </c>
      <c r="F2165" s="69" t="s">
        <v>380</v>
      </c>
      <c r="G2165" s="69" t="str">
        <f t="shared" si="33"/>
        <v>User Registration</v>
      </c>
      <c r="H2165" s="69" t="s">
        <v>508</v>
      </c>
      <c r="I2165" s="69" t="s">
        <v>922</v>
      </c>
      <c r="J2165" s="69" t="s">
        <v>947</v>
      </c>
      <c r="K2165" s="69" t="s">
        <v>928</v>
      </c>
      <c r="L2165" s="253">
        <v>0.67994775036284461</v>
      </c>
      <c r="M2165" s="253">
        <v>0.64809686252944587</v>
      </c>
      <c r="N2165" s="253">
        <v>0.62156250000000013</v>
      </c>
      <c r="O2165" s="253">
        <v>0.64921498168131664</v>
      </c>
      <c r="P2165" s="253">
        <v>0.71339622641509437</v>
      </c>
      <c r="Q2165" s="253">
        <v>0.66810810810810817</v>
      </c>
      <c r="R2165" s="253">
        <v>0.6839928415191886</v>
      </c>
      <c r="S2165" s="253">
        <v>0.66105769230769229</v>
      </c>
      <c r="T2165" s="253">
        <v>0.55478723404255315</v>
      </c>
      <c r="U2165" s="253">
        <v>0.68258620689655169</v>
      </c>
      <c r="V2165" s="253"/>
      <c r="W2165" s="253">
        <v>0.62156250000000013</v>
      </c>
      <c r="X2165" s="253"/>
      <c r="Y2165" s="253">
        <v>0.67010416666666672</v>
      </c>
      <c r="Z2165" s="253">
        <v>0.5461538461538461</v>
      </c>
      <c r="AA2165" s="253"/>
      <c r="AB2165" s="253"/>
      <c r="AC2165" s="253"/>
      <c r="AD2165" s="253"/>
      <c r="AE2165" s="253"/>
    </row>
    <row r="2166" spans="1:31">
      <c r="A2166" s="33">
        <v>2165</v>
      </c>
      <c r="B2166" s="69" t="s">
        <v>947</v>
      </c>
      <c r="C2166" s="69" t="s">
        <v>791</v>
      </c>
      <c r="D2166" s="56">
        <v>43061</v>
      </c>
      <c r="E2166" s="33" t="s">
        <v>724</v>
      </c>
      <c r="F2166" s="69" t="s">
        <v>380</v>
      </c>
      <c r="G2166" s="69" t="str">
        <f t="shared" si="33"/>
        <v>User Registration</v>
      </c>
      <c r="H2166" s="69" t="s">
        <v>508</v>
      </c>
      <c r="I2166" s="69" t="s">
        <v>922</v>
      </c>
      <c r="J2166" s="69" t="s">
        <v>947</v>
      </c>
      <c r="K2166" s="69" t="s">
        <v>947</v>
      </c>
      <c r="L2166" s="253">
        <v>0.64479535558780843</v>
      </c>
      <c r="M2166" s="253">
        <v>0.60166192249180339</v>
      </c>
      <c r="N2166" s="253">
        <v>0.66291289592760161</v>
      </c>
      <c r="O2166" s="253">
        <v>0.61988660077733149</v>
      </c>
      <c r="P2166" s="253">
        <v>0.64330188679245282</v>
      </c>
      <c r="Q2166" s="253">
        <v>0.60499999999999998</v>
      </c>
      <c r="R2166" s="253">
        <v>0.60626367070988285</v>
      </c>
      <c r="S2166" s="253">
        <v>0.60240384615384623</v>
      </c>
      <c r="T2166" s="253">
        <v>0.58617021276595749</v>
      </c>
      <c r="U2166" s="253">
        <v>0.58344827586206904</v>
      </c>
      <c r="V2166" s="253"/>
      <c r="W2166" s="253">
        <v>0.64437499999999992</v>
      </c>
      <c r="X2166" s="253">
        <v>0.7247058823529412</v>
      </c>
      <c r="Y2166" s="253">
        <v>0.61658333333333326</v>
      </c>
      <c r="Z2166" s="253">
        <v>0.65076923076923077</v>
      </c>
      <c r="AA2166" s="253"/>
      <c r="AB2166" s="253"/>
      <c r="AC2166" s="253"/>
      <c r="AD2166" s="253"/>
      <c r="AE2166" s="253"/>
    </row>
    <row r="2167" spans="1:31">
      <c r="A2167" s="33">
        <v>2166</v>
      </c>
      <c r="B2167" s="69" t="s">
        <v>947</v>
      </c>
      <c r="C2167" s="69" t="s">
        <v>791</v>
      </c>
      <c r="D2167" s="56">
        <v>43061</v>
      </c>
      <c r="E2167" s="33" t="s">
        <v>724</v>
      </c>
      <c r="F2167" s="69" t="s">
        <v>380</v>
      </c>
      <c r="G2167" s="69" t="str">
        <f t="shared" si="33"/>
        <v>User Registration</v>
      </c>
      <c r="H2167" s="69" t="s">
        <v>508</v>
      </c>
      <c r="I2167" s="69" t="s">
        <v>922</v>
      </c>
      <c r="J2167" s="69" t="s">
        <v>947</v>
      </c>
      <c r="K2167" s="69" t="s">
        <v>949</v>
      </c>
      <c r="L2167" s="253">
        <v>0.60826415094339636</v>
      </c>
      <c r="M2167" s="253">
        <v>0.59694567689765554</v>
      </c>
      <c r="N2167" s="253">
        <v>0.59437499999999999</v>
      </c>
      <c r="O2167" s="253">
        <v>0.59197571379930614</v>
      </c>
      <c r="P2167" s="253">
        <v>0.60283018867924543</v>
      </c>
      <c r="Q2167" s="253">
        <v>0.58851351351351344</v>
      </c>
      <c r="R2167" s="253">
        <v>0.60962815669119108</v>
      </c>
      <c r="S2167" s="253">
        <v>0.60769230769230764</v>
      </c>
      <c r="T2167" s="253">
        <v>0.59617021276595739</v>
      </c>
      <c r="U2167" s="253">
        <v>0.56965517241379315</v>
      </c>
      <c r="V2167" s="253"/>
      <c r="W2167" s="253">
        <v>0.59437499999999999</v>
      </c>
      <c r="X2167" s="253"/>
      <c r="Y2167" s="253">
        <v>0.57581250000000006</v>
      </c>
      <c r="Z2167" s="253">
        <v>0.63</v>
      </c>
      <c r="AA2167" s="253"/>
      <c r="AB2167" s="253"/>
      <c r="AC2167" s="253"/>
      <c r="AD2167" s="253"/>
      <c r="AE2167" s="253"/>
    </row>
    <row r="2168" spans="1:31">
      <c r="A2168" s="33">
        <v>2167</v>
      </c>
      <c r="B2168" s="69" t="s">
        <v>933</v>
      </c>
      <c r="C2168" s="69" t="s">
        <v>723</v>
      </c>
      <c r="D2168" s="56">
        <v>43068</v>
      </c>
      <c r="E2168" s="33" t="s">
        <v>781</v>
      </c>
      <c r="F2168" s="69" t="s">
        <v>725</v>
      </c>
      <c r="G2168" s="69" t="str">
        <f t="shared" si="33"/>
        <v>User Registration</v>
      </c>
      <c r="H2168" s="69" t="s">
        <v>749</v>
      </c>
      <c r="I2168" s="69" t="s">
        <v>808</v>
      </c>
      <c r="J2168" s="69" t="s">
        <v>933</v>
      </c>
      <c r="K2168" s="69" t="s">
        <v>933</v>
      </c>
      <c r="L2168" s="253">
        <v>0.56150988142292479</v>
      </c>
      <c r="M2168" s="253">
        <v>0.55939486661965843</v>
      </c>
      <c r="N2168" s="253">
        <v>0.55000000000000004</v>
      </c>
      <c r="O2168" s="253">
        <v>0.56037335485613216</v>
      </c>
      <c r="P2168" s="253">
        <v>0.54438735177865605</v>
      </c>
      <c r="Q2168" s="253">
        <v>0.52303030303030307</v>
      </c>
      <c r="R2168" s="253">
        <v>0.56063829787234043</v>
      </c>
      <c r="S2168" s="253">
        <v>0.56769230769230761</v>
      </c>
      <c r="T2168" s="253">
        <v>0.57999999999999996</v>
      </c>
      <c r="U2168" s="253">
        <v>0.54000000000000015</v>
      </c>
      <c r="V2168" s="253"/>
      <c r="W2168" s="253">
        <v>0.55000000000000004</v>
      </c>
      <c r="X2168" s="253"/>
      <c r="Y2168" s="253">
        <v>0.5424347826086956</v>
      </c>
      <c r="Z2168" s="253">
        <v>0.62999999999999989</v>
      </c>
      <c r="AA2168" s="253"/>
      <c r="AB2168" s="253"/>
      <c r="AC2168" s="253"/>
      <c r="AD2168" s="253"/>
      <c r="AE2168" s="253"/>
    </row>
    <row r="2169" spans="1:31">
      <c r="A2169" s="33">
        <v>2168</v>
      </c>
      <c r="B2169" s="69" t="s">
        <v>933</v>
      </c>
      <c r="C2169" s="69" t="s">
        <v>723</v>
      </c>
      <c r="D2169" s="56">
        <v>43068</v>
      </c>
      <c r="E2169" s="33" t="s">
        <v>781</v>
      </c>
      <c r="F2169" s="69" t="s">
        <v>725</v>
      </c>
      <c r="G2169" s="69" t="str">
        <f t="shared" si="33"/>
        <v>User Registration</v>
      </c>
      <c r="H2169" s="69" t="s">
        <v>749</v>
      </c>
      <c r="I2169" s="69" t="s">
        <v>808</v>
      </c>
      <c r="J2169" s="69" t="s">
        <v>933</v>
      </c>
      <c r="K2169" s="69" t="s">
        <v>934</v>
      </c>
      <c r="L2169" s="253">
        <v>0.56864031620553357</v>
      </c>
      <c r="M2169" s="253">
        <v>0.56830725241456048</v>
      </c>
      <c r="N2169" s="253">
        <v>0.53000000000000014</v>
      </c>
      <c r="O2169" s="253">
        <v>0.55443615955791492</v>
      </c>
      <c r="P2169" s="253">
        <v>0.54830039525691698</v>
      </c>
      <c r="Q2169" s="253">
        <v>0.57090909090909103</v>
      </c>
      <c r="R2169" s="253">
        <v>0.55425531914893622</v>
      </c>
      <c r="S2169" s="253">
        <v>0.60903846153846142</v>
      </c>
      <c r="T2169" s="253">
        <v>0.56000000000000005</v>
      </c>
      <c r="U2169" s="253">
        <v>0.52</v>
      </c>
      <c r="V2169" s="253"/>
      <c r="W2169" s="253">
        <v>0.53000000000000014</v>
      </c>
      <c r="X2169" s="253"/>
      <c r="Y2169" s="253">
        <v>0.518695652173913</v>
      </c>
      <c r="Z2169" s="253">
        <v>0.65</v>
      </c>
      <c r="AA2169" s="253"/>
      <c r="AB2169" s="253"/>
      <c r="AC2169" s="253"/>
      <c r="AD2169" s="253"/>
      <c r="AE2169" s="253"/>
    </row>
    <row r="2170" spans="1:31">
      <c r="A2170" s="33">
        <v>2169</v>
      </c>
      <c r="B2170" s="69" t="s">
        <v>933</v>
      </c>
      <c r="C2170" s="69" t="s">
        <v>723</v>
      </c>
      <c r="D2170" s="56">
        <v>43068</v>
      </c>
      <c r="E2170" s="33" t="s">
        <v>781</v>
      </c>
      <c r="F2170" s="69" t="s">
        <v>725</v>
      </c>
      <c r="G2170" s="69" t="str">
        <f t="shared" si="33"/>
        <v>User Registration</v>
      </c>
      <c r="H2170" s="69" t="s">
        <v>749</v>
      </c>
      <c r="I2170" s="69" t="s">
        <v>808</v>
      </c>
      <c r="J2170" s="69" t="s">
        <v>933</v>
      </c>
      <c r="K2170" s="69" t="s">
        <v>785</v>
      </c>
      <c r="L2170" s="253">
        <v>0.50464031620553373</v>
      </c>
      <c r="M2170" s="253">
        <v>0.53885176895260145</v>
      </c>
      <c r="N2170" s="253">
        <v>0.52000000000000013</v>
      </c>
      <c r="O2170" s="253">
        <v>0.58494080278974447</v>
      </c>
      <c r="P2170" s="253">
        <v>0.50330039525691705</v>
      </c>
      <c r="Q2170" s="253">
        <v>0.56545454545454543</v>
      </c>
      <c r="R2170" s="253">
        <v>0.54744680851063832</v>
      </c>
      <c r="S2170" s="253">
        <v>0.53538461538461546</v>
      </c>
      <c r="T2170" s="253">
        <v>0.56100000000000005</v>
      </c>
      <c r="U2170" s="253">
        <v>0.50999999999999979</v>
      </c>
      <c r="V2170" s="253"/>
      <c r="W2170" s="253">
        <v>0.52000000000000013</v>
      </c>
      <c r="X2170" s="253"/>
      <c r="Y2170" s="253">
        <v>0.62182608695652175</v>
      </c>
      <c r="Z2170" s="253">
        <v>0.51</v>
      </c>
      <c r="AA2170" s="253"/>
      <c r="AB2170" s="253"/>
      <c r="AC2170" s="253"/>
      <c r="AD2170" s="253"/>
      <c r="AE2170" s="253"/>
    </row>
    <row r="2171" spans="1:31">
      <c r="A2171" s="33">
        <v>2170</v>
      </c>
      <c r="B2171" s="69" t="s">
        <v>933</v>
      </c>
      <c r="C2171" s="69" t="s">
        <v>723</v>
      </c>
      <c r="D2171" s="56">
        <v>43068</v>
      </c>
      <c r="E2171" s="33" t="s">
        <v>781</v>
      </c>
      <c r="F2171" s="69" t="s">
        <v>725</v>
      </c>
      <c r="G2171" s="69" t="str">
        <f t="shared" si="33"/>
        <v>User Registration</v>
      </c>
      <c r="H2171" s="69" t="s">
        <v>749</v>
      </c>
      <c r="I2171" s="69" t="s">
        <v>808</v>
      </c>
      <c r="J2171" s="69" t="s">
        <v>933</v>
      </c>
      <c r="K2171" s="69" t="s">
        <v>786</v>
      </c>
      <c r="L2171" s="253">
        <v>0.62097233201581015</v>
      </c>
      <c r="M2171" s="253">
        <v>0.62707982119638006</v>
      </c>
      <c r="N2171" s="253">
        <v>0.6</v>
      </c>
      <c r="O2171" s="253">
        <v>0.56936150615450831</v>
      </c>
      <c r="P2171" s="253">
        <v>0.60371541501976278</v>
      </c>
      <c r="Q2171" s="253">
        <v>0.61636363636363634</v>
      </c>
      <c r="R2171" s="253">
        <v>0.64255319148936174</v>
      </c>
      <c r="S2171" s="253">
        <v>0.61115384615384616</v>
      </c>
      <c r="T2171" s="253">
        <v>0.64</v>
      </c>
      <c r="U2171" s="253">
        <v>0.6</v>
      </c>
      <c r="V2171" s="253"/>
      <c r="W2171" s="253">
        <v>0.6</v>
      </c>
      <c r="X2171" s="253"/>
      <c r="Y2171" s="253">
        <v>0.50965217391304352</v>
      </c>
      <c r="Z2171" s="253">
        <v>0.69000000000000006</v>
      </c>
      <c r="AA2171" s="253"/>
      <c r="AB2171" s="253"/>
      <c r="AC2171" s="253"/>
      <c r="AD2171" s="253"/>
      <c r="AE2171" s="253"/>
    </row>
    <row r="2172" spans="1:31">
      <c r="A2172" s="33">
        <v>2171</v>
      </c>
      <c r="B2172" s="69" t="s">
        <v>933</v>
      </c>
      <c r="C2172" s="69" t="s">
        <v>723</v>
      </c>
      <c r="D2172" s="56">
        <v>43068</v>
      </c>
      <c r="E2172" s="33" t="s">
        <v>781</v>
      </c>
      <c r="F2172" s="69" t="s">
        <v>725</v>
      </c>
      <c r="G2172" s="69" t="str">
        <f t="shared" si="33"/>
        <v>User Registration</v>
      </c>
      <c r="H2172" s="69" t="s">
        <v>749</v>
      </c>
      <c r="I2172" s="69" t="s">
        <v>808</v>
      </c>
      <c r="J2172" s="69" t="s">
        <v>933</v>
      </c>
      <c r="K2172" s="69" t="s">
        <v>935</v>
      </c>
      <c r="L2172" s="253">
        <v>0.59853754940711457</v>
      </c>
      <c r="M2172" s="253">
        <v>0.58520255569284263</v>
      </c>
      <c r="N2172" s="253">
        <v>0.57999999999999996</v>
      </c>
      <c r="O2172" s="253">
        <v>0.60296513498110604</v>
      </c>
      <c r="P2172" s="253">
        <v>0.58067193675889328</v>
      </c>
      <c r="Q2172" s="253">
        <v>0.57575757575757591</v>
      </c>
      <c r="R2172" s="253">
        <v>0.57978723404255317</v>
      </c>
      <c r="S2172" s="253">
        <v>0.5494230769230769</v>
      </c>
      <c r="T2172" s="253">
        <v>0.59</v>
      </c>
      <c r="U2172" s="253">
        <v>0.59000000000000008</v>
      </c>
      <c r="V2172" s="253"/>
      <c r="W2172" s="253">
        <v>0.57999999999999996</v>
      </c>
      <c r="X2172" s="253"/>
      <c r="Y2172" s="253">
        <v>0.59556521739130441</v>
      </c>
      <c r="Z2172" s="253">
        <v>0.67</v>
      </c>
      <c r="AA2172" s="253"/>
      <c r="AB2172" s="253"/>
      <c r="AC2172" s="253"/>
      <c r="AD2172" s="253"/>
      <c r="AE2172" s="253"/>
    </row>
    <row r="2173" spans="1:31">
      <c r="A2173" s="33">
        <v>2172</v>
      </c>
      <c r="B2173" s="69" t="s">
        <v>933</v>
      </c>
      <c r="C2173" s="69" t="s">
        <v>723</v>
      </c>
      <c r="D2173" s="56">
        <v>43068</v>
      </c>
      <c r="E2173" s="33" t="s">
        <v>781</v>
      </c>
      <c r="F2173" s="69" t="s">
        <v>725</v>
      </c>
      <c r="G2173" s="69" t="str">
        <f t="shared" si="33"/>
        <v>User Registration</v>
      </c>
      <c r="H2173" s="69" t="s">
        <v>749</v>
      </c>
      <c r="I2173" s="69" t="s">
        <v>808</v>
      </c>
      <c r="J2173" s="69" t="s">
        <v>933</v>
      </c>
      <c r="K2173" s="69" t="s">
        <v>788</v>
      </c>
      <c r="L2173" s="253">
        <v>0.61456126482213447</v>
      </c>
      <c r="M2173" s="253">
        <v>0.59883290314372639</v>
      </c>
      <c r="N2173" s="253">
        <v>0.54</v>
      </c>
      <c r="O2173" s="253">
        <v>0.62111406201858932</v>
      </c>
      <c r="P2173" s="253">
        <v>0.60320158102766797</v>
      </c>
      <c r="Q2173" s="253">
        <v>0.60939393939393938</v>
      </c>
      <c r="R2173" s="253">
        <v>0.64680851063829792</v>
      </c>
      <c r="S2173" s="253">
        <v>0.54288461538461541</v>
      </c>
      <c r="T2173" s="253">
        <v>0.62</v>
      </c>
      <c r="U2173" s="253">
        <v>0.55000000000000004</v>
      </c>
      <c r="V2173" s="253"/>
      <c r="W2173" s="253">
        <v>0.54</v>
      </c>
      <c r="X2173" s="253"/>
      <c r="Y2173" s="253">
        <v>0.613304347826087</v>
      </c>
      <c r="Z2173" s="253">
        <v>0.66</v>
      </c>
      <c r="AA2173" s="253"/>
      <c r="AB2173" s="253"/>
      <c r="AC2173" s="253"/>
      <c r="AD2173" s="253"/>
      <c r="AE2173" s="253"/>
    </row>
    <row r="2174" spans="1:31">
      <c r="A2174" s="33">
        <v>2173</v>
      </c>
      <c r="B2174" s="69" t="s">
        <v>933</v>
      </c>
      <c r="C2174" s="69" t="s">
        <v>723</v>
      </c>
      <c r="D2174" s="56">
        <v>43068</v>
      </c>
      <c r="E2174" s="33" t="s">
        <v>781</v>
      </c>
      <c r="F2174" s="69" t="s">
        <v>725</v>
      </c>
      <c r="G2174" s="69" t="str">
        <f t="shared" si="33"/>
        <v>User Registration</v>
      </c>
      <c r="H2174" s="69" t="s">
        <v>749</v>
      </c>
      <c r="I2174" s="69" t="s">
        <v>808</v>
      </c>
      <c r="J2174" s="69" t="s">
        <v>933</v>
      </c>
      <c r="K2174" s="69" t="s">
        <v>787</v>
      </c>
      <c r="L2174" s="253">
        <v>0.60044268774703558</v>
      </c>
      <c r="M2174" s="253">
        <v>0.61335955441413348</v>
      </c>
      <c r="N2174" s="253">
        <v>0.62</v>
      </c>
      <c r="O2174" s="253">
        <v>0.57389275454914568</v>
      </c>
      <c r="P2174" s="253">
        <v>0.59055335968379441</v>
      </c>
      <c r="Q2174" s="253">
        <v>0.5509090909090909</v>
      </c>
      <c r="R2174" s="253">
        <v>0.66595744680851066</v>
      </c>
      <c r="S2174" s="253">
        <v>0.59596153846153843</v>
      </c>
      <c r="T2174" s="253">
        <v>0.67</v>
      </c>
      <c r="U2174" s="253">
        <v>0.57999999999999996</v>
      </c>
      <c r="V2174" s="253"/>
      <c r="W2174" s="253">
        <v>0.62</v>
      </c>
      <c r="X2174" s="253"/>
      <c r="Y2174" s="253">
        <v>0.53573913043478261</v>
      </c>
      <c r="Z2174" s="253">
        <v>0.64</v>
      </c>
      <c r="AA2174" s="253"/>
      <c r="AB2174" s="253"/>
      <c r="AC2174" s="253"/>
      <c r="AD2174" s="253"/>
      <c r="AE2174" s="253"/>
    </row>
    <row r="2175" spans="1:31">
      <c r="A2175" s="33">
        <v>2174</v>
      </c>
      <c r="B2175" s="69" t="s">
        <v>936</v>
      </c>
      <c r="C2175" s="69" t="s">
        <v>723</v>
      </c>
      <c r="D2175" s="56">
        <v>43068</v>
      </c>
      <c r="E2175" s="33" t="s">
        <v>781</v>
      </c>
      <c r="F2175" s="69" t="s">
        <v>725</v>
      </c>
      <c r="G2175" s="69" t="str">
        <f t="shared" si="33"/>
        <v>E-Commerce</v>
      </c>
      <c r="H2175" s="69" t="s">
        <v>937</v>
      </c>
      <c r="I2175" s="69" t="s">
        <v>937</v>
      </c>
      <c r="J2175" s="69" t="s">
        <v>936</v>
      </c>
      <c r="K2175" s="69" t="s">
        <v>936</v>
      </c>
      <c r="L2175" s="253"/>
      <c r="M2175" s="253">
        <v>0.58533048875768423</v>
      </c>
      <c r="N2175" s="253">
        <v>0.57714932126696838</v>
      </c>
      <c r="O2175" s="253">
        <v>0.607020118691185</v>
      </c>
      <c r="P2175" s="253"/>
      <c r="Q2175" s="253">
        <v>0.572972972972973</v>
      </c>
      <c r="R2175" s="253">
        <v>0.65698366269529873</v>
      </c>
      <c r="S2175" s="253">
        <v>0.55801886792452837</v>
      </c>
      <c r="T2175" s="253">
        <v>0.62595419847328249</v>
      </c>
      <c r="U2175" s="253">
        <v>0.5906172839506173</v>
      </c>
      <c r="V2175" s="253">
        <v>0.57399999999999995</v>
      </c>
      <c r="W2175" s="253"/>
      <c r="X2175" s="253">
        <v>0.58764705882352941</v>
      </c>
      <c r="Y2175" s="253">
        <v>0.56760416666666658</v>
      </c>
      <c r="Z2175" s="253">
        <v>0.56615384615384612</v>
      </c>
      <c r="AA2175" s="253"/>
      <c r="AB2175" s="253"/>
      <c r="AC2175" s="253"/>
      <c r="AD2175" s="253"/>
      <c r="AE2175" s="253"/>
    </row>
    <row r="2176" spans="1:31">
      <c r="A2176" s="33">
        <v>2175</v>
      </c>
      <c r="B2176" s="69" t="s">
        <v>936</v>
      </c>
      <c r="C2176" s="69" t="s">
        <v>723</v>
      </c>
      <c r="D2176" s="56">
        <v>43068</v>
      </c>
      <c r="E2176" s="33" t="s">
        <v>916</v>
      </c>
      <c r="F2176" s="69" t="s">
        <v>725</v>
      </c>
      <c r="G2176" s="69" t="str">
        <f t="shared" si="33"/>
        <v>E-Commerce</v>
      </c>
      <c r="H2176" s="69" t="s">
        <v>937</v>
      </c>
      <c r="I2176" s="69" t="s">
        <v>937</v>
      </c>
      <c r="J2176" s="69" t="s">
        <v>936</v>
      </c>
      <c r="K2176" s="69" t="s">
        <v>938</v>
      </c>
      <c r="L2176" s="253"/>
      <c r="M2176" s="253">
        <v>0.59159582024813362</v>
      </c>
      <c r="N2176" s="253">
        <v>0.60365253077975378</v>
      </c>
      <c r="O2176" s="253">
        <v>0.61720263458716818</v>
      </c>
      <c r="P2176" s="253"/>
      <c r="Q2176" s="253">
        <v>0.60945945945945934</v>
      </c>
      <c r="R2176" s="253">
        <v>0.65133766141114358</v>
      </c>
      <c r="S2176" s="253">
        <v>0.53820754716981134</v>
      </c>
      <c r="T2176" s="253">
        <v>0.61488549618320609</v>
      </c>
      <c r="U2176" s="253">
        <v>0.61530864197530866</v>
      </c>
      <c r="V2176" s="253">
        <v>0.60139534883720924</v>
      </c>
      <c r="W2176" s="253"/>
      <c r="X2176" s="253">
        <v>0.61117647058823532</v>
      </c>
      <c r="Y2176" s="253">
        <v>0.57291666666666663</v>
      </c>
      <c r="Z2176" s="253">
        <v>0.61307692307692307</v>
      </c>
      <c r="AA2176" s="253"/>
      <c r="AB2176" s="253"/>
      <c r="AC2176" s="253"/>
      <c r="AD2176" s="253"/>
      <c r="AE2176" s="253"/>
    </row>
    <row r="2177" spans="1:31">
      <c r="A2177" s="33">
        <v>2176</v>
      </c>
      <c r="B2177" s="69" t="s">
        <v>936</v>
      </c>
      <c r="C2177" s="69" t="s">
        <v>723</v>
      </c>
      <c r="D2177" s="56">
        <v>43068</v>
      </c>
      <c r="E2177" s="33" t="s">
        <v>724</v>
      </c>
      <c r="F2177" s="69" t="s">
        <v>725</v>
      </c>
      <c r="G2177" s="69" t="str">
        <f t="shared" si="33"/>
        <v>E-Commerce</v>
      </c>
      <c r="H2177" s="69" t="s">
        <v>937</v>
      </c>
      <c r="I2177" s="69" t="s">
        <v>937</v>
      </c>
      <c r="J2177" s="69" t="s">
        <v>936</v>
      </c>
      <c r="K2177" s="69" t="s">
        <v>939</v>
      </c>
      <c r="L2177" s="253"/>
      <c r="M2177" s="253">
        <v>0.59686696107477144</v>
      </c>
      <c r="N2177" s="253">
        <v>0.60953488372093023</v>
      </c>
      <c r="O2177" s="253">
        <v>0.62707197320432795</v>
      </c>
      <c r="P2177" s="253"/>
      <c r="Q2177" s="253">
        <v>0.66378378378378389</v>
      </c>
      <c r="R2177" s="253">
        <v>0.63728615252907184</v>
      </c>
      <c r="S2177" s="253">
        <v>0.56509433962264155</v>
      </c>
      <c r="T2177" s="253">
        <v>0.6091603053435114</v>
      </c>
      <c r="U2177" s="253">
        <v>0.62304526748971201</v>
      </c>
      <c r="V2177" s="253">
        <v>0.60953488372093023</v>
      </c>
      <c r="W2177" s="253"/>
      <c r="X2177" s="253"/>
      <c r="Y2177" s="253">
        <v>0.56500000000000006</v>
      </c>
      <c r="Z2177" s="253">
        <v>0.59615384615384615</v>
      </c>
      <c r="AA2177" s="253"/>
      <c r="AB2177" s="253"/>
      <c r="AC2177" s="253"/>
      <c r="AD2177" s="253"/>
      <c r="AE2177" s="253"/>
    </row>
    <row r="2178" spans="1:31">
      <c r="A2178" s="33">
        <v>2177</v>
      </c>
      <c r="B2178" s="69" t="s">
        <v>936</v>
      </c>
      <c r="C2178" s="69" t="s">
        <v>723</v>
      </c>
      <c r="D2178" s="56">
        <v>43068</v>
      </c>
      <c r="E2178" s="33" t="s">
        <v>724</v>
      </c>
      <c r="F2178" s="69" t="s">
        <v>725</v>
      </c>
      <c r="G2178" s="69" t="str">
        <f t="shared" ref="G2178:G2241" si="34">IF(V2178&gt;0,IF(W2178&gt;0,"Both","E-Commerce"),IF(W2178=0, "ERROR","User Registration"))</f>
        <v>E-Commerce</v>
      </c>
      <c r="H2178" s="69" t="s">
        <v>937</v>
      </c>
      <c r="I2178" s="69" t="s">
        <v>937</v>
      </c>
      <c r="J2178" s="69" t="s">
        <v>936</v>
      </c>
      <c r="K2178" s="69" t="s">
        <v>940</v>
      </c>
      <c r="L2178" s="253"/>
      <c r="M2178" s="253">
        <v>0.55901396100499023</v>
      </c>
      <c r="N2178" s="253">
        <v>0.59622645480374614</v>
      </c>
      <c r="O2178" s="253">
        <v>0.61104064725984641</v>
      </c>
      <c r="P2178" s="253"/>
      <c r="Q2178" s="253">
        <v>0.62297297297297294</v>
      </c>
      <c r="R2178" s="253">
        <v>0.67989441392594707</v>
      </c>
      <c r="S2178" s="253">
        <v>0.52641509433962264</v>
      </c>
      <c r="T2178" s="253">
        <v>0.60114503816793896</v>
      </c>
      <c r="U2178" s="253">
        <v>0.56106995884773647</v>
      </c>
      <c r="V2178" s="253">
        <v>0.58697674418604651</v>
      </c>
      <c r="W2178" s="253"/>
      <c r="X2178" s="253">
        <v>0.62705882352941178</v>
      </c>
      <c r="Y2178" s="253">
        <v>0.58320833333333333</v>
      </c>
      <c r="Z2178" s="253">
        <v>0.46923076923076923</v>
      </c>
      <c r="AA2178" s="253"/>
      <c r="AB2178" s="253"/>
      <c r="AC2178" s="253"/>
      <c r="AD2178" s="253"/>
      <c r="AE2178" s="253"/>
    </row>
    <row r="2179" spans="1:31">
      <c r="A2179" s="33">
        <v>2178</v>
      </c>
      <c r="B2179" s="69" t="s">
        <v>936</v>
      </c>
      <c r="C2179" s="69" t="s">
        <v>723</v>
      </c>
      <c r="D2179" s="56">
        <v>43068</v>
      </c>
      <c r="E2179" s="33" t="s">
        <v>724</v>
      </c>
      <c r="F2179" s="69" t="s">
        <v>725</v>
      </c>
      <c r="G2179" s="69" t="str">
        <f t="shared" si="34"/>
        <v>E-Commerce</v>
      </c>
      <c r="H2179" s="69" t="s">
        <v>937</v>
      </c>
      <c r="I2179" s="69" t="s">
        <v>937</v>
      </c>
      <c r="J2179" s="69" t="s">
        <v>936</v>
      </c>
      <c r="K2179" s="69" t="s">
        <v>941</v>
      </c>
      <c r="L2179" s="253"/>
      <c r="M2179" s="253">
        <v>0.6270859728709407</v>
      </c>
      <c r="N2179" s="253">
        <v>0.65230874460696631</v>
      </c>
      <c r="O2179" s="253">
        <v>0.65161082213248689</v>
      </c>
      <c r="P2179" s="253"/>
      <c r="Q2179" s="253">
        <v>0.67445945945945951</v>
      </c>
      <c r="R2179" s="253">
        <v>0.64481700791895558</v>
      </c>
      <c r="S2179" s="253">
        <v>0.60141509433962259</v>
      </c>
      <c r="T2179" s="253">
        <v>0.65992366412213743</v>
      </c>
      <c r="U2179" s="253">
        <v>0.65238683127572006</v>
      </c>
      <c r="V2179" s="253">
        <v>0.65088372093023272</v>
      </c>
      <c r="W2179" s="253"/>
      <c r="X2179" s="253">
        <v>0.65705882352941181</v>
      </c>
      <c r="Y2179" s="253">
        <v>0.61556250000000001</v>
      </c>
      <c r="Z2179" s="253">
        <v>0.60538461538461541</v>
      </c>
      <c r="AA2179" s="253"/>
      <c r="AB2179" s="253"/>
      <c r="AC2179" s="253"/>
      <c r="AD2179" s="253"/>
      <c r="AE2179" s="253"/>
    </row>
    <row r="2180" spans="1:31">
      <c r="A2180" s="33">
        <v>2179</v>
      </c>
      <c r="B2180" s="69" t="s">
        <v>927</v>
      </c>
      <c r="C2180" s="69" t="s">
        <v>791</v>
      </c>
      <c r="D2180" s="56">
        <v>43068</v>
      </c>
      <c r="E2180" s="33" t="s">
        <v>724</v>
      </c>
      <c r="F2180" s="69" t="s">
        <v>380</v>
      </c>
      <c r="G2180" s="69" t="str">
        <f t="shared" si="34"/>
        <v>User Registration</v>
      </c>
      <c r="H2180" s="69" t="s">
        <v>508</v>
      </c>
      <c r="I2180" s="69" t="s">
        <v>922</v>
      </c>
      <c r="J2180" s="69" t="s">
        <v>927</v>
      </c>
      <c r="K2180" s="69" t="s">
        <v>927</v>
      </c>
      <c r="L2180" s="253">
        <v>0.61843773584905659</v>
      </c>
      <c r="M2180" s="253">
        <v>0.62906805627244466</v>
      </c>
      <c r="N2180" s="253">
        <v>0.64615384615384619</v>
      </c>
      <c r="O2180" s="253">
        <v>0.58577466829116076</v>
      </c>
      <c r="P2180" s="253">
        <v>0.61554716981132074</v>
      </c>
      <c r="Q2180" s="253">
        <v>0.69459459459459461</v>
      </c>
      <c r="R2180" s="253">
        <v>0.62803738317756996</v>
      </c>
      <c r="S2180" s="253">
        <v>0.53749999999999987</v>
      </c>
      <c r="T2180" s="253">
        <v>0.63</v>
      </c>
      <c r="U2180" s="253">
        <v>0.65</v>
      </c>
      <c r="V2180" s="253"/>
      <c r="W2180" s="253">
        <v>0.66</v>
      </c>
      <c r="X2180" s="253">
        <v>0.6</v>
      </c>
      <c r="Y2180" s="253">
        <v>0.55799999999999994</v>
      </c>
      <c r="Z2180" s="253">
        <v>0.62999999999999989</v>
      </c>
      <c r="AA2180" s="253"/>
      <c r="AB2180" s="253"/>
      <c r="AC2180" s="253"/>
      <c r="AD2180" s="253"/>
      <c r="AE2180" s="253"/>
    </row>
    <row r="2181" spans="1:31">
      <c r="A2181" s="33">
        <v>2180</v>
      </c>
      <c r="B2181" s="69" t="s">
        <v>834</v>
      </c>
      <c r="C2181" s="69" t="s">
        <v>791</v>
      </c>
      <c r="D2181" s="56">
        <v>43069</v>
      </c>
      <c r="E2181" s="33" t="s">
        <v>824</v>
      </c>
      <c r="F2181" s="69" t="s">
        <v>380</v>
      </c>
      <c r="G2181" s="69" t="str">
        <f t="shared" si="34"/>
        <v>User Registration</v>
      </c>
      <c r="H2181" s="69" t="s">
        <v>508</v>
      </c>
      <c r="I2181" s="69" t="s">
        <v>922</v>
      </c>
      <c r="J2181" s="69" t="s">
        <v>834</v>
      </c>
      <c r="K2181" s="69" t="s">
        <v>924</v>
      </c>
      <c r="L2181" s="253">
        <v>0.68385776487663275</v>
      </c>
      <c r="M2181" s="253">
        <v>0.66217557746541211</v>
      </c>
      <c r="N2181" s="253">
        <v>0.75174442190669377</v>
      </c>
      <c r="O2181" s="253">
        <v>0.61855982747421323</v>
      </c>
      <c r="P2181" s="253">
        <v>0.71924528301886792</v>
      </c>
      <c r="Q2181" s="253">
        <v>0.68445945945945941</v>
      </c>
      <c r="R2181" s="253">
        <v>0.67603897395108359</v>
      </c>
      <c r="S2181" s="253">
        <v>0.59040404040404049</v>
      </c>
      <c r="T2181" s="253">
        <v>0.69893617021276599</v>
      </c>
      <c r="U2181" s="253">
        <v>0.71379310344827585</v>
      </c>
      <c r="V2181" s="253"/>
      <c r="W2181" s="253">
        <v>0.7886206896551724</v>
      </c>
      <c r="X2181" s="253">
        <v>0.62882352941176478</v>
      </c>
      <c r="Y2181" s="253">
        <v>0.62616525423728808</v>
      </c>
      <c r="Z2181" s="253">
        <v>0.54230769230769227</v>
      </c>
      <c r="AA2181" s="253"/>
      <c r="AB2181" s="253"/>
      <c r="AC2181" s="253"/>
      <c r="AD2181" s="253"/>
      <c r="AE2181" s="253"/>
    </row>
    <row r="2182" spans="1:31">
      <c r="A2182" s="33">
        <v>2181</v>
      </c>
      <c r="B2182" s="69" t="s">
        <v>834</v>
      </c>
      <c r="C2182" s="69" t="s">
        <v>791</v>
      </c>
      <c r="D2182" s="56">
        <v>43069</v>
      </c>
      <c r="E2182" s="33" t="s">
        <v>724</v>
      </c>
      <c r="F2182" s="69" t="s">
        <v>380</v>
      </c>
      <c r="G2182" s="69" t="str">
        <f t="shared" si="34"/>
        <v>User Registration</v>
      </c>
      <c r="H2182" s="69" t="s">
        <v>508</v>
      </c>
      <c r="I2182" s="69" t="s">
        <v>922</v>
      </c>
      <c r="J2182" s="69" t="s">
        <v>834</v>
      </c>
      <c r="K2182" s="69" t="s">
        <v>372</v>
      </c>
      <c r="L2182" s="253">
        <v>0.6733730043541365</v>
      </c>
      <c r="M2182" s="253">
        <v>0.66399499921673411</v>
      </c>
      <c r="N2182" s="253">
        <v>0.73000000000000009</v>
      </c>
      <c r="O2182" s="253">
        <v>0.63435651418746541</v>
      </c>
      <c r="P2182" s="253">
        <v>0.69075471698113211</v>
      </c>
      <c r="Q2182" s="253">
        <v>0.67837837837837844</v>
      </c>
      <c r="R2182" s="253">
        <v>0.6626168224299066</v>
      </c>
      <c r="S2182" s="253">
        <v>0.68557692307692308</v>
      </c>
      <c r="T2182" s="253">
        <v>0.59</v>
      </c>
      <c r="U2182" s="253">
        <v>0.7050574712643678</v>
      </c>
      <c r="V2182" s="253"/>
      <c r="W2182" s="253">
        <v>0.73</v>
      </c>
      <c r="X2182" s="253"/>
      <c r="Y2182" s="253">
        <v>0.62833333333333341</v>
      </c>
      <c r="Z2182" s="253">
        <v>0.60384615384615381</v>
      </c>
      <c r="AA2182" s="253"/>
      <c r="AB2182" s="253"/>
      <c r="AC2182" s="253"/>
      <c r="AD2182" s="253"/>
      <c r="AE2182" s="253"/>
    </row>
    <row r="2183" spans="1:31">
      <c r="A2183" s="33">
        <v>2182</v>
      </c>
      <c r="B2183" s="69" t="s">
        <v>834</v>
      </c>
      <c r="C2183" s="69" t="s">
        <v>791</v>
      </c>
      <c r="D2183" s="56">
        <v>43069</v>
      </c>
      <c r="E2183" s="33" t="s">
        <v>724</v>
      </c>
      <c r="F2183" s="69" t="s">
        <v>380</v>
      </c>
      <c r="G2183" s="69" t="str">
        <f t="shared" si="34"/>
        <v>User Registration</v>
      </c>
      <c r="H2183" s="69" t="s">
        <v>508</v>
      </c>
      <c r="I2183" s="69" t="s">
        <v>922</v>
      </c>
      <c r="J2183" s="69" t="s">
        <v>834</v>
      </c>
      <c r="K2183" s="69" t="s">
        <v>930</v>
      </c>
      <c r="L2183" s="253">
        <v>0.65333940203193019</v>
      </c>
      <c r="M2183" s="253">
        <v>0.6780540373573789</v>
      </c>
      <c r="N2183" s="253">
        <v>0.75789875565610865</v>
      </c>
      <c r="O2183" s="253">
        <v>0.68588187173680903</v>
      </c>
      <c r="P2183" s="253">
        <v>0.65205886792452816</v>
      </c>
      <c r="Q2183" s="253">
        <v>0.57183243243243242</v>
      </c>
      <c r="R2183" s="253">
        <v>0.68903161662358337</v>
      </c>
      <c r="S2183" s="253">
        <v>0.7434615384615384</v>
      </c>
      <c r="T2183" s="253">
        <v>0.6851063829787235</v>
      </c>
      <c r="U2183" s="253">
        <v>0.70333333333333325</v>
      </c>
      <c r="V2183" s="253"/>
      <c r="W2183" s="253">
        <v>0.80156249999999996</v>
      </c>
      <c r="X2183" s="253">
        <v>0.61235294117647066</v>
      </c>
      <c r="Y2183" s="253">
        <v>0.69912500000000011</v>
      </c>
      <c r="Z2183" s="253">
        <v>0.65846153846153843</v>
      </c>
      <c r="AA2183" s="253"/>
      <c r="AB2183" s="253"/>
      <c r="AC2183" s="253"/>
      <c r="AD2183" s="253"/>
      <c r="AE2183" s="253"/>
    </row>
    <row r="2184" spans="1:31">
      <c r="A2184" s="33">
        <v>2183</v>
      </c>
      <c r="B2184" s="69" t="s">
        <v>834</v>
      </c>
      <c r="C2184" s="69" t="s">
        <v>791</v>
      </c>
      <c r="D2184" s="56">
        <v>43069</v>
      </c>
      <c r="E2184" s="33" t="s">
        <v>724</v>
      </c>
      <c r="F2184" s="69" t="s">
        <v>380</v>
      </c>
      <c r="G2184" s="69" t="str">
        <f t="shared" si="34"/>
        <v>User Registration</v>
      </c>
      <c r="H2184" s="69" t="s">
        <v>508</v>
      </c>
      <c r="I2184" s="69" t="s">
        <v>922</v>
      </c>
      <c r="J2184" s="69" t="s">
        <v>834</v>
      </c>
      <c r="K2184" s="69" t="s">
        <v>931</v>
      </c>
      <c r="L2184" s="253">
        <v>0.67527721335268498</v>
      </c>
      <c r="M2184" s="253">
        <v>0.66384411649816533</v>
      </c>
      <c r="N2184" s="253">
        <v>0.66265837104072389</v>
      </c>
      <c r="O2184" s="253">
        <v>0.61466327947409727</v>
      </c>
      <c r="P2184" s="253">
        <v>0.69698113207547163</v>
      </c>
      <c r="Q2184" s="253">
        <v>0.70148648648648648</v>
      </c>
      <c r="R2184" s="253">
        <v>0.69913501690196855</v>
      </c>
      <c r="S2184" s="253">
        <v>0.6216346153846154</v>
      </c>
      <c r="T2184" s="253">
        <v>0.64095744680851063</v>
      </c>
      <c r="U2184" s="253">
        <v>0.67609195402298861</v>
      </c>
      <c r="V2184" s="253"/>
      <c r="W2184" s="253">
        <v>0.66874999999999996</v>
      </c>
      <c r="X2184" s="253">
        <v>0.64235294117647057</v>
      </c>
      <c r="Y2184" s="253">
        <v>0.59624999999999995</v>
      </c>
      <c r="Z2184" s="253">
        <v>0.58846153846153848</v>
      </c>
      <c r="AA2184" s="253"/>
      <c r="AB2184" s="253"/>
      <c r="AC2184" s="253"/>
      <c r="AD2184" s="253"/>
      <c r="AE2184" s="253"/>
    </row>
    <row r="2185" spans="1:31">
      <c r="A2185" s="33">
        <v>2184</v>
      </c>
      <c r="B2185" s="69" t="s">
        <v>834</v>
      </c>
      <c r="C2185" s="69" t="s">
        <v>791</v>
      </c>
      <c r="D2185" s="56">
        <v>43069</v>
      </c>
      <c r="E2185" s="33" t="s">
        <v>824</v>
      </c>
      <c r="F2185" s="69" t="s">
        <v>380</v>
      </c>
      <c r="G2185" s="69" t="str">
        <f t="shared" si="34"/>
        <v>User Registration</v>
      </c>
      <c r="H2185" s="69" t="s">
        <v>508</v>
      </c>
      <c r="I2185" s="69" t="s">
        <v>922</v>
      </c>
      <c r="J2185" s="69" t="s">
        <v>834</v>
      </c>
      <c r="K2185" s="69" t="s">
        <v>835</v>
      </c>
      <c r="L2185" s="253">
        <v>0.6209521044992744</v>
      </c>
      <c r="M2185" s="253">
        <v>0.6032102602141296</v>
      </c>
      <c r="N2185" s="253">
        <v>0.57424773755656111</v>
      </c>
      <c r="O2185" s="253">
        <v>0.57331998856194311</v>
      </c>
      <c r="P2185" s="253">
        <v>0.63811320754716983</v>
      </c>
      <c r="Q2185" s="253">
        <v>0.59391891891891901</v>
      </c>
      <c r="R2185" s="253">
        <v>0.62668522569099228</v>
      </c>
      <c r="S2185" s="253">
        <v>0.59646464646464648</v>
      </c>
      <c r="T2185" s="253">
        <v>0.57925531914893624</v>
      </c>
      <c r="U2185" s="253">
        <v>0.62729885057471257</v>
      </c>
      <c r="V2185" s="253"/>
      <c r="W2185" s="253">
        <v>0.56687500000000002</v>
      </c>
      <c r="X2185" s="253">
        <v>0.59882352941176464</v>
      </c>
      <c r="Y2185" s="253">
        <v>0.5645762711864406</v>
      </c>
      <c r="Z2185" s="253">
        <v>0.55230769230769228</v>
      </c>
      <c r="AA2185" s="253"/>
      <c r="AB2185" s="253"/>
      <c r="AC2185" s="253"/>
      <c r="AD2185" s="253"/>
      <c r="AE2185" s="253"/>
    </row>
    <row r="2186" spans="1:31">
      <c r="A2186" s="33">
        <v>2185</v>
      </c>
      <c r="B2186" s="69" t="s">
        <v>927</v>
      </c>
      <c r="C2186" s="69" t="s">
        <v>791</v>
      </c>
      <c r="D2186" s="56">
        <v>43069</v>
      </c>
      <c r="E2186" s="33" t="s">
        <v>724</v>
      </c>
      <c r="F2186" s="69" t="s">
        <v>380</v>
      </c>
      <c r="G2186" s="69" t="str">
        <f t="shared" si="34"/>
        <v>User Registration</v>
      </c>
      <c r="H2186" s="69" t="s">
        <v>508</v>
      </c>
      <c r="I2186" s="69" t="s">
        <v>922</v>
      </c>
      <c r="J2186" s="69" t="s">
        <v>927</v>
      </c>
      <c r="K2186" s="69" t="s">
        <v>932</v>
      </c>
      <c r="L2186" s="253">
        <v>0.62101132075471699</v>
      </c>
      <c r="M2186" s="253">
        <v>0.56920717031850721</v>
      </c>
      <c r="N2186" s="253">
        <v>0.64</v>
      </c>
      <c r="O2186" s="253">
        <v>0.57380962701399751</v>
      </c>
      <c r="P2186" s="253">
        <v>0.61626415094339626</v>
      </c>
      <c r="Q2186" s="253">
        <v>0.53</v>
      </c>
      <c r="R2186" s="253">
        <v>0.52242990654205601</v>
      </c>
      <c r="S2186" s="253">
        <v>0.58990384615384617</v>
      </c>
      <c r="T2186" s="253">
        <v>0.53999999999999992</v>
      </c>
      <c r="U2186" s="253">
        <v>0.62</v>
      </c>
      <c r="V2186" s="253"/>
      <c r="W2186" s="253">
        <v>0.67</v>
      </c>
      <c r="X2186" s="253">
        <v>0.54</v>
      </c>
      <c r="Y2186" s="253">
        <v>0.56699999999999995</v>
      </c>
      <c r="Z2186" s="253">
        <v>0.64</v>
      </c>
      <c r="AA2186" s="253"/>
      <c r="AB2186" s="253"/>
      <c r="AC2186" s="253"/>
      <c r="AD2186" s="253"/>
      <c r="AE2186" s="253"/>
    </row>
    <row r="2187" spans="1:31">
      <c r="A2187" s="33">
        <v>2186</v>
      </c>
      <c r="B2187" s="69" t="s">
        <v>834</v>
      </c>
      <c r="C2187" s="69" t="s">
        <v>791</v>
      </c>
      <c r="D2187" s="56">
        <v>43069</v>
      </c>
      <c r="E2187" s="33" t="s">
        <v>824</v>
      </c>
      <c r="F2187" s="69" t="s">
        <v>380</v>
      </c>
      <c r="G2187" s="69" t="str">
        <f t="shared" si="34"/>
        <v>User Registration</v>
      </c>
      <c r="H2187" s="69" t="s">
        <v>508</v>
      </c>
      <c r="I2187" s="69" t="s">
        <v>922</v>
      </c>
      <c r="J2187" s="69" t="s">
        <v>834</v>
      </c>
      <c r="K2187" s="69" t="s">
        <v>834</v>
      </c>
      <c r="L2187" s="253">
        <v>0.61170682148040645</v>
      </c>
      <c r="M2187" s="253">
        <v>0.58753279712986428</v>
      </c>
      <c r="N2187" s="253">
        <v>0.60223416289592757</v>
      </c>
      <c r="O2187" s="253">
        <v>0.58076669196536523</v>
      </c>
      <c r="P2187" s="253">
        <v>0.61905660377358496</v>
      </c>
      <c r="Q2187" s="253">
        <v>0.58229729729729729</v>
      </c>
      <c r="R2187" s="253">
        <v>0.56892026247762972</v>
      </c>
      <c r="S2187" s="253">
        <v>0.62525252525252528</v>
      </c>
      <c r="T2187" s="253">
        <v>0.58457446808510638</v>
      </c>
      <c r="U2187" s="253">
        <v>0.58402298850574708</v>
      </c>
      <c r="V2187" s="253"/>
      <c r="W2187" s="253">
        <v>0.58437499999999998</v>
      </c>
      <c r="X2187" s="253">
        <v>0.66176470588235292</v>
      </c>
      <c r="Y2187" s="253">
        <v>0.57807203389830508</v>
      </c>
      <c r="Z2187" s="253">
        <v>0.5823076923076923</v>
      </c>
      <c r="AA2187" s="253"/>
      <c r="AB2187" s="253"/>
      <c r="AC2187" s="253"/>
      <c r="AD2187" s="253"/>
      <c r="AE2187" s="253"/>
    </row>
    <row r="2188" spans="1:31">
      <c r="A2188" s="33">
        <v>2187</v>
      </c>
      <c r="B2188" s="69" t="s">
        <v>927</v>
      </c>
      <c r="C2188" s="69" t="s">
        <v>791</v>
      </c>
      <c r="D2188" s="56">
        <v>43070</v>
      </c>
      <c r="E2188" s="33" t="s">
        <v>724</v>
      </c>
      <c r="F2188" s="69" t="s">
        <v>380</v>
      </c>
      <c r="G2188" s="69" t="str">
        <f t="shared" si="34"/>
        <v>User Registration</v>
      </c>
      <c r="H2188" s="69" t="s">
        <v>508</v>
      </c>
      <c r="I2188" s="69" t="s">
        <v>922</v>
      </c>
      <c r="J2188" s="69" t="s">
        <v>927</v>
      </c>
      <c r="K2188" s="69" t="s">
        <v>929</v>
      </c>
      <c r="L2188" s="253">
        <v>0.66890856313497837</v>
      </c>
      <c r="M2188" s="253">
        <v>0.62657823185764283</v>
      </c>
      <c r="N2188" s="253">
        <v>0.62775452488687788</v>
      </c>
      <c r="O2188" s="253">
        <v>0.63396327902259675</v>
      </c>
      <c r="P2188" s="253">
        <v>0.67094339622641519</v>
      </c>
      <c r="Q2188" s="253">
        <v>0.57405405405405407</v>
      </c>
      <c r="R2188" s="253">
        <v>0.63754225492145555</v>
      </c>
      <c r="S2188" s="253">
        <v>0.57259615384615381</v>
      </c>
      <c r="T2188" s="253">
        <v>0.60361702127659578</v>
      </c>
      <c r="U2188" s="253">
        <v>0.70091954022988501</v>
      </c>
      <c r="V2188" s="253"/>
      <c r="W2188" s="253">
        <v>0.62937500000000002</v>
      </c>
      <c r="X2188" s="253">
        <v>0.62235294117647055</v>
      </c>
      <c r="Y2188" s="253">
        <v>0.63733333333333342</v>
      </c>
      <c r="Z2188" s="253">
        <v>0.66076923076923078</v>
      </c>
      <c r="AA2188" s="253"/>
      <c r="AB2188" s="253"/>
      <c r="AC2188" s="253"/>
      <c r="AD2188" s="253"/>
      <c r="AE2188" s="253"/>
    </row>
    <row r="2189" spans="1:31">
      <c r="A2189" s="33">
        <v>2188</v>
      </c>
      <c r="B2189" s="69" t="s">
        <v>927</v>
      </c>
      <c r="C2189" s="69" t="s">
        <v>791</v>
      </c>
      <c r="D2189" s="56">
        <v>43071</v>
      </c>
      <c r="E2189" s="33" t="s">
        <v>724</v>
      </c>
      <c r="F2189" s="69" t="s">
        <v>380</v>
      </c>
      <c r="G2189" s="69" t="str">
        <f t="shared" si="34"/>
        <v>User Registration</v>
      </c>
      <c r="H2189" s="69" t="s">
        <v>508</v>
      </c>
      <c r="I2189" s="69" t="s">
        <v>922</v>
      </c>
      <c r="J2189" s="69" t="s">
        <v>927</v>
      </c>
      <c r="K2189" s="69" t="s">
        <v>372</v>
      </c>
      <c r="L2189" s="253">
        <v>0.6733730043541365</v>
      </c>
      <c r="M2189" s="253">
        <v>0.66724337502882802</v>
      </c>
      <c r="N2189" s="253">
        <v>0.73000000000000009</v>
      </c>
      <c r="O2189" s="253">
        <v>0.65224867105021045</v>
      </c>
      <c r="P2189" s="253">
        <v>0.69075471698113211</v>
      </c>
      <c r="Q2189" s="253">
        <v>0.67837837837837844</v>
      </c>
      <c r="R2189" s="253">
        <v>0.6626168224299066</v>
      </c>
      <c r="S2189" s="253">
        <v>0.68557692307692308</v>
      </c>
      <c r="T2189" s="253">
        <v>0.59</v>
      </c>
      <c r="U2189" s="253">
        <v>0.72</v>
      </c>
      <c r="V2189" s="253"/>
      <c r="W2189" s="253">
        <v>0.73</v>
      </c>
      <c r="X2189" s="253">
        <v>0.73</v>
      </c>
      <c r="Y2189" s="253">
        <v>0.65875000000000006</v>
      </c>
      <c r="Z2189" s="253">
        <v>0.60384615384615381</v>
      </c>
      <c r="AA2189" s="253"/>
      <c r="AB2189" s="253"/>
      <c r="AC2189" s="253"/>
      <c r="AD2189" s="253"/>
      <c r="AE2189" s="253"/>
    </row>
    <row r="2190" spans="1:31">
      <c r="A2190" s="33">
        <v>2189</v>
      </c>
      <c r="B2190" s="69" t="s">
        <v>927</v>
      </c>
      <c r="C2190" s="69" t="s">
        <v>791</v>
      </c>
      <c r="D2190" s="56">
        <v>43072</v>
      </c>
      <c r="E2190" s="33" t="s">
        <v>724</v>
      </c>
      <c r="F2190" s="69" t="s">
        <v>380</v>
      </c>
      <c r="G2190" s="69" t="str">
        <f t="shared" si="34"/>
        <v>User Registration</v>
      </c>
      <c r="H2190" s="69" t="s">
        <v>508</v>
      </c>
      <c r="I2190" s="69" t="s">
        <v>922</v>
      </c>
      <c r="J2190" s="69" t="s">
        <v>927</v>
      </c>
      <c r="K2190" s="69" t="s">
        <v>928</v>
      </c>
      <c r="L2190" s="253">
        <v>0.67994775036284461</v>
      </c>
      <c r="M2190" s="253">
        <v>0.64809686252944587</v>
      </c>
      <c r="N2190" s="253">
        <v>0.62156250000000013</v>
      </c>
      <c r="O2190" s="253">
        <v>0.64921498168131664</v>
      </c>
      <c r="P2190" s="253">
        <v>0.71339622641509437</v>
      </c>
      <c r="Q2190" s="253">
        <v>0.66810810810810817</v>
      </c>
      <c r="R2190" s="253">
        <v>0.6839928415191886</v>
      </c>
      <c r="S2190" s="253">
        <v>0.66105769230769229</v>
      </c>
      <c r="T2190" s="253">
        <v>0.55478723404255315</v>
      </c>
      <c r="U2190" s="253">
        <v>0.68258620689655169</v>
      </c>
      <c r="V2190" s="253"/>
      <c r="W2190" s="253">
        <v>0.62156250000000013</v>
      </c>
      <c r="X2190" s="253">
        <v>0.62156250000000013</v>
      </c>
      <c r="Y2190" s="253">
        <v>0.67010416666666672</v>
      </c>
      <c r="Z2190" s="253">
        <v>0.5461538461538461</v>
      </c>
      <c r="AA2190" s="253"/>
      <c r="AB2190" s="253"/>
      <c r="AC2190" s="253"/>
      <c r="AD2190" s="253"/>
      <c r="AE2190" s="253"/>
    </row>
    <row r="2191" spans="1:31">
      <c r="A2191" s="33">
        <v>2190</v>
      </c>
      <c r="B2191" s="69" t="s">
        <v>915</v>
      </c>
      <c r="C2191" s="69" t="s">
        <v>740</v>
      </c>
      <c r="D2191" s="56">
        <v>43073</v>
      </c>
      <c r="E2191" s="33" t="s">
        <v>916</v>
      </c>
      <c r="F2191" s="69" t="s">
        <v>532</v>
      </c>
      <c r="G2191" s="69" t="str">
        <f t="shared" si="34"/>
        <v>E-Commerce</v>
      </c>
      <c r="H2191" s="69" t="s">
        <v>364</v>
      </c>
      <c r="I2191" s="69" t="s">
        <v>765</v>
      </c>
      <c r="J2191" s="69" t="s">
        <v>915</v>
      </c>
      <c r="K2191" s="69" t="s">
        <v>915</v>
      </c>
      <c r="L2191" s="253">
        <v>0.62840058055152392</v>
      </c>
      <c r="M2191" s="253">
        <v>0.61765638048997662</v>
      </c>
      <c r="N2191" s="253">
        <v>0.61494370198884563</v>
      </c>
      <c r="O2191" s="253">
        <v>0.58849992340498058</v>
      </c>
      <c r="P2191" s="253">
        <v>0.62396226415094336</v>
      </c>
      <c r="Q2191" s="253">
        <v>0.60621621621621624</v>
      </c>
      <c r="R2191" s="253">
        <v>0.62639651851323397</v>
      </c>
      <c r="S2191" s="253">
        <v>0.63838383838383839</v>
      </c>
      <c r="T2191" s="253">
        <v>0.61374045801526722</v>
      </c>
      <c r="U2191" s="253">
        <v>0.59243697478991597</v>
      </c>
      <c r="V2191" s="253">
        <v>0.62772093023255815</v>
      </c>
      <c r="W2191" s="253">
        <v>0</v>
      </c>
      <c r="X2191" s="253">
        <v>0.57235294117647062</v>
      </c>
      <c r="Y2191" s="253">
        <v>0.55686440677966098</v>
      </c>
      <c r="Z2191" s="253">
        <v>0.64615384615384619</v>
      </c>
      <c r="AA2191" s="253"/>
      <c r="AB2191" s="253"/>
      <c r="AC2191" s="253"/>
      <c r="AD2191" s="253"/>
      <c r="AE2191" s="253"/>
    </row>
    <row r="2192" spans="1:31">
      <c r="A2192" s="33">
        <v>2191</v>
      </c>
      <c r="B2192" s="69" t="s">
        <v>915</v>
      </c>
      <c r="C2192" s="69" t="s">
        <v>740</v>
      </c>
      <c r="D2192" s="56">
        <v>43073</v>
      </c>
      <c r="E2192" s="33" t="s">
        <v>916</v>
      </c>
      <c r="F2192" s="69" t="s">
        <v>532</v>
      </c>
      <c r="G2192" s="69" t="str">
        <f t="shared" si="34"/>
        <v>E-Commerce</v>
      </c>
      <c r="H2192" s="69" t="s">
        <v>364</v>
      </c>
      <c r="I2192" s="69" t="s">
        <v>765</v>
      </c>
      <c r="J2192" s="69" t="s">
        <v>915</v>
      </c>
      <c r="K2192" s="69" t="s">
        <v>917</v>
      </c>
      <c r="L2192" s="253">
        <v>0.58129753265602335</v>
      </c>
      <c r="M2192" s="253">
        <v>0.58181479916651513</v>
      </c>
      <c r="N2192" s="253">
        <v>0.54246132800168367</v>
      </c>
      <c r="O2192" s="253">
        <v>0.55652713979568436</v>
      </c>
      <c r="P2192" s="253">
        <v>0.57566037735849063</v>
      </c>
      <c r="Q2192" s="253">
        <v>0.62608108108108118</v>
      </c>
      <c r="R2192" s="253">
        <v>0.63398730113433677</v>
      </c>
      <c r="S2192" s="253">
        <v>0.48333333333333334</v>
      </c>
      <c r="T2192" s="253">
        <v>0.57061068702290074</v>
      </c>
      <c r="U2192" s="253">
        <v>0.57092436974789917</v>
      </c>
      <c r="V2192" s="253">
        <v>0.5490232558139535</v>
      </c>
      <c r="W2192" s="253">
        <v>0</v>
      </c>
      <c r="X2192" s="253">
        <v>0.52058823529411768</v>
      </c>
      <c r="Y2192" s="253">
        <v>0.52720338983050852</v>
      </c>
      <c r="Z2192" s="253">
        <v>0.60384615384615381</v>
      </c>
      <c r="AA2192" s="253"/>
      <c r="AB2192" s="253"/>
      <c r="AC2192" s="253"/>
      <c r="AD2192" s="253"/>
      <c r="AE2192" s="253"/>
    </row>
    <row r="2193" spans="1:31">
      <c r="A2193" s="33">
        <v>2192</v>
      </c>
      <c r="B2193" s="69" t="s">
        <v>915</v>
      </c>
      <c r="C2193" s="69" t="s">
        <v>740</v>
      </c>
      <c r="D2193" s="56">
        <v>43073</v>
      </c>
      <c r="E2193" s="33" t="s">
        <v>916</v>
      </c>
      <c r="F2193" s="69" t="s">
        <v>532</v>
      </c>
      <c r="G2193" s="69" t="str">
        <f t="shared" si="34"/>
        <v>E-Commerce</v>
      </c>
      <c r="H2193" s="69" t="s">
        <v>364</v>
      </c>
      <c r="I2193" s="69" t="s">
        <v>765</v>
      </c>
      <c r="J2193" s="69" t="s">
        <v>915</v>
      </c>
      <c r="K2193" s="69" t="s">
        <v>918</v>
      </c>
      <c r="L2193" s="253">
        <v>0.65491436865021768</v>
      </c>
      <c r="M2193" s="253">
        <v>0.60536803723625776</v>
      </c>
      <c r="N2193" s="253">
        <v>0.64248868778280543</v>
      </c>
      <c r="O2193" s="253">
        <v>0.62353917106466128</v>
      </c>
      <c r="P2193" s="253">
        <v>0.64556603773584897</v>
      </c>
      <c r="Q2193" s="253">
        <v>0.64027027027027039</v>
      </c>
      <c r="R2193" s="253">
        <v>0.57983163301705065</v>
      </c>
      <c r="S2193" s="253">
        <v>0.59591346153846148</v>
      </c>
      <c r="T2193" s="253">
        <v>0.59236641221374042</v>
      </c>
      <c r="U2193" s="253">
        <v>0.58357142857142863</v>
      </c>
      <c r="V2193" s="253">
        <v>0.65400000000000003</v>
      </c>
      <c r="W2193" s="253">
        <v>0</v>
      </c>
      <c r="X2193" s="253">
        <v>0.60411764705882343</v>
      </c>
      <c r="Y2193" s="253">
        <v>0.61273958333333334</v>
      </c>
      <c r="Z2193" s="253">
        <v>0.69230769230769229</v>
      </c>
      <c r="AA2193" s="253"/>
      <c r="AB2193" s="253"/>
      <c r="AC2193" s="253"/>
      <c r="AD2193" s="253"/>
      <c r="AE2193" s="253"/>
    </row>
    <row r="2194" spans="1:31">
      <c r="A2194" s="33">
        <v>2193</v>
      </c>
      <c r="B2194" s="69" t="s">
        <v>915</v>
      </c>
      <c r="C2194" s="69" t="s">
        <v>740</v>
      </c>
      <c r="D2194" s="56">
        <v>43073</v>
      </c>
      <c r="E2194" s="33" t="s">
        <v>916</v>
      </c>
      <c r="F2194" s="69" t="s">
        <v>532</v>
      </c>
      <c r="G2194" s="69" t="str">
        <f t="shared" si="34"/>
        <v>E-Commerce</v>
      </c>
      <c r="H2194" s="69" t="s">
        <v>364</v>
      </c>
      <c r="I2194" s="69" t="s">
        <v>765</v>
      </c>
      <c r="J2194" s="69" t="s">
        <v>915</v>
      </c>
      <c r="K2194" s="69" t="s">
        <v>919</v>
      </c>
      <c r="L2194" s="253">
        <v>0.61730914368650214</v>
      </c>
      <c r="M2194" s="253">
        <v>0.63515213345115784</v>
      </c>
      <c r="N2194" s="253">
        <v>0.59681784699568563</v>
      </c>
      <c r="O2194" s="253">
        <v>0.60612728429014007</v>
      </c>
      <c r="P2194" s="253">
        <v>0.60490566037735849</v>
      </c>
      <c r="Q2194" s="253">
        <v>0.64783783783783788</v>
      </c>
      <c r="R2194" s="253">
        <v>0.64936862381394034</v>
      </c>
      <c r="S2194" s="253">
        <v>0.57821782178217818</v>
      </c>
      <c r="T2194" s="253">
        <v>0.62137404580152689</v>
      </c>
      <c r="U2194" s="253">
        <v>0.65189300411522633</v>
      </c>
      <c r="V2194" s="253">
        <v>0.60962790697674418</v>
      </c>
      <c r="W2194" s="253">
        <v>0</v>
      </c>
      <c r="X2194" s="253">
        <v>0.55411764705882349</v>
      </c>
      <c r="Y2194" s="253">
        <v>0.57786016949152541</v>
      </c>
      <c r="Z2194" s="253">
        <v>0.66692307692307695</v>
      </c>
      <c r="AA2194" s="253"/>
      <c r="AB2194" s="253"/>
      <c r="AC2194" s="253"/>
      <c r="AD2194" s="253"/>
      <c r="AE2194" s="253"/>
    </row>
    <row r="2195" spans="1:31">
      <c r="A2195" s="33">
        <v>2194</v>
      </c>
      <c r="B2195" s="69" t="s">
        <v>915</v>
      </c>
      <c r="C2195" s="69" t="s">
        <v>740</v>
      </c>
      <c r="D2195" s="56">
        <v>43073</v>
      </c>
      <c r="E2195" s="33" t="s">
        <v>916</v>
      </c>
      <c r="F2195" s="69" t="s">
        <v>532</v>
      </c>
      <c r="G2195" s="69" t="str">
        <f t="shared" si="34"/>
        <v>E-Commerce</v>
      </c>
      <c r="H2195" s="69" t="s">
        <v>364</v>
      </c>
      <c r="I2195" s="69" t="s">
        <v>765</v>
      </c>
      <c r="J2195" s="69" t="s">
        <v>915</v>
      </c>
      <c r="K2195" s="69" t="s">
        <v>920</v>
      </c>
      <c r="L2195" s="253">
        <v>0.61770391872278663</v>
      </c>
      <c r="M2195" s="253">
        <v>0.6514097489688766</v>
      </c>
      <c r="N2195" s="253">
        <v>0.61613385246764185</v>
      </c>
      <c r="O2195" s="253">
        <v>0.61643288582124334</v>
      </c>
      <c r="P2195" s="253">
        <v>0.60924528301886793</v>
      </c>
      <c r="Q2195" s="253">
        <v>0.69270270270270262</v>
      </c>
      <c r="R2195" s="253">
        <v>0.6332703146179639</v>
      </c>
      <c r="S2195" s="253">
        <v>0.64494949494949494</v>
      </c>
      <c r="T2195" s="253">
        <v>0.66183206106870229</v>
      </c>
      <c r="U2195" s="253">
        <v>0.63537815126050423</v>
      </c>
      <c r="V2195" s="253">
        <v>0.63720930232558137</v>
      </c>
      <c r="W2195" s="253">
        <v>0</v>
      </c>
      <c r="X2195" s="253">
        <v>0.54588235294117649</v>
      </c>
      <c r="Y2195" s="253">
        <v>0.59205508474576274</v>
      </c>
      <c r="Z2195" s="253">
        <v>0.65153846153846151</v>
      </c>
      <c r="AA2195" s="253"/>
      <c r="AB2195" s="253"/>
      <c r="AC2195" s="253"/>
      <c r="AD2195" s="253"/>
      <c r="AE2195" s="253"/>
    </row>
    <row r="2196" spans="1:31">
      <c r="A2196" s="33">
        <v>2195</v>
      </c>
      <c r="B2196" s="69" t="s">
        <v>921</v>
      </c>
      <c r="C2196" s="69" t="s">
        <v>868</v>
      </c>
      <c r="D2196" s="56">
        <v>43073</v>
      </c>
      <c r="E2196" s="33" t="s">
        <v>724</v>
      </c>
      <c r="F2196" s="69" t="s">
        <v>725</v>
      </c>
      <c r="G2196" s="69" t="str">
        <f t="shared" si="34"/>
        <v>User Registration</v>
      </c>
      <c r="H2196" s="69" t="s">
        <v>508</v>
      </c>
      <c r="I2196" s="69" t="s">
        <v>922</v>
      </c>
      <c r="J2196" s="69" t="s">
        <v>921</v>
      </c>
      <c r="K2196" s="69" t="s">
        <v>923</v>
      </c>
      <c r="L2196" s="253">
        <v>0.69795343819872113</v>
      </c>
      <c r="M2196" s="253">
        <v>0.67023669459274504</v>
      </c>
      <c r="N2196" s="253">
        <v>0.63921425950837718</v>
      </c>
      <c r="O2196" s="253">
        <v>0.64519165571980419</v>
      </c>
      <c r="P2196" s="253">
        <v>0.71383732789393162</v>
      </c>
      <c r="Q2196" s="253">
        <v>0.6182432432432432</v>
      </c>
      <c r="R2196" s="253">
        <v>0.63831306530232768</v>
      </c>
      <c r="S2196" s="253">
        <v>0.68364864864864872</v>
      </c>
      <c r="T2196" s="253">
        <v>0.68560609545715934</v>
      </c>
      <c r="U2196" s="253">
        <v>0.73813140726933835</v>
      </c>
      <c r="V2196" s="253"/>
      <c r="W2196" s="253">
        <v>0.63364864864864867</v>
      </c>
      <c r="X2196" s="253">
        <v>0.65776629570747214</v>
      </c>
      <c r="Y2196" s="253">
        <v>0.64864864864864868</v>
      </c>
      <c r="Z2196" s="253">
        <v>0.63441787941787942</v>
      </c>
      <c r="AA2196" s="253"/>
      <c r="AB2196" s="253"/>
      <c r="AC2196" s="253"/>
      <c r="AD2196" s="253"/>
      <c r="AE2196" s="253"/>
    </row>
    <row r="2197" spans="1:31">
      <c r="A2197" s="33">
        <v>2196</v>
      </c>
      <c r="B2197" s="69" t="s">
        <v>921</v>
      </c>
      <c r="C2197" s="69" t="s">
        <v>868</v>
      </c>
      <c r="D2197" s="56">
        <v>43073</v>
      </c>
      <c r="E2197" s="33" t="s">
        <v>824</v>
      </c>
      <c r="F2197" s="69" t="s">
        <v>725</v>
      </c>
      <c r="G2197" s="69" t="str">
        <f t="shared" si="34"/>
        <v>User Registration</v>
      </c>
      <c r="H2197" s="69" t="s">
        <v>508</v>
      </c>
      <c r="I2197" s="69" t="s">
        <v>922</v>
      </c>
      <c r="J2197" s="69" t="s">
        <v>921</v>
      </c>
      <c r="K2197" s="69" t="s">
        <v>924</v>
      </c>
      <c r="L2197" s="253">
        <v>0.67951866002432038</v>
      </c>
      <c r="M2197" s="253">
        <v>0.66733983887270532</v>
      </c>
      <c r="N2197" s="253">
        <v>0.72039281753277706</v>
      </c>
      <c r="O2197" s="253">
        <v>0.62972594336389398</v>
      </c>
      <c r="P2197" s="253">
        <v>0.70771953085160622</v>
      </c>
      <c r="Q2197" s="253">
        <v>0.67972972972972967</v>
      </c>
      <c r="R2197" s="253">
        <v>0.67729692110085815</v>
      </c>
      <c r="S2197" s="253">
        <v>0.6046328146328146</v>
      </c>
      <c r="T2197" s="253">
        <v>0.69509488211615866</v>
      </c>
      <c r="U2197" s="253">
        <v>0.72123330226778504</v>
      </c>
      <c r="V2197" s="253"/>
      <c r="W2197" s="253">
        <v>0.75525629077353229</v>
      </c>
      <c r="X2197" s="253">
        <v>0.60418124006359308</v>
      </c>
      <c r="Y2197" s="253">
        <v>0.63662391204764091</v>
      </c>
      <c r="Z2197" s="253">
        <v>0.56671517671517679</v>
      </c>
      <c r="AA2197" s="253"/>
      <c r="AB2197" s="253"/>
      <c r="AC2197" s="253"/>
      <c r="AD2197" s="253"/>
      <c r="AE2197" s="253"/>
    </row>
    <row r="2198" spans="1:31">
      <c r="A2198" s="33">
        <v>2197</v>
      </c>
      <c r="B2198" s="69" t="s">
        <v>921</v>
      </c>
      <c r="C2198" s="69" t="s">
        <v>868</v>
      </c>
      <c r="D2198" s="56">
        <v>43073</v>
      </c>
      <c r="E2198" s="33" t="s">
        <v>724</v>
      </c>
      <c r="F2198" s="69" t="s">
        <v>725</v>
      </c>
      <c r="G2198" s="69" t="str">
        <f t="shared" si="34"/>
        <v>User Registration</v>
      </c>
      <c r="H2198" s="69" t="s">
        <v>508</v>
      </c>
      <c r="I2198" s="69" t="s">
        <v>922</v>
      </c>
      <c r="J2198" s="69" t="s">
        <v>921</v>
      </c>
      <c r="K2198" s="69" t="s">
        <v>921</v>
      </c>
      <c r="L2198" s="253">
        <v>0.7195184168203036</v>
      </c>
      <c r="M2198" s="253">
        <v>0.70341252035564017</v>
      </c>
      <c r="N2198" s="253">
        <v>0.71677834169010635</v>
      </c>
      <c r="O2198" s="253">
        <v>0.67768891397202635</v>
      </c>
      <c r="P2198" s="253">
        <v>0.72941101478837334</v>
      </c>
      <c r="Q2198" s="253">
        <v>0.70743243243243248</v>
      </c>
      <c r="R2198" s="253">
        <v>0.7149431405953578</v>
      </c>
      <c r="S2198" s="253">
        <v>0.69987032487032486</v>
      </c>
      <c r="T2198" s="253">
        <v>0.68999712478435893</v>
      </c>
      <c r="U2198" s="253">
        <v>0.70893476234855557</v>
      </c>
      <c r="V2198" s="253"/>
      <c r="W2198" s="253">
        <v>0.72023648648648653</v>
      </c>
      <c r="X2198" s="253">
        <v>0.70525119236883949</v>
      </c>
      <c r="Y2198" s="253">
        <v>0.66436784241869007</v>
      </c>
      <c r="Z2198" s="253">
        <v>0.67994802494802509</v>
      </c>
      <c r="AA2198" s="253"/>
      <c r="AB2198" s="253"/>
      <c r="AC2198" s="253"/>
      <c r="AD2198" s="253"/>
      <c r="AE2198" s="253"/>
    </row>
    <row r="2199" spans="1:31">
      <c r="A2199" s="33">
        <v>2198</v>
      </c>
      <c r="B2199" s="69" t="s">
        <v>921</v>
      </c>
      <c r="C2199" s="69" t="s">
        <v>868</v>
      </c>
      <c r="D2199" s="56">
        <v>43073</v>
      </c>
      <c r="E2199" s="33" t="s">
        <v>896</v>
      </c>
      <c r="F2199" s="69" t="s">
        <v>725</v>
      </c>
      <c r="G2199" s="69" t="str">
        <f t="shared" si="34"/>
        <v>User Registration</v>
      </c>
      <c r="H2199" s="69" t="s">
        <v>508</v>
      </c>
      <c r="I2199" s="69" t="s">
        <v>922</v>
      </c>
      <c r="J2199" s="69" t="s">
        <v>921</v>
      </c>
      <c r="K2199" s="69" t="s">
        <v>925</v>
      </c>
      <c r="L2199" s="253">
        <v>0.67362385752951792</v>
      </c>
      <c r="M2199" s="253">
        <v>0.63855849153630728</v>
      </c>
      <c r="N2199" s="253">
        <v>0.64422708353540004</v>
      </c>
      <c r="O2199" s="253">
        <v>0.62153965172878312</v>
      </c>
      <c r="P2199" s="253">
        <v>0.68607088220295775</v>
      </c>
      <c r="Q2199" s="253">
        <v>0.61148648648648651</v>
      </c>
      <c r="R2199" s="253">
        <v>0.64836265874146171</v>
      </c>
      <c r="S2199" s="253">
        <v>0.60754982254982259</v>
      </c>
      <c r="T2199" s="253">
        <v>0.64102070155261648</v>
      </c>
      <c r="U2199" s="253">
        <v>0.67963063063063067</v>
      </c>
      <c r="V2199" s="253"/>
      <c r="W2199" s="253">
        <v>0.64367660764212487</v>
      </c>
      <c r="X2199" s="253">
        <v>0.64606200317965023</v>
      </c>
      <c r="Y2199" s="253">
        <v>0.61789051763628033</v>
      </c>
      <c r="Z2199" s="253">
        <v>0.62383575883575892</v>
      </c>
      <c r="AA2199" s="253"/>
      <c r="AB2199" s="253"/>
      <c r="AC2199" s="253"/>
      <c r="AD2199" s="253"/>
      <c r="AE2199" s="253"/>
    </row>
    <row r="2200" spans="1:31">
      <c r="A2200" s="33">
        <v>2199</v>
      </c>
      <c r="B2200" s="69" t="s">
        <v>921</v>
      </c>
      <c r="C2200" s="69" t="s">
        <v>868</v>
      </c>
      <c r="D2200" s="56">
        <v>43073</v>
      </c>
      <c r="E2200" s="33" t="s">
        <v>724</v>
      </c>
      <c r="F2200" s="69" t="s">
        <v>725</v>
      </c>
      <c r="G2200" s="69" t="str">
        <f t="shared" si="34"/>
        <v>User Registration</v>
      </c>
      <c r="H2200" s="69" t="s">
        <v>508</v>
      </c>
      <c r="I2200" s="69" t="s">
        <v>922</v>
      </c>
      <c r="J2200" s="69" t="s">
        <v>921</v>
      </c>
      <c r="K2200" s="69" t="s">
        <v>926</v>
      </c>
      <c r="L2200" s="253">
        <v>0.68029703840269884</v>
      </c>
      <c r="M2200" s="253">
        <v>0.6238768802588931</v>
      </c>
      <c r="N2200" s="253">
        <v>0.63553512164059833</v>
      </c>
      <c r="O2200" s="253">
        <v>0.58238748711043309</v>
      </c>
      <c r="P2200" s="253">
        <v>0.69409790922998482</v>
      </c>
      <c r="Q2200" s="253">
        <v>0.57162162162162167</v>
      </c>
      <c r="R2200" s="253">
        <v>0.6297022673896806</v>
      </c>
      <c r="S2200" s="253">
        <v>0.63917280917280916</v>
      </c>
      <c r="T2200" s="253">
        <v>0.63219666474985636</v>
      </c>
      <c r="U2200" s="253">
        <v>0.64214041627834739</v>
      </c>
      <c r="V2200" s="253"/>
      <c r="W2200" s="253">
        <v>0.62742777260018645</v>
      </c>
      <c r="X2200" s="253">
        <v>0.66255961844197142</v>
      </c>
      <c r="Y2200" s="253">
        <v>0.55551076500229046</v>
      </c>
      <c r="Z2200" s="253">
        <v>0.62509355509355513</v>
      </c>
      <c r="AA2200" s="253"/>
      <c r="AB2200" s="253"/>
      <c r="AC2200" s="253"/>
      <c r="AD2200" s="253"/>
      <c r="AE2200" s="253"/>
    </row>
    <row r="2201" spans="1:31">
      <c r="A2201" s="33">
        <v>2200</v>
      </c>
      <c r="B2201" s="69" t="s">
        <v>903</v>
      </c>
      <c r="C2201" s="69" t="s">
        <v>740</v>
      </c>
      <c r="D2201" s="56">
        <v>43075</v>
      </c>
      <c r="E2201" s="33" t="s">
        <v>781</v>
      </c>
      <c r="F2201" s="69" t="s">
        <v>532</v>
      </c>
      <c r="G2201" s="69" t="str">
        <f t="shared" si="34"/>
        <v>User Registration</v>
      </c>
      <c r="H2201" s="69" t="s">
        <v>904</v>
      </c>
      <c r="I2201" s="69" t="s">
        <v>877</v>
      </c>
      <c r="J2201" s="69" t="s">
        <v>903</v>
      </c>
      <c r="K2201" s="69" t="s">
        <v>903</v>
      </c>
      <c r="L2201" s="253">
        <v>0.55738461538461537</v>
      </c>
      <c r="M2201" s="253">
        <v>0.55972245895792472</v>
      </c>
      <c r="N2201" s="253">
        <v>0.46750000000000003</v>
      </c>
      <c r="O2201" s="253">
        <v>0.52918433339474391</v>
      </c>
      <c r="P2201" s="253">
        <v>0.55000000000000004</v>
      </c>
      <c r="Q2201" s="253">
        <v>0.52554054054054056</v>
      </c>
      <c r="R2201" s="253">
        <v>0.56647444820043746</v>
      </c>
      <c r="S2201" s="253">
        <v>0.54374999999999996</v>
      </c>
      <c r="T2201" s="253">
        <v>0.57021276595744685</v>
      </c>
      <c r="U2201" s="253">
        <v>0.5759195402298849</v>
      </c>
      <c r="V2201" s="253">
        <v>0</v>
      </c>
      <c r="W2201" s="253">
        <v>0.46749999999999997</v>
      </c>
      <c r="X2201" s="253">
        <v>0</v>
      </c>
      <c r="Y2201" s="253">
        <v>0.50331250000000005</v>
      </c>
      <c r="Z2201" s="253">
        <v>0.58692307692307688</v>
      </c>
      <c r="AA2201" s="253"/>
      <c r="AB2201" s="253"/>
      <c r="AC2201" s="253"/>
      <c r="AD2201" s="253"/>
      <c r="AE2201" s="253"/>
    </row>
    <row r="2202" spans="1:31">
      <c r="A2202" s="33">
        <v>2201</v>
      </c>
      <c r="B2202" s="69" t="s">
        <v>903</v>
      </c>
      <c r="C2202" s="69" t="s">
        <v>740</v>
      </c>
      <c r="D2202" s="56">
        <v>43075</v>
      </c>
      <c r="E2202" s="33" t="s">
        <v>781</v>
      </c>
      <c r="F2202" s="69" t="s">
        <v>532</v>
      </c>
      <c r="G2202" s="69" t="str">
        <f t="shared" si="34"/>
        <v>User Registration</v>
      </c>
      <c r="H2202" s="69" t="s">
        <v>904</v>
      </c>
      <c r="I2202" s="69" t="s">
        <v>877</v>
      </c>
      <c r="J2202" s="69" t="s">
        <v>903</v>
      </c>
      <c r="K2202" s="69" t="s">
        <v>909</v>
      </c>
      <c r="L2202" s="253">
        <v>0.58503047895500726</v>
      </c>
      <c r="M2202" s="253">
        <v>0.57515313154857617</v>
      </c>
      <c r="N2202" s="253">
        <v>0.58406250000000004</v>
      </c>
      <c r="O2202" s="253">
        <v>0.54408359921407778</v>
      </c>
      <c r="P2202" s="253">
        <v>0.59301886792452829</v>
      </c>
      <c r="Q2202" s="253">
        <v>0.56554054054054048</v>
      </c>
      <c r="R2202" s="253">
        <v>0.61713263074169822</v>
      </c>
      <c r="S2202" s="253">
        <v>0.54038461538461546</v>
      </c>
      <c r="T2202" s="253">
        <v>0.5925531914893617</v>
      </c>
      <c r="U2202" s="253">
        <v>0.5670689655172414</v>
      </c>
      <c r="V2202" s="253">
        <v>0</v>
      </c>
      <c r="W2202" s="253">
        <v>0.58406250000000004</v>
      </c>
      <c r="X2202" s="253">
        <v>0</v>
      </c>
      <c r="Y2202" s="253">
        <v>0.52500000000000002</v>
      </c>
      <c r="Z2202" s="253">
        <v>0.55307692307692313</v>
      </c>
      <c r="AA2202" s="253"/>
      <c r="AB2202" s="253"/>
      <c r="AC2202" s="253"/>
      <c r="AD2202" s="253"/>
      <c r="AE2202" s="253"/>
    </row>
    <row r="2203" spans="1:31">
      <c r="A2203" s="33">
        <v>2202</v>
      </c>
      <c r="B2203" s="69" t="s">
        <v>903</v>
      </c>
      <c r="C2203" s="69" t="s">
        <v>740</v>
      </c>
      <c r="D2203" s="56">
        <v>43075</v>
      </c>
      <c r="E2203" s="33" t="s">
        <v>781</v>
      </c>
      <c r="F2203" s="69" t="s">
        <v>532</v>
      </c>
      <c r="G2203" s="69" t="str">
        <f t="shared" si="34"/>
        <v>User Registration</v>
      </c>
      <c r="H2203" s="69" t="s">
        <v>904</v>
      </c>
      <c r="I2203" s="69" t="s">
        <v>877</v>
      </c>
      <c r="J2203" s="69" t="s">
        <v>903</v>
      </c>
      <c r="K2203" s="69" t="s">
        <v>910</v>
      </c>
      <c r="L2203" s="253">
        <v>0.61148330914368654</v>
      </c>
      <c r="M2203" s="253">
        <v>0.55496217781099266</v>
      </c>
      <c r="N2203" s="253">
        <v>0.53625000000000012</v>
      </c>
      <c r="O2203" s="253">
        <v>0.55137127972899258</v>
      </c>
      <c r="P2203" s="253">
        <v>0.62358490566037739</v>
      </c>
      <c r="Q2203" s="253">
        <v>0.56175675675675674</v>
      </c>
      <c r="R2203" s="253">
        <v>0.60212765957446812</v>
      </c>
      <c r="S2203" s="253">
        <v>0.53629807692307696</v>
      </c>
      <c r="T2203" s="253">
        <v>0.52712765957446817</v>
      </c>
      <c r="U2203" s="253">
        <v>0.53074712643678157</v>
      </c>
      <c r="V2203" s="253">
        <v>0</v>
      </c>
      <c r="W2203" s="253">
        <v>0.53625000000000012</v>
      </c>
      <c r="X2203" s="253">
        <v>0</v>
      </c>
      <c r="Y2203" s="253">
        <v>0.53817708333333336</v>
      </c>
      <c r="Z2203" s="253">
        <v>0.56307692307692303</v>
      </c>
      <c r="AA2203" s="253"/>
      <c r="AB2203" s="253"/>
      <c r="AC2203" s="253"/>
      <c r="AD2203" s="253"/>
      <c r="AE2203" s="253"/>
    </row>
    <row r="2204" spans="1:31">
      <c r="A2204" s="33">
        <v>2203</v>
      </c>
      <c r="B2204" s="69" t="s">
        <v>903</v>
      </c>
      <c r="C2204" s="69" t="s">
        <v>740</v>
      </c>
      <c r="D2204" s="56">
        <v>43075</v>
      </c>
      <c r="E2204" s="33" t="s">
        <v>781</v>
      </c>
      <c r="F2204" s="69" t="s">
        <v>532</v>
      </c>
      <c r="G2204" s="69" t="str">
        <f t="shared" si="34"/>
        <v>User Registration</v>
      </c>
      <c r="H2204" s="69" t="s">
        <v>904</v>
      </c>
      <c r="I2204" s="69" t="s">
        <v>877</v>
      </c>
      <c r="J2204" s="69" t="s">
        <v>903</v>
      </c>
      <c r="K2204" s="69" t="s">
        <v>911</v>
      </c>
      <c r="L2204" s="253">
        <v>0.55898403483309156</v>
      </c>
      <c r="M2204" s="253">
        <v>0.54536344844016127</v>
      </c>
      <c r="N2204" s="253">
        <v>0.57093749999999999</v>
      </c>
      <c r="O2204" s="253">
        <v>0.563143217739135</v>
      </c>
      <c r="P2204" s="253">
        <v>0.5660377358490567</v>
      </c>
      <c r="Q2204" s="253">
        <v>0.46621621621621623</v>
      </c>
      <c r="R2204" s="253">
        <v>0.62061244780274416</v>
      </c>
      <c r="S2204" s="253">
        <v>0.50576923076923075</v>
      </c>
      <c r="T2204" s="253">
        <v>0.56542553191489364</v>
      </c>
      <c r="U2204" s="253">
        <v>0.55890804597701149</v>
      </c>
      <c r="V2204" s="253">
        <v>0</v>
      </c>
      <c r="W2204" s="253">
        <v>0.57093749999999999</v>
      </c>
      <c r="X2204" s="253">
        <v>0</v>
      </c>
      <c r="Y2204" s="253">
        <v>0.5767916666666667</v>
      </c>
      <c r="Z2204" s="253">
        <v>0.53076923076923077</v>
      </c>
      <c r="AA2204" s="253"/>
      <c r="AB2204" s="253"/>
      <c r="AC2204" s="253"/>
      <c r="AD2204" s="253"/>
      <c r="AE2204" s="253"/>
    </row>
    <row r="2205" spans="1:31">
      <c r="A2205" s="33">
        <v>2204</v>
      </c>
      <c r="B2205" s="69" t="s">
        <v>903</v>
      </c>
      <c r="C2205" s="69" t="s">
        <v>740</v>
      </c>
      <c r="D2205" s="56">
        <v>43075</v>
      </c>
      <c r="E2205" s="33" t="s">
        <v>781</v>
      </c>
      <c r="F2205" s="69" t="s">
        <v>532</v>
      </c>
      <c r="G2205" s="69" t="str">
        <f t="shared" si="34"/>
        <v>User Registration</v>
      </c>
      <c r="H2205" s="69" t="s">
        <v>904</v>
      </c>
      <c r="I2205" s="69" t="s">
        <v>877</v>
      </c>
      <c r="J2205" s="69" t="s">
        <v>903</v>
      </c>
      <c r="K2205" s="69" t="s">
        <v>912</v>
      </c>
      <c r="L2205" s="253">
        <v>0.57157329462989848</v>
      </c>
      <c r="M2205" s="253">
        <v>0.56382223385884322</v>
      </c>
      <c r="N2205" s="253">
        <v>0.54906250000000001</v>
      </c>
      <c r="O2205" s="253">
        <v>0.56525319228637783</v>
      </c>
      <c r="P2205" s="253">
        <v>0.57773584905660391</v>
      </c>
      <c r="Q2205" s="253">
        <v>0.54459459459459458</v>
      </c>
      <c r="R2205" s="253">
        <v>0.61093656790614437</v>
      </c>
      <c r="S2205" s="253">
        <v>0.55144230769230762</v>
      </c>
      <c r="T2205" s="253">
        <v>0.58617021276595738</v>
      </c>
      <c r="U2205" s="253">
        <v>0.53534482758620694</v>
      </c>
      <c r="V2205" s="253">
        <v>0</v>
      </c>
      <c r="W2205" s="253">
        <v>0.54906250000000001</v>
      </c>
      <c r="X2205" s="253">
        <v>0</v>
      </c>
      <c r="Y2205" s="253">
        <v>0.56506250000000002</v>
      </c>
      <c r="Z2205" s="253">
        <v>0.54692307692307685</v>
      </c>
      <c r="AA2205" s="253"/>
      <c r="AB2205" s="253"/>
      <c r="AC2205" s="253"/>
      <c r="AD2205" s="253"/>
      <c r="AE2205" s="253"/>
    </row>
    <row r="2206" spans="1:31">
      <c r="A2206" s="33">
        <v>2205</v>
      </c>
      <c r="B2206" s="69" t="s">
        <v>903</v>
      </c>
      <c r="C2206" s="69" t="s">
        <v>740</v>
      </c>
      <c r="D2206" s="56">
        <v>43075</v>
      </c>
      <c r="E2206" s="33" t="s">
        <v>781</v>
      </c>
      <c r="F2206" s="69" t="s">
        <v>532</v>
      </c>
      <c r="G2206" s="69" t="str">
        <f t="shared" si="34"/>
        <v>User Registration</v>
      </c>
      <c r="H2206" s="69" t="s">
        <v>904</v>
      </c>
      <c r="I2206" s="69" t="s">
        <v>877</v>
      </c>
      <c r="J2206" s="69" t="s">
        <v>903</v>
      </c>
      <c r="K2206" s="69" t="s">
        <v>913</v>
      </c>
      <c r="L2206" s="253">
        <v>0.56468650217706806</v>
      </c>
      <c r="M2206" s="253">
        <v>0.52404077102926927</v>
      </c>
      <c r="N2206" s="253">
        <v>0.51093750000000004</v>
      </c>
      <c r="O2206" s="253">
        <v>0.58675440843701698</v>
      </c>
      <c r="P2206" s="253">
        <v>0.56037735849056591</v>
      </c>
      <c r="Q2206" s="253">
        <v>0.45337837837837841</v>
      </c>
      <c r="R2206" s="253">
        <v>0.57160469278186521</v>
      </c>
      <c r="S2206" s="253">
        <v>0.57163461538461546</v>
      </c>
      <c r="T2206" s="253">
        <v>0.51436170212765964</v>
      </c>
      <c r="U2206" s="253">
        <v>0.47758620689655179</v>
      </c>
      <c r="V2206" s="253">
        <v>0</v>
      </c>
      <c r="W2206" s="253">
        <v>0.51093750000000004</v>
      </c>
      <c r="X2206" s="253">
        <v>0</v>
      </c>
      <c r="Y2206" s="253">
        <v>0.60608333333333342</v>
      </c>
      <c r="Z2206" s="253">
        <v>0.58192307692307688</v>
      </c>
      <c r="AA2206" s="253"/>
      <c r="AB2206" s="253"/>
      <c r="AC2206" s="253"/>
      <c r="AD2206" s="253"/>
      <c r="AE2206" s="253"/>
    </row>
    <row r="2207" spans="1:31">
      <c r="A2207" s="33">
        <v>2206</v>
      </c>
      <c r="B2207" s="69" t="s">
        <v>903</v>
      </c>
      <c r="C2207" s="69" t="s">
        <v>740</v>
      </c>
      <c r="D2207" s="56">
        <v>43075</v>
      </c>
      <c r="E2207" s="33" t="s">
        <v>781</v>
      </c>
      <c r="F2207" s="69" t="s">
        <v>532</v>
      </c>
      <c r="G2207" s="69" t="str">
        <f t="shared" si="34"/>
        <v>User Registration</v>
      </c>
      <c r="H2207" s="69" t="s">
        <v>904</v>
      </c>
      <c r="I2207" s="69" t="s">
        <v>877</v>
      </c>
      <c r="J2207" s="69" t="s">
        <v>903</v>
      </c>
      <c r="K2207" s="69" t="s">
        <v>914</v>
      </c>
      <c r="L2207" s="253">
        <v>0.62992743105950655</v>
      </c>
      <c r="M2207" s="253">
        <v>0.60637399577653162</v>
      </c>
      <c r="N2207" s="253">
        <v>0.57687500000000003</v>
      </c>
      <c r="O2207" s="253">
        <v>0.57344118248316556</v>
      </c>
      <c r="P2207" s="253">
        <v>0.64471698113207554</v>
      </c>
      <c r="Q2207" s="253">
        <v>0.63378378378378375</v>
      </c>
      <c r="R2207" s="253">
        <v>0.65913700536886066</v>
      </c>
      <c r="S2207" s="253">
        <v>0.57788461538461544</v>
      </c>
      <c r="T2207" s="253">
        <v>0.5771276595744681</v>
      </c>
      <c r="U2207" s="253">
        <v>0.58626436781609204</v>
      </c>
      <c r="V2207" s="253">
        <v>0</v>
      </c>
      <c r="W2207" s="253">
        <v>0.57687500000000003</v>
      </c>
      <c r="X2207" s="253">
        <v>0</v>
      </c>
      <c r="Y2207" s="253">
        <v>0.55062500000000003</v>
      </c>
      <c r="Z2207" s="253">
        <v>0.57076923076923081</v>
      </c>
      <c r="AA2207" s="253"/>
      <c r="AB2207" s="253"/>
      <c r="AC2207" s="253"/>
      <c r="AD2207" s="253"/>
      <c r="AE2207" s="253"/>
    </row>
    <row r="2208" spans="1:31">
      <c r="A2208" s="33">
        <v>2207</v>
      </c>
      <c r="B2208" s="69" t="s">
        <v>903</v>
      </c>
      <c r="C2208" s="69" t="s">
        <v>740</v>
      </c>
      <c r="D2208" s="56">
        <v>43076</v>
      </c>
      <c r="E2208" s="33" t="s">
        <v>781</v>
      </c>
      <c r="F2208" s="69" t="s">
        <v>532</v>
      </c>
      <c r="G2208" s="69" t="str">
        <f t="shared" si="34"/>
        <v>User Registration</v>
      </c>
      <c r="H2208" s="69" t="s">
        <v>904</v>
      </c>
      <c r="I2208" s="69" t="s">
        <v>877</v>
      </c>
      <c r="J2208" s="69" t="s">
        <v>903</v>
      </c>
      <c r="K2208" s="69" t="s">
        <v>905</v>
      </c>
      <c r="L2208" s="253">
        <v>0.56959071117561688</v>
      </c>
      <c r="M2208" s="253">
        <v>0.54438394670299095</v>
      </c>
      <c r="N2208" s="253">
        <v>0.52</v>
      </c>
      <c r="O2208" s="253">
        <v>0.54515127132084817</v>
      </c>
      <c r="P2208" s="253">
        <v>0.58660377358490567</v>
      </c>
      <c r="Q2208" s="253">
        <v>0.48378378378378384</v>
      </c>
      <c r="R2208" s="253">
        <v>0.58961026048916287</v>
      </c>
      <c r="S2208" s="253">
        <v>0.55432692307692311</v>
      </c>
      <c r="T2208" s="253">
        <v>0.53563829787234041</v>
      </c>
      <c r="U2208" s="253">
        <v>0.56206896551724128</v>
      </c>
      <c r="V2208" s="253">
        <v>0</v>
      </c>
      <c r="W2208" s="253">
        <v>0.52</v>
      </c>
      <c r="X2208" s="253">
        <v>0</v>
      </c>
      <c r="Y2208" s="253">
        <v>0.55456249999999996</v>
      </c>
      <c r="Z2208" s="253">
        <v>0.5015384615384616</v>
      </c>
      <c r="AA2208" s="253"/>
      <c r="AB2208" s="253"/>
      <c r="AC2208" s="253"/>
      <c r="AD2208" s="253"/>
      <c r="AE2208" s="253"/>
    </row>
    <row r="2209" spans="1:31">
      <c r="A2209" s="33">
        <v>2208</v>
      </c>
      <c r="B2209" s="69" t="s">
        <v>903</v>
      </c>
      <c r="C2209" s="69" t="s">
        <v>740</v>
      </c>
      <c r="D2209" s="56">
        <v>43076</v>
      </c>
      <c r="E2209" s="33" t="s">
        <v>781</v>
      </c>
      <c r="F2209" s="69" t="s">
        <v>532</v>
      </c>
      <c r="G2209" s="69" t="str">
        <f t="shared" si="34"/>
        <v>User Registration</v>
      </c>
      <c r="H2209" s="69" t="s">
        <v>904</v>
      </c>
      <c r="I2209" s="69" t="s">
        <v>877</v>
      </c>
      <c r="J2209" s="69" t="s">
        <v>903</v>
      </c>
      <c r="K2209" s="69" t="s">
        <v>906</v>
      </c>
      <c r="L2209" s="253">
        <v>0.5700377358490567</v>
      </c>
      <c r="M2209" s="253">
        <v>0.5454156780498467</v>
      </c>
      <c r="N2209" s="253">
        <v>0.4512500000000001</v>
      </c>
      <c r="O2209" s="253">
        <v>0.5322042703459311</v>
      </c>
      <c r="P2209" s="253">
        <v>0.57754716981132093</v>
      </c>
      <c r="Q2209" s="253">
        <v>0.49121621621621625</v>
      </c>
      <c r="R2209" s="253">
        <v>0.60146152316563939</v>
      </c>
      <c r="S2209" s="253">
        <v>0.51874999999999993</v>
      </c>
      <c r="T2209" s="253">
        <v>0.5601063829787235</v>
      </c>
      <c r="U2209" s="253">
        <v>0.54741379310344829</v>
      </c>
      <c r="V2209" s="253">
        <v>0</v>
      </c>
      <c r="W2209" s="253">
        <v>0.45125000000000004</v>
      </c>
      <c r="X2209" s="253">
        <v>0</v>
      </c>
      <c r="Y2209" s="253">
        <v>0.52145833333333336</v>
      </c>
      <c r="Z2209" s="253">
        <v>0.54</v>
      </c>
      <c r="AA2209" s="253"/>
      <c r="AB2209" s="253"/>
      <c r="AC2209" s="253"/>
      <c r="AD2209" s="253"/>
      <c r="AE2209" s="253"/>
    </row>
    <row r="2210" spans="1:31">
      <c r="A2210" s="33">
        <v>2209</v>
      </c>
      <c r="B2210" s="69" t="s">
        <v>903</v>
      </c>
      <c r="C2210" s="69" t="s">
        <v>740</v>
      </c>
      <c r="D2210" s="56">
        <v>43076</v>
      </c>
      <c r="E2210" s="33" t="s">
        <v>781</v>
      </c>
      <c r="F2210" s="69" t="s">
        <v>532</v>
      </c>
      <c r="G2210" s="69" t="str">
        <f t="shared" si="34"/>
        <v>User Registration</v>
      </c>
      <c r="H2210" s="69" t="s">
        <v>904</v>
      </c>
      <c r="I2210" s="69" t="s">
        <v>877</v>
      </c>
      <c r="J2210" s="69" t="s">
        <v>903</v>
      </c>
      <c r="K2210" s="69" t="s">
        <v>907</v>
      </c>
      <c r="L2210" s="253">
        <v>0.62155587808417989</v>
      </c>
      <c r="M2210" s="253">
        <v>0.59967525864776794</v>
      </c>
      <c r="N2210" s="253">
        <v>0.59343749999999995</v>
      </c>
      <c r="O2210" s="253">
        <v>0.5988973075237447</v>
      </c>
      <c r="P2210" s="253">
        <v>0.61886792452830186</v>
      </c>
      <c r="Q2210" s="253">
        <v>0.5728378378378377</v>
      </c>
      <c r="R2210" s="253">
        <v>0.61696460528932195</v>
      </c>
      <c r="S2210" s="253">
        <v>0.61298076923076927</v>
      </c>
      <c r="T2210" s="253">
        <v>0.5799202127659574</v>
      </c>
      <c r="U2210" s="253">
        <v>0.59201149425287347</v>
      </c>
      <c r="V2210" s="253">
        <v>0</v>
      </c>
      <c r="W2210" s="253">
        <v>0.59343749999999995</v>
      </c>
      <c r="X2210" s="253">
        <v>0</v>
      </c>
      <c r="Y2210" s="253">
        <v>0.5864583333333333</v>
      </c>
      <c r="Z2210" s="253">
        <v>0.63230769230769224</v>
      </c>
      <c r="AA2210" s="253"/>
      <c r="AB2210" s="253"/>
      <c r="AC2210" s="253"/>
      <c r="AD2210" s="253"/>
      <c r="AE2210" s="253"/>
    </row>
    <row r="2211" spans="1:31">
      <c r="A2211" s="33">
        <v>2210</v>
      </c>
      <c r="B2211" s="69" t="s">
        <v>903</v>
      </c>
      <c r="C2211" s="69" t="s">
        <v>740</v>
      </c>
      <c r="D2211" s="56">
        <v>43076</v>
      </c>
      <c r="E2211" s="33" t="s">
        <v>781</v>
      </c>
      <c r="F2211" s="69" t="s">
        <v>532</v>
      </c>
      <c r="G2211" s="69" t="str">
        <f t="shared" si="34"/>
        <v>User Registration</v>
      </c>
      <c r="H2211" s="69" t="s">
        <v>904</v>
      </c>
      <c r="I2211" s="69" t="s">
        <v>877</v>
      </c>
      <c r="J2211" s="69" t="s">
        <v>903</v>
      </c>
      <c r="K2211" s="69" t="s">
        <v>908</v>
      </c>
      <c r="L2211" s="253">
        <v>0.63819158200290271</v>
      </c>
      <c r="M2211" s="253">
        <v>0.61074132614667742</v>
      </c>
      <c r="N2211" s="253">
        <v>0.63218750000000001</v>
      </c>
      <c r="O2211" s="253">
        <v>0.63972358274344621</v>
      </c>
      <c r="P2211" s="253">
        <v>0.64254716981132076</v>
      </c>
      <c r="Q2211" s="253">
        <v>0.56959459459459461</v>
      </c>
      <c r="R2211" s="253">
        <v>0.63937959832968783</v>
      </c>
      <c r="S2211" s="253">
        <v>0.58245192307692306</v>
      </c>
      <c r="T2211" s="253">
        <v>0.58989361702127663</v>
      </c>
      <c r="U2211" s="253">
        <v>0.6461494252873563</v>
      </c>
      <c r="V2211" s="253">
        <v>0</v>
      </c>
      <c r="W2211" s="253">
        <v>0.63218750000000001</v>
      </c>
      <c r="X2211" s="253">
        <v>0</v>
      </c>
      <c r="Y2211" s="253">
        <v>0.65821874999999996</v>
      </c>
      <c r="Z2211" s="253">
        <v>0.62076923076923063</v>
      </c>
      <c r="AA2211" s="253"/>
      <c r="AB2211" s="253"/>
      <c r="AC2211" s="253"/>
      <c r="AD2211" s="253"/>
      <c r="AE2211" s="253"/>
    </row>
    <row r="2212" spans="1:31">
      <c r="A2212" s="33">
        <v>2211</v>
      </c>
      <c r="B2212" s="69" t="s">
        <v>895</v>
      </c>
      <c r="C2212" s="69" t="s">
        <v>740</v>
      </c>
      <c r="D2212" s="56">
        <v>43080</v>
      </c>
      <c r="E2212" s="33" t="s">
        <v>896</v>
      </c>
      <c r="F2212" s="69" t="s">
        <v>532</v>
      </c>
      <c r="G2212" s="69" t="str">
        <f t="shared" si="34"/>
        <v>E-Commerce</v>
      </c>
      <c r="H2212" s="69" t="s">
        <v>749</v>
      </c>
      <c r="I2212" s="69" t="s">
        <v>888</v>
      </c>
      <c r="J2212" s="69" t="s">
        <v>895</v>
      </c>
      <c r="K2212" s="69" t="s">
        <v>895</v>
      </c>
      <c r="L2212" s="253">
        <v>0.66487953555878077</v>
      </c>
      <c r="M2212" s="253">
        <v>0.70080307472276515</v>
      </c>
      <c r="N2212" s="253">
        <v>0.66337156687361887</v>
      </c>
      <c r="O2212" s="253">
        <v>0.69084858538507621</v>
      </c>
      <c r="P2212" s="253">
        <v>0.68283018867924528</v>
      </c>
      <c r="Q2212" s="253">
        <v>0.63027027027027027</v>
      </c>
      <c r="R2212" s="253">
        <v>0.68961261325533274</v>
      </c>
      <c r="S2212" s="253">
        <v>0.77028301886792461</v>
      </c>
      <c r="T2212" s="253">
        <v>0.67480916030534344</v>
      </c>
      <c r="U2212" s="253">
        <v>0.77152263374485619</v>
      </c>
      <c r="V2212" s="253">
        <v>0.67744186046511634</v>
      </c>
      <c r="W2212" s="253">
        <v>0</v>
      </c>
      <c r="X2212" s="253">
        <v>0.61647058823529421</v>
      </c>
      <c r="Y2212" s="253">
        <v>0.71854166666666675</v>
      </c>
      <c r="Z2212" s="253">
        <v>0.59307692307692306</v>
      </c>
      <c r="AA2212" s="253"/>
      <c r="AB2212" s="253"/>
      <c r="AC2212" s="253"/>
      <c r="AD2212" s="253"/>
      <c r="AE2212" s="253"/>
    </row>
    <row r="2213" spans="1:31">
      <c r="A2213" s="33">
        <v>2212</v>
      </c>
      <c r="B2213" s="69" t="s">
        <v>895</v>
      </c>
      <c r="C2213" s="69" t="s">
        <v>740</v>
      </c>
      <c r="D2213" s="56">
        <v>43080</v>
      </c>
      <c r="E2213" s="33" t="s">
        <v>896</v>
      </c>
      <c r="F2213" s="69" t="s">
        <v>532</v>
      </c>
      <c r="G2213" s="69" t="str">
        <f t="shared" si="34"/>
        <v>E-Commerce</v>
      </c>
      <c r="H2213" s="69" t="s">
        <v>749</v>
      </c>
      <c r="I2213" s="69" t="s">
        <v>888</v>
      </c>
      <c r="J2213" s="69" t="s">
        <v>895</v>
      </c>
      <c r="K2213" s="69" t="s">
        <v>897</v>
      </c>
      <c r="L2213" s="253">
        <v>0.65760812772133537</v>
      </c>
      <c r="M2213" s="253">
        <v>0.65396110774698513</v>
      </c>
      <c r="N2213" s="253">
        <v>0.63885825528780382</v>
      </c>
      <c r="O2213" s="253">
        <v>0.66604141872509337</v>
      </c>
      <c r="P2213" s="253">
        <v>0.6554716981132076</v>
      </c>
      <c r="Q2213" s="253">
        <v>0.67162162162162165</v>
      </c>
      <c r="R2213" s="253">
        <v>0.62855104515944926</v>
      </c>
      <c r="S2213" s="253">
        <v>0.68301886792452837</v>
      </c>
      <c r="T2213" s="253">
        <v>0.63091603053435119</v>
      </c>
      <c r="U2213" s="253">
        <v>0.65094650205761306</v>
      </c>
      <c r="V2213" s="253">
        <v>0.64116279069767435</v>
      </c>
      <c r="W2213" s="253">
        <v>0</v>
      </c>
      <c r="X2213" s="253">
        <v>0.63117647058823523</v>
      </c>
      <c r="Y2213" s="253">
        <v>0.67125000000000001</v>
      </c>
      <c r="Z2213" s="253">
        <v>0.6661538461538461</v>
      </c>
      <c r="AA2213" s="253"/>
      <c r="AB2213" s="253"/>
      <c r="AC2213" s="253"/>
      <c r="AD2213" s="253"/>
      <c r="AE2213" s="253"/>
    </row>
    <row r="2214" spans="1:31">
      <c r="A2214" s="33">
        <v>2213</v>
      </c>
      <c r="B2214" s="69" t="s">
        <v>895</v>
      </c>
      <c r="C2214" s="69" t="s">
        <v>740</v>
      </c>
      <c r="D2214" s="56">
        <v>43080</v>
      </c>
      <c r="E2214" s="33" t="s">
        <v>896</v>
      </c>
      <c r="F2214" s="69" t="s">
        <v>532</v>
      </c>
      <c r="G2214" s="69" t="str">
        <f t="shared" si="34"/>
        <v>E-Commerce</v>
      </c>
      <c r="H2214" s="69" t="s">
        <v>749</v>
      </c>
      <c r="I2214" s="69" t="s">
        <v>888</v>
      </c>
      <c r="J2214" s="69" t="s">
        <v>895</v>
      </c>
      <c r="K2214" s="69" t="s">
        <v>898</v>
      </c>
      <c r="L2214" s="253">
        <v>0.61801451378809891</v>
      </c>
      <c r="M2214" s="253">
        <v>0.59030026921394241</v>
      </c>
      <c r="N2214" s="253">
        <v>0.58299063453646227</v>
      </c>
      <c r="O2214" s="253">
        <v>0.60331566402895997</v>
      </c>
      <c r="P2214" s="253">
        <v>0.62905660377358508</v>
      </c>
      <c r="Q2214" s="253">
        <v>0.59256756756756757</v>
      </c>
      <c r="R2214" s="253">
        <v>0.61198901334094302</v>
      </c>
      <c r="S2214" s="253">
        <v>0.55849056603773584</v>
      </c>
      <c r="T2214" s="253">
        <v>0.61221374045801513</v>
      </c>
      <c r="U2214" s="253">
        <v>0.5856790123456791</v>
      </c>
      <c r="V2214" s="253">
        <v>0.58953488372093032</v>
      </c>
      <c r="W2214" s="253">
        <v>0</v>
      </c>
      <c r="X2214" s="253">
        <v>0.56117647058823528</v>
      </c>
      <c r="Y2214" s="253">
        <v>0.61597916666666674</v>
      </c>
      <c r="Z2214" s="253">
        <v>0.57384615384615378</v>
      </c>
      <c r="AA2214" s="253"/>
      <c r="AB2214" s="253"/>
      <c r="AC2214" s="253"/>
      <c r="AD2214" s="253"/>
      <c r="AE2214" s="253"/>
    </row>
    <row r="2215" spans="1:31">
      <c r="A2215" s="33">
        <v>2214</v>
      </c>
      <c r="B2215" s="69" t="s">
        <v>895</v>
      </c>
      <c r="C2215" s="69" t="s">
        <v>740</v>
      </c>
      <c r="D2215" s="56">
        <v>43080</v>
      </c>
      <c r="E2215" s="33" t="s">
        <v>896</v>
      </c>
      <c r="F2215" s="69" t="s">
        <v>532</v>
      </c>
      <c r="G2215" s="69" t="str">
        <f t="shared" si="34"/>
        <v>E-Commerce</v>
      </c>
      <c r="H2215" s="69" t="s">
        <v>749</v>
      </c>
      <c r="I2215" s="69" t="s">
        <v>888</v>
      </c>
      <c r="J2215" s="69" t="s">
        <v>895</v>
      </c>
      <c r="K2215" s="69" t="s">
        <v>899</v>
      </c>
      <c r="L2215" s="253">
        <v>0.56064441219158201</v>
      </c>
      <c r="M2215" s="253">
        <v>0.57136024746915659</v>
      </c>
      <c r="N2215" s="253">
        <v>0.54709460170472479</v>
      </c>
      <c r="O2215" s="253">
        <v>0.57634281744602478</v>
      </c>
      <c r="P2215" s="253">
        <v>0.56811320754716987</v>
      </c>
      <c r="Q2215" s="253">
        <v>0.52283783783783777</v>
      </c>
      <c r="R2215" s="253">
        <v>0.62046657630020685</v>
      </c>
      <c r="S2215" s="253">
        <v>0.58820754716981138</v>
      </c>
      <c r="T2215" s="253">
        <v>0.5618320610687022</v>
      </c>
      <c r="U2215" s="253">
        <v>0.56954732510288064</v>
      </c>
      <c r="V2215" s="253">
        <v>0.55204651162790697</v>
      </c>
      <c r="W2215" s="253">
        <v>0</v>
      </c>
      <c r="X2215" s="253">
        <v>0.53058823529411769</v>
      </c>
      <c r="Y2215" s="253">
        <v>0.58535416666666662</v>
      </c>
      <c r="Z2215" s="253">
        <v>0.53076923076923077</v>
      </c>
      <c r="AA2215" s="253"/>
      <c r="AB2215" s="253"/>
      <c r="AC2215" s="253"/>
      <c r="AD2215" s="253"/>
      <c r="AE2215" s="253"/>
    </row>
    <row r="2216" spans="1:31">
      <c r="A2216" s="33">
        <v>2215</v>
      </c>
      <c r="B2216" s="69" t="s">
        <v>895</v>
      </c>
      <c r="C2216" s="69" t="s">
        <v>740</v>
      </c>
      <c r="D2216" s="56">
        <v>43080</v>
      </c>
      <c r="E2216" s="33" t="s">
        <v>896</v>
      </c>
      <c r="F2216" s="69" t="s">
        <v>532</v>
      </c>
      <c r="G2216" s="69" t="str">
        <f t="shared" si="34"/>
        <v>E-Commerce</v>
      </c>
      <c r="H2216" s="69" t="s">
        <v>749</v>
      </c>
      <c r="I2216" s="69" t="s">
        <v>888</v>
      </c>
      <c r="J2216" s="69" t="s">
        <v>895</v>
      </c>
      <c r="K2216" s="69" t="s">
        <v>900</v>
      </c>
      <c r="L2216" s="253">
        <v>0.64163425253991291</v>
      </c>
      <c r="M2216" s="253">
        <v>0.61653021110518436</v>
      </c>
      <c r="N2216" s="253">
        <v>0.66874999999999996</v>
      </c>
      <c r="O2216" s="253">
        <v>0.62114336046811069</v>
      </c>
      <c r="P2216" s="253">
        <v>0.64377358490566039</v>
      </c>
      <c r="Q2216" s="253">
        <v>0.57364864864864873</v>
      </c>
      <c r="R2216" s="253">
        <v>0.64319041164300483</v>
      </c>
      <c r="S2216" s="253">
        <v>0.57830188679245287</v>
      </c>
      <c r="T2216" s="253">
        <v>0.63702290076335866</v>
      </c>
      <c r="U2216" s="253">
        <v>0.63584362139917705</v>
      </c>
      <c r="V2216" s="253">
        <v>0.66875000000000007</v>
      </c>
      <c r="W2216" s="253">
        <v>0</v>
      </c>
      <c r="X2216" s="253">
        <v>0</v>
      </c>
      <c r="Y2216" s="253">
        <v>0.62218750000000012</v>
      </c>
      <c r="Z2216" s="253">
        <v>0.63307692307692309</v>
      </c>
      <c r="AA2216" s="253"/>
      <c r="AB2216" s="253"/>
      <c r="AC2216" s="253"/>
      <c r="AD2216" s="253"/>
      <c r="AE2216" s="253"/>
    </row>
    <row r="2217" spans="1:31">
      <c r="A2217" s="33">
        <v>2216</v>
      </c>
      <c r="B2217" s="69" t="s">
        <v>895</v>
      </c>
      <c r="C2217" s="69" t="s">
        <v>740</v>
      </c>
      <c r="D2217" s="56">
        <v>43080</v>
      </c>
      <c r="E2217" s="33" t="s">
        <v>896</v>
      </c>
      <c r="F2217" s="69" t="s">
        <v>532</v>
      </c>
      <c r="G2217" s="69" t="str">
        <f t="shared" si="34"/>
        <v>User Registration</v>
      </c>
      <c r="H2217" s="69" t="s">
        <v>749</v>
      </c>
      <c r="I2217" s="69" t="s">
        <v>888</v>
      </c>
      <c r="J2217" s="69" t="s">
        <v>895</v>
      </c>
      <c r="K2217" s="69" t="s">
        <v>901</v>
      </c>
      <c r="L2217" s="253">
        <v>0.68915820029027575</v>
      </c>
      <c r="M2217" s="253">
        <v>0.6462265603038253</v>
      </c>
      <c r="N2217" s="253">
        <v>0.65852083008269624</v>
      </c>
      <c r="O2217" s="253">
        <v>0.62454003839503835</v>
      </c>
      <c r="P2217" s="253">
        <v>0.70471698113207548</v>
      </c>
      <c r="Q2217" s="253">
        <v>0.61148648648648651</v>
      </c>
      <c r="R2217" s="253">
        <v>0.6617220123284947</v>
      </c>
      <c r="S2217" s="253">
        <v>0.60656565656565653</v>
      </c>
      <c r="T2217" s="253">
        <v>0.64840425531914891</v>
      </c>
      <c r="U2217" s="253">
        <v>0.69666666666666666</v>
      </c>
      <c r="V2217" s="253">
        <v>0</v>
      </c>
      <c r="W2217" s="253">
        <v>0.65172413793103445</v>
      </c>
      <c r="X2217" s="253">
        <v>0.68117647058823527</v>
      </c>
      <c r="Y2217" s="253">
        <v>0.61949152542372876</v>
      </c>
      <c r="Z2217" s="253">
        <v>0.62692307692307692</v>
      </c>
      <c r="AA2217" s="253"/>
      <c r="AB2217" s="253"/>
      <c r="AC2217" s="253"/>
      <c r="AD2217" s="253"/>
      <c r="AE2217" s="253"/>
    </row>
    <row r="2218" spans="1:31">
      <c r="A2218" s="33">
        <v>2217</v>
      </c>
      <c r="B2218" s="69" t="s">
        <v>895</v>
      </c>
      <c r="C2218" s="69" t="s">
        <v>740</v>
      </c>
      <c r="D2218" s="56">
        <v>43080</v>
      </c>
      <c r="E2218" s="33" t="s">
        <v>896</v>
      </c>
      <c r="F2218" s="69" t="s">
        <v>532</v>
      </c>
      <c r="G2218" s="69" t="str">
        <f t="shared" si="34"/>
        <v>E-Commerce</v>
      </c>
      <c r="H2218" s="69" t="s">
        <v>749</v>
      </c>
      <c r="I2218" s="69" t="s">
        <v>888</v>
      </c>
      <c r="J2218" s="69" t="s">
        <v>895</v>
      </c>
      <c r="K2218" s="69" t="s">
        <v>902</v>
      </c>
      <c r="L2218" s="253">
        <v>0.63971262699564602</v>
      </c>
      <c r="M2218" s="253">
        <v>0.6354880389485682</v>
      </c>
      <c r="N2218" s="253">
        <v>0.63252341365884457</v>
      </c>
      <c r="O2218" s="253">
        <v>0.64449993914768877</v>
      </c>
      <c r="P2218" s="253">
        <v>0.64867924528301901</v>
      </c>
      <c r="Q2218" s="253">
        <v>0.56743243243243235</v>
      </c>
      <c r="R2218" s="253">
        <v>0.61044446029820931</v>
      </c>
      <c r="S2218" s="253">
        <v>0.68726415094339632</v>
      </c>
      <c r="T2218" s="253">
        <v>0.62862595419847322</v>
      </c>
      <c r="U2218" s="253">
        <v>0.69032921810699577</v>
      </c>
      <c r="V2218" s="253">
        <v>0.63116279069767445</v>
      </c>
      <c r="W2218" s="253">
        <v>0</v>
      </c>
      <c r="X2218" s="253">
        <v>0.63705882352941179</v>
      </c>
      <c r="Y2218" s="253">
        <v>0.66693749999999996</v>
      </c>
      <c r="Z2218" s="253">
        <v>0.60384615384615381</v>
      </c>
      <c r="AA2218" s="253"/>
      <c r="AB2218" s="253"/>
      <c r="AC2218" s="253"/>
      <c r="AD2218" s="253"/>
      <c r="AE2218" s="253"/>
    </row>
    <row r="2219" spans="1:31">
      <c r="A2219" s="33">
        <v>2218</v>
      </c>
      <c r="B2219" s="69" t="s">
        <v>849</v>
      </c>
      <c r="C2219" s="69" t="s">
        <v>740</v>
      </c>
      <c r="D2219" s="56">
        <v>43081</v>
      </c>
      <c r="E2219" s="33" t="s">
        <v>724</v>
      </c>
      <c r="F2219" s="69" t="s">
        <v>532</v>
      </c>
      <c r="G2219" s="69" t="str">
        <f t="shared" si="34"/>
        <v>User Registration</v>
      </c>
      <c r="H2219" s="69" t="s">
        <v>847</v>
      </c>
      <c r="I2219" s="69" t="s">
        <v>848</v>
      </c>
      <c r="J2219" s="69" t="s">
        <v>849</v>
      </c>
      <c r="K2219" s="69" t="s">
        <v>849</v>
      </c>
      <c r="L2219" s="253">
        <v>0.63656313497822925</v>
      </c>
      <c r="M2219" s="253">
        <v>0.60471652478557547</v>
      </c>
      <c r="N2219" s="253">
        <v>0.56781249999999994</v>
      </c>
      <c r="O2219" s="253">
        <v>0.57641193339140107</v>
      </c>
      <c r="P2219" s="253">
        <v>0.6433962264150942</v>
      </c>
      <c r="Q2219" s="253">
        <v>0.57486486486486477</v>
      </c>
      <c r="R2219" s="253">
        <v>0.61004175780473247</v>
      </c>
      <c r="S2219" s="253">
        <v>0.57115384615384623</v>
      </c>
      <c r="T2219" s="253">
        <v>0.6095744680851064</v>
      </c>
      <c r="U2219" s="253">
        <v>0.64540229885057476</v>
      </c>
      <c r="V2219" s="253">
        <v>0</v>
      </c>
      <c r="W2219" s="253">
        <v>0.56781249999999994</v>
      </c>
      <c r="X2219" s="253">
        <v>0</v>
      </c>
      <c r="Y2219" s="253">
        <v>0.56052083333333336</v>
      </c>
      <c r="Z2219" s="253">
        <v>0.60923076923076924</v>
      </c>
      <c r="AA2219" s="253"/>
      <c r="AB2219" s="253"/>
      <c r="AC2219" s="253"/>
      <c r="AD2219" s="253"/>
      <c r="AE2219" s="253"/>
    </row>
    <row r="2220" spans="1:31">
      <c r="A2220" s="33">
        <v>2219</v>
      </c>
      <c r="B2220" s="69" t="s">
        <v>849</v>
      </c>
      <c r="C2220" s="69" t="s">
        <v>740</v>
      </c>
      <c r="D2220" s="56">
        <v>43081</v>
      </c>
      <c r="E2220" s="33" t="s">
        <v>724</v>
      </c>
      <c r="F2220" s="69" t="s">
        <v>532</v>
      </c>
      <c r="G2220" s="69" t="str">
        <f t="shared" si="34"/>
        <v>User Registration</v>
      </c>
      <c r="H2220" s="69" t="s">
        <v>847</v>
      </c>
      <c r="I2220" s="69" t="s">
        <v>848</v>
      </c>
      <c r="J2220" s="69" t="s">
        <v>849</v>
      </c>
      <c r="K2220" s="69" t="s">
        <v>850</v>
      </c>
      <c r="L2220" s="253">
        <v>0.61894920174165446</v>
      </c>
      <c r="M2220" s="253">
        <v>0.60704554890709084</v>
      </c>
      <c r="N2220" s="253">
        <v>0.60312500000000002</v>
      </c>
      <c r="O2220" s="253">
        <v>0.5788905924760761</v>
      </c>
      <c r="P2220" s="253">
        <v>0.61830188679245268</v>
      </c>
      <c r="Q2220" s="253">
        <v>0.64337837837837841</v>
      </c>
      <c r="R2220" s="253">
        <v>0.64883276993438066</v>
      </c>
      <c r="S2220" s="253">
        <v>0.58798076923076914</v>
      </c>
      <c r="T2220" s="253">
        <v>0.59308510638297873</v>
      </c>
      <c r="U2220" s="253">
        <v>0.55402298850574716</v>
      </c>
      <c r="V2220" s="253">
        <v>0</v>
      </c>
      <c r="W2220" s="253">
        <v>0.60312500000000002</v>
      </c>
      <c r="X2220" s="253">
        <v>0</v>
      </c>
      <c r="Y2220" s="253">
        <v>0.54475000000000007</v>
      </c>
      <c r="Z2220" s="253">
        <v>0.6215384615384616</v>
      </c>
      <c r="AA2220" s="253"/>
      <c r="AB2220" s="253"/>
      <c r="AC2220" s="253"/>
      <c r="AD2220" s="253"/>
      <c r="AE2220" s="253"/>
    </row>
    <row r="2221" spans="1:31">
      <c r="A2221" s="33">
        <v>2220</v>
      </c>
      <c r="B2221" s="69" t="s">
        <v>849</v>
      </c>
      <c r="C2221" s="69" t="s">
        <v>740</v>
      </c>
      <c r="D2221" s="56">
        <v>43081</v>
      </c>
      <c r="E2221" s="33" t="s">
        <v>724</v>
      </c>
      <c r="F2221" s="69" t="s">
        <v>532</v>
      </c>
      <c r="G2221" s="69" t="str">
        <f t="shared" si="34"/>
        <v>User Registration</v>
      </c>
      <c r="H2221" s="69" t="s">
        <v>847</v>
      </c>
      <c r="I2221" s="69" t="s">
        <v>848</v>
      </c>
      <c r="J2221" s="69" t="s">
        <v>849</v>
      </c>
      <c r="K2221" s="69" t="s">
        <v>851</v>
      </c>
      <c r="L2221" s="253">
        <v>0.64557910014513797</v>
      </c>
      <c r="M2221" s="253">
        <v>0.62054256843460287</v>
      </c>
      <c r="N2221" s="253">
        <v>0.57499999999999996</v>
      </c>
      <c r="O2221" s="253">
        <v>0.59567028715918824</v>
      </c>
      <c r="P2221" s="253">
        <v>0.65735849056603779</v>
      </c>
      <c r="Q2221" s="253">
        <v>0.56351351351351353</v>
      </c>
      <c r="R2221" s="253">
        <v>0.64075959435275409</v>
      </c>
      <c r="S2221" s="253">
        <v>0.6495192307692309</v>
      </c>
      <c r="T2221" s="253">
        <v>0.6320212765957447</v>
      </c>
      <c r="U2221" s="253">
        <v>0.62471264367816093</v>
      </c>
      <c r="V2221" s="253">
        <v>0</v>
      </c>
      <c r="W2221" s="253">
        <v>0.57499999999999996</v>
      </c>
      <c r="X2221" s="253">
        <v>0</v>
      </c>
      <c r="Y2221" s="253">
        <v>0.58364583333333331</v>
      </c>
      <c r="Z2221" s="253">
        <v>0.59846153846153849</v>
      </c>
      <c r="AA2221" s="253"/>
      <c r="AB2221" s="253"/>
      <c r="AC2221" s="253"/>
      <c r="AD2221" s="253"/>
      <c r="AE2221" s="253"/>
    </row>
    <row r="2222" spans="1:31">
      <c r="A2222" s="33">
        <v>2221</v>
      </c>
      <c r="B2222" s="69" t="s">
        <v>849</v>
      </c>
      <c r="C2222" s="69" t="s">
        <v>740</v>
      </c>
      <c r="D2222" s="56">
        <v>43081</v>
      </c>
      <c r="E2222" s="33" t="s">
        <v>724</v>
      </c>
      <c r="F2222" s="69" t="s">
        <v>532</v>
      </c>
      <c r="G2222" s="69" t="str">
        <f t="shared" si="34"/>
        <v>User Registration</v>
      </c>
      <c r="H2222" s="69" t="s">
        <v>847</v>
      </c>
      <c r="I2222" s="69" t="s">
        <v>848</v>
      </c>
      <c r="J2222" s="69" t="s">
        <v>849</v>
      </c>
      <c r="K2222" s="69" t="s">
        <v>852</v>
      </c>
      <c r="L2222" s="253">
        <v>0.63582293178519567</v>
      </c>
      <c r="M2222" s="253">
        <v>0.62417105173952925</v>
      </c>
      <c r="N2222" s="253">
        <v>0.58937499999999998</v>
      </c>
      <c r="O2222" s="253">
        <v>0.621225146038347</v>
      </c>
      <c r="P2222" s="253">
        <v>0.65150943396226391</v>
      </c>
      <c r="Q2222" s="253">
        <v>0.60499999999999998</v>
      </c>
      <c r="R2222" s="253">
        <v>0.64201630542851451</v>
      </c>
      <c r="S2222" s="253">
        <v>0.62548076923076923</v>
      </c>
      <c r="T2222" s="253">
        <v>0.60159574468085109</v>
      </c>
      <c r="U2222" s="253">
        <v>0.65459770114942528</v>
      </c>
      <c r="V2222" s="253">
        <v>0</v>
      </c>
      <c r="W2222" s="253">
        <v>0.58937499999999998</v>
      </c>
      <c r="X2222" s="253">
        <v>0</v>
      </c>
      <c r="Y2222" s="253">
        <v>0.63270833333333332</v>
      </c>
      <c r="Z2222" s="253">
        <v>0.57307692307692293</v>
      </c>
      <c r="AA2222" s="253"/>
      <c r="AB2222" s="253"/>
      <c r="AC2222" s="253"/>
      <c r="AD2222" s="253"/>
      <c r="AE2222" s="253"/>
    </row>
    <row r="2223" spans="1:31">
      <c r="A2223" s="33">
        <v>2222</v>
      </c>
      <c r="B2223" s="69" t="s">
        <v>849</v>
      </c>
      <c r="C2223" s="69" t="s">
        <v>740</v>
      </c>
      <c r="D2223" s="56">
        <v>43081</v>
      </c>
      <c r="E2223" s="33" t="s">
        <v>724</v>
      </c>
      <c r="F2223" s="69" t="s">
        <v>532</v>
      </c>
      <c r="G2223" s="69" t="str">
        <f t="shared" si="34"/>
        <v>User Registration</v>
      </c>
      <c r="H2223" s="69" t="s">
        <v>847</v>
      </c>
      <c r="I2223" s="69" t="s">
        <v>848</v>
      </c>
      <c r="J2223" s="69" t="s">
        <v>849</v>
      </c>
      <c r="K2223" s="69" t="s">
        <v>853</v>
      </c>
      <c r="L2223" s="253">
        <v>0.59524528301886792</v>
      </c>
      <c r="M2223" s="253">
        <v>0.55858188485024352</v>
      </c>
      <c r="N2223" s="253">
        <v>0.551875</v>
      </c>
      <c r="O2223" s="253">
        <v>0.56885128420887932</v>
      </c>
      <c r="P2223" s="253">
        <v>0.59905660377358494</v>
      </c>
      <c r="Q2223" s="253">
        <v>0.58351351351351355</v>
      </c>
      <c r="R2223" s="253">
        <v>0.57573076158281966</v>
      </c>
      <c r="S2223" s="253">
        <v>0.54903846153846159</v>
      </c>
      <c r="T2223" s="253">
        <v>0.56755319148936167</v>
      </c>
      <c r="U2223" s="253">
        <v>0.51517241379310341</v>
      </c>
      <c r="V2223" s="253">
        <v>0</v>
      </c>
      <c r="W2223" s="253">
        <v>0.551875</v>
      </c>
      <c r="X2223" s="253">
        <v>0</v>
      </c>
      <c r="Y2223" s="253">
        <v>0.5646458333333334</v>
      </c>
      <c r="Z2223" s="253">
        <v>0.58000000000000007</v>
      </c>
      <c r="AA2223" s="253"/>
      <c r="AB2223" s="253"/>
      <c r="AC2223" s="253"/>
      <c r="AD2223" s="253"/>
      <c r="AE2223" s="253"/>
    </row>
    <row r="2224" spans="1:31">
      <c r="A2224" s="33">
        <v>2223</v>
      </c>
      <c r="B2224" s="69" t="s">
        <v>812</v>
      </c>
      <c r="C2224" s="69" t="s">
        <v>791</v>
      </c>
      <c r="D2224" s="56">
        <v>43083</v>
      </c>
      <c r="E2224" s="33" t="s">
        <v>724</v>
      </c>
      <c r="F2224" s="69" t="s">
        <v>380</v>
      </c>
      <c r="G2224" s="69" t="str">
        <f t="shared" si="34"/>
        <v>User Registration</v>
      </c>
      <c r="H2224" s="69" t="s">
        <v>807</v>
      </c>
      <c r="I2224" s="69" t="s">
        <v>808</v>
      </c>
      <c r="J2224" s="69" t="s">
        <v>812</v>
      </c>
      <c r="K2224" s="69" t="s">
        <v>812</v>
      </c>
      <c r="L2224" s="253">
        <v>0.61022641509433972</v>
      </c>
      <c r="M2224" s="253">
        <v>0.59118937727542586</v>
      </c>
      <c r="N2224" s="253">
        <v>0.59124999999999994</v>
      </c>
      <c r="O2224" s="253">
        <v>0.58427919060035149</v>
      </c>
      <c r="P2224" s="253">
        <v>0.61528301886792458</v>
      </c>
      <c r="Q2224" s="253">
        <v>0.58702702702702703</v>
      </c>
      <c r="R2224" s="253">
        <v>0.57959037582024253</v>
      </c>
      <c r="S2224" s="253">
        <v>0.59278846153846143</v>
      </c>
      <c r="T2224" s="253">
        <v>0.5889361702127659</v>
      </c>
      <c r="U2224" s="253">
        <v>0.6066666666666668</v>
      </c>
      <c r="V2224" s="253"/>
      <c r="W2224" s="253">
        <v>0.59124999999999994</v>
      </c>
      <c r="X2224" s="253"/>
      <c r="Y2224" s="253">
        <v>0.58237500000000009</v>
      </c>
      <c r="Z2224" s="253">
        <v>0.59</v>
      </c>
      <c r="AA2224" s="253"/>
      <c r="AB2224" s="253"/>
      <c r="AC2224" s="253"/>
      <c r="AD2224" s="253"/>
      <c r="AE2224" s="253"/>
    </row>
    <row r="2225" spans="1:31">
      <c r="A2225" s="33">
        <v>2224</v>
      </c>
      <c r="B2225" s="69" t="s">
        <v>812</v>
      </c>
      <c r="C2225" s="69" t="s">
        <v>791</v>
      </c>
      <c r="D2225" s="56">
        <v>43083</v>
      </c>
      <c r="E2225" s="33" t="s">
        <v>724</v>
      </c>
      <c r="F2225" s="69" t="s">
        <v>380</v>
      </c>
      <c r="G2225" s="69" t="str">
        <f t="shared" si="34"/>
        <v>User Registration</v>
      </c>
      <c r="H2225" s="69" t="s">
        <v>807</v>
      </c>
      <c r="I2225" s="69" t="s">
        <v>808</v>
      </c>
      <c r="J2225" s="69" t="s">
        <v>812</v>
      </c>
      <c r="K2225" s="69" t="s">
        <v>374</v>
      </c>
      <c r="L2225" s="253">
        <v>0.65337010159651665</v>
      </c>
      <c r="M2225" s="253">
        <v>0.66199894005949322</v>
      </c>
      <c r="N2225" s="253">
        <v>0.68187500000000001</v>
      </c>
      <c r="O2225" s="253">
        <v>0.67679895535716328</v>
      </c>
      <c r="P2225" s="253">
        <v>0.66094339622641507</v>
      </c>
      <c r="Q2225" s="253">
        <v>0.61689189189189175</v>
      </c>
      <c r="R2225" s="253">
        <v>0.68294293100019887</v>
      </c>
      <c r="S2225" s="253">
        <v>0.7221153846153846</v>
      </c>
      <c r="T2225" s="253">
        <v>0.66691489361702128</v>
      </c>
      <c r="U2225" s="253">
        <v>0.64166666666666683</v>
      </c>
      <c r="V2225" s="253"/>
      <c r="W2225" s="253">
        <v>0.68187500000000001</v>
      </c>
      <c r="X2225" s="253"/>
      <c r="Y2225" s="253">
        <v>0.69314583333333324</v>
      </c>
      <c r="Z2225" s="253">
        <v>0.62307692307692308</v>
      </c>
      <c r="AA2225" s="253"/>
      <c r="AB2225" s="253"/>
      <c r="AC2225" s="253"/>
      <c r="AD2225" s="253"/>
      <c r="AE2225" s="253"/>
    </row>
    <row r="2226" spans="1:31">
      <c r="A2226" s="33">
        <v>2225</v>
      </c>
      <c r="B2226" s="69" t="s">
        <v>812</v>
      </c>
      <c r="C2226" s="69" t="s">
        <v>791</v>
      </c>
      <c r="D2226" s="56">
        <v>43083</v>
      </c>
      <c r="E2226" s="33" t="s">
        <v>724</v>
      </c>
      <c r="F2226" s="69" t="s">
        <v>380</v>
      </c>
      <c r="G2226" s="69" t="str">
        <f t="shared" si="34"/>
        <v>User Registration</v>
      </c>
      <c r="H2226" s="69" t="s">
        <v>807</v>
      </c>
      <c r="I2226" s="69" t="s">
        <v>808</v>
      </c>
      <c r="J2226" s="69" t="s">
        <v>812</v>
      </c>
      <c r="K2226" s="69" t="s">
        <v>894</v>
      </c>
      <c r="L2226" s="253">
        <v>0.61960812772133522</v>
      </c>
      <c r="M2226" s="253">
        <v>0.60554019194559983</v>
      </c>
      <c r="N2226" s="253">
        <v>0.56562500000000004</v>
      </c>
      <c r="O2226" s="253">
        <v>0.55735691095170092</v>
      </c>
      <c r="P2226" s="253">
        <v>0.63547169811320747</v>
      </c>
      <c r="Q2226" s="253">
        <v>0.61054054054054063</v>
      </c>
      <c r="R2226" s="253">
        <v>0.60704712666534111</v>
      </c>
      <c r="S2226" s="253">
        <v>0.56634615384615383</v>
      </c>
      <c r="T2226" s="253">
        <v>0.61223404255319158</v>
      </c>
      <c r="U2226" s="253">
        <v>0.64712643678160919</v>
      </c>
      <c r="V2226" s="253"/>
      <c r="W2226" s="253">
        <v>0.56562500000000004</v>
      </c>
      <c r="X2226" s="253"/>
      <c r="Y2226" s="253">
        <v>0.54156249999999995</v>
      </c>
      <c r="Z2226" s="253">
        <v>0.55615384615384611</v>
      </c>
      <c r="AA2226" s="253"/>
      <c r="AB2226" s="253"/>
      <c r="AC2226" s="253"/>
      <c r="AD2226" s="253"/>
      <c r="AE2226" s="253"/>
    </row>
    <row r="2227" spans="1:31">
      <c r="A2227" s="33">
        <v>2226</v>
      </c>
      <c r="B2227" s="69" t="s">
        <v>812</v>
      </c>
      <c r="C2227" s="69" t="s">
        <v>791</v>
      </c>
      <c r="D2227" s="56">
        <v>43083</v>
      </c>
      <c r="E2227" s="33" t="s">
        <v>724</v>
      </c>
      <c r="F2227" s="69" t="s">
        <v>380</v>
      </c>
      <c r="G2227" s="69" t="str">
        <f t="shared" si="34"/>
        <v>User Registration</v>
      </c>
      <c r="H2227" s="69" t="s">
        <v>807</v>
      </c>
      <c r="I2227" s="69" t="s">
        <v>808</v>
      </c>
      <c r="J2227" s="69" t="s">
        <v>812</v>
      </c>
      <c r="K2227" s="69" t="s">
        <v>811</v>
      </c>
      <c r="L2227" s="253">
        <v>0.66612772133526865</v>
      </c>
      <c r="M2227" s="253">
        <v>0.65558422062331767</v>
      </c>
      <c r="N2227" s="253">
        <v>0.54812499999999997</v>
      </c>
      <c r="O2227" s="253">
        <v>0.65117499223795938</v>
      </c>
      <c r="P2227" s="253">
        <v>0.68169811320754725</v>
      </c>
      <c r="Q2227" s="253">
        <v>0.65756756756756751</v>
      </c>
      <c r="R2227" s="253">
        <v>0.62246967587989654</v>
      </c>
      <c r="S2227" s="253">
        <v>0.69759615384615381</v>
      </c>
      <c r="T2227" s="253">
        <v>0.62340425531914889</v>
      </c>
      <c r="U2227" s="253">
        <v>0.69350574712643676</v>
      </c>
      <c r="V2227" s="253"/>
      <c r="W2227" s="253">
        <v>0.54812499999999997</v>
      </c>
      <c r="X2227" s="253"/>
      <c r="Y2227" s="253">
        <v>0.66583333333333339</v>
      </c>
      <c r="Z2227" s="253">
        <v>0.60384615384615381</v>
      </c>
      <c r="AA2227" s="253"/>
      <c r="AB2227" s="253"/>
      <c r="AC2227" s="253"/>
      <c r="AD2227" s="253"/>
      <c r="AE2227" s="253"/>
    </row>
    <row r="2228" spans="1:31">
      <c r="A2228" s="33">
        <v>2227</v>
      </c>
      <c r="B2228" s="69" t="s">
        <v>812</v>
      </c>
      <c r="C2228" s="69" t="s">
        <v>791</v>
      </c>
      <c r="D2228" s="56">
        <v>43083</v>
      </c>
      <c r="E2228" s="33" t="s">
        <v>724</v>
      </c>
      <c r="F2228" s="69" t="s">
        <v>380</v>
      </c>
      <c r="G2228" s="69" t="str">
        <f t="shared" si="34"/>
        <v>User Registration</v>
      </c>
      <c r="H2228" s="69" t="s">
        <v>807</v>
      </c>
      <c r="I2228" s="69" t="s">
        <v>808</v>
      </c>
      <c r="J2228" s="69" t="s">
        <v>812</v>
      </c>
      <c r="K2228" s="69" t="s">
        <v>806</v>
      </c>
      <c r="L2228" s="253">
        <v>0.62117851959361392</v>
      </c>
      <c r="M2228" s="253">
        <v>0.63606040984590084</v>
      </c>
      <c r="N2228" s="253">
        <v>0.63500000000000001</v>
      </c>
      <c r="O2228" s="253">
        <v>0.61203878322654126</v>
      </c>
      <c r="P2228" s="253">
        <v>0.62339622641509429</v>
      </c>
      <c r="Q2228" s="253">
        <v>0.62648648648648653</v>
      </c>
      <c r="R2228" s="253">
        <v>0.62812487572081932</v>
      </c>
      <c r="S2228" s="253">
        <v>0.61874999999999991</v>
      </c>
      <c r="T2228" s="253">
        <v>0.65148936170212768</v>
      </c>
      <c r="U2228" s="253">
        <v>0.66574712643678158</v>
      </c>
      <c r="V2228" s="253"/>
      <c r="W2228" s="253">
        <v>0.63500000000000001</v>
      </c>
      <c r="X2228" s="253"/>
      <c r="Y2228" s="253">
        <v>0.60662499999999997</v>
      </c>
      <c r="Z2228" s="253">
        <v>0.61230769230769233</v>
      </c>
      <c r="AA2228" s="253"/>
      <c r="AB2228" s="253"/>
      <c r="AC2228" s="253"/>
      <c r="AD2228" s="253"/>
      <c r="AE2228" s="253"/>
    </row>
    <row r="2229" spans="1:31">
      <c r="A2229" s="33">
        <v>2228</v>
      </c>
      <c r="B2229" s="69" t="s">
        <v>812</v>
      </c>
      <c r="C2229" s="69" t="s">
        <v>791</v>
      </c>
      <c r="D2229" s="56">
        <v>43083</v>
      </c>
      <c r="E2229" s="33" t="s">
        <v>724</v>
      </c>
      <c r="F2229" s="69" t="s">
        <v>380</v>
      </c>
      <c r="G2229" s="69" t="str">
        <f t="shared" si="34"/>
        <v>User Registration</v>
      </c>
      <c r="H2229" s="69" t="s">
        <v>807</v>
      </c>
      <c r="I2229" s="69" t="s">
        <v>808</v>
      </c>
      <c r="J2229" s="69" t="s">
        <v>812</v>
      </c>
      <c r="K2229" s="69" t="s">
        <v>811</v>
      </c>
      <c r="L2229" s="253">
        <v>0.66612772133526865</v>
      </c>
      <c r="M2229" s="253">
        <v>0.65558422062331767</v>
      </c>
      <c r="N2229" s="253">
        <v>0.54812499999999997</v>
      </c>
      <c r="O2229" s="253">
        <v>0.65117499223795938</v>
      </c>
      <c r="P2229" s="253">
        <v>0.68169811320754725</v>
      </c>
      <c r="Q2229" s="253">
        <v>0.65756756756756751</v>
      </c>
      <c r="R2229" s="253">
        <v>0.62246967587989654</v>
      </c>
      <c r="S2229" s="253">
        <v>0.69759615384615381</v>
      </c>
      <c r="T2229" s="253">
        <v>0.62340425531914889</v>
      </c>
      <c r="U2229" s="253">
        <v>0.69350574712643676</v>
      </c>
      <c r="V2229" s="253"/>
      <c r="W2229" s="253">
        <v>0.54812499999999997</v>
      </c>
      <c r="X2229" s="253"/>
      <c r="Y2229" s="253">
        <v>0.66583333333333339</v>
      </c>
      <c r="Z2229" s="253">
        <v>0.60384615384615381</v>
      </c>
      <c r="AA2229" s="253"/>
      <c r="AB2229" s="253"/>
      <c r="AC2229" s="253"/>
      <c r="AD2229" s="253"/>
      <c r="AE2229" s="253"/>
    </row>
    <row r="2230" spans="1:31">
      <c r="A2230" s="33">
        <v>2229</v>
      </c>
      <c r="B2230" s="69" t="s">
        <v>812</v>
      </c>
      <c r="C2230" s="69" t="s">
        <v>791</v>
      </c>
      <c r="D2230" s="56">
        <v>43083</v>
      </c>
      <c r="E2230" s="33" t="s">
        <v>724</v>
      </c>
      <c r="F2230" s="69" t="s">
        <v>380</v>
      </c>
      <c r="G2230" s="69" t="str">
        <f t="shared" si="34"/>
        <v>User Registration</v>
      </c>
      <c r="H2230" s="69" t="s">
        <v>807</v>
      </c>
      <c r="I2230" s="69" t="s">
        <v>808</v>
      </c>
      <c r="J2230" s="69" t="s">
        <v>812</v>
      </c>
      <c r="K2230" s="69" t="s">
        <v>806</v>
      </c>
      <c r="L2230" s="253">
        <v>0.62117851959361392</v>
      </c>
      <c r="M2230" s="253">
        <v>0.63606040984590084</v>
      </c>
      <c r="N2230" s="253">
        <v>0.63500000000000001</v>
      </c>
      <c r="O2230" s="253">
        <v>0.61203878322654126</v>
      </c>
      <c r="P2230" s="253">
        <v>0.62339622641509429</v>
      </c>
      <c r="Q2230" s="253">
        <v>0.62648648648648653</v>
      </c>
      <c r="R2230" s="253">
        <v>0.62812487572081932</v>
      </c>
      <c r="S2230" s="253">
        <v>0.61874999999999991</v>
      </c>
      <c r="T2230" s="253">
        <v>0.65148936170212768</v>
      </c>
      <c r="U2230" s="253">
        <v>0.66574712643678158</v>
      </c>
      <c r="V2230" s="253"/>
      <c r="W2230" s="253">
        <v>0.63500000000000001</v>
      </c>
      <c r="X2230" s="253"/>
      <c r="Y2230" s="253">
        <v>0.60662499999999997</v>
      </c>
      <c r="Z2230" s="253">
        <v>0.61230769230769233</v>
      </c>
      <c r="AA2230" s="253"/>
      <c r="AB2230" s="253"/>
      <c r="AC2230" s="253"/>
      <c r="AD2230" s="253"/>
      <c r="AE2230" s="253"/>
    </row>
    <row r="2231" spans="1:31">
      <c r="A2231" s="33">
        <v>2230</v>
      </c>
      <c r="B2231" s="69" t="s">
        <v>812</v>
      </c>
      <c r="C2231" s="69" t="s">
        <v>791</v>
      </c>
      <c r="D2231" s="56">
        <v>43083</v>
      </c>
      <c r="E2231" s="33" t="s">
        <v>724</v>
      </c>
      <c r="F2231" s="69" t="s">
        <v>380</v>
      </c>
      <c r="G2231" s="69" t="str">
        <f t="shared" si="34"/>
        <v>User Registration</v>
      </c>
      <c r="H2231" s="69" t="s">
        <v>807</v>
      </c>
      <c r="I2231" s="69" t="s">
        <v>808</v>
      </c>
      <c r="J2231" s="69" t="s">
        <v>812</v>
      </c>
      <c r="K2231" s="69" t="s">
        <v>894</v>
      </c>
      <c r="L2231" s="253">
        <v>0.61960812772133522</v>
      </c>
      <c r="M2231" s="253">
        <v>0.60554019194559983</v>
      </c>
      <c r="N2231" s="253">
        <v>0.56562500000000004</v>
      </c>
      <c r="O2231" s="253">
        <v>0.55735691095170092</v>
      </c>
      <c r="P2231" s="253">
        <v>0.63547169811320747</v>
      </c>
      <c r="Q2231" s="253">
        <v>0.61054054054054063</v>
      </c>
      <c r="R2231" s="253">
        <v>0.60704712666534111</v>
      </c>
      <c r="S2231" s="253">
        <v>0.56634615384615383</v>
      </c>
      <c r="T2231" s="253">
        <v>0.61223404255319158</v>
      </c>
      <c r="U2231" s="253">
        <v>0.64712643678160919</v>
      </c>
      <c r="V2231" s="253"/>
      <c r="W2231" s="253">
        <v>0.56562500000000004</v>
      </c>
      <c r="X2231" s="253"/>
      <c r="Y2231" s="253">
        <v>0.54156249999999995</v>
      </c>
      <c r="Z2231" s="253">
        <v>0.55615384615384611</v>
      </c>
      <c r="AA2231" s="253"/>
      <c r="AB2231" s="253"/>
      <c r="AC2231" s="253"/>
      <c r="AD2231" s="253"/>
      <c r="AE2231" s="253"/>
    </row>
    <row r="2232" spans="1:31">
      <c r="A2232" s="33">
        <v>2231</v>
      </c>
      <c r="B2232" s="69" t="s">
        <v>812</v>
      </c>
      <c r="C2232" s="69" t="s">
        <v>791</v>
      </c>
      <c r="D2232" s="56">
        <v>43083</v>
      </c>
      <c r="E2232" s="33" t="s">
        <v>724</v>
      </c>
      <c r="F2232" s="69" t="s">
        <v>380</v>
      </c>
      <c r="G2232" s="69" t="str">
        <f t="shared" si="34"/>
        <v>User Registration</v>
      </c>
      <c r="H2232" s="69" t="s">
        <v>807</v>
      </c>
      <c r="I2232" s="69" t="s">
        <v>808</v>
      </c>
      <c r="J2232" s="69" t="s">
        <v>812</v>
      </c>
      <c r="K2232" s="69" t="s">
        <v>374</v>
      </c>
      <c r="L2232" s="253">
        <v>0.65337010159651665</v>
      </c>
      <c r="M2232" s="253">
        <v>0.66199894005949322</v>
      </c>
      <c r="N2232" s="253">
        <v>0.68187500000000001</v>
      </c>
      <c r="O2232" s="253">
        <v>0.67679895535716328</v>
      </c>
      <c r="P2232" s="253">
        <v>0.66094339622641507</v>
      </c>
      <c r="Q2232" s="253">
        <v>0.61689189189189175</v>
      </c>
      <c r="R2232" s="253">
        <v>0.68294293100019887</v>
      </c>
      <c r="S2232" s="253">
        <v>0.7221153846153846</v>
      </c>
      <c r="T2232" s="253">
        <v>0.66691489361702128</v>
      </c>
      <c r="U2232" s="253">
        <v>0.64166666666666683</v>
      </c>
      <c r="V2232" s="253"/>
      <c r="W2232" s="253">
        <v>0.68187500000000001</v>
      </c>
      <c r="X2232" s="253"/>
      <c r="Y2232" s="253">
        <v>0.69314583333333324</v>
      </c>
      <c r="Z2232" s="253">
        <v>0.62307692307692308</v>
      </c>
      <c r="AA2232" s="253"/>
      <c r="AB2232" s="253"/>
      <c r="AC2232" s="253"/>
      <c r="AD2232" s="253"/>
      <c r="AE2232" s="253"/>
    </row>
    <row r="2233" spans="1:31">
      <c r="A2233" s="33">
        <v>2232</v>
      </c>
      <c r="B2233" s="69" t="s">
        <v>812</v>
      </c>
      <c r="C2233" s="69" t="s">
        <v>791</v>
      </c>
      <c r="D2233" s="56">
        <v>43083</v>
      </c>
      <c r="E2233" s="33" t="s">
        <v>724</v>
      </c>
      <c r="F2233" s="69" t="s">
        <v>380</v>
      </c>
      <c r="G2233" s="69" t="str">
        <f t="shared" si="34"/>
        <v>User Registration</v>
      </c>
      <c r="H2233" s="69" t="s">
        <v>807</v>
      </c>
      <c r="I2233" s="69" t="s">
        <v>808</v>
      </c>
      <c r="J2233" s="69" t="s">
        <v>812</v>
      </c>
      <c r="K2233" s="69" t="s">
        <v>812</v>
      </c>
      <c r="L2233" s="253">
        <v>0.61022641509433972</v>
      </c>
      <c r="M2233" s="253">
        <v>0.59118937727542586</v>
      </c>
      <c r="N2233" s="253">
        <v>0.59124999999999994</v>
      </c>
      <c r="O2233" s="253">
        <v>0.58427919060035149</v>
      </c>
      <c r="P2233" s="253">
        <v>0.61528301886792458</v>
      </c>
      <c r="Q2233" s="253">
        <v>0.58702702702702703</v>
      </c>
      <c r="R2233" s="253">
        <v>0.57959037582024253</v>
      </c>
      <c r="S2233" s="253">
        <v>0.59278846153846143</v>
      </c>
      <c r="T2233" s="253">
        <v>0.5889361702127659</v>
      </c>
      <c r="U2233" s="253">
        <v>0.6066666666666668</v>
      </c>
      <c r="V2233" s="253"/>
      <c r="W2233" s="253">
        <v>0.59124999999999994</v>
      </c>
      <c r="X2233" s="253"/>
      <c r="Y2233" s="253">
        <v>0.58237500000000009</v>
      </c>
      <c r="Z2233" s="253">
        <v>0.59</v>
      </c>
      <c r="AA2233" s="253"/>
      <c r="AB2233" s="253"/>
      <c r="AC2233" s="253"/>
      <c r="AD2233" s="253"/>
      <c r="AE2233" s="253"/>
    </row>
    <row r="2234" spans="1:31">
      <c r="A2234" s="33">
        <v>2233</v>
      </c>
      <c r="B2234" s="69" t="s">
        <v>886</v>
      </c>
      <c r="C2234" s="69" t="s">
        <v>740</v>
      </c>
      <c r="D2234" s="56">
        <v>43084</v>
      </c>
      <c r="E2234" s="33" t="s">
        <v>887</v>
      </c>
      <c r="F2234" s="69" t="s">
        <v>532</v>
      </c>
      <c r="G2234" s="69" t="str">
        <f t="shared" si="34"/>
        <v>E-Commerce</v>
      </c>
      <c r="H2234" s="69" t="s">
        <v>749</v>
      </c>
      <c r="I2234" s="69" t="s">
        <v>888</v>
      </c>
      <c r="J2234" s="69" t="s">
        <v>886</v>
      </c>
      <c r="K2234" s="69" t="s">
        <v>886</v>
      </c>
      <c r="L2234" s="253">
        <v>0.63540493468795345</v>
      </c>
      <c r="M2234" s="253">
        <v>0.62052570729159195</v>
      </c>
      <c r="N2234" s="253">
        <v>0.58850468273176904</v>
      </c>
      <c r="O2234" s="253">
        <v>0.5982731728283055</v>
      </c>
      <c r="P2234" s="253">
        <v>0.64867924528301879</v>
      </c>
      <c r="Q2234" s="253">
        <v>0.65945945945945939</v>
      </c>
      <c r="R2234" s="253">
        <v>0.66288934864807025</v>
      </c>
      <c r="S2234" s="253">
        <v>0.5405660377358491</v>
      </c>
      <c r="T2234" s="253">
        <v>0.6301526717557252</v>
      </c>
      <c r="U2234" s="253">
        <v>0.62049382716049384</v>
      </c>
      <c r="V2234" s="253">
        <v>0.58823255813953501</v>
      </c>
      <c r="W2234" s="253">
        <v>0</v>
      </c>
      <c r="X2234" s="253">
        <v>0.58941176470588241</v>
      </c>
      <c r="Y2234" s="253">
        <v>0.58979166666666671</v>
      </c>
      <c r="Z2234" s="253">
        <v>0.5823076923076923</v>
      </c>
      <c r="AA2234" s="253"/>
      <c r="AB2234" s="253"/>
      <c r="AC2234" s="253"/>
      <c r="AD2234" s="253"/>
      <c r="AE2234" s="253"/>
    </row>
    <row r="2235" spans="1:31">
      <c r="A2235" s="33">
        <v>2234</v>
      </c>
      <c r="B2235" s="69" t="s">
        <v>886</v>
      </c>
      <c r="C2235" s="69" t="s">
        <v>740</v>
      </c>
      <c r="D2235" s="56">
        <v>43084</v>
      </c>
      <c r="E2235" s="33" t="s">
        <v>887</v>
      </c>
      <c r="F2235" s="69" t="s">
        <v>532</v>
      </c>
      <c r="G2235" s="69" t="str">
        <f t="shared" si="34"/>
        <v>E-Commerce</v>
      </c>
      <c r="H2235" s="69" t="s">
        <v>749</v>
      </c>
      <c r="I2235" s="69" t="s">
        <v>888</v>
      </c>
      <c r="J2235" s="69" t="s">
        <v>886</v>
      </c>
      <c r="K2235" s="69" t="s">
        <v>889</v>
      </c>
      <c r="L2235" s="253">
        <v>0.63590711175616832</v>
      </c>
      <c r="M2235" s="253">
        <v>0.61205721956929726</v>
      </c>
      <c r="N2235" s="253">
        <v>0.63639587498684635</v>
      </c>
      <c r="O2235" s="253">
        <v>0.62194240078478347</v>
      </c>
      <c r="P2235" s="253">
        <v>0.64603773584905655</v>
      </c>
      <c r="Q2235" s="253">
        <v>0.6377027027027028</v>
      </c>
      <c r="R2235" s="253">
        <v>0.62287222658200747</v>
      </c>
      <c r="S2235" s="253">
        <v>0.62216981132075477</v>
      </c>
      <c r="T2235" s="253">
        <v>0.56412213740458006</v>
      </c>
      <c r="U2235" s="253">
        <v>0.60806584362139926</v>
      </c>
      <c r="V2235" s="253">
        <v>0.64925581395348841</v>
      </c>
      <c r="W2235" s="253">
        <v>0</v>
      </c>
      <c r="X2235" s="253">
        <v>0.59352941176470586</v>
      </c>
      <c r="Y2235" s="253">
        <v>0.62812499999999993</v>
      </c>
      <c r="Z2235" s="253">
        <v>0.5953846153846154</v>
      </c>
      <c r="AA2235" s="253"/>
      <c r="AB2235" s="253"/>
      <c r="AC2235" s="253"/>
      <c r="AD2235" s="253"/>
      <c r="AE2235" s="253"/>
    </row>
    <row r="2236" spans="1:31">
      <c r="A2236" s="33">
        <v>2235</v>
      </c>
      <c r="B2236" s="69" t="s">
        <v>886</v>
      </c>
      <c r="C2236" s="69" t="s">
        <v>740</v>
      </c>
      <c r="D2236" s="56">
        <v>43084</v>
      </c>
      <c r="E2236" s="33" t="s">
        <v>887</v>
      </c>
      <c r="F2236" s="69" t="s">
        <v>532</v>
      </c>
      <c r="G2236" s="69" t="str">
        <f t="shared" si="34"/>
        <v>E-Commerce</v>
      </c>
      <c r="H2236" s="69" t="s">
        <v>749</v>
      </c>
      <c r="I2236" s="69" t="s">
        <v>888</v>
      </c>
      <c r="J2236" s="69" t="s">
        <v>886</v>
      </c>
      <c r="K2236" s="69" t="s">
        <v>890</v>
      </c>
      <c r="L2236" s="253">
        <v>0.67339985486211906</v>
      </c>
      <c r="M2236" s="253">
        <v>0.61604773813353031</v>
      </c>
      <c r="N2236" s="253">
        <v>0.63084183941913086</v>
      </c>
      <c r="O2236" s="253">
        <v>0.58328016414222605</v>
      </c>
      <c r="P2236" s="253">
        <v>0.69150943396226416</v>
      </c>
      <c r="Q2236" s="253">
        <v>0.61013513513513518</v>
      </c>
      <c r="R2236" s="253">
        <v>0.64658771491760003</v>
      </c>
      <c r="S2236" s="253">
        <v>0.5641509433962264</v>
      </c>
      <c r="T2236" s="253">
        <v>0.59274809160305342</v>
      </c>
      <c r="U2236" s="253">
        <v>0.65176954732510284</v>
      </c>
      <c r="V2236" s="253">
        <v>0.62297674418604654</v>
      </c>
      <c r="W2236" s="253">
        <v>0</v>
      </c>
      <c r="X2236" s="253">
        <v>0.6570588235294117</v>
      </c>
      <c r="Y2236" s="253">
        <v>0.56454166666666661</v>
      </c>
      <c r="Z2236" s="253">
        <v>0.60096153846153844</v>
      </c>
      <c r="AA2236" s="253"/>
      <c r="AB2236" s="253"/>
      <c r="AC2236" s="253"/>
      <c r="AD2236" s="253"/>
      <c r="AE2236" s="253"/>
    </row>
    <row r="2237" spans="1:31">
      <c r="A2237" s="33">
        <v>2236</v>
      </c>
      <c r="B2237" s="69" t="s">
        <v>886</v>
      </c>
      <c r="C2237" s="69" t="s">
        <v>740</v>
      </c>
      <c r="D2237" s="56">
        <v>43084</v>
      </c>
      <c r="E2237" s="33" t="s">
        <v>887</v>
      </c>
      <c r="F2237" s="69" t="s">
        <v>532</v>
      </c>
      <c r="G2237" s="69" t="str">
        <f t="shared" si="34"/>
        <v>E-Commerce</v>
      </c>
      <c r="H2237" s="69" t="s">
        <v>749</v>
      </c>
      <c r="I2237" s="69" t="s">
        <v>888</v>
      </c>
      <c r="J2237" s="69" t="s">
        <v>886</v>
      </c>
      <c r="K2237" s="69" t="s">
        <v>891</v>
      </c>
      <c r="L2237" s="253">
        <v>0.64339042089985488</v>
      </c>
      <c r="M2237" s="253">
        <v>0.61011513962824016</v>
      </c>
      <c r="N2237" s="253">
        <v>0.57122592865410926</v>
      </c>
      <c r="O2237" s="253">
        <v>0.64505516974057941</v>
      </c>
      <c r="P2237" s="253">
        <v>0.64962264150943394</v>
      </c>
      <c r="Q2237" s="253">
        <v>0.65202702702702697</v>
      </c>
      <c r="R2237" s="253">
        <v>0.65261610901048728</v>
      </c>
      <c r="S2237" s="253">
        <v>0.535377358490566</v>
      </c>
      <c r="T2237" s="253">
        <v>0.61183206106870236</v>
      </c>
      <c r="U2237" s="253">
        <v>0.58950617283950613</v>
      </c>
      <c r="V2237" s="253">
        <v>0.57953488372093021</v>
      </c>
      <c r="W2237" s="253">
        <v>0</v>
      </c>
      <c r="X2237" s="253">
        <v>0.54352941176470593</v>
      </c>
      <c r="Y2237" s="253">
        <v>0.66179166666666667</v>
      </c>
      <c r="Z2237" s="253">
        <v>0.61846153846153851</v>
      </c>
      <c r="AA2237" s="253"/>
      <c r="AB2237" s="253"/>
      <c r="AC2237" s="253"/>
      <c r="AD2237" s="253"/>
      <c r="AE2237" s="253"/>
    </row>
    <row r="2238" spans="1:31">
      <c r="A2238" s="33">
        <v>2237</v>
      </c>
      <c r="B2238" s="69" t="s">
        <v>886</v>
      </c>
      <c r="C2238" s="69" t="s">
        <v>740</v>
      </c>
      <c r="D2238" s="56">
        <v>43084</v>
      </c>
      <c r="E2238" s="33" t="s">
        <v>887</v>
      </c>
      <c r="F2238" s="69" t="s">
        <v>532</v>
      </c>
      <c r="G2238" s="69" t="str">
        <f t="shared" si="34"/>
        <v>E-Commerce</v>
      </c>
      <c r="H2238" s="69" t="s">
        <v>749</v>
      </c>
      <c r="I2238" s="69" t="s">
        <v>888</v>
      </c>
      <c r="J2238" s="69" t="s">
        <v>886</v>
      </c>
      <c r="K2238" s="69" t="s">
        <v>892</v>
      </c>
      <c r="L2238" s="253">
        <v>0.61749201741654569</v>
      </c>
      <c r="M2238" s="253">
        <v>0.56335755083612993</v>
      </c>
      <c r="N2238" s="253">
        <v>0.55689150794485942</v>
      </c>
      <c r="O2238" s="253">
        <v>0.55783521806856851</v>
      </c>
      <c r="P2238" s="253">
        <v>0.63301886792452833</v>
      </c>
      <c r="Q2238" s="253">
        <v>0.55270270270270272</v>
      </c>
      <c r="R2238" s="253">
        <v>0.60789041877719918</v>
      </c>
      <c r="S2238" s="253">
        <v>0.51981132075471692</v>
      </c>
      <c r="T2238" s="253">
        <v>0.58740458015267183</v>
      </c>
      <c r="U2238" s="253">
        <v>0.5509465020576132</v>
      </c>
      <c r="V2238" s="253">
        <v>0.55348837209302326</v>
      </c>
      <c r="W2238" s="253">
        <v>0</v>
      </c>
      <c r="X2238" s="253">
        <v>0.56823529411764706</v>
      </c>
      <c r="Y2238" s="253">
        <v>0.55287500000000001</v>
      </c>
      <c r="Z2238" s="253">
        <v>0.55538461538461537</v>
      </c>
      <c r="AA2238" s="253"/>
      <c r="AB2238" s="253"/>
      <c r="AC2238" s="253"/>
      <c r="AD2238" s="253"/>
      <c r="AE2238" s="253"/>
    </row>
    <row r="2239" spans="1:31">
      <c r="A2239" s="33">
        <v>2238</v>
      </c>
      <c r="B2239" s="69" t="s">
        <v>886</v>
      </c>
      <c r="C2239" s="69" t="s">
        <v>740</v>
      </c>
      <c r="D2239" s="56">
        <v>43084</v>
      </c>
      <c r="E2239" s="33" t="s">
        <v>887</v>
      </c>
      <c r="F2239" s="69" t="s">
        <v>532</v>
      </c>
      <c r="G2239" s="69" t="str">
        <f t="shared" si="34"/>
        <v>E-Commerce</v>
      </c>
      <c r="H2239" s="69" t="s">
        <v>749</v>
      </c>
      <c r="I2239" s="69" t="s">
        <v>888</v>
      </c>
      <c r="J2239" s="69" t="s">
        <v>886</v>
      </c>
      <c r="K2239" s="69" t="s">
        <v>893</v>
      </c>
      <c r="L2239" s="253">
        <v>0.58577068214804062</v>
      </c>
      <c r="M2239" s="253">
        <v>0.57728724224781358</v>
      </c>
      <c r="N2239" s="253">
        <v>0.57255813953488377</v>
      </c>
      <c r="O2239" s="253">
        <v>0.59383522839350666</v>
      </c>
      <c r="P2239" s="253">
        <v>0.60490566037735849</v>
      </c>
      <c r="Q2239" s="253">
        <v>0.5470270270270271</v>
      </c>
      <c r="R2239" s="253">
        <v>0.59140329599771713</v>
      </c>
      <c r="S2239" s="253">
        <v>0.62433962264150933</v>
      </c>
      <c r="T2239" s="253">
        <v>0.57633587786259544</v>
      </c>
      <c r="U2239" s="253">
        <v>0.57753086419753097</v>
      </c>
      <c r="V2239" s="253">
        <v>0.57255813953488377</v>
      </c>
      <c r="W2239" s="253">
        <v>0</v>
      </c>
      <c r="X2239" s="253">
        <v>0</v>
      </c>
      <c r="Y2239" s="253">
        <v>0.6213333333333334</v>
      </c>
      <c r="Z2239" s="253">
        <v>0.50923076923076926</v>
      </c>
      <c r="AA2239" s="253"/>
      <c r="AB2239" s="253"/>
      <c r="AC2239" s="253"/>
      <c r="AD2239" s="253"/>
      <c r="AE2239" s="253"/>
    </row>
    <row r="2240" spans="1:31">
      <c r="A2240" s="33">
        <v>2239</v>
      </c>
      <c r="B2240" s="69" t="s">
        <v>827</v>
      </c>
      <c r="C2240" s="69" t="s">
        <v>740</v>
      </c>
      <c r="D2240" s="56">
        <v>43086</v>
      </c>
      <c r="E2240" s="33" t="s">
        <v>781</v>
      </c>
      <c r="F2240" s="69" t="s">
        <v>532</v>
      </c>
      <c r="G2240" s="69" t="str">
        <f t="shared" si="34"/>
        <v>Both</v>
      </c>
      <c r="H2240" s="69" t="s">
        <v>364</v>
      </c>
      <c r="I2240" s="69" t="s">
        <v>828</v>
      </c>
      <c r="J2240" s="69" t="s">
        <v>827</v>
      </c>
      <c r="K2240" s="69" t="s">
        <v>827</v>
      </c>
      <c r="L2240" s="253">
        <v>0.59752104499274306</v>
      </c>
      <c r="M2240" s="253">
        <v>0.58018714601712873</v>
      </c>
      <c r="N2240" s="253">
        <v>0.58168338653290774</v>
      </c>
      <c r="O2240" s="253">
        <v>0.57351914656778846</v>
      </c>
      <c r="P2240" s="253">
        <v>0.60113207547169811</v>
      </c>
      <c r="Q2240" s="253">
        <v>0.58378378378378371</v>
      </c>
      <c r="R2240" s="253">
        <v>0.6025269315830778</v>
      </c>
      <c r="S2240" s="253">
        <v>0.53113207547169816</v>
      </c>
      <c r="T2240" s="253">
        <v>0.59083969465648856</v>
      </c>
      <c r="U2240" s="253">
        <v>0.58666666666666656</v>
      </c>
      <c r="V2240" s="253">
        <v>0.56944186046511625</v>
      </c>
      <c r="W2240" s="253">
        <v>0.58599999999999997</v>
      </c>
      <c r="X2240" s="253">
        <v>0.61529411764705877</v>
      </c>
      <c r="Y2240" s="253">
        <v>0.56806249999999991</v>
      </c>
      <c r="Z2240" s="253">
        <v>0.58307692307692305</v>
      </c>
      <c r="AA2240" s="253"/>
      <c r="AB2240" s="253"/>
      <c r="AC2240" s="253"/>
      <c r="AD2240" s="253"/>
      <c r="AE2240" s="253"/>
    </row>
    <row r="2241" spans="1:31">
      <c r="A2241" s="33">
        <v>2240</v>
      </c>
      <c r="B2241" s="69" t="s">
        <v>827</v>
      </c>
      <c r="C2241" s="69" t="s">
        <v>740</v>
      </c>
      <c r="D2241" s="56">
        <v>43086</v>
      </c>
      <c r="E2241" s="33" t="s">
        <v>781</v>
      </c>
      <c r="F2241" s="69" t="s">
        <v>532</v>
      </c>
      <c r="G2241" s="69" t="str">
        <f t="shared" si="34"/>
        <v>Both</v>
      </c>
      <c r="H2241" s="69" t="s">
        <v>364</v>
      </c>
      <c r="I2241" s="69" t="s">
        <v>828</v>
      </c>
      <c r="J2241" s="69" t="s">
        <v>827</v>
      </c>
      <c r="K2241" s="69" t="s">
        <v>882</v>
      </c>
      <c r="L2241" s="253">
        <v>0.63516690856313507</v>
      </c>
      <c r="M2241" s="253">
        <v>0.61598759790312263</v>
      </c>
      <c r="N2241" s="253">
        <v>0.59454001367989051</v>
      </c>
      <c r="O2241" s="253">
        <v>0.57770008409737938</v>
      </c>
      <c r="P2241" s="253">
        <v>0.64415094339622647</v>
      </c>
      <c r="Q2241" s="253">
        <v>0.60270270270270276</v>
      </c>
      <c r="R2241" s="253">
        <v>0.67818363415852179</v>
      </c>
      <c r="S2241" s="253">
        <v>0.5522641509433962</v>
      </c>
      <c r="T2241" s="253">
        <v>0.62442748091603062</v>
      </c>
      <c r="U2241" s="253">
        <v>0.61703703703703705</v>
      </c>
      <c r="V2241" s="253">
        <v>0.59762790697674406</v>
      </c>
      <c r="W2241" s="253">
        <v>0.60450000000000004</v>
      </c>
      <c r="X2241" s="253">
        <v>0.56764705882352939</v>
      </c>
      <c r="Y2241" s="253">
        <v>0.55118750000000005</v>
      </c>
      <c r="Z2241" s="253">
        <v>0.59923076923076923</v>
      </c>
      <c r="AA2241" s="253"/>
      <c r="AB2241" s="253"/>
      <c r="AC2241" s="253"/>
      <c r="AD2241" s="253"/>
      <c r="AE2241" s="253"/>
    </row>
    <row r="2242" spans="1:31">
      <c r="A2242" s="33">
        <v>2241</v>
      </c>
      <c r="B2242" s="69" t="s">
        <v>827</v>
      </c>
      <c r="C2242" s="69" t="s">
        <v>740</v>
      </c>
      <c r="D2242" s="56">
        <v>43086</v>
      </c>
      <c r="E2242" s="33" t="s">
        <v>781</v>
      </c>
      <c r="F2242" s="69" t="s">
        <v>532</v>
      </c>
      <c r="G2242" s="69" t="str">
        <f t="shared" ref="G2242:G2305" si="35">IF(V2242&gt;0,IF(W2242&gt;0,"Both","E-Commerce"),IF(W2242=0, "ERROR","User Registration"))</f>
        <v>Both</v>
      </c>
      <c r="H2242" s="69" t="s">
        <v>364</v>
      </c>
      <c r="I2242" s="69" t="s">
        <v>828</v>
      </c>
      <c r="J2242" s="69" t="s">
        <v>827</v>
      </c>
      <c r="K2242" s="69" t="s">
        <v>883</v>
      </c>
      <c r="L2242" s="253">
        <v>0.63048766328011618</v>
      </c>
      <c r="M2242" s="253">
        <v>0.61261343931487955</v>
      </c>
      <c r="N2242" s="253">
        <v>0.61395880832953331</v>
      </c>
      <c r="O2242" s="253">
        <v>0.56663430200937404</v>
      </c>
      <c r="P2242" s="253">
        <v>0.62830188679245291</v>
      </c>
      <c r="Q2242" s="253">
        <v>0.62432432432432439</v>
      </c>
      <c r="R2242" s="253">
        <v>0.64420204037953899</v>
      </c>
      <c r="S2242" s="253">
        <v>0.56132075471698117</v>
      </c>
      <c r="T2242" s="253">
        <v>0.6091603053435114</v>
      </c>
      <c r="U2242" s="253">
        <v>0.60411522633744852</v>
      </c>
      <c r="V2242" s="253">
        <v>0.61930232558139542</v>
      </c>
      <c r="W2242" s="253">
        <v>0.57599999999999996</v>
      </c>
      <c r="X2242" s="253">
        <v>0.65941176470588236</v>
      </c>
      <c r="Y2242" s="253">
        <v>0.5241041666666667</v>
      </c>
      <c r="Z2242" s="253">
        <v>0.63923076923076916</v>
      </c>
      <c r="AA2242" s="253"/>
      <c r="AB2242" s="253"/>
      <c r="AC2242" s="253"/>
      <c r="AD2242" s="253"/>
      <c r="AE2242" s="253"/>
    </row>
    <row r="2243" spans="1:31">
      <c r="A2243" s="33">
        <v>2242</v>
      </c>
      <c r="B2243" s="69" t="s">
        <v>827</v>
      </c>
      <c r="C2243" s="69" t="s">
        <v>740</v>
      </c>
      <c r="D2243" s="56">
        <v>43086</v>
      </c>
      <c r="E2243" s="33" t="s">
        <v>781</v>
      </c>
      <c r="F2243" s="69" t="s">
        <v>532</v>
      </c>
      <c r="G2243" s="69" t="str">
        <f t="shared" si="35"/>
        <v>Both</v>
      </c>
      <c r="H2243" s="69" t="s">
        <v>364</v>
      </c>
      <c r="I2243" s="69" t="s">
        <v>828</v>
      </c>
      <c r="J2243" s="69" t="s">
        <v>827</v>
      </c>
      <c r="K2243" s="69" t="s">
        <v>884</v>
      </c>
      <c r="L2243" s="253">
        <v>0.65946008708272874</v>
      </c>
      <c r="M2243" s="253">
        <v>0.68365767664546262</v>
      </c>
      <c r="N2243" s="253">
        <v>0.64218441252469982</v>
      </c>
      <c r="O2243" s="253">
        <v>0.63388393021748979</v>
      </c>
      <c r="P2243" s="253">
        <v>0.65509433962264163</v>
      </c>
      <c r="Q2243" s="253">
        <v>0.68932432432432433</v>
      </c>
      <c r="R2243" s="253">
        <v>0.6978369123207534</v>
      </c>
      <c r="S2243" s="253">
        <v>0.66650943396226425</v>
      </c>
      <c r="T2243" s="253">
        <v>0.67480916030534344</v>
      </c>
      <c r="U2243" s="253">
        <v>0.68666666666666676</v>
      </c>
      <c r="V2243" s="253">
        <v>0.66953488372093017</v>
      </c>
      <c r="W2243" s="253">
        <v>0.63749999999999996</v>
      </c>
      <c r="X2243" s="253">
        <v>0.55882352941176472</v>
      </c>
      <c r="Y2243" s="253">
        <v>0.59937499999999999</v>
      </c>
      <c r="Z2243" s="253">
        <v>0.67692307692307696</v>
      </c>
      <c r="AA2243" s="253"/>
      <c r="AB2243" s="253"/>
      <c r="AC2243" s="253"/>
      <c r="AD2243" s="253"/>
      <c r="AE2243" s="253"/>
    </row>
    <row r="2244" spans="1:31">
      <c r="A2244" s="33">
        <v>2243</v>
      </c>
      <c r="B2244" s="69" t="s">
        <v>827</v>
      </c>
      <c r="C2244" s="69" t="s">
        <v>740</v>
      </c>
      <c r="D2244" s="56">
        <v>43086</v>
      </c>
      <c r="E2244" s="33" t="s">
        <v>781</v>
      </c>
      <c r="F2244" s="69" t="s">
        <v>532</v>
      </c>
      <c r="G2244" s="69" t="str">
        <f t="shared" si="35"/>
        <v>Both</v>
      </c>
      <c r="H2244" s="69" t="s">
        <v>364</v>
      </c>
      <c r="I2244" s="69" t="s">
        <v>828</v>
      </c>
      <c r="J2244" s="69" t="s">
        <v>827</v>
      </c>
      <c r="K2244" s="69" t="s">
        <v>885</v>
      </c>
      <c r="L2244" s="253">
        <v>0.64233091436865009</v>
      </c>
      <c r="M2244" s="253">
        <v>0.5920468943053574</v>
      </c>
      <c r="N2244" s="253">
        <v>0.6049863201094392</v>
      </c>
      <c r="O2244" s="253">
        <v>0.5667936811107448</v>
      </c>
      <c r="P2244" s="253">
        <v>0.6484905660377358</v>
      </c>
      <c r="Q2244" s="253">
        <v>0.61202702702702705</v>
      </c>
      <c r="R2244" s="253">
        <v>0.63554612256545617</v>
      </c>
      <c r="S2244" s="253">
        <v>0.52075471698113207</v>
      </c>
      <c r="T2244" s="253">
        <v>0.61755725190839683</v>
      </c>
      <c r="U2244" s="253">
        <v>0.56403292181069953</v>
      </c>
      <c r="V2244" s="253">
        <v>0.60209302325581404</v>
      </c>
      <c r="W2244" s="253">
        <v>0.61199999999999999</v>
      </c>
      <c r="X2244" s="253">
        <v>0.6029411764705882</v>
      </c>
      <c r="Y2244" s="253">
        <v>0.53785416666666674</v>
      </c>
      <c r="Z2244" s="253">
        <v>0.61769230769230765</v>
      </c>
      <c r="AA2244" s="253"/>
      <c r="AB2244" s="253"/>
      <c r="AC2244" s="253"/>
      <c r="AD2244" s="253"/>
      <c r="AE2244" s="253"/>
    </row>
    <row r="2245" spans="1:31">
      <c r="A2245" s="33">
        <v>2244</v>
      </c>
      <c r="B2245" s="69" t="s">
        <v>867</v>
      </c>
      <c r="C2245" s="69" t="s">
        <v>868</v>
      </c>
      <c r="D2245" s="56">
        <v>43087</v>
      </c>
      <c r="E2245" s="33" t="s">
        <v>724</v>
      </c>
      <c r="F2245" s="69" t="s">
        <v>380</v>
      </c>
      <c r="G2245" s="69" t="str">
        <f t="shared" si="35"/>
        <v>User Registration</v>
      </c>
      <c r="H2245" s="69" t="s">
        <v>869</v>
      </c>
      <c r="I2245" s="69" t="s">
        <v>869</v>
      </c>
      <c r="J2245" s="69" t="s">
        <v>867</v>
      </c>
      <c r="K2245" s="69" t="s">
        <v>867</v>
      </c>
      <c r="L2245" s="253">
        <v>0.66435123367198856</v>
      </c>
      <c r="M2245" s="253">
        <v>0.61693458418191705</v>
      </c>
      <c r="N2245" s="253">
        <v>0.59250000000000003</v>
      </c>
      <c r="O2245" s="253">
        <v>0.58842980272833445</v>
      </c>
      <c r="P2245" s="253">
        <v>0.68716981132075483</v>
      </c>
      <c r="Q2245" s="253">
        <v>0.63891891891891894</v>
      </c>
      <c r="R2245" s="253">
        <v>0.67319546629548621</v>
      </c>
      <c r="S2245" s="253">
        <v>0.57980769230769225</v>
      </c>
      <c r="T2245" s="253">
        <v>0.57553191489361699</v>
      </c>
      <c r="U2245" s="253">
        <v>0.61517241379310339</v>
      </c>
      <c r="V2245" s="253"/>
      <c r="W2245" s="253">
        <v>0.59250000000000003</v>
      </c>
      <c r="X2245" s="253"/>
      <c r="Y2245" s="253">
        <v>0.57189583333333327</v>
      </c>
      <c r="Z2245" s="253">
        <v>0.57307692307692304</v>
      </c>
      <c r="AA2245" s="253"/>
      <c r="AB2245" s="253"/>
      <c r="AC2245" s="253"/>
      <c r="AD2245" s="253"/>
      <c r="AE2245" s="253"/>
    </row>
    <row r="2246" spans="1:31">
      <c r="A2246" s="33">
        <v>2245</v>
      </c>
      <c r="B2246" s="69" t="s">
        <v>867</v>
      </c>
      <c r="C2246" s="69" t="s">
        <v>868</v>
      </c>
      <c r="D2246" s="56">
        <v>43087</v>
      </c>
      <c r="E2246" s="33" t="s">
        <v>724</v>
      </c>
      <c r="F2246" s="69" t="s">
        <v>380</v>
      </c>
      <c r="G2246" s="69" t="str">
        <f t="shared" si="35"/>
        <v>User Registration</v>
      </c>
      <c r="H2246" s="69" t="s">
        <v>869</v>
      </c>
      <c r="I2246" s="69" t="s">
        <v>869</v>
      </c>
      <c r="J2246" s="69" t="s">
        <v>867</v>
      </c>
      <c r="K2246" s="151" t="s">
        <v>870</v>
      </c>
      <c r="L2246" s="253">
        <v>0.6276516690856313</v>
      </c>
      <c r="M2246" s="253">
        <v>0.59010322109487146</v>
      </c>
      <c r="N2246" s="253">
        <v>0.58812500000000001</v>
      </c>
      <c r="O2246" s="253">
        <v>0.56986019187951653</v>
      </c>
      <c r="P2246" s="253">
        <v>0.63264150943396225</v>
      </c>
      <c r="Q2246" s="253">
        <v>0.61418918918918919</v>
      </c>
      <c r="R2246" s="253">
        <v>0.58779876715052692</v>
      </c>
      <c r="S2246" s="253">
        <v>0.5591346153846154</v>
      </c>
      <c r="T2246" s="253">
        <v>0.58457446808510638</v>
      </c>
      <c r="U2246" s="253">
        <v>0.59419540229885059</v>
      </c>
      <c r="V2246" s="253"/>
      <c r="W2246" s="253">
        <v>0.58812500000000001</v>
      </c>
      <c r="X2246" s="253"/>
      <c r="Y2246" s="253">
        <v>0.55156249999999996</v>
      </c>
      <c r="Z2246" s="253">
        <v>0.60769230769230764</v>
      </c>
      <c r="AA2246" s="253"/>
      <c r="AB2246" s="253"/>
      <c r="AC2246" s="253"/>
      <c r="AD2246" s="253"/>
      <c r="AE2246" s="253"/>
    </row>
    <row r="2247" spans="1:31">
      <c r="A2247" s="33">
        <v>2246</v>
      </c>
      <c r="B2247" s="69" t="s">
        <v>867</v>
      </c>
      <c r="C2247" s="69" t="s">
        <v>868</v>
      </c>
      <c r="D2247" s="56">
        <v>43087</v>
      </c>
      <c r="E2247" s="33" t="s">
        <v>724</v>
      </c>
      <c r="F2247" s="69" t="s">
        <v>380</v>
      </c>
      <c r="G2247" s="69" t="str">
        <f t="shared" si="35"/>
        <v>User Registration</v>
      </c>
      <c r="H2247" s="69" t="s">
        <v>869</v>
      </c>
      <c r="I2247" s="69" t="s">
        <v>869</v>
      </c>
      <c r="J2247" s="69" t="s">
        <v>867</v>
      </c>
      <c r="K2247" s="151" t="s">
        <v>871</v>
      </c>
      <c r="L2247" s="253">
        <v>0.60847895500725679</v>
      </c>
      <c r="M2247" s="253">
        <v>0.56852263494511912</v>
      </c>
      <c r="N2247" s="253">
        <v>0.57093749999999999</v>
      </c>
      <c r="O2247" s="253">
        <v>0.57759653850316239</v>
      </c>
      <c r="P2247" s="253">
        <v>0.59886792452830184</v>
      </c>
      <c r="Q2247" s="253">
        <v>0.53770270270270271</v>
      </c>
      <c r="R2247" s="253">
        <v>0.5629628156691191</v>
      </c>
      <c r="S2247" s="253">
        <v>0.56057692307692308</v>
      </c>
      <c r="T2247" s="253">
        <v>0.59361702127659577</v>
      </c>
      <c r="U2247" s="253">
        <v>0.55867816091954015</v>
      </c>
      <c r="V2247" s="253"/>
      <c r="W2247" s="253">
        <v>0.57093749999999999</v>
      </c>
      <c r="X2247" s="253"/>
      <c r="Y2247" s="253">
        <v>0.56541666666666657</v>
      </c>
      <c r="Z2247" s="253">
        <v>0.64692307692307693</v>
      </c>
      <c r="AA2247" s="253"/>
      <c r="AB2247" s="253"/>
      <c r="AC2247" s="253"/>
      <c r="AD2247" s="253"/>
      <c r="AE2247" s="253"/>
    </row>
    <row r="2248" spans="1:31">
      <c r="A2248" s="33">
        <v>2247</v>
      </c>
      <c r="B2248" s="69" t="s">
        <v>867</v>
      </c>
      <c r="C2248" s="69" t="s">
        <v>868</v>
      </c>
      <c r="D2248" s="56">
        <v>43087</v>
      </c>
      <c r="E2248" s="33" t="s">
        <v>724</v>
      </c>
      <c r="F2248" s="69" t="s">
        <v>380</v>
      </c>
      <c r="G2248" s="69" t="str">
        <f t="shared" si="35"/>
        <v>User Registration</v>
      </c>
      <c r="H2248" s="69" t="s">
        <v>869</v>
      </c>
      <c r="I2248" s="69" t="s">
        <v>869</v>
      </c>
      <c r="J2248" s="69" t="s">
        <v>867</v>
      </c>
      <c r="K2248" s="151" t="s">
        <v>872</v>
      </c>
      <c r="L2248" s="253">
        <v>0.66739042089985479</v>
      </c>
      <c r="M2248" s="253">
        <v>0.64568565314109971</v>
      </c>
      <c r="N2248" s="253">
        <v>0.614375</v>
      </c>
      <c r="O2248" s="253">
        <v>0.6281678945303818</v>
      </c>
      <c r="P2248" s="253">
        <v>0.69962264150943387</v>
      </c>
      <c r="Q2248" s="253">
        <v>0.65810810810810816</v>
      </c>
      <c r="R2248" s="253">
        <v>0.67074965201829384</v>
      </c>
      <c r="S2248" s="253">
        <v>0.6399038461538461</v>
      </c>
      <c r="T2248" s="253">
        <v>0.63617021276595742</v>
      </c>
      <c r="U2248" s="253">
        <v>0.66390804597701158</v>
      </c>
      <c r="V2248" s="253"/>
      <c r="W2248" s="253">
        <v>0.614375</v>
      </c>
      <c r="X2248" s="253"/>
      <c r="Y2248" s="253">
        <v>0.64239583333333339</v>
      </c>
      <c r="Z2248" s="253">
        <v>0.53846153846153844</v>
      </c>
      <c r="AA2248" s="253"/>
      <c r="AB2248" s="253"/>
      <c r="AC2248" s="253"/>
      <c r="AD2248" s="253"/>
      <c r="AE2248" s="253"/>
    </row>
    <row r="2249" spans="1:31">
      <c r="A2249" s="33">
        <v>2248</v>
      </c>
      <c r="B2249" s="69" t="s">
        <v>867</v>
      </c>
      <c r="C2249" s="69" t="s">
        <v>868</v>
      </c>
      <c r="D2249" s="56">
        <v>43087</v>
      </c>
      <c r="E2249" s="33" t="s">
        <v>724</v>
      </c>
      <c r="F2249" s="69" t="s">
        <v>380</v>
      </c>
      <c r="G2249" s="69" t="str">
        <f t="shared" si="35"/>
        <v>User Registration</v>
      </c>
      <c r="H2249" s="69" t="s">
        <v>869</v>
      </c>
      <c r="I2249" s="69" t="s">
        <v>869</v>
      </c>
      <c r="J2249" s="69" t="s">
        <v>867</v>
      </c>
      <c r="K2249" s="151" t="s">
        <v>873</v>
      </c>
      <c r="L2249" s="253">
        <v>0.64889114658925995</v>
      </c>
      <c r="M2249" s="253">
        <v>0.57941934940942652</v>
      </c>
      <c r="N2249" s="253">
        <v>0.5625</v>
      </c>
      <c r="O2249" s="253">
        <v>0.5790269460649492</v>
      </c>
      <c r="P2249" s="253">
        <v>0.66207547169811332</v>
      </c>
      <c r="Q2249" s="253">
        <v>0.53378378378378377</v>
      </c>
      <c r="R2249" s="253">
        <v>0.60034997017299663</v>
      </c>
      <c r="S2249" s="253">
        <v>0.56634615384615383</v>
      </c>
      <c r="T2249" s="253">
        <v>0.54095744680851066</v>
      </c>
      <c r="U2249" s="253">
        <v>0.6218390804597701</v>
      </c>
      <c r="V2249" s="253"/>
      <c r="W2249" s="253">
        <v>0.5625</v>
      </c>
      <c r="X2249" s="253"/>
      <c r="Y2249" s="253">
        <v>0.57541666666666669</v>
      </c>
      <c r="Z2249" s="253">
        <v>0.59615384615384615</v>
      </c>
      <c r="AA2249" s="253"/>
      <c r="AB2249" s="253"/>
      <c r="AC2249" s="253"/>
      <c r="AD2249" s="253"/>
      <c r="AE2249" s="253"/>
    </row>
    <row r="2250" spans="1:31">
      <c r="A2250" s="33">
        <v>2249</v>
      </c>
      <c r="B2250" s="69" t="s">
        <v>867</v>
      </c>
      <c r="C2250" s="69" t="s">
        <v>868</v>
      </c>
      <c r="D2250" s="56">
        <v>43087</v>
      </c>
      <c r="E2250" s="33" t="s">
        <v>724</v>
      </c>
      <c r="F2250" s="69" t="s">
        <v>380</v>
      </c>
      <c r="G2250" s="69" t="str">
        <f t="shared" si="35"/>
        <v>User Registration</v>
      </c>
      <c r="H2250" s="69" t="s">
        <v>869</v>
      </c>
      <c r="I2250" s="69" t="s">
        <v>869</v>
      </c>
      <c r="J2250" s="69" t="s">
        <v>867</v>
      </c>
      <c r="K2250" s="69" t="s">
        <v>874</v>
      </c>
      <c r="L2250" s="253">
        <v>0.68464150943396218</v>
      </c>
      <c r="M2250" s="253">
        <v>0.64680555288260722</v>
      </c>
      <c r="N2250" s="253">
        <v>0.58250000000000002</v>
      </c>
      <c r="O2250" s="253">
        <v>0.62238851160963204</v>
      </c>
      <c r="P2250" s="253">
        <v>0.69830188679245286</v>
      </c>
      <c r="Q2250" s="253">
        <v>0.62689189189189187</v>
      </c>
      <c r="R2250" s="253">
        <v>0.70196858222310599</v>
      </c>
      <c r="S2250" s="253">
        <v>0.60144230769230766</v>
      </c>
      <c r="T2250" s="253">
        <v>0.65851063829787237</v>
      </c>
      <c r="U2250" s="253">
        <v>0.64356321839080466</v>
      </c>
      <c r="V2250" s="253"/>
      <c r="W2250" s="253">
        <v>0.58250000000000002</v>
      </c>
      <c r="X2250" s="253"/>
      <c r="Y2250" s="253">
        <v>0.60583333333333333</v>
      </c>
      <c r="Z2250" s="253">
        <v>0.63</v>
      </c>
      <c r="AA2250" s="253"/>
      <c r="AB2250" s="253"/>
      <c r="AC2250" s="253"/>
      <c r="AD2250" s="253"/>
      <c r="AE2250" s="253"/>
    </row>
    <row r="2251" spans="1:31">
      <c r="A2251" s="33">
        <v>2250</v>
      </c>
      <c r="B2251" s="69" t="s">
        <v>875</v>
      </c>
      <c r="C2251" s="69" t="s">
        <v>740</v>
      </c>
      <c r="D2251" s="56">
        <v>43087</v>
      </c>
      <c r="E2251" s="33" t="s">
        <v>724</v>
      </c>
      <c r="F2251" s="69" t="s">
        <v>532</v>
      </c>
      <c r="G2251" s="69" t="str">
        <f t="shared" si="35"/>
        <v>User Registration</v>
      </c>
      <c r="H2251" s="69" t="s">
        <v>876</v>
      </c>
      <c r="I2251" s="69" t="s">
        <v>877</v>
      </c>
      <c r="J2251" s="69" t="s">
        <v>875</v>
      </c>
      <c r="K2251" s="69" t="s">
        <v>875</v>
      </c>
      <c r="L2251" s="253">
        <v>0.59120174165457173</v>
      </c>
      <c r="M2251" s="253">
        <v>0.57225641877795963</v>
      </c>
      <c r="N2251" s="253">
        <v>0.48312500000000003</v>
      </c>
      <c r="O2251" s="253">
        <v>0.53235360415075406</v>
      </c>
      <c r="P2251" s="253">
        <v>0.59188679245283005</v>
      </c>
      <c r="Q2251" s="253">
        <v>0.57054054054054049</v>
      </c>
      <c r="R2251" s="253">
        <v>0.55462318552396106</v>
      </c>
      <c r="S2251" s="253">
        <v>0.56442307692307692</v>
      </c>
      <c r="T2251" s="253">
        <v>0.57074468085106389</v>
      </c>
      <c r="U2251" s="253">
        <v>0.59195402298850563</v>
      </c>
      <c r="V2251" s="253">
        <v>0</v>
      </c>
      <c r="W2251" s="253">
        <v>0.48312499999999997</v>
      </c>
      <c r="X2251" s="253">
        <v>0</v>
      </c>
      <c r="Y2251" s="253">
        <v>0.50404166666666661</v>
      </c>
      <c r="Z2251" s="253">
        <v>0.58846153846153837</v>
      </c>
      <c r="AA2251" s="253"/>
      <c r="AB2251" s="253"/>
      <c r="AC2251" s="253"/>
      <c r="AD2251" s="253"/>
      <c r="AE2251" s="253"/>
    </row>
    <row r="2252" spans="1:31">
      <c r="A2252" s="33">
        <v>2251</v>
      </c>
      <c r="B2252" s="69" t="s">
        <v>875</v>
      </c>
      <c r="C2252" s="69" t="s">
        <v>740</v>
      </c>
      <c r="D2252" s="56">
        <v>43087</v>
      </c>
      <c r="E2252" s="33" t="s">
        <v>724</v>
      </c>
      <c r="F2252" s="69" t="s">
        <v>532</v>
      </c>
      <c r="G2252" s="69" t="str">
        <f t="shared" si="35"/>
        <v>User Registration</v>
      </c>
      <c r="H2252" s="69" t="s">
        <v>876</v>
      </c>
      <c r="I2252" s="69" t="s">
        <v>877</v>
      </c>
      <c r="J2252" s="69" t="s">
        <v>875</v>
      </c>
      <c r="K2252" s="69" t="s">
        <v>878</v>
      </c>
      <c r="L2252" s="253">
        <v>0.60797968069666175</v>
      </c>
      <c r="M2252" s="253">
        <v>0.59759071831702892</v>
      </c>
      <c r="N2252" s="253">
        <v>0.54</v>
      </c>
      <c r="O2252" s="253">
        <v>0.5532335596806226</v>
      </c>
      <c r="P2252" s="253">
        <v>0.61132075471698111</v>
      </c>
      <c r="Q2252" s="253">
        <v>0.58445945945945943</v>
      </c>
      <c r="R2252" s="253">
        <v>0.59309206601710085</v>
      </c>
      <c r="S2252" s="253">
        <v>0.58173076923076927</v>
      </c>
      <c r="T2252" s="253">
        <v>0.61968085106382986</v>
      </c>
      <c r="U2252" s="253">
        <v>0.61321839080459761</v>
      </c>
      <c r="V2252" s="253">
        <v>0</v>
      </c>
      <c r="W2252" s="253">
        <v>0.54</v>
      </c>
      <c r="X2252" s="253">
        <v>0</v>
      </c>
      <c r="Y2252" s="253">
        <v>0.52687499999999998</v>
      </c>
      <c r="Z2252" s="253">
        <v>0.59461538461538455</v>
      </c>
      <c r="AA2252" s="253"/>
      <c r="AB2252" s="253"/>
      <c r="AC2252" s="253"/>
      <c r="AD2252" s="253"/>
      <c r="AE2252" s="253"/>
    </row>
    <row r="2253" spans="1:31">
      <c r="A2253" s="33">
        <v>2252</v>
      </c>
      <c r="B2253" s="69" t="s">
        <v>875</v>
      </c>
      <c r="C2253" s="69" t="s">
        <v>740</v>
      </c>
      <c r="D2253" s="56">
        <v>43087</v>
      </c>
      <c r="E2253" s="33" t="s">
        <v>724</v>
      </c>
      <c r="F2253" s="69" t="s">
        <v>532</v>
      </c>
      <c r="G2253" s="69" t="str">
        <f t="shared" si="35"/>
        <v>User Registration</v>
      </c>
      <c r="H2253" s="69" t="s">
        <v>876</v>
      </c>
      <c r="I2253" s="69" t="s">
        <v>877</v>
      </c>
      <c r="J2253" s="69" t="s">
        <v>875</v>
      </c>
      <c r="K2253" s="69" t="s">
        <v>879</v>
      </c>
      <c r="L2253" s="253">
        <v>0.59117561683599418</v>
      </c>
      <c r="M2253" s="253">
        <v>0.60525868852973752</v>
      </c>
      <c r="N2253" s="253">
        <v>0.58374999999999999</v>
      </c>
      <c r="O2253" s="253">
        <v>0.57016589323686107</v>
      </c>
      <c r="P2253" s="253">
        <v>0.59358490566037736</v>
      </c>
      <c r="Q2253" s="253">
        <v>0.6317567567567568</v>
      </c>
      <c r="R2253" s="253">
        <v>0.65096440644263276</v>
      </c>
      <c r="S2253" s="253">
        <v>0.58701923076923079</v>
      </c>
      <c r="T2253" s="253">
        <v>0.5925531914893617</v>
      </c>
      <c r="U2253" s="253">
        <v>0.5700574712643679</v>
      </c>
      <c r="V2253" s="253">
        <v>0</v>
      </c>
      <c r="W2253" s="253">
        <v>0.58374999999999999</v>
      </c>
      <c r="X2253" s="253">
        <v>0</v>
      </c>
      <c r="Y2253" s="253">
        <v>0.54274999999999995</v>
      </c>
      <c r="Z2253" s="253">
        <v>0.58153846153846156</v>
      </c>
      <c r="AA2253" s="253"/>
      <c r="AB2253" s="253"/>
      <c r="AC2253" s="253"/>
      <c r="AD2253" s="253"/>
      <c r="AE2253" s="253"/>
    </row>
    <row r="2254" spans="1:31">
      <c r="A2254" s="33">
        <v>2253</v>
      </c>
      <c r="B2254" s="69" t="s">
        <v>875</v>
      </c>
      <c r="C2254" s="69" t="s">
        <v>740</v>
      </c>
      <c r="D2254" s="56">
        <v>43087</v>
      </c>
      <c r="E2254" s="33" t="s">
        <v>724</v>
      </c>
      <c r="F2254" s="69" t="s">
        <v>532</v>
      </c>
      <c r="G2254" s="69" t="str">
        <f t="shared" si="35"/>
        <v>User Registration</v>
      </c>
      <c r="H2254" s="69" t="s">
        <v>876</v>
      </c>
      <c r="I2254" s="69" t="s">
        <v>877</v>
      </c>
      <c r="J2254" s="69" t="s">
        <v>875</v>
      </c>
      <c r="K2254" s="69" t="s">
        <v>880</v>
      </c>
      <c r="L2254" s="253">
        <v>0.58049927431059489</v>
      </c>
      <c r="M2254" s="253">
        <v>0.5293839292206648</v>
      </c>
      <c r="N2254" s="253">
        <v>0.51968750000000008</v>
      </c>
      <c r="O2254" s="253">
        <v>0.55401352266714043</v>
      </c>
      <c r="P2254" s="253">
        <v>0.5875471698113206</v>
      </c>
      <c r="Q2254" s="253">
        <v>0.52635135135135136</v>
      </c>
      <c r="R2254" s="253">
        <v>0.50678862596937768</v>
      </c>
      <c r="S2254" s="253">
        <v>0.59471153846153846</v>
      </c>
      <c r="T2254" s="253">
        <v>0.51010638297872346</v>
      </c>
      <c r="U2254" s="253">
        <v>0.50454022988505731</v>
      </c>
      <c r="V2254" s="253">
        <v>0</v>
      </c>
      <c r="W2254" s="253">
        <v>0.51968750000000008</v>
      </c>
      <c r="X2254" s="253">
        <v>0</v>
      </c>
      <c r="Y2254" s="253">
        <v>0.56266666666666665</v>
      </c>
      <c r="Z2254" s="253">
        <v>0.55230769230769228</v>
      </c>
      <c r="AA2254" s="253"/>
      <c r="AB2254" s="253"/>
      <c r="AC2254" s="253"/>
      <c r="AD2254" s="253"/>
      <c r="AE2254" s="253"/>
    </row>
    <row r="2255" spans="1:31">
      <c r="A2255" s="33">
        <v>2254</v>
      </c>
      <c r="B2255" s="69" t="s">
        <v>875</v>
      </c>
      <c r="C2255" s="69" t="s">
        <v>740</v>
      </c>
      <c r="D2255" s="56">
        <v>43087</v>
      </c>
      <c r="E2255" s="33" t="s">
        <v>724</v>
      </c>
      <c r="F2255" s="69" t="s">
        <v>532</v>
      </c>
      <c r="G2255" s="69" t="str">
        <f t="shared" si="35"/>
        <v>User Registration</v>
      </c>
      <c r="H2255" s="69" t="s">
        <v>876</v>
      </c>
      <c r="I2255" s="69" t="s">
        <v>877</v>
      </c>
      <c r="J2255" s="69" t="s">
        <v>875</v>
      </c>
      <c r="K2255" s="69" t="s">
        <v>881</v>
      </c>
      <c r="L2255" s="253">
        <v>0.63986357039187225</v>
      </c>
      <c r="M2255" s="253">
        <v>0.60904067970570419</v>
      </c>
      <c r="N2255" s="253">
        <v>0.5625</v>
      </c>
      <c r="O2255" s="253">
        <v>0.59494877470140806</v>
      </c>
      <c r="P2255" s="253">
        <v>0.64886792452830178</v>
      </c>
      <c r="Q2255" s="253">
        <v>0.56310810810810807</v>
      </c>
      <c r="R2255" s="253">
        <v>0.6581467488566316</v>
      </c>
      <c r="S2255" s="253">
        <v>0.60673076923076918</v>
      </c>
      <c r="T2255" s="253">
        <v>0.61436170212765961</v>
      </c>
      <c r="U2255" s="253">
        <v>0.59741379310344833</v>
      </c>
      <c r="V2255" s="253">
        <v>0</v>
      </c>
      <c r="W2255" s="253">
        <v>0.5625</v>
      </c>
      <c r="X2255" s="253">
        <v>0</v>
      </c>
      <c r="Y2255" s="253">
        <v>0.58164583333333331</v>
      </c>
      <c r="Z2255" s="253">
        <v>0.60384615384615381</v>
      </c>
      <c r="AA2255" s="253"/>
      <c r="AB2255" s="253"/>
      <c r="AC2255" s="253"/>
      <c r="AD2255" s="253"/>
      <c r="AE2255" s="253"/>
    </row>
    <row r="2256" spans="1:31">
      <c r="A2256" s="33">
        <v>2255</v>
      </c>
      <c r="B2256" s="69" t="s">
        <v>854</v>
      </c>
      <c r="C2256" s="69" t="s">
        <v>740</v>
      </c>
      <c r="D2256" s="56">
        <v>43089</v>
      </c>
      <c r="E2256" s="33" t="s">
        <v>855</v>
      </c>
      <c r="F2256" s="69" t="s">
        <v>532</v>
      </c>
      <c r="G2256" s="69" t="str">
        <f t="shared" si="35"/>
        <v>E-Commerce</v>
      </c>
      <c r="H2256" s="69" t="s">
        <v>364</v>
      </c>
      <c r="I2256" s="69" t="s">
        <v>856</v>
      </c>
      <c r="J2256" s="69" t="s">
        <v>854</v>
      </c>
      <c r="K2256" s="69" t="s">
        <v>854</v>
      </c>
      <c r="L2256" s="253">
        <v>0.61063570391872268</v>
      </c>
      <c r="M2256" s="253">
        <v>0.59380251930579775</v>
      </c>
      <c r="N2256" s="253">
        <v>0.60085972850678737</v>
      </c>
      <c r="O2256" s="253">
        <v>0.57637798399192708</v>
      </c>
      <c r="P2256" s="253">
        <v>0.62867924528301877</v>
      </c>
      <c r="Q2256" s="253">
        <v>0.57229729729729728</v>
      </c>
      <c r="R2256" s="253">
        <v>0.64055075979168152</v>
      </c>
      <c r="S2256" s="253">
        <v>0.55943396226415087</v>
      </c>
      <c r="T2256" s="253">
        <v>0.61564885496183208</v>
      </c>
      <c r="U2256" s="253">
        <v>0.60078189300411511</v>
      </c>
      <c r="V2256" s="253">
        <v>0.59600000000000009</v>
      </c>
      <c r="W2256" s="253">
        <v>0</v>
      </c>
      <c r="X2256" s="253">
        <v>0.61705882352941166</v>
      </c>
      <c r="Y2256" s="253">
        <v>0.57702083333333343</v>
      </c>
      <c r="Z2256" s="253">
        <v>0.53846153846153844</v>
      </c>
      <c r="AA2256" s="253"/>
      <c r="AB2256" s="253"/>
      <c r="AC2256" s="253"/>
      <c r="AD2256" s="253"/>
      <c r="AE2256" s="253"/>
    </row>
    <row r="2257" spans="1:31">
      <c r="A2257" s="33">
        <v>2256</v>
      </c>
      <c r="B2257" s="69" t="s">
        <v>854</v>
      </c>
      <c r="C2257" s="69" t="s">
        <v>740</v>
      </c>
      <c r="D2257" s="56">
        <v>43089</v>
      </c>
      <c r="E2257" s="33" t="s">
        <v>855</v>
      </c>
      <c r="F2257" s="69" t="s">
        <v>532</v>
      </c>
      <c r="G2257" s="69" t="str">
        <f t="shared" si="35"/>
        <v>E-Commerce</v>
      </c>
      <c r="H2257" s="69" t="s">
        <v>364</v>
      </c>
      <c r="I2257" s="69" t="s">
        <v>856</v>
      </c>
      <c r="J2257" s="69" t="s">
        <v>854</v>
      </c>
      <c r="K2257" s="69" t="s">
        <v>857</v>
      </c>
      <c r="L2257" s="253">
        <v>0.61833671988388972</v>
      </c>
      <c r="M2257" s="253">
        <v>0.60613878676999644</v>
      </c>
      <c r="N2257" s="253">
        <v>0.61437209302325579</v>
      </c>
      <c r="O2257" s="253">
        <v>0.61964728308591466</v>
      </c>
      <c r="P2257" s="253">
        <v>0.61811320754716981</v>
      </c>
      <c r="Q2257" s="253">
        <v>0.59581081081081089</v>
      </c>
      <c r="R2257" s="253">
        <v>0.64698580295355645</v>
      </c>
      <c r="S2257" s="253">
        <v>0.61132075471698111</v>
      </c>
      <c r="T2257" s="253">
        <v>0.59045801526717567</v>
      </c>
      <c r="U2257" s="253">
        <v>0.57358024691358023</v>
      </c>
      <c r="V2257" s="253">
        <v>0.61437209302325579</v>
      </c>
      <c r="W2257" s="253">
        <v>0</v>
      </c>
      <c r="X2257" s="253">
        <v>0</v>
      </c>
      <c r="Y2257" s="253">
        <v>0.61752083333333352</v>
      </c>
      <c r="Z2257" s="253">
        <v>0.61923076923076925</v>
      </c>
      <c r="AA2257" s="253"/>
      <c r="AB2257" s="253"/>
      <c r="AC2257" s="253"/>
      <c r="AD2257" s="253"/>
      <c r="AE2257" s="253"/>
    </row>
    <row r="2258" spans="1:31">
      <c r="A2258" s="33">
        <v>2257</v>
      </c>
      <c r="B2258" s="69" t="s">
        <v>854</v>
      </c>
      <c r="C2258" s="69" t="s">
        <v>740</v>
      </c>
      <c r="D2258" s="56">
        <v>43089</v>
      </c>
      <c r="E2258" s="33" t="s">
        <v>855</v>
      </c>
      <c r="F2258" s="69" t="s">
        <v>532</v>
      </c>
      <c r="G2258" s="69" t="str">
        <f t="shared" si="35"/>
        <v>E-Commerce</v>
      </c>
      <c r="H2258" s="69" t="s">
        <v>364</v>
      </c>
      <c r="I2258" s="69" t="s">
        <v>856</v>
      </c>
      <c r="J2258" s="69" t="s">
        <v>854</v>
      </c>
      <c r="K2258" s="69" t="s">
        <v>858</v>
      </c>
      <c r="L2258" s="253">
        <v>0.60359361393323652</v>
      </c>
      <c r="M2258" s="253">
        <v>0.57861154716292829</v>
      </c>
      <c r="N2258" s="253">
        <v>0.63693023255813952</v>
      </c>
      <c r="O2258" s="253">
        <v>0.56692937534300392</v>
      </c>
      <c r="P2258" s="253">
        <v>0.6064150943396226</v>
      </c>
      <c r="Q2258" s="253">
        <v>0.546081081081081</v>
      </c>
      <c r="R2258" s="253">
        <v>0.63130484411785692</v>
      </c>
      <c r="S2258" s="253">
        <v>0.53301886792452824</v>
      </c>
      <c r="T2258" s="253">
        <v>0.6091603053435114</v>
      </c>
      <c r="U2258" s="253">
        <v>0.56460905349794233</v>
      </c>
      <c r="V2258" s="253">
        <v>0.63693023255813952</v>
      </c>
      <c r="W2258" s="253">
        <v>0</v>
      </c>
      <c r="X2258" s="253">
        <v>0</v>
      </c>
      <c r="Y2258" s="253">
        <v>0.55191666666666672</v>
      </c>
      <c r="Z2258" s="253">
        <v>0.59230769230769231</v>
      </c>
      <c r="AA2258" s="253"/>
      <c r="AB2258" s="253"/>
      <c r="AC2258" s="253"/>
      <c r="AD2258" s="253"/>
      <c r="AE2258" s="253"/>
    </row>
    <row r="2259" spans="1:31">
      <c r="A2259" s="33">
        <v>2258</v>
      </c>
      <c r="B2259" s="69" t="s">
        <v>854</v>
      </c>
      <c r="C2259" s="69" t="s">
        <v>740</v>
      </c>
      <c r="D2259" s="56">
        <v>43089</v>
      </c>
      <c r="E2259" s="33" t="s">
        <v>855</v>
      </c>
      <c r="F2259" s="69" t="s">
        <v>532</v>
      </c>
      <c r="G2259" s="69" t="str">
        <f t="shared" si="35"/>
        <v>E-Commerce</v>
      </c>
      <c r="H2259" s="69" t="s">
        <v>364</v>
      </c>
      <c r="I2259" s="69" t="s">
        <v>856</v>
      </c>
      <c r="J2259" s="69" t="s">
        <v>854</v>
      </c>
      <c r="K2259" s="69" t="s">
        <v>859</v>
      </c>
      <c r="L2259" s="253">
        <v>0.68567779390420891</v>
      </c>
      <c r="M2259" s="253">
        <v>0.69641212006497066</v>
      </c>
      <c r="N2259" s="253">
        <v>0.66643165316215913</v>
      </c>
      <c r="O2259" s="253">
        <v>0.67783769527318483</v>
      </c>
      <c r="P2259" s="253">
        <v>0.6909433962264151</v>
      </c>
      <c r="Q2259" s="253">
        <v>0.68662162162162166</v>
      </c>
      <c r="R2259" s="253">
        <v>0.72009131768566748</v>
      </c>
      <c r="S2259" s="253">
        <v>0.73113207547169812</v>
      </c>
      <c r="T2259" s="253">
        <v>0.68549618320610695</v>
      </c>
      <c r="U2259" s="253">
        <v>0.67205761316872403</v>
      </c>
      <c r="V2259" s="253">
        <v>0.69130232558139515</v>
      </c>
      <c r="W2259" s="253">
        <v>0</v>
      </c>
      <c r="X2259" s="253">
        <v>0.58352941176470585</v>
      </c>
      <c r="Y2259" s="253">
        <v>0.66714583333333333</v>
      </c>
      <c r="Z2259" s="253">
        <v>0.66461538461538461</v>
      </c>
      <c r="AA2259" s="253"/>
      <c r="AB2259" s="253"/>
      <c r="AC2259" s="253"/>
      <c r="AD2259" s="253"/>
      <c r="AE2259" s="253"/>
    </row>
    <row r="2260" spans="1:31">
      <c r="A2260" s="33">
        <v>2259</v>
      </c>
      <c r="B2260" s="69" t="s">
        <v>854</v>
      </c>
      <c r="C2260" s="69" t="s">
        <v>740</v>
      </c>
      <c r="D2260" s="56">
        <v>43089</v>
      </c>
      <c r="E2260" s="33" t="s">
        <v>855</v>
      </c>
      <c r="F2260" s="69" t="s">
        <v>532</v>
      </c>
      <c r="G2260" s="69" t="str">
        <f t="shared" si="35"/>
        <v>E-Commerce</v>
      </c>
      <c r="H2260" s="69" t="s">
        <v>364</v>
      </c>
      <c r="I2260" s="69" t="s">
        <v>856</v>
      </c>
      <c r="J2260" s="69" t="s">
        <v>854</v>
      </c>
      <c r="K2260" s="69" t="s">
        <v>860</v>
      </c>
      <c r="L2260" s="253">
        <v>0.58238606676342519</v>
      </c>
      <c r="M2260" s="253">
        <v>0.55316928774455754</v>
      </c>
      <c r="N2260" s="253">
        <v>0.56511627906976747</v>
      </c>
      <c r="O2260" s="253">
        <v>0.52347859945731623</v>
      </c>
      <c r="P2260" s="253">
        <v>0.60490566037735838</v>
      </c>
      <c r="Q2260" s="253">
        <v>0.53621621621621618</v>
      </c>
      <c r="R2260" s="253">
        <v>0.63562816579867298</v>
      </c>
      <c r="S2260" s="253">
        <v>0.50849056603773579</v>
      </c>
      <c r="T2260" s="253">
        <v>0.5568702290076335</v>
      </c>
      <c r="U2260" s="253">
        <v>0.54213991769547321</v>
      </c>
      <c r="V2260" s="253">
        <v>0.56511627906976747</v>
      </c>
      <c r="W2260" s="253">
        <v>0</v>
      </c>
      <c r="X2260" s="253">
        <v>0</v>
      </c>
      <c r="Y2260" s="253">
        <v>0.510625</v>
      </c>
      <c r="Z2260" s="253">
        <v>0.49230769230769234</v>
      </c>
      <c r="AA2260" s="253"/>
      <c r="AB2260" s="253"/>
      <c r="AC2260" s="253"/>
      <c r="AD2260" s="253"/>
      <c r="AE2260" s="253"/>
    </row>
    <row r="2261" spans="1:31">
      <c r="A2261" s="33">
        <v>2260</v>
      </c>
      <c r="B2261" s="69" t="s">
        <v>861</v>
      </c>
      <c r="C2261" s="69" t="s">
        <v>740</v>
      </c>
      <c r="D2261" s="56">
        <v>43089</v>
      </c>
      <c r="E2261" s="33" t="s">
        <v>862</v>
      </c>
      <c r="F2261" s="69" t="s">
        <v>532</v>
      </c>
      <c r="G2261" s="69" t="str">
        <f t="shared" si="35"/>
        <v>E-Commerce</v>
      </c>
      <c r="H2261" s="69" t="s">
        <v>364</v>
      </c>
      <c r="I2261" s="69" t="s">
        <v>364</v>
      </c>
      <c r="J2261" s="69" t="s">
        <v>861</v>
      </c>
      <c r="K2261" s="69" t="s">
        <v>861</v>
      </c>
      <c r="L2261" s="253">
        <v>0.61543686502177075</v>
      </c>
      <c r="M2261" s="253">
        <v>0.59562183433835181</v>
      </c>
      <c r="N2261" s="253">
        <v>0.61569188677259812</v>
      </c>
      <c r="O2261" s="253">
        <v>0.58575436613710841</v>
      </c>
      <c r="P2261" s="253">
        <v>0.6166037735849057</v>
      </c>
      <c r="Q2261" s="253">
        <v>0.60432432432432426</v>
      </c>
      <c r="R2261" s="253">
        <v>0.60727259756010565</v>
      </c>
      <c r="S2261" s="253">
        <v>0.58018867924528295</v>
      </c>
      <c r="T2261" s="253">
        <v>0.58396946564885499</v>
      </c>
      <c r="U2261" s="253">
        <v>0.59028806584362137</v>
      </c>
      <c r="V2261" s="253">
        <v>0.63204651162790693</v>
      </c>
      <c r="W2261" s="253">
        <v>0</v>
      </c>
      <c r="X2261" s="253">
        <v>0.56117647058823528</v>
      </c>
      <c r="Y2261" s="253">
        <v>0.5726458333333333</v>
      </c>
      <c r="Z2261" s="253">
        <v>0.61076923076923084</v>
      </c>
      <c r="AA2261" s="253"/>
      <c r="AB2261" s="253"/>
      <c r="AC2261" s="253"/>
      <c r="AD2261" s="253"/>
      <c r="AE2261" s="253"/>
    </row>
    <row r="2262" spans="1:31">
      <c r="A2262" s="33">
        <v>2261</v>
      </c>
      <c r="B2262" s="69" t="s">
        <v>861</v>
      </c>
      <c r="C2262" s="69" t="s">
        <v>740</v>
      </c>
      <c r="D2262" s="56">
        <v>43089</v>
      </c>
      <c r="E2262" s="33" t="s">
        <v>862</v>
      </c>
      <c r="F2262" s="69" t="s">
        <v>532</v>
      </c>
      <c r="G2262" s="69" t="str">
        <f t="shared" si="35"/>
        <v>E-Commerce</v>
      </c>
      <c r="H2262" s="69" t="s">
        <v>364</v>
      </c>
      <c r="I2262" s="69" t="s">
        <v>364</v>
      </c>
      <c r="J2262" s="69" t="s">
        <v>861</v>
      </c>
      <c r="K2262" s="69" t="s">
        <v>863</v>
      </c>
      <c r="L2262" s="253">
        <v>0.59020319303338165</v>
      </c>
      <c r="M2262" s="253">
        <v>0.57433066123611598</v>
      </c>
      <c r="N2262" s="253">
        <v>0.58179943175839222</v>
      </c>
      <c r="O2262" s="253">
        <v>0.57290365641898089</v>
      </c>
      <c r="P2262" s="253">
        <v>0.58679245283018866</v>
      </c>
      <c r="Q2262" s="253">
        <v>0.57337837837837835</v>
      </c>
      <c r="R2262" s="253">
        <v>0.63022187343939517</v>
      </c>
      <c r="S2262" s="253">
        <v>0.52358490566037741</v>
      </c>
      <c r="T2262" s="253">
        <v>0.57022900763358786</v>
      </c>
      <c r="U2262" s="253">
        <v>0.55045267489711935</v>
      </c>
      <c r="V2262" s="253">
        <v>0.58516279069767452</v>
      </c>
      <c r="W2262" s="253">
        <v>0</v>
      </c>
      <c r="X2262" s="253">
        <v>0.57058823529411762</v>
      </c>
      <c r="Y2262" s="253">
        <v>0.55704166666666677</v>
      </c>
      <c r="Z2262" s="253">
        <v>0.60384615384615381</v>
      </c>
      <c r="AA2262" s="253"/>
      <c r="AB2262" s="253"/>
      <c r="AC2262" s="253"/>
      <c r="AD2262" s="253"/>
      <c r="AE2262" s="253"/>
    </row>
    <row r="2263" spans="1:31">
      <c r="A2263" s="33">
        <v>2262</v>
      </c>
      <c r="B2263" s="69" t="s">
        <v>861</v>
      </c>
      <c r="C2263" s="69" t="s">
        <v>740</v>
      </c>
      <c r="D2263" s="56">
        <v>43089</v>
      </c>
      <c r="E2263" s="33" t="s">
        <v>862</v>
      </c>
      <c r="F2263" s="69" t="s">
        <v>532</v>
      </c>
      <c r="G2263" s="69" t="str">
        <f t="shared" si="35"/>
        <v>E-Commerce</v>
      </c>
      <c r="H2263" s="69" t="s">
        <v>364</v>
      </c>
      <c r="I2263" s="69" t="s">
        <v>364</v>
      </c>
      <c r="J2263" s="69" t="s">
        <v>861</v>
      </c>
      <c r="K2263" s="69" t="s">
        <v>864</v>
      </c>
      <c r="L2263" s="253">
        <v>0.6465979680696663</v>
      </c>
      <c r="M2263" s="253">
        <v>0.64855318202159329</v>
      </c>
      <c r="N2263" s="253">
        <v>0.64093023255813975</v>
      </c>
      <c r="O2263" s="253">
        <v>0.63643833535918026</v>
      </c>
      <c r="P2263" s="253">
        <v>0.65113207547169827</v>
      </c>
      <c r="Q2263" s="253">
        <v>0.62608108108108107</v>
      </c>
      <c r="R2263" s="253">
        <v>0.68879646143968021</v>
      </c>
      <c r="S2263" s="253">
        <v>0.63122641509433963</v>
      </c>
      <c r="T2263" s="253">
        <v>0.66068702290076331</v>
      </c>
      <c r="U2263" s="253">
        <v>0.64090534979423874</v>
      </c>
      <c r="V2263" s="253">
        <v>0.64093023255813975</v>
      </c>
      <c r="W2263" s="253">
        <v>0</v>
      </c>
      <c r="X2263" s="253">
        <v>0</v>
      </c>
      <c r="Y2263" s="253">
        <v>0.62991666666666668</v>
      </c>
      <c r="Z2263" s="253">
        <v>0.62846153846153852</v>
      </c>
      <c r="AA2263" s="253"/>
      <c r="AB2263" s="253"/>
      <c r="AC2263" s="253"/>
      <c r="AD2263" s="253"/>
      <c r="AE2263" s="253"/>
    </row>
    <row r="2264" spans="1:31">
      <c r="A2264" s="33">
        <v>2263</v>
      </c>
      <c r="B2264" s="69" t="s">
        <v>861</v>
      </c>
      <c r="C2264" s="69" t="s">
        <v>740</v>
      </c>
      <c r="D2264" s="56">
        <v>43089</v>
      </c>
      <c r="E2264" s="33" t="s">
        <v>862</v>
      </c>
      <c r="F2264" s="69" t="s">
        <v>532</v>
      </c>
      <c r="G2264" s="69" t="str">
        <f t="shared" si="35"/>
        <v>E-Commerce</v>
      </c>
      <c r="H2264" s="69" t="s">
        <v>364</v>
      </c>
      <c r="I2264" s="69" t="s">
        <v>364</v>
      </c>
      <c r="J2264" s="69" t="s">
        <v>861</v>
      </c>
      <c r="K2264" s="69" t="s">
        <v>865</v>
      </c>
      <c r="L2264" s="253">
        <v>0.60027285921625539</v>
      </c>
      <c r="M2264" s="253">
        <v>0.60666361671286029</v>
      </c>
      <c r="N2264" s="253">
        <v>0.59698305798169016</v>
      </c>
      <c r="O2264" s="253">
        <v>0.58872311373574737</v>
      </c>
      <c r="P2264" s="253">
        <v>0.61226415094339615</v>
      </c>
      <c r="Q2264" s="253">
        <v>0.64121621621621627</v>
      </c>
      <c r="R2264" s="253">
        <v>0.65800527930370267</v>
      </c>
      <c r="S2264" s="253">
        <v>0.54622641509433956</v>
      </c>
      <c r="T2264" s="253">
        <v>0.63244274809160317</v>
      </c>
      <c r="U2264" s="253">
        <v>0.58230452674897126</v>
      </c>
      <c r="V2264" s="253">
        <v>0.59837209302325589</v>
      </c>
      <c r="W2264" s="253">
        <v>0</v>
      </c>
      <c r="X2264" s="253">
        <v>0.59235294117647064</v>
      </c>
      <c r="Y2264" s="253">
        <v>0.58479166666666671</v>
      </c>
      <c r="Z2264" s="253">
        <v>0.55230769230769228</v>
      </c>
      <c r="AA2264" s="253"/>
      <c r="AB2264" s="253"/>
      <c r="AC2264" s="253"/>
      <c r="AD2264" s="253"/>
      <c r="AE2264" s="253"/>
    </row>
    <row r="2265" spans="1:31">
      <c r="A2265" s="33">
        <v>2264</v>
      </c>
      <c r="B2265" s="69" t="s">
        <v>861</v>
      </c>
      <c r="C2265" s="69" t="s">
        <v>740</v>
      </c>
      <c r="D2265" s="56">
        <v>43089</v>
      </c>
      <c r="E2265" s="33" t="s">
        <v>862</v>
      </c>
      <c r="F2265" s="69" t="s">
        <v>532</v>
      </c>
      <c r="G2265" s="69" t="str">
        <f t="shared" si="35"/>
        <v>E-Commerce</v>
      </c>
      <c r="H2265" s="69" t="s">
        <v>364</v>
      </c>
      <c r="I2265" s="69" t="s">
        <v>364</v>
      </c>
      <c r="J2265" s="69" t="s">
        <v>861</v>
      </c>
      <c r="K2265" s="69" t="s">
        <v>866</v>
      </c>
      <c r="L2265" s="253">
        <v>0.62848505079825823</v>
      </c>
      <c r="M2265" s="253">
        <v>0.67503846755289099</v>
      </c>
      <c r="N2265" s="253">
        <v>0.73895348837209307</v>
      </c>
      <c r="O2265" s="253">
        <v>0.66472501768932057</v>
      </c>
      <c r="P2265" s="253">
        <v>0.62547169811320746</v>
      </c>
      <c r="Q2265" s="253">
        <v>0.66108108108108099</v>
      </c>
      <c r="R2265" s="253">
        <v>0.69674680744809869</v>
      </c>
      <c r="S2265" s="253">
        <v>0.65330188679245282</v>
      </c>
      <c r="T2265" s="253">
        <v>0.70419847328244267</v>
      </c>
      <c r="U2265" s="253">
        <v>0.6781893004115227</v>
      </c>
      <c r="V2265" s="253">
        <v>0.73895348837209307</v>
      </c>
      <c r="W2265" s="253">
        <v>0</v>
      </c>
      <c r="X2265" s="253">
        <v>0</v>
      </c>
      <c r="Y2265" s="253">
        <v>0.66708333333333347</v>
      </c>
      <c r="Z2265" s="253">
        <v>0.6405384615384615</v>
      </c>
      <c r="AA2265" s="253"/>
      <c r="AB2265" s="253"/>
      <c r="AC2265" s="253"/>
      <c r="AD2265" s="253"/>
      <c r="AE2265" s="253"/>
    </row>
    <row r="2266" spans="1:31">
      <c r="A2266" s="33">
        <v>2265</v>
      </c>
      <c r="B2266" s="69" t="s">
        <v>846</v>
      </c>
      <c r="C2266" s="69" t="s">
        <v>740</v>
      </c>
      <c r="D2266" s="56">
        <v>43091</v>
      </c>
      <c r="E2266" s="33" t="s">
        <v>724</v>
      </c>
      <c r="F2266" s="69" t="s">
        <v>532</v>
      </c>
      <c r="G2266" s="69" t="str">
        <f t="shared" si="35"/>
        <v>User Registration</v>
      </c>
      <c r="H2266" s="69" t="s">
        <v>847</v>
      </c>
      <c r="I2266" s="69" t="s">
        <v>848</v>
      </c>
      <c r="J2266" s="69" t="s">
        <v>846</v>
      </c>
      <c r="K2266" s="69" t="s">
        <v>846</v>
      </c>
      <c r="L2266" s="253">
        <v>0.6347750362844703</v>
      </c>
      <c r="M2266" s="253">
        <v>0.63206452033829397</v>
      </c>
      <c r="N2266" s="253">
        <v>0.58023437499999997</v>
      </c>
      <c r="O2266" s="253">
        <v>0.61907809741715003</v>
      </c>
      <c r="P2266" s="253">
        <v>0.63962264150943393</v>
      </c>
      <c r="Q2266" s="253">
        <v>0.61635135135135133</v>
      </c>
      <c r="R2266" s="253">
        <v>0.64516603698548414</v>
      </c>
      <c r="S2266" s="253">
        <v>0.65336538461538451</v>
      </c>
      <c r="T2266" s="253">
        <v>0.62021276595744679</v>
      </c>
      <c r="U2266" s="253">
        <v>0.62827586206896535</v>
      </c>
      <c r="V2266" s="253">
        <v>0</v>
      </c>
      <c r="W2266" s="253">
        <v>0.58023437499999997</v>
      </c>
      <c r="X2266" s="253">
        <v>0</v>
      </c>
      <c r="Y2266" s="253">
        <v>0.61181249999999998</v>
      </c>
      <c r="Z2266" s="253">
        <v>0.61538461538461542</v>
      </c>
      <c r="AA2266" s="253"/>
      <c r="AB2266" s="253"/>
      <c r="AC2266" s="253"/>
      <c r="AD2266" s="253"/>
      <c r="AE2266" s="253"/>
    </row>
    <row r="2267" spans="1:31">
      <c r="A2267" s="33">
        <v>2266</v>
      </c>
      <c r="B2267" s="69" t="s">
        <v>846</v>
      </c>
      <c r="C2267" s="69" t="s">
        <v>740</v>
      </c>
      <c r="D2267" s="56">
        <v>43091</v>
      </c>
      <c r="E2267" s="33" t="s">
        <v>724</v>
      </c>
      <c r="F2267" s="69" t="s">
        <v>532</v>
      </c>
      <c r="G2267" s="69" t="str">
        <f t="shared" si="35"/>
        <v>User Registration</v>
      </c>
      <c r="H2267" s="69" t="s">
        <v>847</v>
      </c>
      <c r="I2267" s="69" t="s">
        <v>848</v>
      </c>
      <c r="J2267" s="69" t="s">
        <v>846</v>
      </c>
      <c r="K2267" s="69" t="s">
        <v>849</v>
      </c>
      <c r="L2267" s="253">
        <v>0.63656313497822925</v>
      </c>
      <c r="M2267" s="253">
        <v>0.60471652478557547</v>
      </c>
      <c r="N2267" s="253">
        <v>0.56781249999999994</v>
      </c>
      <c r="O2267" s="253">
        <v>0.57641193339140107</v>
      </c>
      <c r="P2267" s="253">
        <v>0.6433962264150942</v>
      </c>
      <c r="Q2267" s="253">
        <v>0.57486486486486477</v>
      </c>
      <c r="R2267" s="253">
        <v>0.61004175780473247</v>
      </c>
      <c r="S2267" s="253">
        <v>0.57115384615384623</v>
      </c>
      <c r="T2267" s="253">
        <v>0.6095744680851064</v>
      </c>
      <c r="U2267" s="253">
        <v>0.64540229885057476</v>
      </c>
      <c r="V2267" s="253">
        <v>0</v>
      </c>
      <c r="W2267" s="253">
        <v>0.56781249999999994</v>
      </c>
      <c r="X2267" s="253">
        <v>0</v>
      </c>
      <c r="Y2267" s="253">
        <v>0.56052083333333336</v>
      </c>
      <c r="Z2267" s="253">
        <v>0.60923076923076924</v>
      </c>
      <c r="AA2267" s="253"/>
      <c r="AB2267" s="253"/>
      <c r="AC2267" s="253"/>
      <c r="AD2267" s="253"/>
      <c r="AE2267" s="253"/>
    </row>
    <row r="2268" spans="1:31">
      <c r="A2268" s="33">
        <v>2267</v>
      </c>
      <c r="B2268" s="69" t="s">
        <v>846</v>
      </c>
      <c r="C2268" s="69" t="s">
        <v>740</v>
      </c>
      <c r="D2268" s="56">
        <v>43091</v>
      </c>
      <c r="E2268" s="33" t="s">
        <v>724</v>
      </c>
      <c r="F2268" s="69" t="s">
        <v>532</v>
      </c>
      <c r="G2268" s="69" t="str">
        <f t="shared" si="35"/>
        <v>User Registration</v>
      </c>
      <c r="H2268" s="69" t="s">
        <v>847</v>
      </c>
      <c r="I2268" s="69" t="s">
        <v>848</v>
      </c>
      <c r="J2268" s="69" t="s">
        <v>846</v>
      </c>
      <c r="K2268" s="69" t="s">
        <v>850</v>
      </c>
      <c r="L2268" s="253">
        <v>0.61894920174165446</v>
      </c>
      <c r="M2268" s="253">
        <v>0.60704554890709084</v>
      </c>
      <c r="N2268" s="253">
        <v>0.60312500000000002</v>
      </c>
      <c r="O2268" s="253">
        <v>0.5788905924760761</v>
      </c>
      <c r="P2268" s="253">
        <v>0.61830188679245268</v>
      </c>
      <c r="Q2268" s="253">
        <v>0.64337837837837841</v>
      </c>
      <c r="R2268" s="253">
        <v>0.64883276993438066</v>
      </c>
      <c r="S2268" s="253">
        <v>0.58798076923076914</v>
      </c>
      <c r="T2268" s="253">
        <v>0.59308510638297873</v>
      </c>
      <c r="U2268" s="253">
        <v>0.55402298850574716</v>
      </c>
      <c r="V2268" s="253">
        <v>0</v>
      </c>
      <c r="W2268" s="253">
        <v>0.60312500000000002</v>
      </c>
      <c r="X2268" s="253">
        <v>0</v>
      </c>
      <c r="Y2268" s="253">
        <v>0.54475000000000007</v>
      </c>
      <c r="Z2268" s="253">
        <v>0.6215384615384616</v>
      </c>
      <c r="AA2268" s="253"/>
      <c r="AB2268" s="253"/>
      <c r="AC2268" s="253"/>
      <c r="AD2268" s="253"/>
      <c r="AE2268" s="253"/>
    </row>
    <row r="2269" spans="1:31">
      <c r="A2269" s="33">
        <v>2268</v>
      </c>
      <c r="B2269" s="69" t="s">
        <v>846</v>
      </c>
      <c r="C2269" s="69" t="s">
        <v>740</v>
      </c>
      <c r="D2269" s="56">
        <v>43091</v>
      </c>
      <c r="E2269" s="33" t="s">
        <v>724</v>
      </c>
      <c r="F2269" s="69" t="s">
        <v>532</v>
      </c>
      <c r="G2269" s="69" t="str">
        <f t="shared" si="35"/>
        <v>User Registration</v>
      </c>
      <c r="H2269" s="69" t="s">
        <v>847</v>
      </c>
      <c r="I2269" s="69" t="s">
        <v>848</v>
      </c>
      <c r="J2269" s="69" t="s">
        <v>846</v>
      </c>
      <c r="K2269" s="69" t="s">
        <v>851</v>
      </c>
      <c r="L2269" s="253">
        <v>0.64557910014513797</v>
      </c>
      <c r="M2269" s="253">
        <v>0.62054256843460287</v>
      </c>
      <c r="N2269" s="253">
        <v>0.57499999999999996</v>
      </c>
      <c r="O2269" s="253">
        <v>0.59567028715918824</v>
      </c>
      <c r="P2269" s="253">
        <v>0.65735849056603779</v>
      </c>
      <c r="Q2269" s="253">
        <v>0.56351351351351353</v>
      </c>
      <c r="R2269" s="253">
        <v>0.64075959435275409</v>
      </c>
      <c r="S2269" s="253">
        <v>0.6495192307692309</v>
      </c>
      <c r="T2269" s="253">
        <v>0.6320212765957447</v>
      </c>
      <c r="U2269" s="253">
        <v>0.62471264367816093</v>
      </c>
      <c r="V2269" s="253">
        <v>0</v>
      </c>
      <c r="W2269" s="253">
        <v>0.57499999999999996</v>
      </c>
      <c r="X2269" s="253">
        <v>0</v>
      </c>
      <c r="Y2269" s="253">
        <v>0.58364583333333331</v>
      </c>
      <c r="Z2269" s="253">
        <v>0.59846153846153849</v>
      </c>
      <c r="AA2269" s="253"/>
      <c r="AB2269" s="253"/>
      <c r="AC2269" s="253"/>
      <c r="AD2269" s="253"/>
      <c r="AE2269" s="253"/>
    </row>
    <row r="2270" spans="1:31">
      <c r="A2270" s="33">
        <v>2269</v>
      </c>
      <c r="B2270" s="69" t="s">
        <v>846</v>
      </c>
      <c r="C2270" s="69" t="s">
        <v>740</v>
      </c>
      <c r="D2270" s="56">
        <v>43091</v>
      </c>
      <c r="E2270" s="33" t="s">
        <v>724</v>
      </c>
      <c r="F2270" s="69" t="s">
        <v>532</v>
      </c>
      <c r="G2270" s="69" t="str">
        <f t="shared" si="35"/>
        <v>User Registration</v>
      </c>
      <c r="H2270" s="69" t="s">
        <v>847</v>
      </c>
      <c r="I2270" s="69" t="s">
        <v>848</v>
      </c>
      <c r="J2270" s="69" t="s">
        <v>846</v>
      </c>
      <c r="K2270" s="69" t="s">
        <v>852</v>
      </c>
      <c r="L2270" s="253">
        <v>0.63582293178519567</v>
      </c>
      <c r="M2270" s="253">
        <v>0.62417105173952925</v>
      </c>
      <c r="N2270" s="253">
        <v>0.58937499999999998</v>
      </c>
      <c r="O2270" s="253">
        <v>0.621225146038347</v>
      </c>
      <c r="P2270" s="253">
        <v>0.65150943396226391</v>
      </c>
      <c r="Q2270" s="253">
        <v>0.60499999999999998</v>
      </c>
      <c r="R2270" s="253">
        <v>0.64201630542851451</v>
      </c>
      <c r="S2270" s="253">
        <v>0.62548076923076923</v>
      </c>
      <c r="T2270" s="253">
        <v>0.60159574468085109</v>
      </c>
      <c r="U2270" s="253">
        <v>0.65459770114942528</v>
      </c>
      <c r="V2270" s="253">
        <v>0</v>
      </c>
      <c r="W2270" s="253">
        <v>0.58937499999999998</v>
      </c>
      <c r="X2270" s="253">
        <v>0</v>
      </c>
      <c r="Y2270" s="253">
        <v>0.63270833333333332</v>
      </c>
      <c r="Z2270" s="253">
        <v>0.57307692307692293</v>
      </c>
      <c r="AA2270" s="253"/>
      <c r="AB2270" s="253"/>
      <c r="AC2270" s="253"/>
      <c r="AD2270" s="253"/>
      <c r="AE2270" s="253"/>
    </row>
    <row r="2271" spans="1:31">
      <c r="A2271" s="33">
        <v>2270</v>
      </c>
      <c r="B2271" s="69" t="s">
        <v>846</v>
      </c>
      <c r="C2271" s="69" t="s">
        <v>740</v>
      </c>
      <c r="D2271" s="56">
        <v>43091</v>
      </c>
      <c r="E2271" s="33" t="s">
        <v>724</v>
      </c>
      <c r="F2271" s="69" t="s">
        <v>532</v>
      </c>
      <c r="G2271" s="69" t="str">
        <f t="shared" si="35"/>
        <v>User Registration</v>
      </c>
      <c r="H2271" s="69" t="s">
        <v>847</v>
      </c>
      <c r="I2271" s="69" t="s">
        <v>848</v>
      </c>
      <c r="J2271" s="69" t="s">
        <v>846</v>
      </c>
      <c r="K2271" s="69" t="s">
        <v>853</v>
      </c>
      <c r="L2271" s="253">
        <v>0.59524528301886792</v>
      </c>
      <c r="M2271" s="253">
        <v>0.55858188485024352</v>
      </c>
      <c r="N2271" s="253">
        <v>0.551875</v>
      </c>
      <c r="O2271" s="253">
        <v>0.56885128420887932</v>
      </c>
      <c r="P2271" s="253">
        <v>0.59905660377358494</v>
      </c>
      <c r="Q2271" s="253">
        <v>0.58351351351351355</v>
      </c>
      <c r="R2271" s="253">
        <v>0.57573076158281966</v>
      </c>
      <c r="S2271" s="253">
        <v>0.54903846153846159</v>
      </c>
      <c r="T2271" s="253">
        <v>0.56755319148936167</v>
      </c>
      <c r="U2271" s="253">
        <v>0.51517241379310341</v>
      </c>
      <c r="V2271" s="253">
        <v>0</v>
      </c>
      <c r="W2271" s="253">
        <v>0.551875</v>
      </c>
      <c r="X2271" s="253">
        <v>0</v>
      </c>
      <c r="Y2271" s="253">
        <v>0.5646458333333334</v>
      </c>
      <c r="Z2271" s="253">
        <v>0.58000000000000007</v>
      </c>
      <c r="AA2271" s="253"/>
      <c r="AB2271" s="253"/>
      <c r="AC2271" s="253"/>
      <c r="AD2271" s="253"/>
      <c r="AE2271" s="253"/>
    </row>
    <row r="2272" spans="1:31">
      <c r="A2272" s="33">
        <v>2271</v>
      </c>
      <c r="B2272" s="69" t="s">
        <v>838</v>
      </c>
      <c r="C2272" s="69" t="s">
        <v>740</v>
      </c>
      <c r="D2272" s="56">
        <v>43095</v>
      </c>
      <c r="E2272" s="33" t="s">
        <v>839</v>
      </c>
      <c r="F2272" s="69" t="s">
        <v>532</v>
      </c>
      <c r="G2272" s="69" t="str">
        <f t="shared" si="35"/>
        <v>E-Commerce</v>
      </c>
      <c r="H2272" s="69" t="s">
        <v>364</v>
      </c>
      <c r="I2272" s="69" t="s">
        <v>840</v>
      </c>
      <c r="J2272" s="69" t="s">
        <v>838</v>
      </c>
      <c r="K2272" s="69" t="s">
        <v>841</v>
      </c>
      <c r="L2272" s="253">
        <v>0.66627285921625545</v>
      </c>
      <c r="M2272" s="253">
        <v>0.59749715345306964</v>
      </c>
      <c r="N2272" s="253">
        <v>0.64567504998421554</v>
      </c>
      <c r="O2272" s="253">
        <v>0.5821229415458169</v>
      </c>
      <c r="P2272" s="253">
        <v>0.6722641509433962</v>
      </c>
      <c r="Q2272" s="253">
        <v>0.58513513513513504</v>
      </c>
      <c r="R2272" s="253">
        <v>0.634242705286438</v>
      </c>
      <c r="S2272" s="253">
        <v>0.52075471698113196</v>
      </c>
      <c r="T2272" s="253">
        <v>0.63473282442748091</v>
      </c>
      <c r="U2272" s="253">
        <v>0.5917695473251029</v>
      </c>
      <c r="V2272" s="253">
        <v>0.64790697674418607</v>
      </c>
      <c r="W2272" s="253">
        <v>0</v>
      </c>
      <c r="X2272" s="253">
        <v>0.63823529411764701</v>
      </c>
      <c r="Y2272" s="253">
        <v>0.55947916666666664</v>
      </c>
      <c r="Z2272" s="253">
        <v>0.64230769230769236</v>
      </c>
      <c r="AA2272" s="253"/>
      <c r="AB2272" s="253"/>
      <c r="AC2272" s="253"/>
      <c r="AD2272" s="253"/>
      <c r="AE2272" s="253"/>
    </row>
    <row r="2273" spans="1:31">
      <c r="A2273" s="33">
        <v>2272</v>
      </c>
      <c r="B2273" s="69" t="s">
        <v>838</v>
      </c>
      <c r="C2273" s="69" t="s">
        <v>740</v>
      </c>
      <c r="D2273" s="56">
        <v>43095</v>
      </c>
      <c r="E2273" s="33" t="s">
        <v>839</v>
      </c>
      <c r="F2273" s="69" t="s">
        <v>532</v>
      </c>
      <c r="G2273" s="69" t="str">
        <f t="shared" si="35"/>
        <v>E-Commerce</v>
      </c>
      <c r="H2273" s="69" t="s">
        <v>364</v>
      </c>
      <c r="I2273" s="69" t="s">
        <v>840</v>
      </c>
      <c r="J2273" s="69" t="s">
        <v>838</v>
      </c>
      <c r="K2273" s="69" t="s">
        <v>842</v>
      </c>
      <c r="L2273" s="253">
        <v>0.61539042089985496</v>
      </c>
      <c r="M2273" s="253">
        <v>0.58137482516315786</v>
      </c>
      <c r="N2273" s="253">
        <v>0.64085131011259611</v>
      </c>
      <c r="O2273" s="253">
        <v>0.57246470930392979</v>
      </c>
      <c r="P2273" s="253">
        <v>0.60962264150943413</v>
      </c>
      <c r="Q2273" s="253">
        <v>0.56499999999999995</v>
      </c>
      <c r="R2273" s="253">
        <v>0.60241849183134766</v>
      </c>
      <c r="S2273" s="253">
        <v>0.50188679245283008</v>
      </c>
      <c r="T2273" s="253">
        <v>0.63931297709923662</v>
      </c>
      <c r="U2273" s="253">
        <v>0.57942386831275727</v>
      </c>
      <c r="V2273" s="253">
        <v>0.64093023255813963</v>
      </c>
      <c r="W2273" s="253">
        <v>0</v>
      </c>
      <c r="X2273" s="253">
        <v>0.64058823529411768</v>
      </c>
      <c r="Y2273" s="253">
        <v>0.55447916666666663</v>
      </c>
      <c r="Z2273" s="253">
        <v>0.63846153846153841</v>
      </c>
      <c r="AA2273" s="253"/>
      <c r="AB2273" s="253"/>
      <c r="AC2273" s="253"/>
      <c r="AD2273" s="253"/>
      <c r="AE2273" s="253"/>
    </row>
    <row r="2274" spans="1:31">
      <c r="A2274" s="33">
        <v>2273</v>
      </c>
      <c r="B2274" s="69" t="s">
        <v>838</v>
      </c>
      <c r="C2274" s="69" t="s">
        <v>740</v>
      </c>
      <c r="D2274" s="56">
        <v>43095</v>
      </c>
      <c r="E2274" s="33" t="s">
        <v>839</v>
      </c>
      <c r="F2274" s="69" t="s">
        <v>532</v>
      </c>
      <c r="G2274" s="69" t="str">
        <f t="shared" si="35"/>
        <v>E-Commerce</v>
      </c>
      <c r="H2274" s="69" t="s">
        <v>364</v>
      </c>
      <c r="I2274" s="69" t="s">
        <v>840</v>
      </c>
      <c r="J2274" s="69" t="s">
        <v>838</v>
      </c>
      <c r="K2274" s="69" t="s">
        <v>843</v>
      </c>
      <c r="L2274" s="253">
        <v>0.63966618287373012</v>
      </c>
      <c r="M2274" s="253">
        <v>0.59907890676221243</v>
      </c>
      <c r="N2274" s="253">
        <v>0.66515205724508042</v>
      </c>
      <c r="O2274" s="253">
        <v>0.6034283328338399</v>
      </c>
      <c r="P2274" s="253">
        <v>0.6216981132075472</v>
      </c>
      <c r="Q2274" s="253">
        <v>0.58959459459459451</v>
      </c>
      <c r="R2274" s="253">
        <v>0.63888135835057436</v>
      </c>
      <c r="S2274" s="253">
        <v>0.55943396226415087</v>
      </c>
      <c r="T2274" s="253">
        <v>0.60267175572519083</v>
      </c>
      <c r="U2274" s="253">
        <v>0.55144032921810704</v>
      </c>
      <c r="V2274" s="253">
        <v>0.69069767441860463</v>
      </c>
      <c r="W2274" s="253">
        <v>0</v>
      </c>
      <c r="X2274" s="253">
        <v>0.57999999999999996</v>
      </c>
      <c r="Y2274" s="253">
        <v>0.56968750000000001</v>
      </c>
      <c r="Z2274" s="253">
        <v>0.71153846153846156</v>
      </c>
      <c r="AA2274" s="253"/>
      <c r="AB2274" s="253"/>
      <c r="AC2274" s="253"/>
      <c r="AD2274" s="253"/>
      <c r="AE2274" s="253"/>
    </row>
    <row r="2275" spans="1:31">
      <c r="A2275" s="33">
        <v>2274</v>
      </c>
      <c r="B2275" s="69" t="s">
        <v>838</v>
      </c>
      <c r="C2275" s="69" t="s">
        <v>740</v>
      </c>
      <c r="D2275" s="56">
        <v>43095</v>
      </c>
      <c r="E2275" s="33" t="s">
        <v>839</v>
      </c>
      <c r="F2275" s="69" t="s">
        <v>532</v>
      </c>
      <c r="G2275" s="69" t="str">
        <f t="shared" si="35"/>
        <v>E-Commerce</v>
      </c>
      <c r="H2275" s="69" t="s">
        <v>364</v>
      </c>
      <c r="I2275" s="69" t="s">
        <v>840</v>
      </c>
      <c r="J2275" s="69" t="s">
        <v>838</v>
      </c>
      <c r="K2275" s="69" t="s">
        <v>844</v>
      </c>
      <c r="L2275" s="253">
        <v>0.66846444121915805</v>
      </c>
      <c r="M2275" s="253">
        <v>0.65308400829642943</v>
      </c>
      <c r="N2275" s="253">
        <v>0.61348837209302332</v>
      </c>
      <c r="O2275" s="253">
        <v>0.61204727895906419</v>
      </c>
      <c r="P2275" s="253">
        <v>0.67981132075471684</v>
      </c>
      <c r="Q2275" s="253">
        <v>0.65405405405405415</v>
      </c>
      <c r="R2275" s="253">
        <v>0.6682457016479989</v>
      </c>
      <c r="S2275" s="253">
        <v>0.63773584905660374</v>
      </c>
      <c r="T2275" s="253">
        <v>0.64503816793893132</v>
      </c>
      <c r="U2275" s="253">
        <v>0.66625514403292185</v>
      </c>
      <c r="V2275" s="253">
        <v>0.61348837209302332</v>
      </c>
      <c r="W2275" s="253">
        <v>0</v>
      </c>
      <c r="X2275" s="253">
        <v>0</v>
      </c>
      <c r="Y2275" s="253">
        <v>0.59072916666666664</v>
      </c>
      <c r="Z2275" s="253">
        <v>0.62307692307692308</v>
      </c>
      <c r="AA2275" s="253"/>
      <c r="AB2275" s="253"/>
      <c r="AC2275" s="253"/>
      <c r="AD2275" s="253"/>
      <c r="AE2275" s="253"/>
    </row>
    <row r="2276" spans="1:31">
      <c r="A2276" s="33">
        <v>2275</v>
      </c>
      <c r="B2276" s="69" t="s">
        <v>838</v>
      </c>
      <c r="C2276" s="69" t="s">
        <v>740</v>
      </c>
      <c r="D2276" s="56">
        <v>43095</v>
      </c>
      <c r="E2276" s="33" t="s">
        <v>839</v>
      </c>
      <c r="F2276" s="69" t="s">
        <v>532</v>
      </c>
      <c r="G2276" s="69" t="str">
        <f t="shared" si="35"/>
        <v>E-Commerce</v>
      </c>
      <c r="H2276" s="69" t="s">
        <v>364</v>
      </c>
      <c r="I2276" s="69" t="s">
        <v>840</v>
      </c>
      <c r="J2276" s="69" t="s">
        <v>838</v>
      </c>
      <c r="K2276" s="69" t="s">
        <v>845</v>
      </c>
      <c r="L2276" s="253">
        <v>0.6538867924528301</v>
      </c>
      <c r="M2276" s="253">
        <v>0.63743342030048422</v>
      </c>
      <c r="N2276" s="253">
        <v>0.65599494896348509</v>
      </c>
      <c r="O2276" s="253">
        <v>0.56607148307322497</v>
      </c>
      <c r="P2276" s="253">
        <v>0.66735849056603769</v>
      </c>
      <c r="Q2276" s="253">
        <v>0.60945945945945956</v>
      </c>
      <c r="R2276" s="253">
        <v>0.68459014054362555</v>
      </c>
      <c r="S2276" s="253">
        <v>0.60707547169811316</v>
      </c>
      <c r="T2276" s="253">
        <v>0.67251908396946558</v>
      </c>
      <c r="U2276" s="253">
        <v>0.63086419753086409</v>
      </c>
      <c r="V2276" s="253">
        <v>0.66255813953488363</v>
      </c>
      <c r="W2276" s="253">
        <v>0</v>
      </c>
      <c r="X2276" s="253">
        <v>0.63411764705882356</v>
      </c>
      <c r="Y2276" s="253">
        <v>0.52374999999999994</v>
      </c>
      <c r="Z2276" s="253">
        <v>0.6</v>
      </c>
      <c r="AA2276" s="253"/>
      <c r="AB2276" s="253"/>
      <c r="AC2276" s="253"/>
      <c r="AD2276" s="253"/>
      <c r="AE2276" s="253"/>
    </row>
    <row r="2277" spans="1:31">
      <c r="A2277" s="33">
        <v>2276</v>
      </c>
      <c r="B2277" s="69" t="s">
        <v>822</v>
      </c>
      <c r="C2277" s="69" t="s">
        <v>740</v>
      </c>
      <c r="D2277" s="56">
        <v>43110</v>
      </c>
      <c r="E2277" s="33" t="s">
        <v>824</v>
      </c>
      <c r="F2277" s="69" t="s">
        <v>532</v>
      </c>
      <c r="G2277" s="69" t="str">
        <f t="shared" si="35"/>
        <v>User Registration</v>
      </c>
      <c r="H2277" s="69" t="s">
        <v>508</v>
      </c>
      <c r="I2277" s="69" t="s">
        <v>825</v>
      </c>
      <c r="J2277" s="69" t="s">
        <v>822</v>
      </c>
      <c r="K2277" s="69" t="s">
        <v>822</v>
      </c>
      <c r="L2277" s="253">
        <v>0.58979100145137875</v>
      </c>
      <c r="M2277" s="253">
        <v>0.54388739363731942</v>
      </c>
      <c r="N2277" s="253">
        <v>0.58640837104072385</v>
      </c>
      <c r="O2277" s="253">
        <v>0.54213693866455603</v>
      </c>
      <c r="P2277" s="253">
        <v>0.59358490566037736</v>
      </c>
      <c r="Q2277" s="253">
        <v>0.47499999999999998</v>
      </c>
      <c r="R2277" s="253">
        <v>0.55930801352157489</v>
      </c>
      <c r="S2277" s="253">
        <v>0.52979797979797971</v>
      </c>
      <c r="T2277" s="253">
        <v>0.54776595744680856</v>
      </c>
      <c r="U2277" s="253">
        <v>0.58022988505747142</v>
      </c>
      <c r="V2277" s="253">
        <v>0</v>
      </c>
      <c r="W2277" s="253">
        <v>0.59062499999999996</v>
      </c>
      <c r="X2277" s="253">
        <v>0.57235294117647062</v>
      </c>
      <c r="Y2277" s="253">
        <v>0.53690677966101685</v>
      </c>
      <c r="Z2277" s="253">
        <v>0.57461538461538464</v>
      </c>
      <c r="AA2277" s="253"/>
      <c r="AB2277" s="253"/>
      <c r="AC2277" s="253"/>
      <c r="AD2277" s="253"/>
      <c r="AE2277" s="253"/>
    </row>
    <row r="2278" spans="1:31">
      <c r="A2278" s="33">
        <v>2277</v>
      </c>
      <c r="B2278" s="69" t="s">
        <v>822</v>
      </c>
      <c r="C2278" s="69" t="s">
        <v>740</v>
      </c>
      <c r="D2278" s="56">
        <v>43110</v>
      </c>
      <c r="E2278" s="33" t="s">
        <v>824</v>
      </c>
      <c r="F2278" s="69" t="s">
        <v>532</v>
      </c>
      <c r="G2278" s="69" t="str">
        <f t="shared" si="35"/>
        <v>User Registration</v>
      </c>
      <c r="H2278" s="69" t="s">
        <v>508</v>
      </c>
      <c r="I2278" s="69" t="s">
        <v>825</v>
      </c>
      <c r="J2278" s="69" t="s">
        <v>822</v>
      </c>
      <c r="K2278" s="69" t="s">
        <v>833</v>
      </c>
      <c r="L2278" s="253">
        <v>0.58181132075471687</v>
      </c>
      <c r="M2278" s="253">
        <v>0.60544596784717564</v>
      </c>
      <c r="N2278" s="253">
        <v>0.60762160633484175</v>
      </c>
      <c r="O2278" s="253">
        <v>0.59493191430739101</v>
      </c>
      <c r="P2278" s="253">
        <v>0.58226415094339612</v>
      </c>
      <c r="Q2278" s="253">
        <v>0.58729729729729729</v>
      </c>
      <c r="R2278" s="253">
        <v>0.6410041757804732</v>
      </c>
      <c r="S2278" s="253">
        <v>0.58080808080808077</v>
      </c>
      <c r="T2278" s="253">
        <v>0.61595744680851072</v>
      </c>
      <c r="U2278" s="253">
        <v>0.60798850574712648</v>
      </c>
      <c r="V2278" s="253">
        <v>0</v>
      </c>
      <c r="W2278" s="253">
        <v>0.61343749999999997</v>
      </c>
      <c r="X2278" s="253">
        <v>0.58823529411764708</v>
      </c>
      <c r="Y2278" s="253">
        <v>0.59237288135593225</v>
      </c>
      <c r="Z2278" s="253">
        <v>0.57999999999999996</v>
      </c>
      <c r="AA2278" s="253"/>
      <c r="AB2278" s="253"/>
      <c r="AC2278" s="253"/>
      <c r="AD2278" s="253"/>
      <c r="AE2278" s="253"/>
    </row>
    <row r="2279" spans="1:31">
      <c r="A2279" s="33">
        <v>2278</v>
      </c>
      <c r="B2279" s="69" t="s">
        <v>822</v>
      </c>
      <c r="C2279" s="69" t="s">
        <v>740</v>
      </c>
      <c r="D2279" s="56">
        <v>43110</v>
      </c>
      <c r="E2279" s="33" t="s">
        <v>824</v>
      </c>
      <c r="F2279" s="69" t="s">
        <v>532</v>
      </c>
      <c r="G2279" s="69" t="str">
        <f t="shared" si="35"/>
        <v>User Registration</v>
      </c>
      <c r="H2279" s="69" t="s">
        <v>508</v>
      </c>
      <c r="I2279" s="69" t="s">
        <v>825</v>
      </c>
      <c r="J2279" s="69" t="s">
        <v>822</v>
      </c>
      <c r="K2279" s="69" t="s">
        <v>834</v>
      </c>
      <c r="L2279" s="253">
        <v>0.6192539912917272</v>
      </c>
      <c r="M2279" s="253">
        <v>0.59321104666384938</v>
      </c>
      <c r="N2279" s="253">
        <v>0.60223416289592757</v>
      </c>
      <c r="O2279" s="253">
        <v>0.58267700799882594</v>
      </c>
      <c r="P2279" s="253">
        <v>0.6284905660377359</v>
      </c>
      <c r="Q2279" s="253">
        <v>0.59608108108108104</v>
      </c>
      <c r="R2279" s="253">
        <v>0.57826605687015309</v>
      </c>
      <c r="S2279" s="253">
        <v>0.62525252525252528</v>
      </c>
      <c r="T2279" s="253">
        <v>0.58457446808510638</v>
      </c>
      <c r="U2279" s="253">
        <v>0.58977011494252873</v>
      </c>
      <c r="V2279" s="253">
        <v>0</v>
      </c>
      <c r="W2279" s="253">
        <v>0.58437499999999998</v>
      </c>
      <c r="X2279" s="253">
        <v>0.66176470588235292</v>
      </c>
      <c r="Y2279" s="253">
        <v>0.57807203389830508</v>
      </c>
      <c r="Z2279" s="253">
        <v>0.5823076923076923</v>
      </c>
      <c r="AA2279" s="253"/>
      <c r="AB2279" s="253"/>
      <c r="AC2279" s="253"/>
      <c r="AD2279" s="253"/>
      <c r="AE2279" s="253"/>
    </row>
    <row r="2280" spans="1:31">
      <c r="A2280" s="33">
        <v>2279</v>
      </c>
      <c r="B2280" s="69" t="s">
        <v>822</v>
      </c>
      <c r="C2280" s="69" t="s">
        <v>740</v>
      </c>
      <c r="D2280" s="56">
        <v>43110</v>
      </c>
      <c r="E2280" s="33" t="s">
        <v>824</v>
      </c>
      <c r="F2280" s="69" t="s">
        <v>532</v>
      </c>
      <c r="G2280" s="69" t="str">
        <f t="shared" si="35"/>
        <v>User Registration</v>
      </c>
      <c r="H2280" s="69" t="s">
        <v>508</v>
      </c>
      <c r="I2280" s="69" t="s">
        <v>825</v>
      </c>
      <c r="J2280" s="69" t="s">
        <v>822</v>
      </c>
      <c r="K2280" s="69" t="s">
        <v>835</v>
      </c>
      <c r="L2280" s="253">
        <v>0.63200290275761983</v>
      </c>
      <c r="M2280" s="253">
        <v>0.605168137824181</v>
      </c>
      <c r="N2280" s="253">
        <v>0.57785350678733038</v>
      </c>
      <c r="O2280" s="253">
        <v>0.58110890870380438</v>
      </c>
      <c r="P2280" s="253">
        <v>0.63981132075471703</v>
      </c>
      <c r="Q2280" s="253">
        <v>0.58094594594594595</v>
      </c>
      <c r="R2280" s="253">
        <v>0.62668522569099228</v>
      </c>
      <c r="S2280" s="253">
        <v>0.59646464646464648</v>
      </c>
      <c r="T2280" s="253">
        <v>0.57925531914893624</v>
      </c>
      <c r="U2280" s="253">
        <v>0.62729885057471257</v>
      </c>
      <c r="V2280" s="253">
        <v>0</v>
      </c>
      <c r="W2280" s="253">
        <v>0.57156249999999997</v>
      </c>
      <c r="X2280" s="253">
        <v>0.59882352941176464</v>
      </c>
      <c r="Y2280" s="253">
        <v>0.5645762711864406</v>
      </c>
      <c r="Z2280" s="253">
        <v>0.60076923076923083</v>
      </c>
      <c r="AA2280" s="253"/>
      <c r="AB2280" s="253"/>
      <c r="AC2280" s="253"/>
      <c r="AD2280" s="253"/>
      <c r="AE2280" s="253"/>
    </row>
    <row r="2281" spans="1:31">
      <c r="A2281" s="33">
        <v>2280</v>
      </c>
      <c r="B2281" s="69" t="s">
        <v>822</v>
      </c>
      <c r="C2281" s="69" t="s">
        <v>740</v>
      </c>
      <c r="D2281" s="56">
        <v>43110</v>
      </c>
      <c r="E2281" s="33" t="s">
        <v>824</v>
      </c>
      <c r="F2281" s="69" t="s">
        <v>532</v>
      </c>
      <c r="G2281" s="69" t="str">
        <f t="shared" si="35"/>
        <v>User Registration</v>
      </c>
      <c r="H2281" s="69" t="s">
        <v>508</v>
      </c>
      <c r="I2281" s="69" t="s">
        <v>825</v>
      </c>
      <c r="J2281" s="69" t="s">
        <v>822</v>
      </c>
      <c r="K2281" s="69" t="s">
        <v>836</v>
      </c>
      <c r="L2281" s="253">
        <v>0.6852626995645863</v>
      </c>
      <c r="M2281" s="253">
        <v>0.66772838337733764</v>
      </c>
      <c r="N2281" s="253">
        <v>0.74060383835231725</v>
      </c>
      <c r="O2281" s="253">
        <v>0.62106162474236559</v>
      </c>
      <c r="P2281" s="253">
        <v>0.71792452830188669</v>
      </c>
      <c r="Q2281" s="253">
        <v>0.68445945945945941</v>
      </c>
      <c r="R2281" s="253">
        <v>0.67884271226884074</v>
      </c>
      <c r="S2281" s="253">
        <v>0.59040404040404049</v>
      </c>
      <c r="T2281" s="253">
        <v>0.69893617021276599</v>
      </c>
      <c r="U2281" s="253">
        <v>0.73160919540229885</v>
      </c>
      <c r="V2281" s="253">
        <v>0</v>
      </c>
      <c r="W2281" s="253">
        <v>0.77413793103448281</v>
      </c>
      <c r="X2281" s="253">
        <v>0.62882352941176478</v>
      </c>
      <c r="Y2281" s="253">
        <v>0.62616525423728808</v>
      </c>
      <c r="Z2281" s="253">
        <v>0.55461538461538462</v>
      </c>
      <c r="AA2281" s="253"/>
      <c r="AB2281" s="253"/>
      <c r="AC2281" s="253"/>
      <c r="AD2281" s="253"/>
      <c r="AE2281" s="253"/>
    </row>
    <row r="2282" spans="1:31">
      <c r="A2282" s="33">
        <v>2281</v>
      </c>
      <c r="B2282" s="69" t="s">
        <v>822</v>
      </c>
      <c r="C2282" s="69" t="s">
        <v>740</v>
      </c>
      <c r="D2282" s="56">
        <v>43110</v>
      </c>
      <c r="E2282" s="33" t="s">
        <v>824</v>
      </c>
      <c r="F2282" s="69" t="s">
        <v>532</v>
      </c>
      <c r="G2282" s="69" t="str">
        <f t="shared" si="35"/>
        <v>User Registration</v>
      </c>
      <c r="H2282" s="69" t="s">
        <v>508</v>
      </c>
      <c r="I2282" s="69" t="s">
        <v>825</v>
      </c>
      <c r="J2282" s="69" t="s">
        <v>822</v>
      </c>
      <c r="K2282" s="69" t="s">
        <v>837</v>
      </c>
      <c r="L2282" s="253">
        <v>0.60077793904208998</v>
      </c>
      <c r="M2282" s="253">
        <v>0.5581407386724182</v>
      </c>
      <c r="N2282" s="253">
        <v>0.64383484162895932</v>
      </c>
      <c r="O2282" s="253">
        <v>0.57337161800478953</v>
      </c>
      <c r="P2282" s="253">
        <v>0.59943396226415102</v>
      </c>
      <c r="Q2282" s="253">
        <v>0.56418918918918926</v>
      </c>
      <c r="R2282" s="253">
        <v>0.55413402266852263</v>
      </c>
      <c r="S2282" s="253">
        <v>0.51868686868686875</v>
      </c>
      <c r="T2282" s="253">
        <v>0.55787234042553191</v>
      </c>
      <c r="U2282" s="253">
        <v>0.56982758620689655</v>
      </c>
      <c r="V2282" s="253">
        <v>0</v>
      </c>
      <c r="W2282" s="253">
        <v>0.64375000000000004</v>
      </c>
      <c r="X2282" s="253">
        <v>0.64411764705882357</v>
      </c>
      <c r="Y2282" s="253">
        <v>0.57377118644067793</v>
      </c>
      <c r="Z2282" s="253">
        <v>0.60615384615384615</v>
      </c>
      <c r="AA2282" s="253"/>
      <c r="AB2282" s="253"/>
      <c r="AC2282" s="253"/>
      <c r="AD2282" s="253"/>
      <c r="AE2282" s="253"/>
    </row>
    <row r="2283" spans="1:31">
      <c r="A2283" s="33">
        <v>2282</v>
      </c>
      <c r="B2283" s="69" t="s">
        <v>648</v>
      </c>
      <c r="C2283" s="69" t="s">
        <v>791</v>
      </c>
      <c r="D2283" s="258">
        <v>43111</v>
      </c>
      <c r="E2283" s="33" t="s">
        <v>724</v>
      </c>
      <c r="F2283" s="69" t="s">
        <v>380</v>
      </c>
      <c r="G2283" s="69" t="str">
        <f t="shared" si="35"/>
        <v>E-Commerce</v>
      </c>
      <c r="H2283" s="69" t="s">
        <v>364</v>
      </c>
      <c r="I2283" s="69" t="s">
        <v>364</v>
      </c>
      <c r="J2283" s="259" t="s">
        <v>648</v>
      </c>
      <c r="K2283" s="259" t="s">
        <v>648</v>
      </c>
      <c r="L2283" s="253">
        <v>0.6281886792452831</v>
      </c>
      <c r="M2283" s="253">
        <v>0.64743629082256116</v>
      </c>
      <c r="N2283" s="253">
        <v>0.60007892244554362</v>
      </c>
      <c r="O2283" s="253">
        <v>0.60870639956044148</v>
      </c>
      <c r="P2283" s="253">
        <v>0.61773584905660395</v>
      </c>
      <c r="Q2283" s="253">
        <v>0.6040540540540541</v>
      </c>
      <c r="R2283" s="253">
        <v>0.6233059855889278</v>
      </c>
      <c r="S2283" s="253">
        <v>0.66650943396226425</v>
      </c>
      <c r="T2283" s="253">
        <v>0.67022900763358773</v>
      </c>
      <c r="U2283" s="253">
        <v>0.66831275720164607</v>
      </c>
      <c r="V2283" s="253">
        <v>0.60627906976744195</v>
      </c>
      <c r="W2283" s="253"/>
      <c r="X2283" s="253">
        <v>0.5794117647058824</v>
      </c>
      <c r="Y2283" s="253">
        <v>0.58208333333333329</v>
      </c>
      <c r="Z2283" s="253">
        <v>0.66999999999999993</v>
      </c>
      <c r="AA2283" s="253"/>
      <c r="AB2283" s="253"/>
      <c r="AC2283" s="253"/>
      <c r="AD2283" s="253"/>
      <c r="AE2283" s="253"/>
    </row>
    <row r="2284" spans="1:31">
      <c r="A2284" s="33">
        <v>2283</v>
      </c>
      <c r="B2284" s="69" t="s">
        <v>648</v>
      </c>
      <c r="C2284" s="69" t="s">
        <v>791</v>
      </c>
      <c r="D2284" s="258">
        <v>43111</v>
      </c>
      <c r="E2284" s="33" t="s">
        <v>724</v>
      </c>
      <c r="F2284" s="69" t="s">
        <v>380</v>
      </c>
      <c r="G2284" s="69" t="str">
        <f t="shared" si="35"/>
        <v>E-Commerce</v>
      </c>
      <c r="H2284" s="69" t="s">
        <v>364</v>
      </c>
      <c r="I2284" s="69" t="s">
        <v>364</v>
      </c>
      <c r="J2284" s="259" t="s">
        <v>648</v>
      </c>
      <c r="K2284" s="259" t="s">
        <v>831</v>
      </c>
      <c r="L2284" s="253">
        <v>0.66087953555878087</v>
      </c>
      <c r="M2284" s="253">
        <v>0.66530808251398132</v>
      </c>
      <c r="N2284" s="253">
        <v>0.56933178996106504</v>
      </c>
      <c r="O2284" s="253">
        <v>0.63217871599426634</v>
      </c>
      <c r="P2284" s="253">
        <v>0.65283018867924525</v>
      </c>
      <c r="Q2284" s="253">
        <v>0.65959459459459457</v>
      </c>
      <c r="R2284" s="253">
        <v>0.64652778768638086</v>
      </c>
      <c r="S2284" s="253">
        <v>0.68349056603773584</v>
      </c>
      <c r="T2284" s="253">
        <v>0.68664122137404582</v>
      </c>
      <c r="U2284" s="253">
        <v>0.65020576131687247</v>
      </c>
      <c r="V2284" s="253">
        <v>0.57883720930232563</v>
      </c>
      <c r="W2284" s="253"/>
      <c r="X2284" s="253">
        <v>0.53764705882352948</v>
      </c>
      <c r="Y2284" s="253">
        <v>0.60316666666666663</v>
      </c>
      <c r="Z2284" s="253">
        <v>0.69307692307692315</v>
      </c>
      <c r="AA2284" s="253"/>
      <c r="AB2284" s="253"/>
      <c r="AC2284" s="253"/>
      <c r="AD2284" s="253"/>
      <c r="AE2284" s="253"/>
    </row>
    <row r="2285" spans="1:31">
      <c r="A2285" s="33">
        <v>2284</v>
      </c>
      <c r="B2285" s="69" t="s">
        <v>648</v>
      </c>
      <c r="C2285" s="69" t="s">
        <v>791</v>
      </c>
      <c r="D2285" s="258">
        <v>43111</v>
      </c>
      <c r="E2285" s="33" t="s">
        <v>724</v>
      </c>
      <c r="F2285" s="69" t="s">
        <v>380</v>
      </c>
      <c r="G2285" s="69" t="str">
        <f t="shared" si="35"/>
        <v>E-Commerce</v>
      </c>
      <c r="H2285" s="69" t="s">
        <v>364</v>
      </c>
      <c r="I2285" s="69" t="s">
        <v>364</v>
      </c>
      <c r="J2285" s="259" t="s">
        <v>648</v>
      </c>
      <c r="K2285" s="259" t="s">
        <v>55</v>
      </c>
      <c r="L2285" s="253">
        <v>0.67837735849056613</v>
      </c>
      <c r="M2285" s="253">
        <v>0.66371402936556112</v>
      </c>
      <c r="N2285" s="253">
        <v>0.68268967694412297</v>
      </c>
      <c r="O2285" s="253">
        <v>0.60757549656223631</v>
      </c>
      <c r="P2285" s="253">
        <v>0.68547169811320763</v>
      </c>
      <c r="Q2285" s="253">
        <v>0.62445945945945946</v>
      </c>
      <c r="R2285" s="253">
        <v>0.66847684953984454</v>
      </c>
      <c r="S2285" s="253">
        <v>0.62924528301886795</v>
      </c>
      <c r="T2285" s="253">
        <v>0.66145038167938941</v>
      </c>
      <c r="U2285" s="253">
        <v>0.72477366255144038</v>
      </c>
      <c r="V2285" s="253">
        <v>0.68279069767441869</v>
      </c>
      <c r="W2285" s="253"/>
      <c r="X2285" s="253">
        <v>0.68235294117647061</v>
      </c>
      <c r="Y2285" s="253">
        <v>0.57881250000000006</v>
      </c>
      <c r="Z2285" s="253">
        <v>0.65</v>
      </c>
      <c r="AA2285" s="253"/>
      <c r="AB2285" s="253"/>
      <c r="AC2285" s="253"/>
      <c r="AD2285" s="253"/>
      <c r="AE2285" s="253"/>
    </row>
    <row r="2286" spans="1:31">
      <c r="A2286" s="33">
        <v>2285</v>
      </c>
      <c r="B2286" s="69" t="s">
        <v>648</v>
      </c>
      <c r="C2286" s="69" t="s">
        <v>791</v>
      </c>
      <c r="D2286" s="258">
        <v>43111</v>
      </c>
      <c r="E2286" s="33" t="s">
        <v>724</v>
      </c>
      <c r="F2286" s="69" t="s">
        <v>380</v>
      </c>
      <c r="G2286" s="69" t="str">
        <f t="shared" si="35"/>
        <v>E-Commerce</v>
      </c>
      <c r="H2286" s="69" t="s">
        <v>364</v>
      </c>
      <c r="I2286" s="69" t="s">
        <v>364</v>
      </c>
      <c r="J2286" s="259" t="s">
        <v>648</v>
      </c>
      <c r="K2286" s="259" t="s">
        <v>646</v>
      </c>
      <c r="L2286" s="253">
        <v>0.58638026124818576</v>
      </c>
      <c r="M2286" s="253">
        <v>0.61839020818305113</v>
      </c>
      <c r="N2286" s="253">
        <v>0.65353204251289065</v>
      </c>
      <c r="O2286" s="253">
        <v>0.57412442622078952</v>
      </c>
      <c r="P2286" s="253">
        <v>0.58528301886792455</v>
      </c>
      <c r="Q2286" s="253">
        <v>0.63027027027027027</v>
      </c>
      <c r="R2286" s="253">
        <v>0.63626667617892552</v>
      </c>
      <c r="S2286" s="253">
        <v>0.55896226415094341</v>
      </c>
      <c r="T2286" s="253">
        <v>0.66717557251908399</v>
      </c>
      <c r="U2286" s="253">
        <v>0.62032921810699582</v>
      </c>
      <c r="V2286" s="253">
        <v>0.63720930232558137</v>
      </c>
      <c r="W2286" s="253"/>
      <c r="X2286" s="253">
        <v>0.70794117647058818</v>
      </c>
      <c r="Y2286" s="253">
        <v>0.55260416666666667</v>
      </c>
      <c r="Z2286" s="253">
        <v>0.59076923076923071</v>
      </c>
      <c r="AA2286" s="253"/>
      <c r="AB2286" s="253"/>
      <c r="AC2286" s="253"/>
      <c r="AD2286" s="253"/>
      <c r="AE2286" s="253"/>
    </row>
    <row r="2287" spans="1:31">
      <c r="A2287" s="33">
        <v>2286</v>
      </c>
      <c r="B2287" s="69" t="s">
        <v>648</v>
      </c>
      <c r="C2287" s="69" t="s">
        <v>791</v>
      </c>
      <c r="D2287" s="258">
        <v>43111</v>
      </c>
      <c r="E2287" s="33" t="s">
        <v>724</v>
      </c>
      <c r="F2287" s="69" t="s">
        <v>380</v>
      </c>
      <c r="G2287" s="69" t="str">
        <f t="shared" si="35"/>
        <v>E-Commerce</v>
      </c>
      <c r="H2287" s="69" t="s">
        <v>364</v>
      </c>
      <c r="I2287" s="69" t="s">
        <v>364</v>
      </c>
      <c r="J2287" s="259" t="s">
        <v>648</v>
      </c>
      <c r="K2287" s="259" t="s">
        <v>832</v>
      </c>
      <c r="L2287" s="253">
        <v>0.61449637155297554</v>
      </c>
      <c r="M2287" s="253">
        <v>0.60262973619764171</v>
      </c>
      <c r="N2287" s="253">
        <v>0.5988024834262865</v>
      </c>
      <c r="O2287" s="253">
        <v>0.58544551921499022</v>
      </c>
      <c r="P2287" s="253">
        <v>0.60773584905660394</v>
      </c>
      <c r="Q2287" s="253">
        <v>0.63608108108108097</v>
      </c>
      <c r="R2287" s="253">
        <v>0.57703930941000214</v>
      </c>
      <c r="S2287" s="253">
        <v>0.5811320754716981</v>
      </c>
      <c r="T2287" s="253">
        <v>0.60305343511450382</v>
      </c>
      <c r="U2287" s="253">
        <v>0.60283950617283943</v>
      </c>
      <c r="V2287" s="253">
        <v>0.59032558139534885</v>
      </c>
      <c r="W2287" s="253"/>
      <c r="X2287" s="253">
        <v>0.62705882352941178</v>
      </c>
      <c r="Y2287" s="253">
        <v>0.56566666666666665</v>
      </c>
      <c r="Z2287" s="253">
        <v>0.64153846153846161</v>
      </c>
      <c r="AA2287" s="253"/>
      <c r="AB2287" s="253"/>
      <c r="AC2287" s="253"/>
      <c r="AD2287" s="253"/>
      <c r="AE2287" s="253"/>
    </row>
    <row r="2288" spans="1:31">
      <c r="A2288" s="33">
        <v>2287</v>
      </c>
      <c r="B2288" s="69" t="s">
        <v>827</v>
      </c>
      <c r="C2288" s="69" t="s">
        <v>823</v>
      </c>
      <c r="D2288" s="56">
        <v>43112</v>
      </c>
      <c r="E2288" s="33" t="s">
        <v>781</v>
      </c>
      <c r="F2288" s="69" t="s">
        <v>532</v>
      </c>
      <c r="G2288" s="69" t="str">
        <f t="shared" si="35"/>
        <v>User Registration</v>
      </c>
      <c r="H2288" s="69" t="s">
        <v>364</v>
      </c>
      <c r="I2288" s="69" t="s">
        <v>828</v>
      </c>
      <c r="J2288" s="69" t="s">
        <v>827</v>
      </c>
      <c r="K2288" s="69" t="s">
        <v>829</v>
      </c>
      <c r="L2288" s="253">
        <v>0.63829317851959355</v>
      </c>
      <c r="M2288" s="253">
        <v>0.5966899911508956</v>
      </c>
      <c r="N2288" s="253">
        <v>0.54959999999999998</v>
      </c>
      <c r="O2288" s="253">
        <v>0.57025126913724822</v>
      </c>
      <c r="P2288" s="253">
        <v>0.64094339622641505</v>
      </c>
      <c r="Q2288" s="253">
        <v>0.63094594594594589</v>
      </c>
      <c r="R2288" s="253">
        <v>0.61480202611115065</v>
      </c>
      <c r="S2288" s="253">
        <v>0.51981132075471703</v>
      </c>
      <c r="T2288" s="253">
        <v>0.60839694656488552</v>
      </c>
      <c r="U2288" s="253">
        <v>0.5932510288065842</v>
      </c>
      <c r="V2288" s="253">
        <v>0</v>
      </c>
      <c r="W2288" s="253">
        <v>0.52400000000000002</v>
      </c>
      <c r="X2288" s="253">
        <v>0.59235294117647064</v>
      </c>
      <c r="Y2288" s="253">
        <v>0.54308333333333325</v>
      </c>
      <c r="Z2288" s="253">
        <v>0.62769230769230777</v>
      </c>
      <c r="AA2288" s="253"/>
      <c r="AB2288" s="253"/>
      <c r="AC2288" s="253"/>
      <c r="AD2288" s="253"/>
      <c r="AE2288" s="253"/>
    </row>
    <row r="2289" spans="1:31">
      <c r="A2289" s="33">
        <v>2288</v>
      </c>
      <c r="B2289" s="69" t="s">
        <v>827</v>
      </c>
      <c r="C2289" s="69" t="s">
        <v>823</v>
      </c>
      <c r="D2289" s="56">
        <v>43112</v>
      </c>
      <c r="E2289" s="33" t="s">
        <v>781</v>
      </c>
      <c r="F2289" s="69" t="s">
        <v>532</v>
      </c>
      <c r="G2289" s="69" t="str">
        <f t="shared" si="35"/>
        <v>Both</v>
      </c>
      <c r="H2289" s="69" t="s">
        <v>364</v>
      </c>
      <c r="I2289" s="69" t="s">
        <v>828</v>
      </c>
      <c r="J2289" s="69" t="s">
        <v>827</v>
      </c>
      <c r="K2289" s="69" t="s">
        <v>830</v>
      </c>
      <c r="L2289" s="253">
        <v>0.62855732946298992</v>
      </c>
      <c r="M2289" s="253">
        <v>0.63469199319385405</v>
      </c>
      <c r="N2289" s="253">
        <v>0.58839907280741754</v>
      </c>
      <c r="O2289" s="253">
        <v>0.6250617369510808</v>
      </c>
      <c r="P2289" s="253">
        <v>0.6437735849056605</v>
      </c>
      <c r="Q2289" s="253">
        <v>0.6668918918918918</v>
      </c>
      <c r="R2289" s="253">
        <v>0.65617321823500041</v>
      </c>
      <c r="S2289" s="253">
        <v>0.61415094339622633</v>
      </c>
      <c r="T2289" s="253">
        <v>0.66717557251908388</v>
      </c>
      <c r="U2289" s="253">
        <v>0.61119341563786012</v>
      </c>
      <c r="V2289" s="253">
        <v>0.60744186046511617</v>
      </c>
      <c r="W2289" s="253">
        <v>0.57899999999999996</v>
      </c>
      <c r="X2289" s="253">
        <v>0.54058823529411759</v>
      </c>
      <c r="Y2289" s="253">
        <v>0.63295833333333329</v>
      </c>
      <c r="Z2289" s="253">
        <v>0.56769230769230772</v>
      </c>
      <c r="AA2289" s="253"/>
      <c r="AB2289" s="253"/>
      <c r="AC2289" s="253"/>
      <c r="AD2289" s="253"/>
      <c r="AE2289" s="253"/>
    </row>
    <row r="2290" spans="1:31">
      <c r="A2290" s="33">
        <v>2289</v>
      </c>
      <c r="B2290" s="69" t="s">
        <v>779</v>
      </c>
      <c r="C2290" s="69" t="s">
        <v>65</v>
      </c>
      <c r="D2290" s="56">
        <v>43117</v>
      </c>
      <c r="E2290" s="33" t="s">
        <v>724</v>
      </c>
      <c r="G2290" s="69" t="str">
        <f t="shared" si="35"/>
        <v>E-Commerce</v>
      </c>
      <c r="H2290" s="69" t="s">
        <v>364</v>
      </c>
      <c r="I2290" s="69" t="s">
        <v>364</v>
      </c>
      <c r="J2290" s="69" t="s">
        <v>779</v>
      </c>
      <c r="K2290" s="69" t="s">
        <v>821</v>
      </c>
      <c r="L2290" s="253">
        <v>68.67837445573295</v>
      </c>
      <c r="M2290" s="253">
        <v>72.767980417862375</v>
      </c>
      <c r="N2290" s="255">
        <v>78.150000000000006</v>
      </c>
      <c r="O2290" s="253">
        <v>71.928146455710191</v>
      </c>
      <c r="P2290" s="253">
        <v>67.905660377358487</v>
      </c>
      <c r="Q2290" s="253">
        <v>68.567567567567551</v>
      </c>
      <c r="R2290" s="253">
        <v>66.844303615151944</v>
      </c>
      <c r="S2290" s="253">
        <v>81.839622641509436</v>
      </c>
      <c r="T2290" s="253">
        <v>73.091603053435122</v>
      </c>
      <c r="U2290" s="253">
        <v>75</v>
      </c>
      <c r="V2290" s="255">
        <v>77.05</v>
      </c>
      <c r="W2290" s="253"/>
      <c r="X2290" s="255">
        <v>81.819999999999993</v>
      </c>
      <c r="Y2290" s="253">
        <v>72.337499999999991</v>
      </c>
      <c r="Z2290" s="253">
        <v>71.769230769230759</v>
      </c>
      <c r="AA2290" s="253"/>
      <c r="AB2290" s="253"/>
      <c r="AC2290" s="253"/>
      <c r="AD2290" s="253"/>
      <c r="AE2290" s="253"/>
    </row>
    <row r="2291" spans="1:31">
      <c r="A2291" s="33">
        <v>2290</v>
      </c>
      <c r="B2291" s="69" t="s">
        <v>822</v>
      </c>
      <c r="C2291" s="69" t="s">
        <v>823</v>
      </c>
      <c r="D2291" s="56">
        <v>43117</v>
      </c>
      <c r="E2291" s="33" t="s">
        <v>824</v>
      </c>
      <c r="F2291" s="69" t="s">
        <v>532</v>
      </c>
      <c r="G2291" s="69" t="str">
        <f t="shared" si="35"/>
        <v>User Registration</v>
      </c>
      <c r="H2291" s="69" t="s">
        <v>508</v>
      </c>
      <c r="I2291" s="69" t="s">
        <v>825</v>
      </c>
      <c r="J2291" s="69" t="s">
        <v>822</v>
      </c>
      <c r="K2291" s="69" t="s">
        <v>826</v>
      </c>
      <c r="L2291" s="253">
        <v>0.59798548621190128</v>
      </c>
      <c r="M2291" s="253">
        <v>0.58183334368048634</v>
      </c>
      <c r="N2291" s="253">
        <v>0.56137160633484151</v>
      </c>
      <c r="O2291" s="253">
        <v>0.57940826708770732</v>
      </c>
      <c r="P2291" s="253">
        <v>0.61094339622641514</v>
      </c>
      <c r="Q2291" s="253">
        <v>0.60472972972972971</v>
      </c>
      <c r="R2291" s="253">
        <v>0.61199045535891827</v>
      </c>
      <c r="S2291" s="253">
        <v>0.56666666666666665</v>
      </c>
      <c r="T2291" s="253">
        <v>0.57138297872340427</v>
      </c>
      <c r="U2291" s="253">
        <v>0.56603448275862078</v>
      </c>
      <c r="V2291" s="253">
        <v>0</v>
      </c>
      <c r="W2291" s="253">
        <v>0.5653125</v>
      </c>
      <c r="X2291" s="253">
        <v>0.54823529411764704</v>
      </c>
      <c r="Y2291" s="253">
        <v>0.58161016949152533</v>
      </c>
      <c r="Z2291" s="253">
        <v>0.5461538461538461</v>
      </c>
      <c r="AA2291" s="253"/>
      <c r="AB2291" s="253"/>
      <c r="AC2291" s="253"/>
      <c r="AD2291" s="253"/>
      <c r="AE2291" s="253"/>
    </row>
    <row r="2292" spans="1:31">
      <c r="A2292" s="33">
        <v>2291</v>
      </c>
      <c r="B2292" s="69" t="s">
        <v>812</v>
      </c>
      <c r="C2292" s="69" t="s">
        <v>791</v>
      </c>
      <c r="D2292" s="56">
        <v>43122</v>
      </c>
      <c r="E2292" s="33" t="s">
        <v>724</v>
      </c>
      <c r="F2292" s="69" t="s">
        <v>380</v>
      </c>
      <c r="G2292" s="69" t="str">
        <f t="shared" si="35"/>
        <v>User Registration</v>
      </c>
      <c r="H2292" s="69" t="s">
        <v>807</v>
      </c>
      <c r="I2292" s="69" t="s">
        <v>808</v>
      </c>
      <c r="J2292" s="69" t="s">
        <v>812</v>
      </c>
      <c r="K2292" s="69" t="s">
        <v>813</v>
      </c>
      <c r="L2292" s="256"/>
      <c r="M2292" s="256"/>
      <c r="N2292" s="256"/>
      <c r="O2292" s="256"/>
      <c r="P2292" s="256"/>
      <c r="Q2292" s="257">
        <v>0.70945945945945943</v>
      </c>
      <c r="R2292" s="256"/>
      <c r="S2292" s="256"/>
      <c r="T2292" s="256"/>
      <c r="U2292" s="256"/>
      <c r="V2292" s="256"/>
      <c r="W2292" s="256">
        <v>0.01</v>
      </c>
      <c r="X2292" s="256"/>
      <c r="Y2292" s="256"/>
      <c r="Z2292" s="256"/>
      <c r="AA2292" s="253"/>
      <c r="AB2292" s="253"/>
      <c r="AC2292" s="253"/>
      <c r="AD2292" s="253"/>
      <c r="AE2292" s="253"/>
    </row>
    <row r="2293" spans="1:31">
      <c r="A2293" s="33">
        <v>2292</v>
      </c>
      <c r="B2293" s="69" t="s">
        <v>812</v>
      </c>
      <c r="C2293" s="69" t="s">
        <v>791</v>
      </c>
      <c r="D2293" s="56">
        <v>43122</v>
      </c>
      <c r="E2293" s="33" t="s">
        <v>724</v>
      </c>
      <c r="F2293" s="69" t="s">
        <v>380</v>
      </c>
      <c r="G2293" s="69" t="str">
        <f t="shared" si="35"/>
        <v>User Registration</v>
      </c>
      <c r="H2293" s="69" t="s">
        <v>807</v>
      </c>
      <c r="I2293" s="69" t="s">
        <v>808</v>
      </c>
      <c r="J2293" s="69" t="s">
        <v>812</v>
      </c>
      <c r="K2293" s="69" t="s">
        <v>814</v>
      </c>
      <c r="L2293" s="256"/>
      <c r="M2293" s="256"/>
      <c r="N2293" s="256"/>
      <c r="O2293" s="256"/>
      <c r="P2293" s="256"/>
      <c r="Q2293" s="256"/>
      <c r="R2293" s="257">
        <v>0.69797223054639901</v>
      </c>
      <c r="S2293" s="256"/>
      <c r="T2293" s="256"/>
      <c r="U2293" s="256"/>
      <c r="V2293" s="256"/>
      <c r="W2293" s="256">
        <v>0.50218750000000001</v>
      </c>
      <c r="X2293" s="256"/>
      <c r="Y2293" s="256"/>
      <c r="Z2293" s="256"/>
      <c r="AA2293" s="253"/>
      <c r="AB2293" s="253"/>
      <c r="AC2293" s="253"/>
      <c r="AD2293" s="253"/>
      <c r="AE2293" s="253"/>
    </row>
    <row r="2294" spans="1:31">
      <c r="A2294" s="33">
        <v>2293</v>
      </c>
      <c r="B2294" s="69" t="s">
        <v>812</v>
      </c>
      <c r="C2294" s="69" t="s">
        <v>791</v>
      </c>
      <c r="D2294" s="56">
        <v>43122</v>
      </c>
      <c r="E2294" s="33" t="s">
        <v>724</v>
      </c>
      <c r="F2294" s="69" t="s">
        <v>380</v>
      </c>
      <c r="G2294" s="69" t="str">
        <f t="shared" si="35"/>
        <v>User Registration</v>
      </c>
      <c r="H2294" s="69" t="s">
        <v>807</v>
      </c>
      <c r="I2294" s="69" t="s">
        <v>808</v>
      </c>
      <c r="J2294" s="69" t="s">
        <v>812</v>
      </c>
      <c r="K2294" s="69" t="s">
        <v>815</v>
      </c>
      <c r="L2294" s="256"/>
      <c r="M2294" s="256"/>
      <c r="N2294" s="256"/>
      <c r="O2294" s="256"/>
      <c r="P2294" s="256"/>
      <c r="Q2294" s="256"/>
      <c r="R2294" s="256"/>
      <c r="S2294" s="256"/>
      <c r="T2294" s="256"/>
      <c r="U2294" s="256"/>
      <c r="V2294" s="256"/>
      <c r="W2294" s="257">
        <v>0.69562499999999994</v>
      </c>
      <c r="X2294" s="256"/>
      <c r="Y2294" s="256"/>
      <c r="Z2294" s="256"/>
      <c r="AA2294" s="253"/>
      <c r="AB2294" s="253"/>
      <c r="AC2294" s="253"/>
      <c r="AD2294" s="253"/>
      <c r="AE2294" s="253"/>
    </row>
    <row r="2295" spans="1:31">
      <c r="A2295" s="33">
        <v>2294</v>
      </c>
      <c r="B2295" s="69" t="s">
        <v>816</v>
      </c>
      <c r="C2295" s="69" t="s">
        <v>791</v>
      </c>
      <c r="D2295" s="56">
        <v>43122</v>
      </c>
      <c r="E2295" s="33" t="s">
        <v>724</v>
      </c>
      <c r="F2295" s="69" t="s">
        <v>380</v>
      </c>
      <c r="G2295" s="69" t="str">
        <f t="shared" si="35"/>
        <v>E-Commerce</v>
      </c>
      <c r="H2295" s="69" t="s">
        <v>792</v>
      </c>
      <c r="I2295" s="69" t="s">
        <v>817</v>
      </c>
      <c r="J2295" s="69" t="s">
        <v>816</v>
      </c>
      <c r="K2295" s="69" t="s">
        <v>816</v>
      </c>
      <c r="L2295" s="253">
        <v>0.61634542815674898</v>
      </c>
      <c r="M2295" s="253">
        <v>0.58753334216420139</v>
      </c>
      <c r="N2295" s="253">
        <v>0.60468750000000004</v>
      </c>
      <c r="O2295" s="253">
        <v>0.56982519553399635</v>
      </c>
      <c r="P2295" s="253">
        <v>0.62754716981132086</v>
      </c>
      <c r="Q2295" s="253">
        <v>0.58837837837837836</v>
      </c>
      <c r="R2295" s="253">
        <v>0.64134420361900979</v>
      </c>
      <c r="S2295" s="253">
        <v>0.56634615384615383</v>
      </c>
      <c r="T2295" s="253">
        <v>0.57606382978723403</v>
      </c>
      <c r="U2295" s="253">
        <v>0.56327586206896552</v>
      </c>
      <c r="V2295" s="253">
        <v>0.60468750000000004</v>
      </c>
      <c r="W2295" s="253"/>
      <c r="X2295" s="253"/>
      <c r="Y2295" s="253">
        <v>0.55349999999999999</v>
      </c>
      <c r="Z2295" s="253">
        <v>0.57153846153846155</v>
      </c>
      <c r="AA2295" s="253"/>
      <c r="AB2295" s="253"/>
      <c r="AC2295" s="253"/>
      <c r="AD2295" s="253"/>
      <c r="AE2295" s="253"/>
    </row>
    <row r="2296" spans="1:31">
      <c r="A2296" s="33">
        <v>2295</v>
      </c>
      <c r="B2296" s="69" t="s">
        <v>816</v>
      </c>
      <c r="C2296" s="69" t="s">
        <v>791</v>
      </c>
      <c r="D2296" s="56">
        <v>43122</v>
      </c>
      <c r="E2296" s="33" t="s">
        <v>724</v>
      </c>
      <c r="F2296" s="69" t="s">
        <v>380</v>
      </c>
      <c r="G2296" s="69" t="str">
        <f t="shared" si="35"/>
        <v>E-Commerce</v>
      </c>
      <c r="H2296" s="69" t="s">
        <v>792</v>
      </c>
      <c r="I2296" s="69" t="s">
        <v>817</v>
      </c>
      <c r="J2296" s="69" t="s">
        <v>816</v>
      </c>
      <c r="K2296" s="69" t="s">
        <v>818</v>
      </c>
      <c r="L2296" s="253">
        <v>0.6523280116110306</v>
      </c>
      <c r="M2296" s="253">
        <v>0.64634436650916927</v>
      </c>
      <c r="N2296" s="253">
        <v>0.59389705882352939</v>
      </c>
      <c r="O2296" s="253">
        <v>0.59987318172633042</v>
      </c>
      <c r="P2296" s="253">
        <v>0.65867924528301891</v>
      </c>
      <c r="Q2296" s="253">
        <v>0.64202702702702696</v>
      </c>
      <c r="R2296" s="253">
        <v>0.68109763372439869</v>
      </c>
      <c r="S2296" s="253">
        <v>0.61826923076923079</v>
      </c>
      <c r="T2296" s="253">
        <v>0.64095744680851074</v>
      </c>
      <c r="U2296" s="253">
        <v>0.64850574712643683</v>
      </c>
      <c r="V2296" s="253">
        <v>0.59312500000000001</v>
      </c>
      <c r="W2296" s="253"/>
      <c r="X2296" s="253">
        <v>0.59647058823529409</v>
      </c>
      <c r="Y2296" s="253">
        <v>0.56945833333333329</v>
      </c>
      <c r="Z2296" s="253">
        <v>0.62692307692307692</v>
      </c>
      <c r="AA2296" s="253"/>
      <c r="AB2296" s="253"/>
      <c r="AC2296" s="253"/>
      <c r="AD2296" s="253"/>
      <c r="AE2296" s="253"/>
    </row>
    <row r="2297" spans="1:31">
      <c r="A2297" s="33">
        <v>2296</v>
      </c>
      <c r="B2297" s="69" t="s">
        <v>816</v>
      </c>
      <c r="C2297" s="69" t="s">
        <v>791</v>
      </c>
      <c r="D2297" s="56">
        <v>43122</v>
      </c>
      <c r="E2297" s="33" t="s">
        <v>724</v>
      </c>
      <c r="F2297" s="69" t="s">
        <v>380</v>
      </c>
      <c r="G2297" s="69" t="str">
        <f t="shared" si="35"/>
        <v>E-Commerce</v>
      </c>
      <c r="H2297" s="69" t="s">
        <v>792</v>
      </c>
      <c r="I2297" s="69" t="s">
        <v>817</v>
      </c>
      <c r="J2297" s="69" t="s">
        <v>816</v>
      </c>
      <c r="K2297" s="69" t="s">
        <v>819</v>
      </c>
      <c r="L2297" s="253">
        <v>0.60415384615384615</v>
      </c>
      <c r="M2297" s="253">
        <v>0.62280271391066711</v>
      </c>
      <c r="N2297" s="253">
        <v>0.54593749999999996</v>
      </c>
      <c r="O2297" s="253">
        <v>0.58084104386580171</v>
      </c>
      <c r="P2297" s="253">
        <v>0.61</v>
      </c>
      <c r="Q2297" s="253">
        <v>0.6182432432432432</v>
      </c>
      <c r="R2297" s="253">
        <v>0.67426923841718034</v>
      </c>
      <c r="S2297" s="253">
        <v>0.59375</v>
      </c>
      <c r="T2297" s="253">
        <v>0.60744680851063826</v>
      </c>
      <c r="U2297" s="253">
        <v>0.62425287356321835</v>
      </c>
      <c r="V2297" s="253">
        <v>0.54593749999999996</v>
      </c>
      <c r="W2297" s="253"/>
      <c r="X2297" s="253"/>
      <c r="Y2297" s="253">
        <v>0.55714583333333323</v>
      </c>
      <c r="Z2297" s="253">
        <v>0.58076923076923082</v>
      </c>
      <c r="AA2297" s="253"/>
      <c r="AB2297" s="253"/>
      <c r="AC2297" s="253"/>
      <c r="AD2297" s="253"/>
      <c r="AE2297" s="253"/>
    </row>
    <row r="2298" spans="1:31">
      <c r="A2298" s="33">
        <v>2297</v>
      </c>
      <c r="B2298" s="69" t="s">
        <v>816</v>
      </c>
      <c r="C2298" s="69" t="s">
        <v>791</v>
      </c>
      <c r="D2298" s="56">
        <v>43122</v>
      </c>
      <c r="E2298" s="33" t="s">
        <v>724</v>
      </c>
      <c r="F2298" s="69" t="s">
        <v>380</v>
      </c>
      <c r="G2298" s="69" t="str">
        <f t="shared" si="35"/>
        <v>E-Commerce</v>
      </c>
      <c r="H2298" s="69" t="s">
        <v>792</v>
      </c>
      <c r="I2298" s="69" t="s">
        <v>817</v>
      </c>
      <c r="J2298" s="69" t="s">
        <v>816</v>
      </c>
      <c r="K2298" s="69" t="s">
        <v>795</v>
      </c>
      <c r="L2298" s="253">
        <v>0.62924238026124824</v>
      </c>
      <c r="M2298" s="253">
        <v>0.60777559166198314</v>
      </c>
      <c r="N2298" s="253">
        <v>0.60187499999999994</v>
      </c>
      <c r="O2298" s="253">
        <v>0.6157421082249066</v>
      </c>
      <c r="P2298" s="253">
        <v>0.63924528301886796</v>
      </c>
      <c r="Q2298" s="253">
        <v>0.63243243243243241</v>
      </c>
      <c r="R2298" s="253">
        <v>0.60708689600318155</v>
      </c>
      <c r="S2298" s="253">
        <v>0.63269230769230778</v>
      </c>
      <c r="T2298" s="253">
        <v>0.57063829787234044</v>
      </c>
      <c r="U2298" s="253">
        <v>0.59850574712643667</v>
      </c>
      <c r="V2298" s="253">
        <v>0.60187499999999994</v>
      </c>
      <c r="W2298" s="253"/>
      <c r="X2298" s="253"/>
      <c r="Y2298" s="253">
        <v>0.62206250000000007</v>
      </c>
      <c r="Z2298" s="253">
        <v>0.58923076923076922</v>
      </c>
      <c r="AA2298" s="253"/>
      <c r="AB2298" s="253"/>
      <c r="AC2298" s="253"/>
      <c r="AD2298" s="253"/>
      <c r="AE2298" s="253"/>
    </row>
    <row r="2299" spans="1:31">
      <c r="A2299" s="33">
        <v>2298</v>
      </c>
      <c r="B2299" s="69" t="s">
        <v>816</v>
      </c>
      <c r="C2299" s="69" t="s">
        <v>791</v>
      </c>
      <c r="D2299" s="56">
        <v>43122</v>
      </c>
      <c r="E2299" s="33" t="s">
        <v>724</v>
      </c>
      <c r="F2299" s="69" t="s">
        <v>380</v>
      </c>
      <c r="G2299" s="69" t="str">
        <f t="shared" si="35"/>
        <v>E-Commerce</v>
      </c>
      <c r="H2299" s="69" t="s">
        <v>792</v>
      </c>
      <c r="I2299" s="69" t="s">
        <v>817</v>
      </c>
      <c r="J2299" s="69" t="s">
        <v>816</v>
      </c>
      <c r="K2299" s="69" t="s">
        <v>820</v>
      </c>
      <c r="L2299" s="253">
        <v>0.63646153846153852</v>
      </c>
      <c r="M2299" s="253">
        <v>0.60801515569925968</v>
      </c>
      <c r="N2299" s="253">
        <v>0.61874999999999991</v>
      </c>
      <c r="O2299" s="253">
        <v>0.58129051505852103</v>
      </c>
      <c r="P2299" s="253">
        <v>0.64</v>
      </c>
      <c r="Q2299" s="253">
        <v>0.56216216216216219</v>
      </c>
      <c r="R2299" s="253">
        <v>0.67885464307019294</v>
      </c>
      <c r="S2299" s="253">
        <v>0.64326923076923082</v>
      </c>
      <c r="T2299" s="253">
        <v>0.59095744680851059</v>
      </c>
      <c r="U2299" s="253">
        <v>0.55017241379310333</v>
      </c>
      <c r="V2299" s="253">
        <v>0.61874999999999991</v>
      </c>
      <c r="W2299" s="253"/>
      <c r="X2299" s="253"/>
      <c r="Y2299" s="253">
        <v>0.54518750000000016</v>
      </c>
      <c r="Z2299" s="253">
        <v>0.62230769230769234</v>
      </c>
      <c r="AA2299" s="253"/>
      <c r="AB2299" s="253"/>
      <c r="AC2299" s="253"/>
      <c r="AD2299" s="253"/>
      <c r="AE2299" s="253"/>
    </row>
    <row r="2300" spans="1:31">
      <c r="A2300" s="33">
        <v>2299</v>
      </c>
      <c r="B2300" s="69" t="s">
        <v>806</v>
      </c>
      <c r="C2300" s="69" t="s">
        <v>791</v>
      </c>
      <c r="D2300" s="56">
        <v>43123</v>
      </c>
      <c r="E2300" s="33" t="s">
        <v>724</v>
      </c>
      <c r="F2300" s="69" t="s">
        <v>380</v>
      </c>
      <c r="G2300" s="69" t="str">
        <f t="shared" si="35"/>
        <v>User Registration</v>
      </c>
      <c r="H2300" s="69" t="s">
        <v>807</v>
      </c>
      <c r="I2300" s="69" t="s">
        <v>808</v>
      </c>
      <c r="J2300" s="69" t="s">
        <v>806</v>
      </c>
      <c r="K2300" s="69" t="s">
        <v>806</v>
      </c>
      <c r="L2300" s="253">
        <v>0.61665021770682149</v>
      </c>
      <c r="M2300" s="253">
        <v>0.63480622924389407</v>
      </c>
      <c r="N2300" s="253">
        <v>0.63126696832579188</v>
      </c>
      <c r="O2300" s="253">
        <v>0.61130820253272533</v>
      </c>
      <c r="P2300" s="253">
        <v>0.61773584905660373</v>
      </c>
      <c r="Q2300" s="253">
        <v>0.62648648648648653</v>
      </c>
      <c r="R2300" s="253">
        <v>0.62812487572081932</v>
      </c>
      <c r="S2300" s="253">
        <v>0.61153846153846159</v>
      </c>
      <c r="T2300" s="253">
        <v>0.65148936170212768</v>
      </c>
      <c r="U2300" s="253">
        <v>0.66574712643678158</v>
      </c>
      <c r="V2300" s="253"/>
      <c r="W2300" s="253">
        <v>0.63500000000000001</v>
      </c>
      <c r="X2300" s="253">
        <v>0.61882352941176466</v>
      </c>
      <c r="Y2300" s="253">
        <v>0.60610416666666667</v>
      </c>
      <c r="Z2300" s="253">
        <v>0.61230769230769233</v>
      </c>
      <c r="AA2300" s="253"/>
      <c r="AB2300" s="253"/>
      <c r="AC2300" s="253"/>
      <c r="AD2300" s="253"/>
      <c r="AE2300" s="253"/>
    </row>
    <row r="2301" spans="1:31">
      <c r="A2301" s="33">
        <v>2300</v>
      </c>
      <c r="B2301" s="69" t="s">
        <v>806</v>
      </c>
      <c r="C2301" s="69" t="s">
        <v>791</v>
      </c>
      <c r="D2301" s="56">
        <v>43123</v>
      </c>
      <c r="E2301" s="33" t="s">
        <v>724</v>
      </c>
      <c r="F2301" s="69" t="s">
        <v>380</v>
      </c>
      <c r="G2301" s="69" t="str">
        <f t="shared" si="35"/>
        <v>User Registration</v>
      </c>
      <c r="H2301" s="69" t="s">
        <v>807</v>
      </c>
      <c r="I2301" s="69" t="s">
        <v>808</v>
      </c>
      <c r="J2301" s="69" t="s">
        <v>806</v>
      </c>
      <c r="K2301" s="69" t="s">
        <v>374</v>
      </c>
      <c r="L2301" s="253">
        <v>0.65442670537010161</v>
      </c>
      <c r="M2301" s="253">
        <v>0.66591987678739095</v>
      </c>
      <c r="N2301" s="253">
        <v>0.68187500000000001</v>
      </c>
      <c r="O2301" s="253">
        <v>0.67756860901301819</v>
      </c>
      <c r="P2301" s="253">
        <v>0.66226415094339619</v>
      </c>
      <c r="Q2301" s="253">
        <v>0.61689189189189175</v>
      </c>
      <c r="R2301" s="253">
        <v>0.68948498707496531</v>
      </c>
      <c r="S2301" s="253">
        <v>0.7221153846153846</v>
      </c>
      <c r="T2301" s="253">
        <v>0.66691489361702128</v>
      </c>
      <c r="U2301" s="253">
        <v>0.65316091954023003</v>
      </c>
      <c r="V2301" s="253"/>
      <c r="W2301" s="253">
        <v>0.68187500000000001</v>
      </c>
      <c r="X2301" s="253"/>
      <c r="Y2301" s="253">
        <v>0.69314583333333324</v>
      </c>
      <c r="Z2301" s="253">
        <v>0.62307692307692308</v>
      </c>
      <c r="AA2301" s="253"/>
      <c r="AB2301" s="253"/>
      <c r="AC2301" s="253"/>
      <c r="AD2301" s="253"/>
      <c r="AE2301" s="253"/>
    </row>
    <row r="2302" spans="1:31">
      <c r="A2302" s="33">
        <v>2301</v>
      </c>
      <c r="B2302" s="69" t="s">
        <v>806</v>
      </c>
      <c r="C2302" s="69" t="s">
        <v>791</v>
      </c>
      <c r="D2302" s="56">
        <v>43123</v>
      </c>
      <c r="E2302" s="33" t="s">
        <v>724</v>
      </c>
      <c r="F2302" s="69" t="s">
        <v>380</v>
      </c>
      <c r="G2302" s="69" t="str">
        <f t="shared" si="35"/>
        <v>User Registration</v>
      </c>
      <c r="H2302" s="69" t="s">
        <v>807</v>
      </c>
      <c r="I2302" s="69" t="s">
        <v>808</v>
      </c>
      <c r="J2302" s="69" t="s">
        <v>806</v>
      </c>
      <c r="K2302" s="69" t="s">
        <v>809</v>
      </c>
      <c r="L2302" s="253">
        <v>0.64802902757619729</v>
      </c>
      <c r="M2302" s="253">
        <v>0.63111582495566032</v>
      </c>
      <c r="N2302" s="253">
        <v>0.60675904977375561</v>
      </c>
      <c r="O2302" s="253">
        <v>0.590503308557908</v>
      </c>
      <c r="P2302" s="253">
        <v>0.65811320754716973</v>
      </c>
      <c r="Q2302" s="253">
        <v>0.59364864864864864</v>
      </c>
      <c r="R2302" s="253">
        <v>0.64893617021276595</v>
      </c>
      <c r="S2302" s="253">
        <v>0.59375</v>
      </c>
      <c r="T2302" s="253">
        <v>0.64893617021276595</v>
      </c>
      <c r="U2302" s="253">
        <v>0.67183908045977014</v>
      </c>
      <c r="V2302" s="253"/>
      <c r="W2302" s="253">
        <v>0.61937500000000001</v>
      </c>
      <c r="X2302" s="253">
        <v>0.56470588235294117</v>
      </c>
      <c r="Y2302" s="253">
        <v>0.57302083333333331</v>
      </c>
      <c r="Z2302" s="253">
        <v>0.60769230769230764</v>
      </c>
      <c r="AA2302" s="253"/>
      <c r="AB2302" s="253"/>
      <c r="AC2302" s="253"/>
      <c r="AD2302" s="253"/>
      <c r="AE2302" s="253"/>
    </row>
    <row r="2303" spans="1:31">
      <c r="A2303" s="33">
        <v>2302</v>
      </c>
      <c r="B2303" s="69" t="s">
        <v>806</v>
      </c>
      <c r="C2303" s="69" t="s">
        <v>791</v>
      </c>
      <c r="D2303" s="56">
        <v>43123</v>
      </c>
      <c r="E2303" s="33" t="s">
        <v>724</v>
      </c>
      <c r="F2303" s="69" t="s">
        <v>380</v>
      </c>
      <c r="G2303" s="69" t="str">
        <f t="shared" si="35"/>
        <v>User Registration</v>
      </c>
      <c r="H2303" s="69" t="s">
        <v>807</v>
      </c>
      <c r="I2303" s="69" t="s">
        <v>808</v>
      </c>
      <c r="J2303" s="69" t="s">
        <v>806</v>
      </c>
      <c r="K2303" s="69" t="s">
        <v>810</v>
      </c>
      <c r="L2303" s="253">
        <v>0.59665602322206102</v>
      </c>
      <c r="M2303" s="253">
        <v>0.60983292819230217</v>
      </c>
      <c r="N2303" s="253">
        <v>0.56168552036199093</v>
      </c>
      <c r="O2303" s="253">
        <v>0.6368462658970252</v>
      </c>
      <c r="P2303" s="253">
        <v>0.58235849056603772</v>
      </c>
      <c r="Q2303" s="253">
        <v>0.6032432432432433</v>
      </c>
      <c r="R2303" s="253">
        <v>0.57525352952873332</v>
      </c>
      <c r="S2303" s="253">
        <v>0.66995192307692308</v>
      </c>
      <c r="T2303" s="253">
        <v>0.58170212765957452</v>
      </c>
      <c r="U2303" s="253">
        <v>0.60086206896551719</v>
      </c>
      <c r="V2303" s="253"/>
      <c r="W2303" s="253">
        <v>0.55125000000000002</v>
      </c>
      <c r="X2303" s="253">
        <v>0.59647058823529409</v>
      </c>
      <c r="Y2303" s="253">
        <v>0.64411458333333338</v>
      </c>
      <c r="Z2303" s="253">
        <v>0.65384615384615385</v>
      </c>
      <c r="AA2303" s="253"/>
      <c r="AB2303" s="253"/>
      <c r="AC2303" s="253"/>
      <c r="AD2303" s="253"/>
      <c r="AE2303" s="253"/>
    </row>
    <row r="2304" spans="1:31">
      <c r="A2304" s="33">
        <v>2303</v>
      </c>
      <c r="B2304" s="69" t="s">
        <v>806</v>
      </c>
      <c r="C2304" s="69" t="s">
        <v>791</v>
      </c>
      <c r="D2304" s="56">
        <v>43123</v>
      </c>
      <c r="E2304" s="33" t="s">
        <v>724</v>
      </c>
      <c r="F2304" s="69" t="s">
        <v>380</v>
      </c>
      <c r="G2304" s="69" t="str">
        <f t="shared" si="35"/>
        <v>User Registration</v>
      </c>
      <c r="H2304" s="69" t="s">
        <v>807</v>
      </c>
      <c r="I2304" s="69" t="s">
        <v>808</v>
      </c>
      <c r="J2304" s="69" t="s">
        <v>806</v>
      </c>
      <c r="K2304" s="69" t="s">
        <v>811</v>
      </c>
      <c r="L2304" s="253">
        <v>0.66733526850507985</v>
      </c>
      <c r="M2304" s="253">
        <v>0.65558422062331767</v>
      </c>
      <c r="N2304" s="253">
        <v>0.5675</v>
      </c>
      <c r="O2304" s="253">
        <v>0.65117499223795938</v>
      </c>
      <c r="P2304" s="253">
        <v>0.68320754716981136</v>
      </c>
      <c r="Q2304" s="253">
        <v>0.65756756756756751</v>
      </c>
      <c r="R2304" s="253">
        <v>0.62246967587989654</v>
      </c>
      <c r="S2304" s="253">
        <v>0.69759615384615381</v>
      </c>
      <c r="T2304" s="253">
        <v>0.62340425531914889</v>
      </c>
      <c r="U2304" s="253">
        <v>0.69350574712643676</v>
      </c>
      <c r="V2304" s="253"/>
      <c r="W2304" s="253">
        <v>0.5675</v>
      </c>
      <c r="X2304" s="253"/>
      <c r="Y2304" s="253">
        <v>0.66583333333333339</v>
      </c>
      <c r="Z2304" s="253">
        <v>0.60384615384615381</v>
      </c>
      <c r="AA2304" s="253"/>
      <c r="AB2304" s="253"/>
      <c r="AC2304" s="253"/>
      <c r="AD2304" s="253"/>
      <c r="AE2304" s="253"/>
    </row>
    <row r="2305" spans="1:31">
      <c r="A2305" s="33">
        <v>2304</v>
      </c>
      <c r="B2305" s="69" t="s">
        <v>779</v>
      </c>
      <c r="C2305" s="69" t="s">
        <v>779</v>
      </c>
      <c r="D2305" s="56">
        <v>43124</v>
      </c>
      <c r="E2305" s="33" t="s">
        <v>724</v>
      </c>
      <c r="G2305" s="69" t="str">
        <f t="shared" si="35"/>
        <v>E-Commerce</v>
      </c>
      <c r="H2305" s="69" t="s">
        <v>364</v>
      </c>
      <c r="I2305" s="69" t="s">
        <v>726</v>
      </c>
      <c r="J2305" s="69" t="s">
        <v>779</v>
      </c>
      <c r="K2305" s="69" t="s">
        <v>669</v>
      </c>
      <c r="L2305" s="255">
        <v>66.72</v>
      </c>
      <c r="M2305" s="255">
        <v>70.33</v>
      </c>
      <c r="N2305" s="255">
        <v>69.719141323792471</v>
      </c>
      <c r="O2305" s="255">
        <v>66.790000000000006</v>
      </c>
      <c r="P2305" s="253">
        <v>66.000000000000014</v>
      </c>
      <c r="Q2305" s="253">
        <v>68.067567567567579</v>
      </c>
      <c r="R2305" s="255">
        <v>73.251332277113605</v>
      </c>
      <c r="S2305" s="253">
        <v>66.874999999999986</v>
      </c>
      <c r="T2305" s="253">
        <v>70.610687022900763</v>
      </c>
      <c r="U2305" s="253">
        <v>73.17916666666666</v>
      </c>
      <c r="V2305" s="253">
        <v>70.534883720930225</v>
      </c>
      <c r="W2305" s="253"/>
      <c r="X2305" s="253">
        <v>67</v>
      </c>
      <c r="Y2305" s="253">
        <v>65.317796610169495</v>
      </c>
      <c r="Z2305" s="253">
        <v>66.92307692307692</v>
      </c>
      <c r="AA2305" s="253"/>
      <c r="AB2305" s="253"/>
      <c r="AC2305" s="253"/>
      <c r="AD2305" s="253"/>
      <c r="AE2305" s="253"/>
    </row>
    <row r="2306" spans="1:31">
      <c r="A2306" s="33">
        <v>2305</v>
      </c>
      <c r="B2306" s="69" t="s">
        <v>799</v>
      </c>
      <c r="C2306" s="69" t="s">
        <v>740</v>
      </c>
      <c r="D2306" s="56">
        <v>43124</v>
      </c>
      <c r="E2306" s="33" t="s">
        <v>800</v>
      </c>
      <c r="F2306" s="69" t="s">
        <v>532</v>
      </c>
      <c r="G2306" s="69" t="str">
        <f t="shared" ref="G2306:G2369" si="36">IF(V2306&gt;0,IF(W2306&gt;0,"Both","E-Commerce"),IF(W2306=0, "ERROR","User Registration"))</f>
        <v>E-Commerce</v>
      </c>
      <c r="H2306" s="69" t="s">
        <v>364</v>
      </c>
      <c r="I2306" s="69" t="s">
        <v>765</v>
      </c>
      <c r="J2306" s="69" t="s">
        <v>799</v>
      </c>
      <c r="K2306" s="69" t="s">
        <v>799</v>
      </c>
      <c r="L2306" s="253">
        <v>0.6007024673439767</v>
      </c>
      <c r="M2306" s="253">
        <v>0.61596854956023672</v>
      </c>
      <c r="N2306" s="253">
        <v>0.58107334525939192</v>
      </c>
      <c r="O2306" s="253">
        <v>0.59982127608578173</v>
      </c>
      <c r="P2306" s="253">
        <v>0.58683962264150935</v>
      </c>
      <c r="Q2306" s="253">
        <v>0.62662162162162172</v>
      </c>
      <c r="R2306" s="253">
        <v>0.63193622030391672</v>
      </c>
      <c r="S2306" s="253">
        <v>0.57889150943396228</v>
      </c>
      <c r="T2306" s="253">
        <v>0.63778625954198476</v>
      </c>
      <c r="U2306" s="253">
        <v>0.59197530864197545</v>
      </c>
      <c r="V2306" s="253">
        <v>0.58139534883720945</v>
      </c>
      <c r="W2306" s="253">
        <v>0</v>
      </c>
      <c r="X2306" s="253">
        <v>0.58000000000000007</v>
      </c>
      <c r="Y2306" s="253">
        <v>0.57591145833333335</v>
      </c>
      <c r="Z2306" s="253">
        <v>0.65615384615384609</v>
      </c>
      <c r="AA2306" s="253"/>
      <c r="AB2306" s="253"/>
      <c r="AC2306" s="253"/>
      <c r="AD2306" s="253"/>
      <c r="AE2306" s="253"/>
    </row>
    <row r="2307" spans="1:31">
      <c r="A2307" s="33">
        <v>2306</v>
      </c>
      <c r="B2307" s="69" t="s">
        <v>799</v>
      </c>
      <c r="C2307" s="69" t="s">
        <v>740</v>
      </c>
      <c r="D2307" s="56">
        <v>43124</v>
      </c>
      <c r="E2307" s="33" t="s">
        <v>800</v>
      </c>
      <c r="F2307" s="69" t="s">
        <v>532</v>
      </c>
      <c r="G2307" s="69" t="str">
        <f t="shared" si="36"/>
        <v>E-Commerce</v>
      </c>
      <c r="H2307" s="69" t="s">
        <v>364</v>
      </c>
      <c r="I2307" s="69" t="s">
        <v>765</v>
      </c>
      <c r="J2307" s="69" t="s">
        <v>799</v>
      </c>
      <c r="K2307" s="69" t="s">
        <v>801</v>
      </c>
      <c r="L2307" s="253">
        <v>0.59064441219158192</v>
      </c>
      <c r="M2307" s="253">
        <v>0.60851708844461083</v>
      </c>
      <c r="N2307" s="253">
        <v>0.64088708828790908</v>
      </c>
      <c r="O2307" s="253">
        <v>0.56276261305696096</v>
      </c>
      <c r="P2307" s="253">
        <v>0.59811320754716968</v>
      </c>
      <c r="Q2307" s="253">
        <v>0.63310810810810814</v>
      </c>
      <c r="R2307" s="253">
        <v>0.60103374473853177</v>
      </c>
      <c r="S2307" s="253">
        <v>0.60698113207547177</v>
      </c>
      <c r="T2307" s="253">
        <v>0.60534351145038168</v>
      </c>
      <c r="U2307" s="253">
        <v>0.61855967078189289</v>
      </c>
      <c r="V2307" s="253">
        <v>0.64097674418604655</v>
      </c>
      <c r="W2307" s="253">
        <v>0</v>
      </c>
      <c r="X2307" s="253">
        <v>0.64058823529411768</v>
      </c>
      <c r="Y2307" s="253">
        <v>0.54425000000000001</v>
      </c>
      <c r="Z2307" s="253">
        <v>0.5607692307692308</v>
      </c>
      <c r="AA2307" s="253"/>
      <c r="AB2307" s="253"/>
      <c r="AC2307" s="253"/>
      <c r="AD2307" s="253"/>
      <c r="AE2307" s="253"/>
    </row>
    <row r="2308" spans="1:31">
      <c r="A2308" s="33">
        <v>2307</v>
      </c>
      <c r="B2308" s="69" t="s">
        <v>799</v>
      </c>
      <c r="C2308" s="69" t="s">
        <v>740</v>
      </c>
      <c r="D2308" s="56">
        <v>43124</v>
      </c>
      <c r="E2308" s="33" t="s">
        <v>800</v>
      </c>
      <c r="F2308" s="69" t="s">
        <v>532</v>
      </c>
      <c r="G2308" s="69" t="str">
        <f t="shared" si="36"/>
        <v>E-Commerce</v>
      </c>
      <c r="H2308" s="69" t="s">
        <v>364</v>
      </c>
      <c r="I2308" s="69" t="s">
        <v>765</v>
      </c>
      <c r="J2308" s="69" t="s">
        <v>799</v>
      </c>
      <c r="K2308" s="69" t="s">
        <v>802</v>
      </c>
      <c r="L2308" s="253">
        <v>0.61672278664731484</v>
      </c>
      <c r="M2308" s="253">
        <v>0.59265094827189713</v>
      </c>
      <c r="N2308" s="253">
        <v>0.55409975797116706</v>
      </c>
      <c r="O2308" s="253">
        <v>0.57130477418952352</v>
      </c>
      <c r="P2308" s="253">
        <v>0.63301886792452811</v>
      </c>
      <c r="Q2308" s="253">
        <v>0.60878378378378384</v>
      </c>
      <c r="R2308" s="253">
        <v>0.60824712848683737</v>
      </c>
      <c r="S2308" s="253">
        <v>0.54103773584905657</v>
      </c>
      <c r="T2308" s="253">
        <v>0.62137404580152666</v>
      </c>
      <c r="U2308" s="253">
        <v>0.60465020576131689</v>
      </c>
      <c r="V2308" s="253">
        <v>0.55497674418604659</v>
      </c>
      <c r="W2308" s="253">
        <v>0</v>
      </c>
      <c r="X2308" s="253">
        <v>0.55117647058823527</v>
      </c>
      <c r="Y2308" s="253">
        <v>0.56912499999999999</v>
      </c>
      <c r="Z2308" s="253">
        <v>0.55153846153846153</v>
      </c>
      <c r="AA2308" s="253"/>
      <c r="AB2308" s="253"/>
      <c r="AC2308" s="253"/>
      <c r="AD2308" s="253"/>
      <c r="AE2308" s="253"/>
    </row>
    <row r="2309" spans="1:31">
      <c r="A2309" s="33">
        <v>2308</v>
      </c>
      <c r="B2309" s="69" t="s">
        <v>799</v>
      </c>
      <c r="C2309" s="69" t="s">
        <v>740</v>
      </c>
      <c r="D2309" s="56">
        <v>43124</v>
      </c>
      <c r="E2309" s="33" t="s">
        <v>800</v>
      </c>
      <c r="F2309" s="69" t="s">
        <v>532</v>
      </c>
      <c r="G2309" s="69" t="str">
        <f t="shared" si="36"/>
        <v>E-Commerce</v>
      </c>
      <c r="H2309" s="69" t="s">
        <v>364</v>
      </c>
      <c r="I2309" s="69" t="s">
        <v>765</v>
      </c>
      <c r="J2309" s="69" t="s">
        <v>799</v>
      </c>
      <c r="K2309" s="69" t="s">
        <v>803</v>
      </c>
      <c r="L2309" s="253">
        <v>0.66972133526850508</v>
      </c>
      <c r="M2309" s="253">
        <v>0.63702727032535311</v>
      </c>
      <c r="N2309" s="253">
        <v>0.65599705356203297</v>
      </c>
      <c r="O2309" s="253">
        <v>0.58092443613810552</v>
      </c>
      <c r="P2309" s="253">
        <v>0.67811320754716986</v>
      </c>
      <c r="Q2309" s="253">
        <v>0.60554054054054052</v>
      </c>
      <c r="R2309" s="253">
        <v>0.66804023685524727</v>
      </c>
      <c r="S2309" s="253">
        <v>0.5929245283018868</v>
      </c>
      <c r="T2309" s="253">
        <v>0.65267175572519087</v>
      </c>
      <c r="U2309" s="253">
        <v>0.65744855967078197</v>
      </c>
      <c r="V2309" s="253">
        <v>0.6583255813953488</v>
      </c>
      <c r="W2309" s="253">
        <v>0</v>
      </c>
      <c r="X2309" s="253">
        <v>0.64823529411764702</v>
      </c>
      <c r="Y2309" s="253">
        <v>0.54327083333333326</v>
      </c>
      <c r="Z2309" s="253">
        <v>0.63615384615384618</v>
      </c>
      <c r="AA2309" s="253"/>
      <c r="AB2309" s="253"/>
      <c r="AC2309" s="253"/>
      <c r="AD2309" s="253"/>
      <c r="AE2309" s="253"/>
    </row>
    <row r="2310" spans="1:31">
      <c r="A2310" s="33">
        <v>2309</v>
      </c>
      <c r="B2310" s="69" t="s">
        <v>799</v>
      </c>
      <c r="C2310" s="69" t="s">
        <v>740</v>
      </c>
      <c r="D2310" s="56">
        <v>43124</v>
      </c>
      <c r="E2310" s="33" t="s">
        <v>800</v>
      </c>
      <c r="F2310" s="69" t="s">
        <v>532</v>
      </c>
      <c r="G2310" s="69" t="str">
        <f t="shared" si="36"/>
        <v>E-Commerce</v>
      </c>
      <c r="H2310" s="69" t="s">
        <v>364</v>
      </c>
      <c r="I2310" s="69" t="s">
        <v>765</v>
      </c>
      <c r="J2310" s="69" t="s">
        <v>799</v>
      </c>
      <c r="K2310" s="69" t="s">
        <v>804</v>
      </c>
      <c r="L2310" s="253">
        <v>0.61985776487663269</v>
      </c>
      <c r="M2310" s="253">
        <v>0.58109322023624854</v>
      </c>
      <c r="N2310" s="253">
        <v>0.56351257497632323</v>
      </c>
      <c r="O2310" s="253">
        <v>0.60559129231971587</v>
      </c>
      <c r="P2310" s="253">
        <v>0.61924528301886783</v>
      </c>
      <c r="Q2310" s="253">
        <v>0.56729729729729739</v>
      </c>
      <c r="R2310" s="253">
        <v>0.61708639509167451</v>
      </c>
      <c r="S2310" s="253">
        <v>0.58207547169811324</v>
      </c>
      <c r="T2310" s="253">
        <v>0.57213740458015272</v>
      </c>
      <c r="U2310" s="253">
        <v>0.54423868312757206</v>
      </c>
      <c r="V2310" s="253">
        <v>0.57586046511627909</v>
      </c>
      <c r="W2310" s="253">
        <v>0</v>
      </c>
      <c r="X2310" s="253">
        <v>0.52235294117647058</v>
      </c>
      <c r="Y2310" s="253">
        <v>0.60445833333333332</v>
      </c>
      <c r="Z2310" s="253">
        <v>0.62230769230769234</v>
      </c>
      <c r="AA2310" s="253"/>
      <c r="AB2310" s="253"/>
      <c r="AC2310" s="253"/>
      <c r="AD2310" s="253"/>
      <c r="AE2310" s="253"/>
    </row>
    <row r="2311" spans="1:31">
      <c r="A2311" s="33">
        <v>2310</v>
      </c>
      <c r="B2311" s="69" t="s">
        <v>799</v>
      </c>
      <c r="C2311" s="69" t="s">
        <v>740</v>
      </c>
      <c r="D2311" s="56">
        <v>43124</v>
      </c>
      <c r="E2311" s="33" t="s">
        <v>800</v>
      </c>
      <c r="F2311" s="69" t="s">
        <v>532</v>
      </c>
      <c r="G2311" s="69" t="str">
        <f t="shared" si="36"/>
        <v>E-Commerce</v>
      </c>
      <c r="H2311" s="69" t="s">
        <v>364</v>
      </c>
      <c r="I2311" s="69" t="s">
        <v>765</v>
      </c>
      <c r="J2311" s="69" t="s">
        <v>799</v>
      </c>
      <c r="K2311" s="69" t="s">
        <v>805</v>
      </c>
      <c r="L2311" s="253">
        <v>0.62341944847605224</v>
      </c>
      <c r="M2311" s="253">
        <v>0.59710311861012755</v>
      </c>
      <c r="N2311" s="253">
        <v>0.62184888982426612</v>
      </c>
      <c r="O2311" s="253">
        <v>0.59792918780098303</v>
      </c>
      <c r="P2311" s="253">
        <v>0.63773584905660374</v>
      </c>
      <c r="Q2311" s="253">
        <v>0.61932432432432427</v>
      </c>
      <c r="R2311" s="253">
        <v>0.61292930013554969</v>
      </c>
      <c r="S2311" s="253">
        <v>0.55094339622641519</v>
      </c>
      <c r="T2311" s="253">
        <v>0.61755725190839694</v>
      </c>
      <c r="U2311" s="253">
        <v>0.60053497942386824</v>
      </c>
      <c r="V2311" s="253">
        <v>0.62469767441860469</v>
      </c>
      <c r="W2311" s="253">
        <v>0</v>
      </c>
      <c r="X2311" s="253">
        <v>0.61235294117647066</v>
      </c>
      <c r="Y2311" s="253">
        <v>0.60702083333333334</v>
      </c>
      <c r="Z2311" s="253">
        <v>0.56615384615384612</v>
      </c>
      <c r="AA2311" s="253"/>
      <c r="AB2311" s="253"/>
      <c r="AC2311" s="253"/>
      <c r="AD2311" s="253"/>
      <c r="AE2311" s="253"/>
    </row>
    <row r="2312" spans="1:31">
      <c r="A2312" s="33">
        <v>2311</v>
      </c>
      <c r="B2312" s="69" t="s">
        <v>790</v>
      </c>
      <c r="C2312" s="69" t="s">
        <v>791</v>
      </c>
      <c r="D2312" s="56">
        <v>43125</v>
      </c>
      <c r="E2312" s="33" t="s">
        <v>724</v>
      </c>
      <c r="F2312" s="69" t="s">
        <v>380</v>
      </c>
      <c r="G2312" s="69" t="str">
        <f t="shared" si="36"/>
        <v>E-Commerce</v>
      </c>
      <c r="H2312" s="69" t="s">
        <v>792</v>
      </c>
      <c r="I2312" s="69" t="s">
        <v>793</v>
      </c>
      <c r="J2312" s="69" t="s">
        <v>790</v>
      </c>
      <c r="K2312" s="69" t="s">
        <v>790</v>
      </c>
      <c r="L2312" s="253">
        <v>0.58209288824383176</v>
      </c>
      <c r="M2312" s="253">
        <v>0.57597709140579378</v>
      </c>
      <c r="N2312" s="253">
        <v>0.55400000000000005</v>
      </c>
      <c r="O2312" s="253">
        <v>0.56530406026824831</v>
      </c>
      <c r="P2312" s="253">
        <v>0.57396226415094354</v>
      </c>
      <c r="Q2312" s="253">
        <v>0.57175675675675675</v>
      </c>
      <c r="R2312" s="253">
        <v>0.57991867018620247</v>
      </c>
      <c r="S2312" s="253">
        <v>0.55660377358490565</v>
      </c>
      <c r="T2312" s="253">
        <v>0.59885496183206099</v>
      </c>
      <c r="U2312" s="253">
        <v>0.56172839506172845</v>
      </c>
      <c r="V2312" s="253">
        <v>0.55400000000000005</v>
      </c>
      <c r="W2312" s="253"/>
      <c r="X2312" s="253"/>
      <c r="Y2312" s="253">
        <v>0.54781249999999992</v>
      </c>
      <c r="Z2312" s="253">
        <v>0.61461538461538467</v>
      </c>
      <c r="AA2312" s="253"/>
      <c r="AB2312" s="253"/>
      <c r="AC2312" s="253"/>
      <c r="AD2312" s="253"/>
      <c r="AE2312" s="253"/>
    </row>
    <row r="2313" spans="1:31">
      <c r="A2313" s="33">
        <v>2312</v>
      </c>
      <c r="B2313" s="69" t="s">
        <v>790</v>
      </c>
      <c r="C2313" s="69" t="s">
        <v>791</v>
      </c>
      <c r="D2313" s="56">
        <v>43125</v>
      </c>
      <c r="E2313" s="33" t="s">
        <v>724</v>
      </c>
      <c r="F2313" s="69" t="s">
        <v>380</v>
      </c>
      <c r="G2313" s="69" t="str">
        <f t="shared" si="36"/>
        <v>E-Commerce</v>
      </c>
      <c r="H2313" s="69" t="s">
        <v>792</v>
      </c>
      <c r="I2313" s="69" t="s">
        <v>793</v>
      </c>
      <c r="J2313" s="69" t="s">
        <v>790</v>
      </c>
      <c r="K2313" s="69" t="s">
        <v>794</v>
      </c>
      <c r="L2313" s="253">
        <v>0.6234600870827286</v>
      </c>
      <c r="M2313" s="253">
        <v>0.60290290011102088</v>
      </c>
      <c r="N2313" s="253">
        <v>0.59599999999999997</v>
      </c>
      <c r="O2313" s="253">
        <v>0.58946718852911184</v>
      </c>
      <c r="P2313" s="253">
        <v>0.6350943396226415</v>
      </c>
      <c r="Q2313" s="253">
        <v>0.58445945945945943</v>
      </c>
      <c r="R2313" s="253">
        <v>0.66233002782335737</v>
      </c>
      <c r="S2313" s="253">
        <v>0.60188679245283028</v>
      </c>
      <c r="T2313" s="253">
        <v>0.55648854961832062</v>
      </c>
      <c r="U2313" s="253">
        <v>0.5972839506172839</v>
      </c>
      <c r="V2313" s="253">
        <v>0.59599999999999997</v>
      </c>
      <c r="W2313" s="253"/>
      <c r="X2313" s="253"/>
      <c r="Y2313" s="253">
        <v>0.57791666666666675</v>
      </c>
      <c r="Z2313" s="253">
        <v>0.57692307692307687</v>
      </c>
      <c r="AA2313" s="253"/>
      <c r="AB2313" s="253"/>
      <c r="AC2313" s="253"/>
      <c r="AD2313" s="253"/>
      <c r="AE2313" s="253"/>
    </row>
    <row r="2314" spans="1:31">
      <c r="A2314" s="33">
        <v>2313</v>
      </c>
      <c r="B2314" s="69" t="s">
        <v>790</v>
      </c>
      <c r="C2314" s="69" t="s">
        <v>791</v>
      </c>
      <c r="D2314" s="56">
        <v>43125</v>
      </c>
      <c r="E2314" s="33" t="s">
        <v>724</v>
      </c>
      <c r="F2314" s="69" t="s">
        <v>380</v>
      </c>
      <c r="G2314" s="69" t="str">
        <f t="shared" si="36"/>
        <v>E-Commerce</v>
      </c>
      <c r="H2314" s="69" t="s">
        <v>792</v>
      </c>
      <c r="I2314" s="69" t="s">
        <v>793</v>
      </c>
      <c r="J2314" s="69" t="s">
        <v>790</v>
      </c>
      <c r="K2314" s="69" t="s">
        <v>795</v>
      </c>
      <c r="L2314" s="253">
        <v>0.62924238026124824</v>
      </c>
      <c r="M2314" s="253">
        <v>0.60777696867365605</v>
      </c>
      <c r="N2314" s="253">
        <v>0.60187499999999994</v>
      </c>
      <c r="O2314" s="253">
        <v>0.6157421082249066</v>
      </c>
      <c r="P2314" s="253">
        <v>0.63924528301886796</v>
      </c>
      <c r="Q2314" s="253">
        <v>0.63243243243243241</v>
      </c>
      <c r="R2314" s="253">
        <v>0.60708689600318155</v>
      </c>
      <c r="S2314" s="253">
        <v>0.63269230769230778</v>
      </c>
      <c r="T2314" s="253">
        <v>0.57064885496183215</v>
      </c>
      <c r="U2314" s="253">
        <v>0.59850574712643667</v>
      </c>
      <c r="V2314" s="253">
        <v>0.60187499999999994</v>
      </c>
      <c r="W2314" s="253"/>
      <c r="X2314" s="253"/>
      <c r="Y2314" s="253">
        <v>0.62206250000000007</v>
      </c>
      <c r="Z2314" s="253">
        <v>0.58923076923076922</v>
      </c>
      <c r="AA2314" s="253"/>
      <c r="AB2314" s="253"/>
      <c r="AC2314" s="253"/>
      <c r="AD2314" s="253"/>
      <c r="AE2314" s="253"/>
    </row>
    <row r="2315" spans="1:31">
      <c r="A2315" s="33">
        <v>2314</v>
      </c>
      <c r="B2315" s="69" t="s">
        <v>790</v>
      </c>
      <c r="C2315" s="69" t="s">
        <v>791</v>
      </c>
      <c r="D2315" s="56">
        <v>43125</v>
      </c>
      <c r="E2315" s="33" t="s">
        <v>724</v>
      </c>
      <c r="F2315" s="69" t="s">
        <v>380</v>
      </c>
      <c r="G2315" s="69" t="str">
        <f t="shared" si="36"/>
        <v>E-Commerce</v>
      </c>
      <c r="H2315" s="69" t="s">
        <v>792</v>
      </c>
      <c r="I2315" s="69" t="s">
        <v>793</v>
      </c>
      <c r="J2315" s="69" t="s">
        <v>790</v>
      </c>
      <c r="K2315" s="69" t="s">
        <v>796</v>
      </c>
      <c r="L2315" s="253">
        <v>0.63559941944847598</v>
      </c>
      <c r="M2315" s="253">
        <v>0.61489631664076938</v>
      </c>
      <c r="N2315" s="253">
        <v>0.61199999999999999</v>
      </c>
      <c r="O2315" s="253">
        <v>0.62906358052482159</v>
      </c>
      <c r="P2315" s="253">
        <v>0.64603773584905655</v>
      </c>
      <c r="Q2315" s="253">
        <v>0.57972972972972969</v>
      </c>
      <c r="R2315" s="253">
        <v>0.62800028536776775</v>
      </c>
      <c r="S2315" s="253">
        <v>0.59660377358490557</v>
      </c>
      <c r="T2315" s="253">
        <v>0.6152671755725192</v>
      </c>
      <c r="U2315" s="253">
        <v>0.65275720164609041</v>
      </c>
      <c r="V2315" s="253">
        <v>0.61199999999999999</v>
      </c>
      <c r="W2315" s="253"/>
      <c r="X2315" s="253"/>
      <c r="Y2315" s="253">
        <v>0.64802083333333338</v>
      </c>
      <c r="Z2315" s="253">
        <v>0.59384615384615391</v>
      </c>
      <c r="AA2315" s="253"/>
      <c r="AB2315" s="253"/>
      <c r="AC2315" s="253"/>
      <c r="AD2315" s="253"/>
      <c r="AE2315" s="253"/>
    </row>
    <row r="2316" spans="1:31">
      <c r="A2316" s="33">
        <v>2315</v>
      </c>
      <c r="B2316" s="69" t="s">
        <v>790</v>
      </c>
      <c r="C2316" s="69" t="s">
        <v>791</v>
      </c>
      <c r="D2316" s="56">
        <v>43125</v>
      </c>
      <c r="E2316" s="33" t="s">
        <v>724</v>
      </c>
      <c r="F2316" s="69" t="s">
        <v>380</v>
      </c>
      <c r="G2316" s="69" t="str">
        <f t="shared" si="36"/>
        <v>E-Commerce</v>
      </c>
      <c r="H2316" s="69" t="s">
        <v>792</v>
      </c>
      <c r="I2316" s="69" t="s">
        <v>793</v>
      </c>
      <c r="J2316" s="69" t="s">
        <v>790</v>
      </c>
      <c r="K2316" s="69" t="s">
        <v>797</v>
      </c>
      <c r="L2316" s="253">
        <v>0.62830188679245313</v>
      </c>
      <c r="M2316" s="253">
        <v>0.60666671734821254</v>
      </c>
      <c r="N2316" s="253">
        <v>0.64300000000000002</v>
      </c>
      <c r="O2316" s="253">
        <v>0.58980607899076021</v>
      </c>
      <c r="P2316" s="253">
        <v>0.63037735849056631</v>
      </c>
      <c r="Q2316" s="253">
        <v>0.60175675675675677</v>
      </c>
      <c r="R2316" s="253">
        <v>0.61394734964685738</v>
      </c>
      <c r="S2316" s="253">
        <v>0.63830188679245281</v>
      </c>
      <c r="T2316" s="253">
        <v>0.58320610687022889</v>
      </c>
      <c r="U2316" s="253">
        <v>0.58674897119341562</v>
      </c>
      <c r="V2316" s="253">
        <v>0.64300000000000002</v>
      </c>
      <c r="W2316" s="253"/>
      <c r="X2316" s="253"/>
      <c r="Y2316" s="253">
        <v>0.56987500000000002</v>
      </c>
      <c r="Z2316" s="253">
        <v>0.62000000000000011</v>
      </c>
      <c r="AA2316" s="253"/>
      <c r="AB2316" s="253"/>
      <c r="AC2316" s="253"/>
      <c r="AD2316" s="253"/>
      <c r="AE2316" s="253"/>
    </row>
    <row r="2317" spans="1:31">
      <c r="A2317" s="33">
        <v>2316</v>
      </c>
      <c r="B2317" s="69" t="s">
        <v>790</v>
      </c>
      <c r="C2317" s="69" t="s">
        <v>791</v>
      </c>
      <c r="D2317" s="56">
        <v>43125</v>
      </c>
      <c r="E2317" s="33" t="s">
        <v>724</v>
      </c>
      <c r="F2317" s="69" t="s">
        <v>380</v>
      </c>
      <c r="G2317" s="69" t="str">
        <f t="shared" si="36"/>
        <v>E-Commerce</v>
      </c>
      <c r="H2317" s="69" t="s">
        <v>792</v>
      </c>
      <c r="I2317" s="69" t="s">
        <v>793</v>
      </c>
      <c r="J2317" s="69" t="s">
        <v>790</v>
      </c>
      <c r="K2317" s="69" t="s">
        <v>798</v>
      </c>
      <c r="L2317" s="253">
        <v>0.65502467343976756</v>
      </c>
      <c r="M2317" s="253">
        <v>0.64867776686912992</v>
      </c>
      <c r="N2317" s="253">
        <v>0.621</v>
      </c>
      <c r="O2317" s="253">
        <v>0.60090212735026283</v>
      </c>
      <c r="P2317" s="253">
        <v>0.65339622641509421</v>
      </c>
      <c r="Q2317" s="253">
        <v>0.6417567567567567</v>
      </c>
      <c r="R2317" s="253">
        <v>0.65370764072198051</v>
      </c>
      <c r="S2317" s="253">
        <v>0.68113207547169818</v>
      </c>
      <c r="T2317" s="253">
        <v>0.65877862595419856</v>
      </c>
      <c r="U2317" s="253">
        <v>0.61201646090534978</v>
      </c>
      <c r="V2317" s="253">
        <v>0.621</v>
      </c>
      <c r="W2317" s="253"/>
      <c r="X2317" s="253"/>
      <c r="Y2317" s="253">
        <v>0.56004166666666666</v>
      </c>
      <c r="Z2317" s="253">
        <v>0.66153846153846152</v>
      </c>
      <c r="AA2317" s="253"/>
      <c r="AB2317" s="253"/>
      <c r="AC2317" s="253"/>
      <c r="AD2317" s="253"/>
      <c r="AE2317" s="253"/>
    </row>
    <row r="2318" spans="1:31">
      <c r="A2318" s="33">
        <v>2317</v>
      </c>
      <c r="B2318" s="69" t="s">
        <v>779</v>
      </c>
      <c r="C2318" s="69" t="s">
        <v>779</v>
      </c>
      <c r="D2318" s="56">
        <v>43132</v>
      </c>
      <c r="E2318" s="33" t="s">
        <v>724</v>
      </c>
      <c r="G2318" s="69" t="str">
        <f t="shared" si="36"/>
        <v>E-Commerce</v>
      </c>
      <c r="H2318" s="69" t="s">
        <v>364</v>
      </c>
      <c r="I2318" s="69" t="s">
        <v>726</v>
      </c>
      <c r="J2318" s="69" t="s">
        <v>779</v>
      </c>
      <c r="K2318" s="69" t="s">
        <v>669</v>
      </c>
      <c r="L2318" s="255">
        <v>64.101596516690847</v>
      </c>
      <c r="M2318" s="255">
        <v>67.359038452653749</v>
      </c>
      <c r="N2318" s="255">
        <v>68.85425655056298</v>
      </c>
      <c r="O2318" s="255">
        <v>65.294061661584806</v>
      </c>
      <c r="P2318" s="253">
        <v>63.39622641509434</v>
      </c>
      <c r="Q2318" s="253">
        <v>68.378378378378386</v>
      </c>
      <c r="R2318" s="255">
        <v>66.473282442748101</v>
      </c>
      <c r="S2318" s="253">
        <v>65.613207547169793</v>
      </c>
      <c r="T2318" s="253">
        <v>70.610687022900763</v>
      </c>
      <c r="U2318" s="253">
        <v>67.049382716049394</v>
      </c>
      <c r="V2318" s="253">
        <v>69.604651162790702</v>
      </c>
      <c r="W2318" s="253"/>
      <c r="X2318" s="253">
        <v>66.352941176470594</v>
      </c>
      <c r="Y2318" s="253">
        <v>64.229166666666671</v>
      </c>
      <c r="Z2318" s="253">
        <v>66.92307692307692</v>
      </c>
      <c r="AA2318" s="253"/>
      <c r="AB2318" s="253"/>
      <c r="AC2318" s="253"/>
      <c r="AD2318" s="253"/>
      <c r="AE2318" s="253"/>
    </row>
    <row r="2319" spans="1:31">
      <c r="A2319" s="33">
        <v>2318</v>
      </c>
      <c r="B2319" s="69" t="s">
        <v>780</v>
      </c>
      <c r="C2319" s="69" t="s">
        <v>723</v>
      </c>
      <c r="D2319" s="56">
        <v>43132</v>
      </c>
      <c r="E2319" s="33" t="s">
        <v>781</v>
      </c>
      <c r="F2319" s="69" t="s">
        <v>725</v>
      </c>
      <c r="G2319" s="69" t="str">
        <f t="shared" si="36"/>
        <v>User Registration</v>
      </c>
      <c r="H2319" s="69" t="s">
        <v>749</v>
      </c>
      <c r="I2319" s="69" t="s">
        <v>782</v>
      </c>
      <c r="J2319" s="69" t="s">
        <v>780</v>
      </c>
      <c r="K2319" s="69" t="s">
        <v>780</v>
      </c>
      <c r="L2319" s="253">
        <v>0.63250639746076542</v>
      </c>
      <c r="M2319" s="253">
        <v>0.58946803836824158</v>
      </c>
      <c r="N2319" s="253">
        <v>0.57999999999999996</v>
      </c>
      <c r="O2319" s="253">
        <v>0.59944021067331299</v>
      </c>
      <c r="P2319" s="253">
        <v>0.63235799682595673</v>
      </c>
      <c r="Q2319" s="253">
        <v>0.57575757575757591</v>
      </c>
      <c r="R2319" s="253">
        <v>0.59018691588785044</v>
      </c>
      <c r="S2319" s="253">
        <v>0.57940000000000003</v>
      </c>
      <c r="T2319" s="253">
        <v>0.59</v>
      </c>
      <c r="U2319" s="253">
        <v>0.59000000000000008</v>
      </c>
      <c r="V2319" s="253">
        <v>0</v>
      </c>
      <c r="W2319" s="253">
        <v>0.57999999999999996</v>
      </c>
      <c r="X2319" s="253">
        <v>0</v>
      </c>
      <c r="Y2319" s="253">
        <v>0.59556521739130441</v>
      </c>
      <c r="Z2319" s="253">
        <v>0.6331</v>
      </c>
      <c r="AA2319" s="253"/>
      <c r="AB2319" s="253"/>
      <c r="AC2319" s="253"/>
      <c r="AD2319" s="253"/>
      <c r="AE2319" s="253"/>
    </row>
    <row r="2320" spans="1:31">
      <c r="A2320" s="33">
        <v>2319</v>
      </c>
      <c r="B2320" s="69" t="s">
        <v>780</v>
      </c>
      <c r="C2320" s="69" t="s">
        <v>723</v>
      </c>
      <c r="D2320" s="56">
        <v>43132</v>
      </c>
      <c r="E2320" s="33" t="s">
        <v>781</v>
      </c>
      <c r="F2320" s="69" t="s">
        <v>725</v>
      </c>
      <c r="G2320" s="69" t="str">
        <f t="shared" si="36"/>
        <v>User Registration</v>
      </c>
      <c r="H2320" s="69" t="s">
        <v>749</v>
      </c>
      <c r="I2320" s="69" t="s">
        <v>782</v>
      </c>
      <c r="J2320" s="69" t="s">
        <v>780</v>
      </c>
      <c r="K2320" s="69" t="s">
        <v>783</v>
      </c>
      <c r="L2320" s="253">
        <v>0.58789984448728094</v>
      </c>
      <c r="M2320" s="253">
        <v>0.56656654095210979</v>
      </c>
      <c r="N2320" s="253">
        <v>0.53000000000000014</v>
      </c>
      <c r="O2320" s="253">
        <v>0.55384738950443901</v>
      </c>
      <c r="P2320" s="253">
        <v>0.57237480560910126</v>
      </c>
      <c r="Q2320" s="253">
        <v>0.56089999999999995</v>
      </c>
      <c r="R2320" s="253">
        <v>0.55425531914893622</v>
      </c>
      <c r="S2320" s="253">
        <v>0.60903846153846142</v>
      </c>
      <c r="T2320" s="253">
        <v>0.56000000000000005</v>
      </c>
      <c r="U2320" s="253">
        <v>0.52</v>
      </c>
      <c r="V2320" s="253">
        <v>0</v>
      </c>
      <c r="W2320" s="253">
        <v>0.53000000000000014</v>
      </c>
      <c r="X2320" s="253">
        <v>0</v>
      </c>
      <c r="Y2320" s="253">
        <v>0.518695652173913</v>
      </c>
      <c r="Z2320" s="253">
        <v>0.65</v>
      </c>
      <c r="AA2320" s="253"/>
      <c r="AB2320" s="253"/>
      <c r="AC2320" s="253"/>
      <c r="AD2320" s="253"/>
      <c r="AE2320" s="253"/>
    </row>
    <row r="2321" spans="1:31">
      <c r="A2321" s="33">
        <v>2320</v>
      </c>
      <c r="B2321" s="69" t="s">
        <v>780</v>
      </c>
      <c r="C2321" s="69" t="s">
        <v>723</v>
      </c>
      <c r="D2321" s="56">
        <v>43132</v>
      </c>
      <c r="E2321" s="33" t="s">
        <v>781</v>
      </c>
      <c r="F2321" s="69" t="s">
        <v>725</v>
      </c>
      <c r="G2321" s="69" t="str">
        <f t="shared" si="36"/>
        <v>User Registration</v>
      </c>
      <c r="H2321" s="69" t="s">
        <v>749</v>
      </c>
      <c r="I2321" s="69" t="s">
        <v>782</v>
      </c>
      <c r="J2321" s="69" t="s">
        <v>780</v>
      </c>
      <c r="K2321" s="69" t="s">
        <v>784</v>
      </c>
      <c r="L2321" s="253">
        <v>0.61232726251004266</v>
      </c>
      <c r="M2321" s="253">
        <v>0.57625092489087937</v>
      </c>
      <c r="N2321" s="253">
        <v>0.54249999999999998</v>
      </c>
      <c r="O2321" s="253">
        <v>0.55646222733327089</v>
      </c>
      <c r="P2321" s="253">
        <v>0.59598600121447642</v>
      </c>
      <c r="Q2321" s="253">
        <v>0.61337837837837839</v>
      </c>
      <c r="R2321" s="253">
        <v>0.56316762775899776</v>
      </c>
      <c r="S2321" s="253">
        <v>0.53894230769230766</v>
      </c>
      <c r="T2321" s="253">
        <v>0.56414893617021278</v>
      </c>
      <c r="U2321" s="253">
        <v>0.55616379310344821</v>
      </c>
      <c r="V2321" s="253">
        <v>0</v>
      </c>
      <c r="W2321" s="253">
        <v>0.54249999999999998</v>
      </c>
      <c r="X2321" s="253">
        <v>0</v>
      </c>
      <c r="Y2321" s="253">
        <v>0.51481250000000001</v>
      </c>
      <c r="Z2321" s="253">
        <v>0.67769230769230759</v>
      </c>
      <c r="AA2321" s="253"/>
      <c r="AB2321" s="253"/>
      <c r="AC2321" s="253"/>
      <c r="AD2321" s="253"/>
      <c r="AE2321" s="253"/>
    </row>
    <row r="2322" spans="1:31">
      <c r="A2322" s="33">
        <v>2321</v>
      </c>
      <c r="B2322" s="69" t="s">
        <v>780</v>
      </c>
      <c r="C2322" s="69" t="s">
        <v>723</v>
      </c>
      <c r="D2322" s="56">
        <v>43132</v>
      </c>
      <c r="E2322" s="33" t="s">
        <v>781</v>
      </c>
      <c r="F2322" s="69" t="s">
        <v>725</v>
      </c>
      <c r="G2322" s="69" t="str">
        <f t="shared" si="36"/>
        <v>User Registration</v>
      </c>
      <c r="H2322" s="69" t="s">
        <v>749</v>
      </c>
      <c r="I2322" s="69" t="s">
        <v>782</v>
      </c>
      <c r="J2322" s="69" t="s">
        <v>780</v>
      </c>
      <c r="K2322" s="69" t="s">
        <v>785</v>
      </c>
      <c r="L2322" s="253">
        <v>0.61488333464454781</v>
      </c>
      <c r="M2322" s="253">
        <v>0.58815461507204692</v>
      </c>
      <c r="N2322" s="253">
        <v>0.55500000000000005</v>
      </c>
      <c r="O2322" s="253">
        <v>0.62125820482789429</v>
      </c>
      <c r="P2322" s="253">
        <v>0.60225801445953098</v>
      </c>
      <c r="Q2322" s="253">
        <v>0.60550000000000004</v>
      </c>
      <c r="R2322" s="253">
        <v>0.57803738317757003</v>
      </c>
      <c r="S2322" s="253">
        <v>0.58540000000000003</v>
      </c>
      <c r="T2322" s="253">
        <v>0.57099999999999995</v>
      </c>
      <c r="U2322" s="253">
        <v>0.56599999999999995</v>
      </c>
      <c r="V2322" s="253">
        <v>0</v>
      </c>
      <c r="W2322" s="253">
        <v>0.55500000000000005</v>
      </c>
      <c r="X2322" s="253">
        <v>0</v>
      </c>
      <c r="Y2322" s="253">
        <v>0.62182608695652175</v>
      </c>
      <c r="Z2322" s="253">
        <v>0.66538461538461535</v>
      </c>
      <c r="AA2322" s="253"/>
      <c r="AB2322" s="253"/>
      <c r="AC2322" s="253"/>
      <c r="AD2322" s="253"/>
      <c r="AE2322" s="253"/>
    </row>
    <row r="2323" spans="1:31">
      <c r="A2323" s="33">
        <v>2322</v>
      </c>
      <c r="B2323" s="69" t="s">
        <v>780</v>
      </c>
      <c r="C2323" s="69" t="s">
        <v>723</v>
      </c>
      <c r="D2323" s="56">
        <v>43132</v>
      </c>
      <c r="E2323" s="33" t="s">
        <v>781</v>
      </c>
      <c r="F2323" s="69" t="s">
        <v>725</v>
      </c>
      <c r="G2323" s="69" t="str">
        <f t="shared" si="36"/>
        <v>User Registration</v>
      </c>
      <c r="H2323" s="69" t="s">
        <v>749</v>
      </c>
      <c r="I2323" s="69" t="s">
        <v>782</v>
      </c>
      <c r="J2323" s="69" t="s">
        <v>780</v>
      </c>
      <c r="K2323" s="69" t="s">
        <v>786</v>
      </c>
      <c r="L2323" s="253">
        <v>0.66638476978661643</v>
      </c>
      <c r="M2323" s="253">
        <v>0.63491223226357363</v>
      </c>
      <c r="N2323" s="253">
        <v>0.6</v>
      </c>
      <c r="O2323" s="253">
        <v>0.58233295465485702</v>
      </c>
      <c r="P2323" s="253">
        <v>0.66048096223327057</v>
      </c>
      <c r="Q2323" s="253">
        <v>0.63639999999999997</v>
      </c>
      <c r="R2323" s="253">
        <v>0.64255319148936174</v>
      </c>
      <c r="S2323" s="253">
        <v>0.61115384615384616</v>
      </c>
      <c r="T2323" s="253">
        <v>0.64</v>
      </c>
      <c r="U2323" s="253">
        <v>0.62</v>
      </c>
      <c r="V2323" s="253">
        <v>0</v>
      </c>
      <c r="W2323" s="253">
        <v>0.6</v>
      </c>
      <c r="X2323" s="253">
        <v>0</v>
      </c>
      <c r="Y2323" s="253">
        <v>0.52969999999999995</v>
      </c>
      <c r="Z2323" s="253">
        <v>0.69000000000000006</v>
      </c>
      <c r="AA2323" s="253"/>
      <c r="AB2323" s="253"/>
      <c r="AC2323" s="253"/>
      <c r="AD2323" s="253"/>
      <c r="AE2323" s="253"/>
    </row>
    <row r="2324" spans="1:31">
      <c r="A2324" s="33">
        <v>2323</v>
      </c>
      <c r="B2324" s="69" t="s">
        <v>780</v>
      </c>
      <c r="C2324" s="69" t="s">
        <v>723</v>
      </c>
      <c r="D2324" s="56">
        <v>43132</v>
      </c>
      <c r="E2324" s="33" t="s">
        <v>781</v>
      </c>
      <c r="F2324" s="69" t="s">
        <v>725</v>
      </c>
      <c r="G2324" s="69" t="str">
        <f t="shared" si="36"/>
        <v>User Registration</v>
      </c>
      <c r="H2324" s="69" t="s">
        <v>749</v>
      </c>
      <c r="I2324" s="69" t="s">
        <v>782</v>
      </c>
      <c r="J2324" s="69" t="s">
        <v>780</v>
      </c>
      <c r="K2324" s="69" t="s">
        <v>787</v>
      </c>
      <c r="L2324" s="253">
        <v>0.62654926638299813</v>
      </c>
      <c r="M2324" s="253">
        <v>0.62118406034298712</v>
      </c>
      <c r="N2324" s="253">
        <v>0.59</v>
      </c>
      <c r="O2324" s="253">
        <v>0.5941633195340329</v>
      </c>
      <c r="P2324" s="253">
        <v>0.62318658297874774</v>
      </c>
      <c r="Q2324" s="253">
        <v>0.59589999999999999</v>
      </c>
      <c r="R2324" s="253">
        <v>0.66595744680851066</v>
      </c>
      <c r="S2324" s="253">
        <v>0.59596153846153843</v>
      </c>
      <c r="T2324" s="253">
        <v>0.67</v>
      </c>
      <c r="U2324" s="253">
        <v>0.57999999999999996</v>
      </c>
      <c r="V2324" s="253">
        <v>0</v>
      </c>
      <c r="W2324" s="253">
        <v>0.59</v>
      </c>
      <c r="X2324" s="253">
        <v>0</v>
      </c>
      <c r="Y2324" s="253">
        <v>0.56569999999999998</v>
      </c>
      <c r="Z2324" s="253">
        <v>0.64</v>
      </c>
      <c r="AA2324" s="253"/>
      <c r="AB2324" s="253"/>
      <c r="AC2324" s="253"/>
      <c r="AD2324" s="253"/>
      <c r="AE2324" s="253"/>
    </row>
    <row r="2325" spans="1:31">
      <c r="A2325" s="33">
        <v>2324</v>
      </c>
      <c r="B2325" s="69" t="s">
        <v>780</v>
      </c>
      <c r="C2325" s="69" t="s">
        <v>723</v>
      </c>
      <c r="D2325" s="56">
        <v>43132</v>
      </c>
      <c r="E2325" s="33" t="s">
        <v>781</v>
      </c>
      <c r="F2325" s="69" t="s">
        <v>725</v>
      </c>
      <c r="G2325" s="69" t="str">
        <f t="shared" si="36"/>
        <v>User Registration</v>
      </c>
      <c r="H2325" s="69" t="s">
        <v>749</v>
      </c>
      <c r="I2325" s="69" t="s">
        <v>782</v>
      </c>
      <c r="J2325" s="69" t="s">
        <v>780</v>
      </c>
      <c r="K2325" s="69" t="s">
        <v>788</v>
      </c>
      <c r="L2325" s="253">
        <v>0.59172216089079088</v>
      </c>
      <c r="M2325" s="253">
        <v>0.57983210702341126</v>
      </c>
      <c r="N2325" s="253">
        <v>0.56999999999999995</v>
      </c>
      <c r="O2325" s="253">
        <v>0.60534871139091084</v>
      </c>
      <c r="P2325" s="253">
        <v>0.58865270111348866</v>
      </c>
      <c r="Q2325" s="253">
        <v>0.58940000000000003</v>
      </c>
      <c r="R2325" s="253">
        <v>0.60680000000000001</v>
      </c>
      <c r="S2325" s="253">
        <v>0.54288461538461541</v>
      </c>
      <c r="T2325" s="253">
        <v>0.60499999999999998</v>
      </c>
      <c r="U2325" s="253">
        <v>0.55000000000000004</v>
      </c>
      <c r="V2325" s="253">
        <v>0</v>
      </c>
      <c r="W2325" s="253">
        <v>0.56999999999999995</v>
      </c>
      <c r="X2325" s="253">
        <v>0</v>
      </c>
      <c r="Y2325" s="253">
        <v>0.613304347826087</v>
      </c>
      <c r="Z2325" s="253">
        <v>0.60399999999999998</v>
      </c>
      <c r="AA2325" s="253"/>
      <c r="AB2325" s="253"/>
      <c r="AC2325" s="253"/>
      <c r="AD2325" s="253"/>
      <c r="AE2325" s="253"/>
    </row>
    <row r="2326" spans="1:31">
      <c r="A2326" s="33">
        <v>2325</v>
      </c>
      <c r="B2326" s="69" t="s">
        <v>780</v>
      </c>
      <c r="C2326" s="69" t="s">
        <v>723</v>
      </c>
      <c r="D2326" s="56">
        <v>43132</v>
      </c>
      <c r="E2326" s="33" t="s">
        <v>781</v>
      </c>
      <c r="F2326" s="69" t="s">
        <v>725</v>
      </c>
      <c r="G2326" s="69" t="str">
        <f t="shared" si="36"/>
        <v>User Registration</v>
      </c>
      <c r="H2326" s="69" t="s">
        <v>749</v>
      </c>
      <c r="I2326" s="69" t="s">
        <v>782</v>
      </c>
      <c r="J2326" s="69" t="s">
        <v>780</v>
      </c>
      <c r="K2326" s="69" t="s">
        <v>789</v>
      </c>
      <c r="L2326" s="253">
        <v>0.63714191184282987</v>
      </c>
      <c r="M2326" s="253">
        <v>0.61621900434484334</v>
      </c>
      <c r="N2326" s="253">
        <v>0.61399999999999999</v>
      </c>
      <c r="O2326" s="253">
        <v>0.58400934700622975</v>
      </c>
      <c r="P2326" s="253">
        <v>0.64027354364969113</v>
      </c>
      <c r="Q2326" s="253">
        <v>0.62824324324324332</v>
      </c>
      <c r="R2326" s="253">
        <v>0.64204116126466493</v>
      </c>
      <c r="S2326" s="253">
        <v>0.57115384615384612</v>
      </c>
      <c r="T2326" s="253">
        <v>0.62497340425531911</v>
      </c>
      <c r="U2326" s="253">
        <v>0.60821839080459761</v>
      </c>
      <c r="V2326" s="253">
        <v>0</v>
      </c>
      <c r="W2326" s="253">
        <v>0.61399999999999999</v>
      </c>
      <c r="X2326" s="253">
        <v>0</v>
      </c>
      <c r="Y2326" s="253">
        <v>0.55708333333333337</v>
      </c>
      <c r="Z2326" s="253">
        <v>0.62461538461538468</v>
      </c>
      <c r="AA2326" s="253"/>
      <c r="AB2326" s="253"/>
      <c r="AC2326" s="253"/>
      <c r="AD2326" s="253"/>
      <c r="AE2326" s="253"/>
    </row>
    <row r="2327" spans="1:31">
      <c r="A2327" s="33">
        <v>2326</v>
      </c>
      <c r="B2327" s="69" t="s">
        <v>779</v>
      </c>
      <c r="C2327" s="69" t="s">
        <v>779</v>
      </c>
      <c r="D2327" s="56">
        <v>43132</v>
      </c>
      <c r="E2327" s="33" t="s">
        <v>779</v>
      </c>
      <c r="F2327" s="69" t="s">
        <v>779</v>
      </c>
      <c r="G2327" s="284" t="str">
        <f t="shared" si="36"/>
        <v>ERROR</v>
      </c>
      <c r="H2327" s="69" t="s">
        <v>779</v>
      </c>
      <c r="I2327" s="69" t="s">
        <v>779</v>
      </c>
      <c r="J2327" s="69" t="s">
        <v>779</v>
      </c>
      <c r="K2327" s="284" t="s">
        <v>391</v>
      </c>
      <c r="P2327" s="284">
        <v>0.7349</v>
      </c>
      <c r="AA2327" s="253"/>
      <c r="AB2327" s="253"/>
      <c r="AC2327" s="253"/>
      <c r="AD2327" s="253"/>
      <c r="AE2327" s="253"/>
    </row>
    <row r="2328" spans="1:31">
      <c r="A2328" s="33">
        <v>2327</v>
      </c>
      <c r="B2328" s="69" t="s">
        <v>779</v>
      </c>
      <c r="C2328" s="69" t="s">
        <v>779</v>
      </c>
      <c r="D2328" s="56">
        <v>43132</v>
      </c>
      <c r="E2328" s="33" t="s">
        <v>779</v>
      </c>
      <c r="F2328" s="69" t="s">
        <v>779</v>
      </c>
      <c r="G2328" s="284" t="str">
        <f t="shared" si="36"/>
        <v>ERROR</v>
      </c>
      <c r="H2328" s="69" t="s">
        <v>779</v>
      </c>
      <c r="I2328" s="69" t="s">
        <v>779</v>
      </c>
      <c r="J2328" s="69" t="s">
        <v>779</v>
      </c>
      <c r="K2328" s="284" t="s">
        <v>813</v>
      </c>
      <c r="Q2328" s="284">
        <v>0.70950000000000002</v>
      </c>
      <c r="AA2328" s="253"/>
      <c r="AB2328" s="253"/>
      <c r="AC2328" s="253"/>
      <c r="AD2328" s="253"/>
      <c r="AE2328" s="253"/>
    </row>
    <row r="2329" spans="1:31">
      <c r="A2329" s="33">
        <v>2328</v>
      </c>
      <c r="B2329" s="69" t="s">
        <v>779</v>
      </c>
      <c r="C2329" s="69" t="s">
        <v>779</v>
      </c>
      <c r="D2329" s="56">
        <v>43132</v>
      </c>
      <c r="E2329" s="33" t="s">
        <v>779</v>
      </c>
      <c r="F2329" s="69" t="s">
        <v>779</v>
      </c>
      <c r="G2329" s="284" t="str">
        <f t="shared" si="36"/>
        <v>ERROR</v>
      </c>
      <c r="H2329" s="69" t="s">
        <v>779</v>
      </c>
      <c r="I2329" s="69" t="s">
        <v>779</v>
      </c>
      <c r="J2329" s="69" t="s">
        <v>779</v>
      </c>
      <c r="K2329" s="284" t="s">
        <v>1158</v>
      </c>
      <c r="R2329" s="284">
        <v>0.75170000000000003</v>
      </c>
      <c r="AA2329" s="253"/>
      <c r="AB2329" s="253"/>
      <c r="AC2329" s="253"/>
      <c r="AD2329" s="253"/>
      <c r="AE2329" s="253"/>
    </row>
    <row r="2330" spans="1:31">
      <c r="A2330" s="33">
        <v>2329</v>
      </c>
      <c r="B2330" s="69" t="s">
        <v>779</v>
      </c>
      <c r="C2330" s="69" t="s">
        <v>779</v>
      </c>
      <c r="D2330" s="56">
        <v>43132</v>
      </c>
      <c r="E2330" s="33" t="s">
        <v>779</v>
      </c>
      <c r="F2330" s="69" t="s">
        <v>779</v>
      </c>
      <c r="G2330" s="284" t="str">
        <f t="shared" si="36"/>
        <v>ERROR</v>
      </c>
      <c r="H2330" s="69" t="s">
        <v>779</v>
      </c>
      <c r="I2330" s="69" t="s">
        <v>779</v>
      </c>
      <c r="J2330" s="69" t="s">
        <v>779</v>
      </c>
      <c r="K2330" s="284" t="s">
        <v>895</v>
      </c>
      <c r="S2330" s="284">
        <v>0.77029999999999998</v>
      </c>
      <c r="AA2330" s="253"/>
      <c r="AB2330" s="253"/>
      <c r="AC2330" s="253"/>
      <c r="AD2330" s="253"/>
      <c r="AE2330" s="253"/>
    </row>
    <row r="2331" spans="1:31">
      <c r="A2331" s="33">
        <v>2330</v>
      </c>
      <c r="B2331" s="69" t="s">
        <v>779</v>
      </c>
      <c r="C2331" s="69" t="s">
        <v>779</v>
      </c>
      <c r="D2331" s="56">
        <v>43132</v>
      </c>
      <c r="E2331" s="33" t="s">
        <v>779</v>
      </c>
      <c r="F2331" s="69" t="s">
        <v>779</v>
      </c>
      <c r="G2331" s="284" t="str">
        <f t="shared" si="36"/>
        <v>ERROR</v>
      </c>
      <c r="H2331" s="69" t="s">
        <v>779</v>
      </c>
      <c r="I2331" s="69" t="s">
        <v>779</v>
      </c>
      <c r="J2331" s="69" t="s">
        <v>779</v>
      </c>
      <c r="K2331" s="284" t="s">
        <v>654</v>
      </c>
      <c r="T2331" s="284">
        <v>0.78580000000000005</v>
      </c>
      <c r="AA2331" s="253"/>
      <c r="AB2331" s="253"/>
      <c r="AC2331" s="253"/>
      <c r="AD2331" s="253"/>
      <c r="AE2331" s="253"/>
    </row>
    <row r="2332" spans="1:31">
      <c r="A2332" s="33">
        <v>2331</v>
      </c>
      <c r="B2332" s="69" t="s">
        <v>779</v>
      </c>
      <c r="C2332" s="69" t="s">
        <v>779</v>
      </c>
      <c r="D2332" s="56">
        <v>43132</v>
      </c>
      <c r="E2332" s="33" t="s">
        <v>779</v>
      </c>
      <c r="F2332" s="69" t="s">
        <v>779</v>
      </c>
      <c r="G2332" s="284" t="str">
        <f t="shared" si="36"/>
        <v>ERROR</v>
      </c>
      <c r="H2332" s="69" t="s">
        <v>779</v>
      </c>
      <c r="I2332" s="69" t="s">
        <v>779</v>
      </c>
      <c r="J2332" s="69" t="s">
        <v>779</v>
      </c>
      <c r="K2332" s="284" t="s">
        <v>389</v>
      </c>
      <c r="U2332" s="284">
        <v>0.83640000000000003</v>
      </c>
      <c r="AA2332" s="253"/>
      <c r="AB2332" s="253"/>
      <c r="AC2332" s="253"/>
      <c r="AD2332" s="253"/>
      <c r="AE2332" s="253"/>
    </row>
    <row r="2333" spans="1:31">
      <c r="A2333" s="33">
        <v>2332</v>
      </c>
      <c r="B2333" s="69" t="s">
        <v>779</v>
      </c>
      <c r="C2333" s="69" t="s">
        <v>779</v>
      </c>
      <c r="D2333" s="56">
        <v>43132</v>
      </c>
      <c r="E2333" s="33" t="s">
        <v>779</v>
      </c>
      <c r="F2333" s="69" t="s">
        <v>779</v>
      </c>
      <c r="G2333" s="284" t="str">
        <f t="shared" si="36"/>
        <v>E-Commerce</v>
      </c>
      <c r="H2333" s="69" t="s">
        <v>779</v>
      </c>
      <c r="I2333" s="69" t="s">
        <v>779</v>
      </c>
      <c r="J2333" s="69" t="s">
        <v>779</v>
      </c>
      <c r="K2333" s="284" t="s">
        <v>821</v>
      </c>
      <c r="V2333" s="284">
        <v>0.77049999999999996</v>
      </c>
      <c r="AA2333" s="253"/>
      <c r="AB2333" s="253"/>
      <c r="AC2333" s="253"/>
      <c r="AD2333" s="253"/>
      <c r="AE2333" s="253"/>
    </row>
    <row r="2334" spans="1:31">
      <c r="A2334" s="33">
        <v>2333</v>
      </c>
      <c r="B2334" s="69" t="s">
        <v>779</v>
      </c>
      <c r="C2334" s="69" t="s">
        <v>779</v>
      </c>
      <c r="D2334" s="56">
        <v>43132</v>
      </c>
      <c r="E2334" s="33" t="s">
        <v>779</v>
      </c>
      <c r="F2334" s="69" t="s">
        <v>779</v>
      </c>
      <c r="G2334" s="284" t="str">
        <f t="shared" si="36"/>
        <v>User Registration</v>
      </c>
      <c r="H2334" s="69" t="s">
        <v>779</v>
      </c>
      <c r="I2334" s="69" t="s">
        <v>779</v>
      </c>
      <c r="J2334" s="69" t="s">
        <v>779</v>
      </c>
      <c r="K2334" s="284" t="s">
        <v>924</v>
      </c>
      <c r="W2334" s="284">
        <v>0.77410000000000001</v>
      </c>
      <c r="AA2334" s="253"/>
      <c r="AB2334" s="253"/>
      <c r="AC2334" s="253"/>
      <c r="AD2334" s="253"/>
      <c r="AE2334" s="253"/>
    </row>
    <row r="2335" spans="1:31">
      <c r="A2335" s="33">
        <v>2334</v>
      </c>
      <c r="B2335" s="69" t="s">
        <v>779</v>
      </c>
      <c r="C2335" s="69" t="s">
        <v>779</v>
      </c>
      <c r="D2335" s="56">
        <v>43132</v>
      </c>
      <c r="E2335" s="33" t="s">
        <v>779</v>
      </c>
      <c r="F2335" s="69" t="s">
        <v>779</v>
      </c>
      <c r="G2335" s="284" t="str">
        <f t="shared" si="36"/>
        <v>ERROR</v>
      </c>
      <c r="H2335" s="69" t="s">
        <v>779</v>
      </c>
      <c r="I2335" s="69" t="s">
        <v>779</v>
      </c>
      <c r="J2335" s="69" t="s">
        <v>779</v>
      </c>
      <c r="K2335" s="284" t="s">
        <v>666</v>
      </c>
      <c r="X2335" s="284">
        <v>0.79879999999999995</v>
      </c>
      <c r="AA2335" s="253"/>
      <c r="AB2335" s="253"/>
      <c r="AC2335" s="253"/>
      <c r="AD2335" s="253"/>
      <c r="AE2335" s="253"/>
    </row>
    <row r="2336" spans="1:31">
      <c r="A2336" s="33">
        <v>2335</v>
      </c>
      <c r="B2336" s="69" t="s">
        <v>779</v>
      </c>
      <c r="C2336" s="69" t="s">
        <v>779</v>
      </c>
      <c r="D2336" s="56">
        <v>43132</v>
      </c>
      <c r="E2336" s="33" t="s">
        <v>779</v>
      </c>
      <c r="F2336" s="69" t="s">
        <v>779</v>
      </c>
      <c r="G2336" s="284" t="str">
        <f t="shared" si="36"/>
        <v>ERROR</v>
      </c>
      <c r="H2336" s="69" t="s">
        <v>779</v>
      </c>
      <c r="I2336" s="69" t="s">
        <v>779</v>
      </c>
      <c r="J2336" s="69" t="s">
        <v>779</v>
      </c>
      <c r="K2336" s="284" t="s">
        <v>554</v>
      </c>
      <c r="Y2336" s="284">
        <v>0.76590000000000003</v>
      </c>
      <c r="AA2336" s="253"/>
      <c r="AB2336" s="253"/>
      <c r="AC2336" s="253"/>
      <c r="AD2336" s="253"/>
      <c r="AE2336" s="253"/>
    </row>
    <row r="2337" spans="1:31">
      <c r="A2337" s="33">
        <v>2336</v>
      </c>
      <c r="B2337" s="69" t="s">
        <v>779</v>
      </c>
      <c r="C2337" s="69" t="s">
        <v>779</v>
      </c>
      <c r="D2337" s="56">
        <v>43132</v>
      </c>
      <c r="E2337" s="33" t="s">
        <v>779</v>
      </c>
      <c r="F2337" s="69" t="s">
        <v>779</v>
      </c>
      <c r="G2337" s="284" t="str">
        <f t="shared" si="36"/>
        <v>ERROR</v>
      </c>
      <c r="H2337" s="69" t="s">
        <v>779</v>
      </c>
      <c r="I2337" s="69" t="s">
        <v>779</v>
      </c>
      <c r="J2337" s="69" t="s">
        <v>779</v>
      </c>
      <c r="K2337" s="284" t="s">
        <v>1052</v>
      </c>
      <c r="Z2337" s="284">
        <v>0.7077</v>
      </c>
      <c r="AA2337" s="253"/>
      <c r="AB2337" s="253"/>
      <c r="AC2337" s="253"/>
      <c r="AD2337" s="253"/>
      <c r="AE2337" s="253"/>
    </row>
    <row r="2338" spans="1:31">
      <c r="A2338" s="33">
        <v>2337</v>
      </c>
      <c r="B2338" s="69" t="s">
        <v>764</v>
      </c>
      <c r="C2338" s="69" t="s">
        <v>740</v>
      </c>
      <c r="D2338" s="56">
        <v>43133</v>
      </c>
      <c r="E2338" s="33" t="s">
        <v>724</v>
      </c>
      <c r="F2338" s="69" t="s">
        <v>532</v>
      </c>
      <c r="G2338" s="69" t="str">
        <f t="shared" si="36"/>
        <v>E-Commerce</v>
      </c>
      <c r="H2338" s="69" t="s">
        <v>364</v>
      </c>
      <c r="I2338" s="69" t="s">
        <v>765</v>
      </c>
      <c r="J2338" s="69" t="s">
        <v>764</v>
      </c>
      <c r="K2338" s="69" t="s">
        <v>764</v>
      </c>
      <c r="L2338" s="253">
        <v>0.6379651669085632</v>
      </c>
      <c r="M2338" s="253">
        <v>0.63724996534956835</v>
      </c>
      <c r="N2338" s="253">
        <v>0.60865116279069775</v>
      </c>
      <c r="O2338" s="253">
        <v>0.60097998980970668</v>
      </c>
      <c r="P2338" s="253">
        <v>0.65226415094339629</v>
      </c>
      <c r="Q2338" s="253">
        <v>0.64054054054054055</v>
      </c>
      <c r="R2338" s="253">
        <v>0.66148961974744946</v>
      </c>
      <c r="S2338" s="253">
        <v>0.6193069306930693</v>
      </c>
      <c r="T2338" s="253">
        <v>0.64465648854961821</v>
      </c>
      <c r="U2338" s="253">
        <v>0.642880658436214</v>
      </c>
      <c r="V2338" s="253">
        <v>0.60865116279069775</v>
      </c>
      <c r="W2338" s="253">
        <v>0</v>
      </c>
      <c r="X2338" s="253">
        <v>0</v>
      </c>
      <c r="Y2338" s="253">
        <v>0.58915254237288128</v>
      </c>
      <c r="Z2338" s="253">
        <v>0.58076923076923082</v>
      </c>
      <c r="AA2338" s="253"/>
      <c r="AB2338" s="253"/>
      <c r="AC2338" s="253"/>
      <c r="AD2338" s="253"/>
      <c r="AE2338" s="253"/>
    </row>
    <row r="2339" spans="1:31">
      <c r="A2339" s="33">
        <v>2338</v>
      </c>
      <c r="B2339" s="69" t="s">
        <v>764</v>
      </c>
      <c r="C2339" s="69" t="s">
        <v>740</v>
      </c>
      <c r="D2339" s="56">
        <v>43133</v>
      </c>
      <c r="E2339" s="33" t="s">
        <v>724</v>
      </c>
      <c r="F2339" s="69" t="s">
        <v>532</v>
      </c>
      <c r="G2339" s="69" t="str">
        <f t="shared" si="36"/>
        <v>E-Commerce</v>
      </c>
      <c r="H2339" s="69" t="s">
        <v>364</v>
      </c>
      <c r="I2339" s="69" t="s">
        <v>765</v>
      </c>
      <c r="J2339" s="69" t="s">
        <v>764</v>
      </c>
      <c r="K2339" s="69" t="s">
        <v>766</v>
      </c>
      <c r="L2339" s="253">
        <v>0.65524818577648769</v>
      </c>
      <c r="M2339" s="253">
        <v>0.63079955267211674</v>
      </c>
      <c r="N2339" s="253">
        <v>0.60432558139534887</v>
      </c>
      <c r="O2339" s="253">
        <v>0.60558537545448254</v>
      </c>
      <c r="P2339" s="253">
        <v>0.64886792452830189</v>
      </c>
      <c r="Q2339" s="253">
        <v>0.62202702702702706</v>
      </c>
      <c r="R2339" s="253">
        <v>0.64879788827851892</v>
      </c>
      <c r="S2339" s="253">
        <v>0.59191919191919196</v>
      </c>
      <c r="T2339" s="253">
        <v>0.63702290076335877</v>
      </c>
      <c r="U2339" s="253">
        <v>0.62720164609053497</v>
      </c>
      <c r="V2339" s="253">
        <v>0.60432558139534887</v>
      </c>
      <c r="W2339" s="253">
        <v>0</v>
      </c>
      <c r="X2339" s="253">
        <v>0</v>
      </c>
      <c r="Y2339" s="253">
        <v>0.57411016949152549</v>
      </c>
      <c r="Z2339" s="253">
        <v>0.68076923076923079</v>
      </c>
      <c r="AA2339" s="253"/>
      <c r="AB2339" s="253"/>
      <c r="AC2339" s="253"/>
      <c r="AD2339" s="253"/>
      <c r="AE2339" s="253"/>
    </row>
    <row r="2340" spans="1:31">
      <c r="A2340" s="33">
        <v>2339</v>
      </c>
      <c r="B2340" s="69" t="s">
        <v>764</v>
      </c>
      <c r="C2340" s="69" t="s">
        <v>740</v>
      </c>
      <c r="D2340" s="56">
        <v>43133</v>
      </c>
      <c r="E2340" s="33" t="s">
        <v>724</v>
      </c>
      <c r="F2340" s="69" t="s">
        <v>532</v>
      </c>
      <c r="G2340" s="69" t="str">
        <f t="shared" si="36"/>
        <v>E-Commerce</v>
      </c>
      <c r="H2340" s="69" t="s">
        <v>364</v>
      </c>
      <c r="I2340" s="69" t="s">
        <v>765</v>
      </c>
      <c r="J2340" s="69" t="s">
        <v>764</v>
      </c>
      <c r="K2340" s="69" t="s">
        <v>767</v>
      </c>
      <c r="L2340" s="253">
        <v>0.67213933236574741</v>
      </c>
      <c r="M2340" s="253">
        <v>0.64950300606695743</v>
      </c>
      <c r="N2340" s="253">
        <v>0.64970009470693468</v>
      </c>
      <c r="O2340" s="253">
        <v>0.63281554167974252</v>
      </c>
      <c r="P2340" s="253">
        <v>0.67094339622641519</v>
      </c>
      <c r="Q2340" s="253">
        <v>0.68378378378378379</v>
      </c>
      <c r="R2340" s="253">
        <v>0.64058643076264532</v>
      </c>
      <c r="S2340" s="253">
        <v>0.65959595959595974</v>
      </c>
      <c r="T2340" s="253">
        <v>0.67404580152671756</v>
      </c>
      <c r="U2340" s="253">
        <v>0.59722689075630253</v>
      </c>
      <c r="V2340" s="253">
        <v>0.66213953488372101</v>
      </c>
      <c r="W2340" s="253">
        <v>0</v>
      </c>
      <c r="X2340" s="253">
        <v>0.60823529411764699</v>
      </c>
      <c r="Y2340" s="253">
        <v>0.61025423728813566</v>
      </c>
      <c r="Z2340" s="253">
        <v>0.67692307692307696</v>
      </c>
      <c r="AA2340" s="253"/>
      <c r="AB2340" s="253"/>
      <c r="AC2340" s="253"/>
      <c r="AD2340" s="253"/>
      <c r="AE2340" s="253"/>
    </row>
    <row r="2341" spans="1:31">
      <c r="A2341" s="33">
        <v>2340</v>
      </c>
      <c r="B2341" s="69" t="s">
        <v>764</v>
      </c>
      <c r="C2341" s="69" t="s">
        <v>740</v>
      </c>
      <c r="D2341" s="56">
        <v>43133</v>
      </c>
      <c r="E2341" s="33" t="s">
        <v>724</v>
      </c>
      <c r="F2341" s="69" t="s">
        <v>532</v>
      </c>
      <c r="G2341" s="69" t="str">
        <f t="shared" si="36"/>
        <v>E-Commerce</v>
      </c>
      <c r="H2341" s="69" t="s">
        <v>364</v>
      </c>
      <c r="I2341" s="69" t="s">
        <v>765</v>
      </c>
      <c r="J2341" s="69" t="s">
        <v>764</v>
      </c>
      <c r="K2341" s="69" t="s">
        <v>768</v>
      </c>
      <c r="L2341" s="253">
        <v>0.61058345428156757</v>
      </c>
      <c r="M2341" s="253">
        <v>0.58534556534331383</v>
      </c>
      <c r="N2341" s="253">
        <v>0.65065116279069779</v>
      </c>
      <c r="O2341" s="253">
        <v>0.5721134630547815</v>
      </c>
      <c r="P2341" s="253">
        <v>0.59207547169811325</v>
      </c>
      <c r="Q2341" s="253">
        <v>0.58337837837837836</v>
      </c>
      <c r="R2341" s="253">
        <v>0.61889848041663698</v>
      </c>
      <c r="S2341" s="253">
        <v>0.51616161616161615</v>
      </c>
      <c r="T2341" s="253">
        <v>0.56870229007633588</v>
      </c>
      <c r="U2341" s="253">
        <v>0.5789915966386554</v>
      </c>
      <c r="V2341" s="253">
        <v>0.65065116279069779</v>
      </c>
      <c r="W2341" s="253">
        <v>0</v>
      </c>
      <c r="X2341" s="253">
        <v>0</v>
      </c>
      <c r="Y2341" s="253">
        <v>0.53347457627118644</v>
      </c>
      <c r="Z2341" s="253">
        <v>0.68461538461538463</v>
      </c>
      <c r="AA2341" s="253"/>
      <c r="AB2341" s="253"/>
      <c r="AC2341" s="253"/>
      <c r="AD2341" s="253"/>
      <c r="AE2341" s="253"/>
    </row>
    <row r="2342" spans="1:31">
      <c r="A2342" s="33">
        <v>2341</v>
      </c>
      <c r="B2342" s="69" t="s">
        <v>764</v>
      </c>
      <c r="C2342" s="69" t="s">
        <v>740</v>
      </c>
      <c r="D2342" s="56">
        <v>43133</v>
      </c>
      <c r="E2342" s="33" t="s">
        <v>724</v>
      </c>
      <c r="F2342" s="69" t="s">
        <v>532</v>
      </c>
      <c r="G2342" s="69" t="str">
        <f t="shared" si="36"/>
        <v>E-Commerce</v>
      </c>
      <c r="H2342" s="69" t="s">
        <v>364</v>
      </c>
      <c r="I2342" s="69" t="s">
        <v>765</v>
      </c>
      <c r="J2342" s="69" t="s">
        <v>764</v>
      </c>
      <c r="K2342" s="69" t="s">
        <v>769</v>
      </c>
      <c r="L2342" s="253">
        <v>0.63724238026124824</v>
      </c>
      <c r="M2342" s="253">
        <v>0.59974287232322765</v>
      </c>
      <c r="N2342" s="253">
        <v>0.61724928969799009</v>
      </c>
      <c r="O2342" s="253">
        <v>0.61750544255066941</v>
      </c>
      <c r="P2342" s="253">
        <v>0.62924528301886795</v>
      </c>
      <c r="Q2342" s="253">
        <v>0.65459459459459457</v>
      </c>
      <c r="R2342" s="253">
        <v>0.58868516801027315</v>
      </c>
      <c r="S2342" s="253">
        <v>0.55454545454545456</v>
      </c>
      <c r="T2342" s="253">
        <v>0.5564885496183205</v>
      </c>
      <c r="U2342" s="253">
        <v>0.60123456790123442</v>
      </c>
      <c r="V2342" s="253">
        <v>0.64395348837209299</v>
      </c>
      <c r="W2342" s="253">
        <v>0</v>
      </c>
      <c r="X2342" s="253">
        <v>0.52823529411764703</v>
      </c>
      <c r="Y2342" s="253">
        <v>0.61033898305084755</v>
      </c>
      <c r="Z2342" s="253">
        <v>0.66923076923076918</v>
      </c>
      <c r="AA2342" s="253"/>
      <c r="AB2342" s="253"/>
      <c r="AC2342" s="253"/>
      <c r="AD2342" s="253"/>
      <c r="AE2342" s="253"/>
    </row>
    <row r="2343" spans="1:31">
      <c r="A2343" s="33">
        <v>2342</v>
      </c>
      <c r="B2343" s="69" t="s">
        <v>764</v>
      </c>
      <c r="C2343" s="69" t="s">
        <v>740</v>
      </c>
      <c r="D2343" s="56">
        <v>43133</v>
      </c>
      <c r="E2343" s="33" t="s">
        <v>724</v>
      </c>
      <c r="F2343" s="69" t="s">
        <v>532</v>
      </c>
      <c r="G2343" s="69" t="str">
        <f t="shared" si="36"/>
        <v>E-Commerce</v>
      </c>
      <c r="H2343" s="69" t="s">
        <v>364</v>
      </c>
      <c r="I2343" s="69" t="s">
        <v>765</v>
      </c>
      <c r="J2343" s="69" t="s">
        <v>764</v>
      </c>
      <c r="K2343" s="69" t="s">
        <v>770</v>
      </c>
      <c r="L2343" s="253">
        <v>0.61630769230769233</v>
      </c>
      <c r="M2343" s="253">
        <v>0.60637301571461033</v>
      </c>
      <c r="N2343" s="253">
        <v>0.57654319688519406</v>
      </c>
      <c r="O2343" s="253">
        <v>0.5899134079591174</v>
      </c>
      <c r="P2343" s="253">
        <v>0.60499999999999998</v>
      </c>
      <c r="Q2343" s="253">
        <v>0.63540540540540547</v>
      </c>
      <c r="R2343" s="253">
        <v>0.61038738674466708</v>
      </c>
      <c r="S2343" s="253">
        <v>0.58533653846153844</v>
      </c>
      <c r="T2343" s="253">
        <v>0.62519083969465639</v>
      </c>
      <c r="U2343" s="253">
        <v>0.56260504201680672</v>
      </c>
      <c r="V2343" s="253">
        <v>0.5809767441860465</v>
      </c>
      <c r="W2343" s="253">
        <v>0</v>
      </c>
      <c r="X2343" s="253">
        <v>0.56176470588235294</v>
      </c>
      <c r="Y2343" s="253">
        <v>0.56023958333333324</v>
      </c>
      <c r="Z2343" s="253">
        <v>0.66153846153846152</v>
      </c>
      <c r="AA2343" s="253"/>
      <c r="AB2343" s="253"/>
      <c r="AC2343" s="253"/>
      <c r="AD2343" s="253"/>
      <c r="AE2343" s="253"/>
    </row>
    <row r="2344" spans="1:31">
      <c r="A2344" s="33">
        <v>2343</v>
      </c>
      <c r="B2344" s="69" t="s">
        <v>764</v>
      </c>
      <c r="C2344" s="69" t="s">
        <v>740</v>
      </c>
      <c r="D2344" s="56">
        <v>43133</v>
      </c>
      <c r="E2344" s="33" t="s">
        <v>724</v>
      </c>
      <c r="F2344" s="69" t="s">
        <v>532</v>
      </c>
      <c r="G2344" s="69" t="str">
        <f t="shared" si="36"/>
        <v>E-Commerce</v>
      </c>
      <c r="H2344" s="69" t="s">
        <v>364</v>
      </c>
      <c r="I2344" s="69" t="s">
        <v>765</v>
      </c>
      <c r="J2344" s="69" t="s">
        <v>764</v>
      </c>
      <c r="K2344" s="69" t="s">
        <v>771</v>
      </c>
      <c r="L2344" s="253">
        <v>0.64236574746008712</v>
      </c>
      <c r="M2344" s="253">
        <v>0.61026759241401296</v>
      </c>
      <c r="N2344" s="253">
        <v>0.6207765968641481</v>
      </c>
      <c r="O2344" s="253">
        <v>0.60021295987268031</v>
      </c>
      <c r="P2344" s="253">
        <v>0.64622641509433965</v>
      </c>
      <c r="Q2344" s="253">
        <v>0.62972972972972985</v>
      </c>
      <c r="R2344" s="253">
        <v>0.64299065420560741</v>
      </c>
      <c r="S2344" s="253">
        <v>0.54845360824742262</v>
      </c>
      <c r="T2344" s="253">
        <v>0.6</v>
      </c>
      <c r="U2344" s="253">
        <v>0.61092436974789921</v>
      </c>
      <c r="V2344" s="253">
        <v>0.6301860465116278</v>
      </c>
      <c r="W2344" s="253">
        <v>0</v>
      </c>
      <c r="X2344" s="253">
        <v>0.5894117647058823</v>
      </c>
      <c r="Y2344" s="253">
        <v>0.58586864406779671</v>
      </c>
      <c r="Z2344" s="253">
        <v>0.62692307692307692</v>
      </c>
      <c r="AA2344" s="253"/>
      <c r="AB2344" s="253"/>
      <c r="AC2344" s="253"/>
      <c r="AD2344" s="253"/>
      <c r="AE2344" s="253"/>
    </row>
    <row r="2345" spans="1:31">
      <c r="A2345" s="33">
        <v>2344</v>
      </c>
      <c r="B2345" s="69" t="s">
        <v>772</v>
      </c>
      <c r="C2345" s="69" t="s">
        <v>740</v>
      </c>
      <c r="D2345" s="56">
        <v>43133</v>
      </c>
      <c r="E2345" s="33" t="s">
        <v>724</v>
      </c>
      <c r="F2345" s="69" t="s">
        <v>532</v>
      </c>
      <c r="G2345" s="69" t="str">
        <f t="shared" si="36"/>
        <v>User Registration</v>
      </c>
      <c r="H2345" s="69" t="s">
        <v>364</v>
      </c>
      <c r="I2345" s="69" t="s">
        <v>773</v>
      </c>
      <c r="J2345" s="69" t="s">
        <v>772</v>
      </c>
      <c r="K2345" s="69" t="s">
        <v>772</v>
      </c>
      <c r="L2345" s="253">
        <v>0.62859796806966617</v>
      </c>
      <c r="M2345" s="253">
        <v>0.604114091208245</v>
      </c>
      <c r="N2345" s="253">
        <v>0.60428733031674209</v>
      </c>
      <c r="O2345" s="253">
        <v>0.56978043914129328</v>
      </c>
      <c r="P2345" s="253">
        <v>0.63113207547169814</v>
      </c>
      <c r="Q2345" s="253">
        <v>0.59054054054054061</v>
      </c>
      <c r="R2345" s="253">
        <v>0.63366474448200438</v>
      </c>
      <c r="S2345" s="253">
        <v>0.5788461538461539</v>
      </c>
      <c r="T2345" s="253">
        <v>0.58670212765957441</v>
      </c>
      <c r="U2345" s="253">
        <v>0.6103448275862069</v>
      </c>
      <c r="V2345" s="253">
        <v>0</v>
      </c>
      <c r="W2345" s="253">
        <v>0.59375</v>
      </c>
      <c r="X2345" s="253">
        <v>0.63941176470588235</v>
      </c>
      <c r="Y2345" s="253">
        <v>0.53941666666666666</v>
      </c>
      <c r="Z2345" s="253">
        <v>0.61846153846153851</v>
      </c>
      <c r="AA2345" s="253"/>
      <c r="AB2345" s="253"/>
      <c r="AC2345" s="253"/>
      <c r="AD2345" s="253"/>
      <c r="AE2345" s="253"/>
    </row>
    <row r="2346" spans="1:31">
      <c r="A2346" s="33">
        <v>2345</v>
      </c>
      <c r="B2346" s="69" t="s">
        <v>772</v>
      </c>
      <c r="C2346" s="69" t="s">
        <v>740</v>
      </c>
      <c r="D2346" s="56">
        <v>43133</v>
      </c>
      <c r="E2346" s="33" t="s">
        <v>724</v>
      </c>
      <c r="F2346" s="69" t="s">
        <v>532</v>
      </c>
      <c r="G2346" s="69" t="str">
        <f t="shared" si="36"/>
        <v>User Registration</v>
      </c>
      <c r="H2346" s="69" t="s">
        <v>364</v>
      </c>
      <c r="I2346" s="69" t="s">
        <v>773</v>
      </c>
      <c r="J2346" s="69" t="s">
        <v>772</v>
      </c>
      <c r="K2346" s="69" t="s">
        <v>774</v>
      </c>
      <c r="L2346" s="253">
        <v>0.64532075471698103</v>
      </c>
      <c r="M2346" s="253">
        <v>0.64225234434746103</v>
      </c>
      <c r="N2346" s="253">
        <v>0.69499999999999995</v>
      </c>
      <c r="O2346" s="253">
        <v>0.59668070698691633</v>
      </c>
      <c r="P2346" s="253">
        <v>0.64415094339622636</v>
      </c>
      <c r="Q2346" s="253">
        <v>0.65418918918918911</v>
      </c>
      <c r="R2346" s="253">
        <v>0.6540664147941937</v>
      </c>
      <c r="S2346" s="253">
        <v>0.61250000000000004</v>
      </c>
      <c r="T2346" s="253">
        <v>0.64308510638297878</v>
      </c>
      <c r="U2346" s="253">
        <v>0.64109195402298846</v>
      </c>
      <c r="V2346" s="253">
        <v>0</v>
      </c>
      <c r="W2346" s="253">
        <v>0.69499999999999995</v>
      </c>
      <c r="X2346" s="253">
        <v>0</v>
      </c>
      <c r="Y2346" s="253">
        <v>0.56187500000000001</v>
      </c>
      <c r="Z2346" s="253">
        <v>0.65</v>
      </c>
      <c r="AA2346" s="253"/>
      <c r="AB2346" s="253"/>
      <c r="AC2346" s="253"/>
      <c r="AD2346" s="253"/>
      <c r="AE2346" s="253"/>
    </row>
    <row r="2347" spans="1:31">
      <c r="A2347" s="33">
        <v>2346</v>
      </c>
      <c r="B2347" s="69" t="s">
        <v>772</v>
      </c>
      <c r="C2347" s="69" t="s">
        <v>740</v>
      </c>
      <c r="D2347" s="56">
        <v>43133</v>
      </c>
      <c r="E2347" s="33" t="s">
        <v>724</v>
      </c>
      <c r="F2347" s="69" t="s">
        <v>532</v>
      </c>
      <c r="G2347" s="69" t="str">
        <f t="shared" si="36"/>
        <v>User Registration</v>
      </c>
      <c r="H2347" s="69" t="s">
        <v>364</v>
      </c>
      <c r="I2347" s="69" t="s">
        <v>773</v>
      </c>
      <c r="J2347" s="69" t="s">
        <v>772</v>
      </c>
      <c r="K2347" s="69" t="s">
        <v>775</v>
      </c>
      <c r="L2347" s="253">
        <v>0.59712336719883885</v>
      </c>
      <c r="M2347" s="253">
        <v>0.59423967118397891</v>
      </c>
      <c r="N2347" s="253">
        <v>0.59544117647058825</v>
      </c>
      <c r="O2347" s="253">
        <v>0.58020888656339076</v>
      </c>
      <c r="P2347" s="253">
        <v>0.60698113207547166</v>
      </c>
      <c r="Q2347" s="253">
        <v>0.61756756756756759</v>
      </c>
      <c r="R2347" s="253">
        <v>0.64122091867170417</v>
      </c>
      <c r="S2347" s="253">
        <v>0.55817307692307694</v>
      </c>
      <c r="T2347" s="253">
        <v>0.58351063829787231</v>
      </c>
      <c r="U2347" s="253">
        <v>0.57850574712643676</v>
      </c>
      <c r="V2347" s="253">
        <v>0</v>
      </c>
      <c r="W2347" s="253">
        <v>0.60624999999999996</v>
      </c>
      <c r="X2347" s="253">
        <v>0.55941176470588228</v>
      </c>
      <c r="Y2347" s="253">
        <v>0.57322916666666679</v>
      </c>
      <c r="Z2347" s="253">
        <v>0.55769230769230771</v>
      </c>
      <c r="AA2347" s="253"/>
      <c r="AB2347" s="253"/>
      <c r="AC2347" s="253"/>
      <c r="AD2347" s="253"/>
      <c r="AE2347" s="253"/>
    </row>
    <row r="2348" spans="1:31">
      <c r="A2348" s="33">
        <v>2347</v>
      </c>
      <c r="B2348" s="69" t="s">
        <v>772</v>
      </c>
      <c r="C2348" s="69" t="s">
        <v>740</v>
      </c>
      <c r="D2348" s="56">
        <v>43133</v>
      </c>
      <c r="E2348" s="33" t="s">
        <v>724</v>
      </c>
      <c r="F2348" s="69" t="s">
        <v>532</v>
      </c>
      <c r="G2348" s="69" t="str">
        <f t="shared" si="36"/>
        <v>User Registration</v>
      </c>
      <c r="H2348" s="69" t="s">
        <v>364</v>
      </c>
      <c r="I2348" s="69" t="s">
        <v>773</v>
      </c>
      <c r="J2348" s="69" t="s">
        <v>772</v>
      </c>
      <c r="K2348" s="69" t="s">
        <v>776</v>
      </c>
      <c r="L2348" s="253">
        <v>0.6230333817126269</v>
      </c>
      <c r="M2348" s="253">
        <v>0.5982269171852943</v>
      </c>
      <c r="N2348" s="253">
        <v>0.58156249999999998</v>
      </c>
      <c r="O2348" s="253">
        <v>0.58370245195877846</v>
      </c>
      <c r="P2348" s="253">
        <v>0.65283018867924525</v>
      </c>
      <c r="Q2348" s="253">
        <v>0.62297297297297305</v>
      </c>
      <c r="R2348" s="253">
        <v>0.66048916285543846</v>
      </c>
      <c r="S2348" s="253">
        <v>0.56682692307692306</v>
      </c>
      <c r="T2348" s="253">
        <v>0.57287234042553192</v>
      </c>
      <c r="U2348" s="253">
        <v>0.59425287356321821</v>
      </c>
      <c r="V2348" s="253">
        <v>0</v>
      </c>
      <c r="W2348" s="253">
        <v>0.58156249999999998</v>
      </c>
      <c r="X2348" s="253">
        <v>0</v>
      </c>
      <c r="Y2348" s="253">
        <v>0.59006249999999993</v>
      </c>
      <c r="Z2348" s="253">
        <v>0.50384615384615383</v>
      </c>
      <c r="AA2348" s="253"/>
      <c r="AB2348" s="253"/>
      <c r="AC2348" s="253"/>
      <c r="AD2348" s="253"/>
      <c r="AE2348" s="253"/>
    </row>
    <row r="2349" spans="1:31">
      <c r="A2349" s="33">
        <v>2348</v>
      </c>
      <c r="B2349" s="69" t="s">
        <v>772</v>
      </c>
      <c r="C2349" s="69" t="s">
        <v>740</v>
      </c>
      <c r="D2349" s="56">
        <v>43133</v>
      </c>
      <c r="E2349" s="33" t="s">
        <v>724</v>
      </c>
      <c r="F2349" s="69" t="s">
        <v>532</v>
      </c>
      <c r="G2349" s="69" t="str">
        <f t="shared" si="36"/>
        <v>User Registration</v>
      </c>
      <c r="H2349" s="69" t="s">
        <v>364</v>
      </c>
      <c r="I2349" s="69" t="s">
        <v>773</v>
      </c>
      <c r="J2349" s="69" t="s">
        <v>772</v>
      </c>
      <c r="K2349" s="69" t="s">
        <v>777</v>
      </c>
      <c r="L2349" s="253">
        <v>0.57913788098693753</v>
      </c>
      <c r="M2349" s="253">
        <v>0.57429272211694582</v>
      </c>
      <c r="N2349" s="253">
        <v>0.61037047511312226</v>
      </c>
      <c r="O2349" s="253">
        <v>0.55904220178907882</v>
      </c>
      <c r="P2349" s="253">
        <v>0.59603773584905662</v>
      </c>
      <c r="Q2349" s="253">
        <v>0.56756756756756754</v>
      </c>
      <c r="R2349" s="253">
        <v>0.58405249552594951</v>
      </c>
      <c r="S2349" s="253">
        <v>0.57259615384615381</v>
      </c>
      <c r="T2349" s="253">
        <v>0.56489361702127661</v>
      </c>
      <c r="U2349" s="253">
        <v>0.60201149425287359</v>
      </c>
      <c r="V2349" s="253">
        <v>0</v>
      </c>
      <c r="W2349" s="253">
        <v>0.61718750000000011</v>
      </c>
      <c r="X2349" s="253">
        <v>0.58764705882352941</v>
      </c>
      <c r="Y2349" s="253">
        <v>0.56608333333333338</v>
      </c>
      <c r="Z2349" s="253">
        <v>0.5115384615384615</v>
      </c>
      <c r="AA2349" s="253"/>
      <c r="AB2349" s="253"/>
      <c r="AC2349" s="253"/>
      <c r="AD2349" s="253"/>
      <c r="AE2349" s="253"/>
    </row>
    <row r="2350" spans="1:31">
      <c r="A2350" s="33">
        <v>2349</v>
      </c>
      <c r="B2350" s="69" t="s">
        <v>772</v>
      </c>
      <c r="C2350" s="69" t="s">
        <v>740</v>
      </c>
      <c r="D2350" s="56">
        <v>43133</v>
      </c>
      <c r="E2350" s="33" t="s">
        <v>724</v>
      </c>
      <c r="F2350" s="69" t="s">
        <v>532</v>
      </c>
      <c r="G2350" s="69" t="str">
        <f t="shared" si="36"/>
        <v>User Registration</v>
      </c>
      <c r="H2350" s="69" t="s">
        <v>364</v>
      </c>
      <c r="I2350" s="69" t="s">
        <v>773</v>
      </c>
      <c r="J2350" s="69" t="s">
        <v>772</v>
      </c>
      <c r="K2350" s="69" t="s">
        <v>778</v>
      </c>
      <c r="L2350" s="253">
        <v>0.66042670537010162</v>
      </c>
      <c r="M2350" s="253">
        <v>0.62112907248173677</v>
      </c>
      <c r="N2350" s="253">
        <v>0.63465497737556553</v>
      </c>
      <c r="O2350" s="253">
        <v>0.58598346175282301</v>
      </c>
      <c r="P2350" s="253">
        <v>0.68226415094339621</v>
      </c>
      <c r="Q2350" s="253">
        <v>0.6283783783783784</v>
      </c>
      <c r="R2350" s="253">
        <v>0.65897792801749844</v>
      </c>
      <c r="S2350" s="253">
        <v>0.60240384615384623</v>
      </c>
      <c r="T2350" s="253">
        <v>0.60851063829787233</v>
      </c>
      <c r="U2350" s="253">
        <v>0.61925287356321834</v>
      </c>
      <c r="V2350" s="253">
        <v>0</v>
      </c>
      <c r="W2350" s="253">
        <v>0.62687499999999996</v>
      </c>
      <c r="X2350" s="253">
        <v>0.6605882352941177</v>
      </c>
      <c r="Y2350" s="253">
        <v>0.56937500000000008</v>
      </c>
      <c r="Z2350" s="253">
        <v>0.57307692307692304</v>
      </c>
      <c r="AA2350" s="253"/>
      <c r="AB2350" s="253"/>
      <c r="AC2350" s="253"/>
      <c r="AD2350" s="253"/>
      <c r="AE2350" s="253"/>
    </row>
    <row r="2351" spans="1:31">
      <c r="A2351" s="33">
        <v>2350</v>
      </c>
      <c r="B2351" s="69" t="s">
        <v>754</v>
      </c>
      <c r="C2351" s="69" t="s">
        <v>723</v>
      </c>
      <c r="D2351" s="56">
        <v>43137</v>
      </c>
      <c r="E2351" s="33" t="s">
        <v>724</v>
      </c>
      <c r="F2351" s="69" t="s">
        <v>755</v>
      </c>
      <c r="G2351" s="69" t="str">
        <f t="shared" si="36"/>
        <v>User Registration</v>
      </c>
      <c r="H2351" s="69" t="s">
        <v>508</v>
      </c>
      <c r="I2351" s="69" t="s">
        <v>756</v>
      </c>
      <c r="J2351" s="69" t="s">
        <v>754</v>
      </c>
      <c r="K2351" s="69" t="s">
        <v>754</v>
      </c>
      <c r="L2351" s="253">
        <v>0.63799419448476058</v>
      </c>
      <c r="M2351" s="253">
        <v>0.62307475017272884</v>
      </c>
      <c r="N2351" s="253">
        <v>0.60902432126696837</v>
      </c>
      <c r="O2351" s="253">
        <v>0.6293972983934224</v>
      </c>
      <c r="P2351" s="253">
        <v>0.6503773584905661</v>
      </c>
      <c r="Q2351" s="253">
        <v>0.59743243243243238</v>
      </c>
      <c r="R2351" s="253">
        <v>0.65176178166633525</v>
      </c>
      <c r="S2351" s="253">
        <v>0.67403846153846148</v>
      </c>
      <c r="T2351" s="253">
        <v>0.59680851063829776</v>
      </c>
      <c r="U2351" s="253">
        <v>0.60373563218390802</v>
      </c>
      <c r="V2351" s="253"/>
      <c r="W2351" s="253">
        <v>0.60343749999999996</v>
      </c>
      <c r="X2351" s="253">
        <v>0.62764705882352945</v>
      </c>
      <c r="Y2351" s="253">
        <v>0.63593750000000016</v>
      </c>
      <c r="Z2351" s="253">
        <v>0.58846153846153848</v>
      </c>
      <c r="AA2351" s="253"/>
      <c r="AB2351" s="253"/>
      <c r="AC2351" s="253"/>
      <c r="AD2351" s="253"/>
      <c r="AE2351" s="253"/>
    </row>
    <row r="2352" spans="1:31">
      <c r="A2352" s="33">
        <v>2351</v>
      </c>
      <c r="B2352" s="69" t="s">
        <v>754</v>
      </c>
      <c r="C2352" s="69" t="s">
        <v>723</v>
      </c>
      <c r="D2352" s="56">
        <v>43137</v>
      </c>
      <c r="E2352" s="33" t="s">
        <v>724</v>
      </c>
      <c r="F2352" s="69" t="s">
        <v>755</v>
      </c>
      <c r="G2352" s="69" t="str">
        <f t="shared" si="36"/>
        <v>User Registration</v>
      </c>
      <c r="H2352" s="69" t="s">
        <v>508</v>
      </c>
      <c r="I2352" s="69" t="s">
        <v>756</v>
      </c>
      <c r="J2352" s="69" t="s">
        <v>754</v>
      </c>
      <c r="K2352" s="69" t="s">
        <v>757</v>
      </c>
      <c r="L2352" s="253">
        <v>0.65804063860667639</v>
      </c>
      <c r="M2352" s="253">
        <v>0.67354505431472655</v>
      </c>
      <c r="N2352" s="253">
        <v>0.63526583710407236</v>
      </c>
      <c r="O2352" s="253">
        <v>0.6039679268819329</v>
      </c>
      <c r="P2352" s="253">
        <v>0.65735849056603779</v>
      </c>
      <c r="Q2352" s="253">
        <v>0.67635135135135138</v>
      </c>
      <c r="R2352" s="253">
        <v>0.69062239013720417</v>
      </c>
      <c r="S2352" s="253">
        <v>0.6237373737373737</v>
      </c>
      <c r="T2352" s="253">
        <v>0.6812765957446808</v>
      </c>
      <c r="U2352" s="253">
        <v>0.69454022988505748</v>
      </c>
      <c r="V2352" s="253"/>
      <c r="W2352" s="253">
        <v>0.63437500000000002</v>
      </c>
      <c r="X2352" s="253">
        <v>0.63823529411764701</v>
      </c>
      <c r="Y2352" s="253">
        <v>0.5603813559322034</v>
      </c>
      <c r="Z2352" s="253">
        <v>0.66076923076923066</v>
      </c>
      <c r="AA2352" s="253"/>
      <c r="AB2352" s="253"/>
      <c r="AC2352" s="253"/>
      <c r="AD2352" s="253"/>
      <c r="AE2352" s="253"/>
    </row>
    <row r="2353" spans="1:31">
      <c r="A2353" s="33">
        <v>2352</v>
      </c>
      <c r="B2353" s="69" t="s">
        <v>754</v>
      </c>
      <c r="C2353" s="69" t="s">
        <v>723</v>
      </c>
      <c r="D2353" s="56">
        <v>43137</v>
      </c>
      <c r="E2353" s="33" t="s">
        <v>724</v>
      </c>
      <c r="F2353" s="69" t="s">
        <v>755</v>
      </c>
      <c r="G2353" s="69" t="str">
        <f t="shared" si="36"/>
        <v>User Registration</v>
      </c>
      <c r="H2353" s="69" t="s">
        <v>508</v>
      </c>
      <c r="I2353" s="69" t="s">
        <v>756</v>
      </c>
      <c r="J2353" s="69" t="s">
        <v>754</v>
      </c>
      <c r="K2353" s="69" t="s">
        <v>758</v>
      </c>
      <c r="L2353" s="253">
        <v>0.68044244992743119</v>
      </c>
      <c r="M2353" s="253">
        <v>0.65676380523398659</v>
      </c>
      <c r="N2353" s="253">
        <v>0.66222567873303173</v>
      </c>
      <c r="O2353" s="253">
        <v>0.65970766073872356</v>
      </c>
      <c r="P2353" s="253">
        <v>0.68036075471698121</v>
      </c>
      <c r="Q2353" s="253">
        <v>0.61075135135135128</v>
      </c>
      <c r="R2353" s="253">
        <v>0.64270033803937165</v>
      </c>
      <c r="S2353" s="253">
        <v>0.73115384615384627</v>
      </c>
      <c r="T2353" s="253">
        <v>0.61914893617021283</v>
      </c>
      <c r="U2353" s="253">
        <v>0.66109195402298848</v>
      </c>
      <c r="V2353" s="253"/>
      <c r="W2353" s="253">
        <v>0.67718749999999994</v>
      </c>
      <c r="X2353" s="253">
        <v>0.61235294117647066</v>
      </c>
      <c r="Y2353" s="253">
        <v>0.65454166666666669</v>
      </c>
      <c r="Z2353" s="253">
        <v>0.68076923076923079</v>
      </c>
      <c r="AA2353" s="253"/>
      <c r="AB2353" s="253"/>
      <c r="AC2353" s="253"/>
      <c r="AD2353" s="253"/>
      <c r="AE2353" s="253"/>
    </row>
    <row r="2354" spans="1:31">
      <c r="A2354" s="33">
        <v>2353</v>
      </c>
      <c r="B2354" s="69" t="s">
        <v>754</v>
      </c>
      <c r="C2354" s="69" t="s">
        <v>723</v>
      </c>
      <c r="D2354" s="56">
        <v>43137</v>
      </c>
      <c r="E2354" s="33" t="s">
        <v>724</v>
      </c>
      <c r="F2354" s="69" t="s">
        <v>755</v>
      </c>
      <c r="G2354" s="69" t="str">
        <f t="shared" si="36"/>
        <v>User Registration</v>
      </c>
      <c r="H2354" s="69" t="s">
        <v>508</v>
      </c>
      <c r="I2354" s="69" t="s">
        <v>756</v>
      </c>
      <c r="J2354" s="69" t="s">
        <v>754</v>
      </c>
      <c r="K2354" s="69" t="s">
        <v>759</v>
      </c>
      <c r="L2354" s="253">
        <v>0.68804934687953567</v>
      </c>
      <c r="M2354" s="253">
        <v>0.65334655468447089</v>
      </c>
      <c r="N2354" s="253">
        <v>0.62867647058823528</v>
      </c>
      <c r="O2354" s="253">
        <v>0.63385004400083855</v>
      </c>
      <c r="P2354" s="253">
        <v>0.69679245283018865</v>
      </c>
      <c r="Q2354" s="253">
        <v>0.62270270270270267</v>
      </c>
      <c r="R2354" s="253">
        <v>0.64651024060449391</v>
      </c>
      <c r="S2354" s="253">
        <v>0.66778846153846139</v>
      </c>
      <c r="T2354" s="253">
        <v>0.63127659574468087</v>
      </c>
      <c r="U2354" s="253">
        <v>0.68649425287356325</v>
      </c>
      <c r="V2354" s="253"/>
      <c r="W2354" s="253">
        <v>0.64875000000000005</v>
      </c>
      <c r="X2354" s="253">
        <v>0.56176470588235294</v>
      </c>
      <c r="Y2354" s="253">
        <v>0.62327083333333344</v>
      </c>
      <c r="Z2354" s="253">
        <v>0.65307692307692311</v>
      </c>
      <c r="AA2354" s="253"/>
      <c r="AB2354" s="253"/>
      <c r="AC2354" s="253"/>
      <c r="AD2354" s="253"/>
      <c r="AE2354" s="253"/>
    </row>
    <row r="2355" spans="1:31">
      <c r="A2355" s="33">
        <v>2354</v>
      </c>
      <c r="B2355" s="69" t="s">
        <v>754</v>
      </c>
      <c r="C2355" s="69" t="s">
        <v>723</v>
      </c>
      <c r="D2355" s="56">
        <v>43137</v>
      </c>
      <c r="E2355" s="33" t="s">
        <v>724</v>
      </c>
      <c r="F2355" s="69" t="s">
        <v>755</v>
      </c>
      <c r="G2355" s="69" t="str">
        <f t="shared" si="36"/>
        <v>User Registration</v>
      </c>
      <c r="H2355" s="69" t="s">
        <v>508</v>
      </c>
      <c r="I2355" s="69" t="s">
        <v>756</v>
      </c>
      <c r="J2355" s="69" t="s">
        <v>754</v>
      </c>
      <c r="K2355" s="69" t="s">
        <v>760</v>
      </c>
      <c r="L2355" s="253">
        <v>0.68163425253991294</v>
      </c>
      <c r="M2355" s="253">
        <v>0.68222027521714668</v>
      </c>
      <c r="N2355" s="253">
        <v>0.69083427601809955</v>
      </c>
      <c r="O2355" s="253">
        <v>0.67883048383782374</v>
      </c>
      <c r="P2355" s="253">
        <v>0.68377358490566031</v>
      </c>
      <c r="Q2355" s="253">
        <v>0.66581081081081084</v>
      </c>
      <c r="R2355" s="253">
        <v>0.7007755020878903</v>
      </c>
      <c r="S2355" s="253">
        <v>0.70144230769230753</v>
      </c>
      <c r="T2355" s="253">
        <v>0.65638297872340423</v>
      </c>
      <c r="U2355" s="253">
        <v>0.68057471264367808</v>
      </c>
      <c r="V2355" s="253"/>
      <c r="W2355" s="253">
        <v>0.68843750000000004</v>
      </c>
      <c r="X2355" s="253">
        <v>0.69882352941176473</v>
      </c>
      <c r="Y2355" s="253">
        <v>0.67520833333333341</v>
      </c>
      <c r="Z2355" s="253">
        <v>0.67307692307692313</v>
      </c>
      <c r="AA2355" s="253"/>
      <c r="AB2355" s="253"/>
      <c r="AC2355" s="253"/>
      <c r="AD2355" s="253"/>
      <c r="AE2355" s="253"/>
    </row>
    <row r="2356" spans="1:31">
      <c r="A2356" s="33">
        <v>2355</v>
      </c>
      <c r="B2356" s="69" t="s">
        <v>754</v>
      </c>
      <c r="C2356" s="69" t="s">
        <v>723</v>
      </c>
      <c r="D2356" s="56">
        <v>43137</v>
      </c>
      <c r="E2356" s="33" t="s">
        <v>724</v>
      </c>
      <c r="F2356" s="69" t="s">
        <v>755</v>
      </c>
      <c r="G2356" s="69" t="str">
        <f t="shared" si="36"/>
        <v>User Registration</v>
      </c>
      <c r="H2356" s="69" t="s">
        <v>508</v>
      </c>
      <c r="I2356" s="69" t="s">
        <v>756</v>
      </c>
      <c r="J2356" s="69" t="s">
        <v>754</v>
      </c>
      <c r="K2356" s="69" t="s">
        <v>761</v>
      </c>
      <c r="L2356" s="253">
        <v>0.65720754716981133</v>
      </c>
      <c r="M2356" s="253">
        <v>0.65854920823698315</v>
      </c>
      <c r="N2356" s="253">
        <v>0.6891006787330316</v>
      </c>
      <c r="O2356" s="253">
        <v>0.61329101237890549</v>
      </c>
      <c r="P2356" s="253">
        <v>0.67150943396226415</v>
      </c>
      <c r="Q2356" s="253">
        <v>0.70148648648648648</v>
      </c>
      <c r="R2356" s="253">
        <v>0.67016305428514611</v>
      </c>
      <c r="S2356" s="253">
        <v>0.6216346153846154</v>
      </c>
      <c r="T2356" s="253">
        <v>0.64095744680851063</v>
      </c>
      <c r="U2356" s="253">
        <v>0.67609195402298861</v>
      </c>
      <c r="V2356" s="253"/>
      <c r="W2356" s="253">
        <v>0.703125</v>
      </c>
      <c r="X2356" s="253">
        <v>0.64235294117647057</v>
      </c>
      <c r="Y2356" s="253">
        <v>0.59624999999999995</v>
      </c>
      <c r="Z2356" s="253">
        <v>0.6</v>
      </c>
      <c r="AA2356" s="253"/>
      <c r="AB2356" s="253"/>
      <c r="AC2356" s="253"/>
      <c r="AD2356" s="253"/>
      <c r="AE2356" s="253"/>
    </row>
    <row r="2357" spans="1:31">
      <c r="A2357" s="33">
        <v>2356</v>
      </c>
      <c r="B2357" s="69" t="s">
        <v>754</v>
      </c>
      <c r="C2357" s="69" t="s">
        <v>723</v>
      </c>
      <c r="D2357" s="56">
        <v>43137</v>
      </c>
      <c r="E2357" s="33" t="s">
        <v>724</v>
      </c>
      <c r="F2357" s="69" t="s">
        <v>755</v>
      </c>
      <c r="G2357" s="69" t="str">
        <f t="shared" si="36"/>
        <v>User Registration</v>
      </c>
      <c r="H2357" s="69" t="s">
        <v>508</v>
      </c>
      <c r="I2357" s="69" t="s">
        <v>756</v>
      </c>
      <c r="J2357" s="69" t="s">
        <v>754</v>
      </c>
      <c r="K2357" s="69" t="s">
        <v>762</v>
      </c>
      <c r="L2357" s="253">
        <v>0.61000870827285925</v>
      </c>
      <c r="M2357" s="253">
        <v>0.56414884129710552</v>
      </c>
      <c r="N2357" s="253">
        <v>0.58442590497737568</v>
      </c>
      <c r="O2357" s="253">
        <v>0.56916641185560368</v>
      </c>
      <c r="P2357" s="253">
        <v>0.61943396226415093</v>
      </c>
      <c r="Q2357" s="253">
        <v>0.48378378378378373</v>
      </c>
      <c r="R2357" s="253">
        <v>0.59775303241201028</v>
      </c>
      <c r="S2357" s="253">
        <v>0.58787878787878789</v>
      </c>
      <c r="T2357" s="253">
        <v>0.55265957446808511</v>
      </c>
      <c r="U2357" s="253">
        <v>0.57948275862068965</v>
      </c>
      <c r="V2357" s="253"/>
      <c r="W2357" s="253">
        <v>0.56281250000000005</v>
      </c>
      <c r="X2357" s="253">
        <v>0.65647058823529414</v>
      </c>
      <c r="Y2357" s="253">
        <v>0.56917372881355932</v>
      </c>
      <c r="Z2357" s="253">
        <v>0.57230769230769241</v>
      </c>
      <c r="AA2357" s="253"/>
      <c r="AB2357" s="253"/>
      <c r="AC2357" s="253"/>
      <c r="AD2357" s="253"/>
      <c r="AE2357" s="253"/>
    </row>
    <row r="2358" spans="1:31">
      <c r="A2358" s="33">
        <v>2357</v>
      </c>
      <c r="B2358" s="69" t="s">
        <v>754</v>
      </c>
      <c r="C2358" s="69" t="s">
        <v>723</v>
      </c>
      <c r="D2358" s="56">
        <v>43137</v>
      </c>
      <c r="E2358" s="33" t="s">
        <v>724</v>
      </c>
      <c r="F2358" s="69" t="s">
        <v>755</v>
      </c>
      <c r="G2358" s="69" t="str">
        <f t="shared" si="36"/>
        <v>User Registration</v>
      </c>
      <c r="H2358" s="69" t="s">
        <v>508</v>
      </c>
      <c r="I2358" s="69" t="s">
        <v>756</v>
      </c>
      <c r="J2358" s="69" t="s">
        <v>754</v>
      </c>
      <c r="K2358" s="69" t="s">
        <v>763</v>
      </c>
      <c r="L2358" s="253">
        <v>0.61099854862119007</v>
      </c>
      <c r="M2358" s="253">
        <v>0.55387134184856857</v>
      </c>
      <c r="N2358" s="253">
        <v>0.58782522624434397</v>
      </c>
      <c r="O2358" s="253">
        <v>0.56080306541268998</v>
      </c>
      <c r="P2358" s="253">
        <v>0.60509433962264147</v>
      </c>
      <c r="Q2358" s="253">
        <v>0.46554054054054056</v>
      </c>
      <c r="R2358" s="253">
        <v>0.57279777291708089</v>
      </c>
      <c r="S2358" s="253">
        <v>0.5509615384615385</v>
      </c>
      <c r="T2358" s="253">
        <v>0.57648936170212761</v>
      </c>
      <c r="U2358" s="253">
        <v>0.56206896551724139</v>
      </c>
      <c r="V2358" s="253"/>
      <c r="W2358" s="253">
        <v>0.5859375</v>
      </c>
      <c r="X2358" s="253">
        <v>0.59411764705882353</v>
      </c>
      <c r="Y2358" s="253">
        <v>0.54677083333333343</v>
      </c>
      <c r="Z2358" s="253">
        <v>0.63461538461538458</v>
      </c>
      <c r="AA2358" s="253"/>
      <c r="AB2358" s="253"/>
      <c r="AC2358" s="253"/>
      <c r="AD2358" s="253"/>
      <c r="AE2358" s="253"/>
    </row>
    <row r="2359" spans="1:31">
      <c r="A2359" s="33">
        <v>2358</v>
      </c>
      <c r="B2359" s="69" t="s">
        <v>739</v>
      </c>
      <c r="C2359" s="69" t="s">
        <v>740</v>
      </c>
      <c r="D2359" s="56">
        <v>43138</v>
      </c>
      <c r="E2359" s="33" t="s">
        <v>724</v>
      </c>
      <c r="F2359" s="69" t="s">
        <v>532</v>
      </c>
      <c r="G2359" s="69" t="str">
        <f t="shared" si="36"/>
        <v>E-Commerce</v>
      </c>
      <c r="H2359" s="69" t="s">
        <v>364</v>
      </c>
      <c r="I2359" s="69" t="s">
        <v>741</v>
      </c>
      <c r="J2359" s="69" t="s">
        <v>739</v>
      </c>
      <c r="K2359" s="69" t="s">
        <v>739</v>
      </c>
      <c r="L2359" s="253">
        <v>0.60764876632801157</v>
      </c>
      <c r="M2359" s="253">
        <v>0.61406622987272819</v>
      </c>
      <c r="N2359" s="253">
        <v>0.61868778280542991</v>
      </c>
      <c r="O2359" s="253">
        <v>0.58447180830861234</v>
      </c>
      <c r="P2359" s="253">
        <v>0.61283018867924532</v>
      </c>
      <c r="Q2359" s="253">
        <v>0.55422535211267598</v>
      </c>
      <c r="R2359" s="253">
        <v>0.64253826530612235</v>
      </c>
      <c r="S2359" s="253">
        <v>0.69018691588785042</v>
      </c>
      <c r="T2359" s="253">
        <v>0.60107142857142848</v>
      </c>
      <c r="U2359" s="253">
        <v>0.59122448979591835</v>
      </c>
      <c r="V2359" s="253">
        <v>0.61899999999999999</v>
      </c>
      <c r="W2359" s="253"/>
      <c r="X2359" s="253">
        <v>0.61764705882352944</v>
      </c>
      <c r="Y2359" s="253">
        <v>0.56457627118644071</v>
      </c>
      <c r="Z2359" s="253">
        <v>0.58692307692307699</v>
      </c>
      <c r="AA2359" s="253"/>
      <c r="AB2359" s="253"/>
      <c r="AC2359" s="253"/>
      <c r="AD2359" s="253"/>
      <c r="AE2359" s="253"/>
    </row>
    <row r="2360" spans="1:31">
      <c r="A2360" s="33">
        <v>2359</v>
      </c>
      <c r="B2360" s="69" t="s">
        <v>739</v>
      </c>
      <c r="C2360" s="69" t="s">
        <v>740</v>
      </c>
      <c r="D2360" s="56">
        <v>43138</v>
      </c>
      <c r="E2360" s="33" t="s">
        <v>724</v>
      </c>
      <c r="F2360" s="69" t="s">
        <v>532</v>
      </c>
      <c r="G2360" s="69" t="str">
        <f t="shared" si="36"/>
        <v>E-Commerce</v>
      </c>
      <c r="H2360" s="69" t="s">
        <v>364</v>
      </c>
      <c r="I2360" s="69" t="s">
        <v>741</v>
      </c>
      <c r="J2360" s="69" t="s">
        <v>739</v>
      </c>
      <c r="K2360" s="151" t="s">
        <v>742</v>
      </c>
      <c r="L2360" s="253">
        <v>0.57336139332365743</v>
      </c>
      <c r="M2360" s="253">
        <v>0.5708989624515628</v>
      </c>
      <c r="N2360" s="253">
        <v>0.56427601809954753</v>
      </c>
      <c r="O2360" s="253">
        <v>0.57454447904668771</v>
      </c>
      <c r="P2360" s="253">
        <v>0.57150943396226406</v>
      </c>
      <c r="Q2360" s="253">
        <v>0.5852112676056338</v>
      </c>
      <c r="R2360" s="253">
        <v>0.56065051020408163</v>
      </c>
      <c r="S2360" s="253">
        <v>0.61822429906542065</v>
      </c>
      <c r="T2360" s="253">
        <v>0.55071428571428571</v>
      </c>
      <c r="U2360" s="253">
        <v>0.54</v>
      </c>
      <c r="V2360" s="253">
        <v>0.55249999999999999</v>
      </c>
      <c r="W2360" s="253"/>
      <c r="X2360" s="253">
        <v>0.60352941176470598</v>
      </c>
      <c r="Y2360" s="253">
        <v>0.57002118644067801</v>
      </c>
      <c r="Z2360" s="253">
        <v>0.58076923076923082</v>
      </c>
      <c r="AA2360" s="253"/>
      <c r="AB2360" s="253"/>
      <c r="AC2360" s="253"/>
      <c r="AD2360" s="253"/>
      <c r="AE2360" s="253"/>
    </row>
    <row r="2361" spans="1:31">
      <c r="A2361" s="33">
        <v>2360</v>
      </c>
      <c r="B2361" s="69" t="s">
        <v>739</v>
      </c>
      <c r="C2361" s="69" t="s">
        <v>740</v>
      </c>
      <c r="D2361" s="56">
        <v>43138</v>
      </c>
      <c r="E2361" s="33" t="s">
        <v>724</v>
      </c>
      <c r="F2361" s="69" t="s">
        <v>532</v>
      </c>
      <c r="G2361" s="69" t="str">
        <f t="shared" si="36"/>
        <v>E-Commerce</v>
      </c>
      <c r="H2361" s="69" t="s">
        <v>364</v>
      </c>
      <c r="I2361" s="69" t="s">
        <v>741</v>
      </c>
      <c r="J2361" s="69" t="s">
        <v>739</v>
      </c>
      <c r="K2361" s="151" t="s">
        <v>743</v>
      </c>
      <c r="L2361" s="253">
        <v>0.61695791001451394</v>
      </c>
      <c r="M2361" s="253">
        <v>0.58757323607172562</v>
      </c>
      <c r="N2361" s="253">
        <v>0.59221719457013577</v>
      </c>
      <c r="O2361" s="253">
        <v>0.57511878328692267</v>
      </c>
      <c r="P2361" s="253">
        <v>0.60773584905660394</v>
      </c>
      <c r="Q2361" s="253">
        <v>0.59352112676056334</v>
      </c>
      <c r="R2361" s="253">
        <v>0.58590561224489801</v>
      </c>
      <c r="S2361" s="253">
        <v>0.608411214953271</v>
      </c>
      <c r="T2361" s="253">
        <v>0.560357142857143</v>
      </c>
      <c r="U2361" s="253">
        <v>0.55763265306122456</v>
      </c>
      <c r="V2361" s="253">
        <v>0.59199999999999997</v>
      </c>
      <c r="W2361" s="253"/>
      <c r="X2361" s="253">
        <v>0.5929411764705883</v>
      </c>
      <c r="Y2361" s="253">
        <v>0.54417372881355941</v>
      </c>
      <c r="Z2361" s="253">
        <v>0.65384615384615385</v>
      </c>
      <c r="AA2361" s="253"/>
      <c r="AB2361" s="253"/>
      <c r="AC2361" s="253"/>
      <c r="AD2361" s="253"/>
      <c r="AE2361" s="253"/>
    </row>
    <row r="2362" spans="1:31">
      <c r="A2362" s="33">
        <v>2361</v>
      </c>
      <c r="B2362" s="69" t="s">
        <v>739</v>
      </c>
      <c r="C2362" s="69" t="s">
        <v>740</v>
      </c>
      <c r="D2362" s="56">
        <v>43138</v>
      </c>
      <c r="E2362" s="33" t="s">
        <v>724</v>
      </c>
      <c r="F2362" s="69" t="s">
        <v>532</v>
      </c>
      <c r="G2362" s="69" t="str">
        <f t="shared" si="36"/>
        <v>E-Commerce</v>
      </c>
      <c r="H2362" s="69" t="s">
        <v>364</v>
      </c>
      <c r="I2362" s="69" t="s">
        <v>741</v>
      </c>
      <c r="J2362" s="69" t="s">
        <v>739</v>
      </c>
      <c r="K2362" s="151" t="s">
        <v>744</v>
      </c>
      <c r="L2362" s="253">
        <v>0.59536429608127717</v>
      </c>
      <c r="M2362" s="253">
        <v>0.60800275189432917</v>
      </c>
      <c r="N2362" s="253">
        <v>0.62126696832579187</v>
      </c>
      <c r="O2362" s="253">
        <v>0.5897041695311338</v>
      </c>
      <c r="P2362" s="253">
        <v>0.6013207547169811</v>
      </c>
      <c r="Q2362" s="253">
        <v>0.63577464788732385</v>
      </c>
      <c r="R2362" s="253">
        <v>0.65983418367346935</v>
      </c>
      <c r="S2362" s="253">
        <v>0.58224299065420559</v>
      </c>
      <c r="T2362" s="253">
        <v>0.59535714285714281</v>
      </c>
      <c r="U2362" s="253">
        <v>0.57673469387755105</v>
      </c>
      <c r="V2362" s="253">
        <v>0.61599999999999999</v>
      </c>
      <c r="W2362" s="253"/>
      <c r="X2362" s="253">
        <v>0.63882352941176468</v>
      </c>
      <c r="Y2362" s="253">
        <v>0.57726694915254229</v>
      </c>
      <c r="Z2362" s="253">
        <v>0.57153846153846155</v>
      </c>
      <c r="AA2362" s="253"/>
      <c r="AB2362" s="253"/>
      <c r="AC2362" s="253"/>
      <c r="AD2362" s="253"/>
      <c r="AE2362" s="253"/>
    </row>
    <row r="2363" spans="1:31">
      <c r="A2363" s="33">
        <v>2362</v>
      </c>
      <c r="B2363" s="69" t="s">
        <v>739</v>
      </c>
      <c r="C2363" s="69" t="s">
        <v>740</v>
      </c>
      <c r="D2363" s="56">
        <v>43138</v>
      </c>
      <c r="E2363" s="33" t="s">
        <v>724</v>
      </c>
      <c r="F2363" s="69" t="s">
        <v>532</v>
      </c>
      <c r="G2363" s="69" t="str">
        <f t="shared" si="36"/>
        <v>E-Commerce</v>
      </c>
      <c r="H2363" s="69" t="s">
        <v>364</v>
      </c>
      <c r="I2363" s="69" t="s">
        <v>741</v>
      </c>
      <c r="J2363" s="69" t="s">
        <v>739</v>
      </c>
      <c r="K2363" s="151" t="s">
        <v>745</v>
      </c>
      <c r="L2363" s="253">
        <v>0.62723367198838897</v>
      </c>
      <c r="M2363" s="253">
        <v>0.64897290055217138</v>
      </c>
      <c r="N2363" s="253">
        <v>0.66784798040599436</v>
      </c>
      <c r="O2363" s="253">
        <v>0.64396605772102922</v>
      </c>
      <c r="P2363" s="253">
        <v>0.62981132075471702</v>
      </c>
      <c r="Q2363" s="253">
        <v>0.62225352112676058</v>
      </c>
      <c r="R2363" s="253">
        <v>0.67531887755102038</v>
      </c>
      <c r="S2363" s="253">
        <v>0.67990654205607481</v>
      </c>
      <c r="T2363" s="253">
        <v>0.69392857142857145</v>
      </c>
      <c r="U2363" s="253">
        <v>0.60510204081632646</v>
      </c>
      <c r="V2363" s="253">
        <v>0.66490825688073385</v>
      </c>
      <c r="W2363" s="253"/>
      <c r="X2363" s="253">
        <v>0.67764705882352938</v>
      </c>
      <c r="Y2363" s="253">
        <v>0.64438559322033895</v>
      </c>
      <c r="Z2363" s="253">
        <v>0.61692307692307691</v>
      </c>
      <c r="AA2363" s="253"/>
      <c r="AB2363" s="253"/>
      <c r="AC2363" s="253"/>
      <c r="AD2363" s="253"/>
      <c r="AE2363" s="253"/>
    </row>
    <row r="2364" spans="1:31">
      <c r="A2364" s="33">
        <v>2363</v>
      </c>
      <c r="B2364" s="69" t="s">
        <v>746</v>
      </c>
      <c r="C2364" s="69" t="s">
        <v>747</v>
      </c>
      <c r="D2364" s="56">
        <v>43138</v>
      </c>
      <c r="E2364" s="33" t="s">
        <v>748</v>
      </c>
      <c r="F2364" s="69" t="s">
        <v>725</v>
      </c>
      <c r="G2364" s="69" t="str">
        <f t="shared" si="36"/>
        <v>E-Commerce</v>
      </c>
      <c r="H2364" s="69" t="s">
        <v>749</v>
      </c>
      <c r="I2364" s="69" t="s">
        <v>749</v>
      </c>
      <c r="J2364" s="69" t="s">
        <v>746</v>
      </c>
      <c r="K2364" s="69" t="s">
        <v>746</v>
      </c>
      <c r="L2364" s="253">
        <v>0.6224441219158201</v>
      </c>
      <c r="M2364" s="253">
        <v>0.56730004152812785</v>
      </c>
      <c r="N2364" s="253">
        <v>0.52054298642533936</v>
      </c>
      <c r="O2364" s="253">
        <v>0.57198562771884798</v>
      </c>
      <c r="P2364" s="253">
        <v>0.63113207547169814</v>
      </c>
      <c r="Q2364" s="253">
        <v>0.55108108108108111</v>
      </c>
      <c r="R2364" s="253">
        <v>0.61388884925447673</v>
      </c>
      <c r="S2364" s="253">
        <v>0.54952830188679247</v>
      </c>
      <c r="T2364" s="253">
        <v>0.55343511450381677</v>
      </c>
      <c r="U2364" s="253">
        <v>0.5480658436213991</v>
      </c>
      <c r="V2364" s="253">
        <v>0.502</v>
      </c>
      <c r="W2364" s="253">
        <v>0</v>
      </c>
      <c r="X2364" s="253">
        <v>0.58235294117647063</v>
      </c>
      <c r="Y2364" s="253">
        <v>0.56322916666666656</v>
      </c>
      <c r="Z2364" s="253">
        <v>0.58769230769230774</v>
      </c>
      <c r="AA2364" s="253"/>
      <c r="AB2364" s="253"/>
      <c r="AC2364" s="253"/>
      <c r="AD2364" s="253"/>
      <c r="AE2364" s="253"/>
    </row>
    <row r="2365" spans="1:31">
      <c r="A2365" s="33">
        <v>2364</v>
      </c>
      <c r="B2365" s="69" t="s">
        <v>746</v>
      </c>
      <c r="C2365" s="69" t="s">
        <v>747</v>
      </c>
      <c r="D2365" s="56">
        <v>43138</v>
      </c>
      <c r="E2365" s="33" t="s">
        <v>748</v>
      </c>
      <c r="F2365" s="69" t="s">
        <v>725</v>
      </c>
      <c r="G2365" s="69" t="str">
        <f t="shared" si="36"/>
        <v>E-Commerce</v>
      </c>
      <c r="H2365" s="69" t="s">
        <v>749</v>
      </c>
      <c r="I2365" s="69" t="s">
        <v>749</v>
      </c>
      <c r="J2365" s="69" t="s">
        <v>746</v>
      </c>
      <c r="K2365" s="69" t="s">
        <v>750</v>
      </c>
      <c r="L2365" s="253">
        <v>0.64822060957910022</v>
      </c>
      <c r="M2365" s="253">
        <v>0.62056120512910928</v>
      </c>
      <c r="N2365" s="253">
        <v>0.55606334841628968</v>
      </c>
      <c r="O2365" s="253">
        <v>0.60207720780009122</v>
      </c>
      <c r="P2365" s="253">
        <v>0.6556603773584907</v>
      </c>
      <c r="Q2365" s="253">
        <v>0.63689189189189188</v>
      </c>
      <c r="R2365" s="253">
        <v>0.66579867303988005</v>
      </c>
      <c r="S2365" s="253">
        <v>0.55518867924528303</v>
      </c>
      <c r="T2365" s="253">
        <v>0.57900763358778617</v>
      </c>
      <c r="U2365" s="253">
        <v>0.64032921810699595</v>
      </c>
      <c r="V2365" s="253">
        <v>0.54200000000000004</v>
      </c>
      <c r="W2365" s="253">
        <v>0</v>
      </c>
      <c r="X2365" s="253">
        <v>0.60294117647058831</v>
      </c>
      <c r="Y2365" s="253">
        <v>0.58562500000000006</v>
      </c>
      <c r="Z2365" s="253">
        <v>0.61846153846153851</v>
      </c>
      <c r="AA2365" s="253"/>
      <c r="AB2365" s="253"/>
      <c r="AC2365" s="253"/>
      <c r="AD2365" s="253"/>
      <c r="AE2365" s="253"/>
    </row>
    <row r="2366" spans="1:31">
      <c r="A2366" s="33">
        <v>2365</v>
      </c>
      <c r="B2366" s="69" t="s">
        <v>746</v>
      </c>
      <c r="C2366" s="69" t="s">
        <v>747</v>
      </c>
      <c r="D2366" s="56">
        <v>43138</v>
      </c>
      <c r="E2366" s="33" t="s">
        <v>748</v>
      </c>
      <c r="F2366" s="69" t="s">
        <v>725</v>
      </c>
      <c r="G2366" s="69" t="str">
        <f t="shared" si="36"/>
        <v>E-Commerce</v>
      </c>
      <c r="H2366" s="69" t="s">
        <v>749</v>
      </c>
      <c r="I2366" s="69" t="s">
        <v>749</v>
      </c>
      <c r="J2366" s="69" t="s">
        <v>746</v>
      </c>
      <c r="K2366" s="69" t="s">
        <v>751</v>
      </c>
      <c r="L2366" s="253">
        <v>0.67310885341074012</v>
      </c>
      <c r="M2366" s="253">
        <v>0.62278366976910171</v>
      </c>
      <c r="N2366" s="253">
        <v>0.60540723981900457</v>
      </c>
      <c r="O2366" s="253">
        <v>0.61254807226996755</v>
      </c>
      <c r="P2366" s="253">
        <v>0.67792452830188676</v>
      </c>
      <c r="Q2366" s="253">
        <v>0.61472972972972961</v>
      </c>
      <c r="R2366" s="253">
        <v>0.62449739601911958</v>
      </c>
      <c r="S2366" s="253">
        <v>0.61367924528301898</v>
      </c>
      <c r="T2366" s="253">
        <v>0.56068702290076322</v>
      </c>
      <c r="U2366" s="253">
        <v>0.65962962962962979</v>
      </c>
      <c r="V2366" s="253">
        <v>0.60350000000000004</v>
      </c>
      <c r="W2366" s="253">
        <v>0</v>
      </c>
      <c r="X2366" s="253">
        <v>0.61176470588235299</v>
      </c>
      <c r="Y2366" s="253">
        <v>0.59743749999999995</v>
      </c>
      <c r="Z2366" s="253">
        <v>0.65384615384615385</v>
      </c>
      <c r="AA2366" s="253"/>
      <c r="AB2366" s="253"/>
      <c r="AC2366" s="253"/>
      <c r="AD2366" s="253"/>
      <c r="AE2366" s="253"/>
    </row>
    <row r="2367" spans="1:31">
      <c r="A2367" s="33">
        <v>2366</v>
      </c>
      <c r="B2367" s="69" t="s">
        <v>746</v>
      </c>
      <c r="C2367" s="69" t="s">
        <v>747</v>
      </c>
      <c r="D2367" s="56">
        <v>43138</v>
      </c>
      <c r="E2367" s="33" t="s">
        <v>748</v>
      </c>
      <c r="F2367" s="69" t="s">
        <v>725</v>
      </c>
      <c r="G2367" s="69" t="str">
        <f t="shared" si="36"/>
        <v>E-Commerce</v>
      </c>
      <c r="H2367" s="69" t="s">
        <v>749</v>
      </c>
      <c r="I2367" s="69" t="s">
        <v>749</v>
      </c>
      <c r="J2367" s="69" t="s">
        <v>746</v>
      </c>
      <c r="K2367" s="69" t="s">
        <v>752</v>
      </c>
      <c r="L2367" s="253">
        <v>0.56957910014513791</v>
      </c>
      <c r="M2367" s="253">
        <v>0.51376019488244751</v>
      </c>
      <c r="N2367" s="253">
        <v>0.56628959276018098</v>
      </c>
      <c r="O2367" s="253">
        <v>0.54032059518635722</v>
      </c>
      <c r="P2367" s="253">
        <v>0.57735849056603772</v>
      </c>
      <c r="Q2367" s="253">
        <v>0.47499999999999998</v>
      </c>
      <c r="R2367" s="253">
        <v>0.55906970107726317</v>
      </c>
      <c r="S2367" s="253">
        <v>0.54150943396226403</v>
      </c>
      <c r="T2367" s="253">
        <v>0.52900763358778613</v>
      </c>
      <c r="U2367" s="253">
        <v>0.45823045267489715</v>
      </c>
      <c r="V2367" s="253">
        <v>0.58299999999999996</v>
      </c>
      <c r="W2367" s="253">
        <v>0</v>
      </c>
      <c r="X2367" s="253">
        <v>0.51058823529411768</v>
      </c>
      <c r="Y2367" s="253">
        <v>0.5435416666666667</v>
      </c>
      <c r="Z2367" s="253">
        <v>0.53846153846153844</v>
      </c>
      <c r="AA2367" s="253"/>
      <c r="AB2367" s="253"/>
      <c r="AC2367" s="253"/>
      <c r="AD2367" s="253"/>
      <c r="AE2367" s="253"/>
    </row>
    <row r="2368" spans="1:31">
      <c r="A2368" s="33">
        <v>2367</v>
      </c>
      <c r="B2368" s="69" t="s">
        <v>746</v>
      </c>
      <c r="C2368" s="69" t="s">
        <v>747</v>
      </c>
      <c r="D2368" s="56">
        <v>43138</v>
      </c>
      <c r="E2368" s="33" t="s">
        <v>748</v>
      </c>
      <c r="F2368" s="69" t="s">
        <v>725</v>
      </c>
      <c r="G2368" s="69" t="str">
        <f t="shared" si="36"/>
        <v>E-Commerce</v>
      </c>
      <c r="H2368" s="69" t="s">
        <v>749</v>
      </c>
      <c r="I2368" s="69" t="s">
        <v>749</v>
      </c>
      <c r="J2368" s="69" t="s">
        <v>746</v>
      </c>
      <c r="K2368" s="69" t="s">
        <v>753</v>
      </c>
      <c r="L2368" s="253">
        <v>0.60810449927431054</v>
      </c>
      <c r="M2368" s="253">
        <v>0.55606547195120826</v>
      </c>
      <c r="N2368" s="253">
        <v>0.57162895927601809</v>
      </c>
      <c r="O2368" s="253">
        <v>0.56282050891510826</v>
      </c>
      <c r="P2368" s="253">
        <v>0.63320754716981131</v>
      </c>
      <c r="Q2368" s="253">
        <v>0.5922972972972973</v>
      </c>
      <c r="R2368" s="253">
        <v>0.61197117785546129</v>
      </c>
      <c r="S2368" s="253">
        <v>0.55613207547169807</v>
      </c>
      <c r="T2368" s="253">
        <v>0.50801526717557255</v>
      </c>
      <c r="U2368" s="253">
        <v>0.51930041152263373</v>
      </c>
      <c r="V2368" s="253">
        <v>0.57599999999999996</v>
      </c>
      <c r="W2368" s="253">
        <v>0</v>
      </c>
      <c r="X2368" s="253">
        <v>0.55705882352941183</v>
      </c>
      <c r="Y2368" s="253">
        <v>0.56725000000000003</v>
      </c>
      <c r="Z2368" s="253">
        <v>0.50769230769230766</v>
      </c>
      <c r="AA2368" s="253"/>
      <c r="AB2368" s="253"/>
      <c r="AC2368" s="253"/>
      <c r="AD2368" s="253"/>
      <c r="AE2368" s="253"/>
    </row>
    <row r="2369" spans="1:26">
      <c r="A2369" s="33">
        <v>2368</v>
      </c>
      <c r="B2369" s="69" t="s">
        <v>669</v>
      </c>
      <c r="C2369" s="69" t="s">
        <v>723</v>
      </c>
      <c r="D2369" s="56">
        <v>43139</v>
      </c>
      <c r="E2369" s="33" t="s">
        <v>724</v>
      </c>
      <c r="F2369" s="69" t="s">
        <v>725</v>
      </c>
      <c r="G2369" s="69" t="str">
        <f t="shared" si="36"/>
        <v>E-Commerce</v>
      </c>
      <c r="H2369" s="69" t="s">
        <v>364</v>
      </c>
      <c r="I2369" s="69" t="s">
        <v>726</v>
      </c>
      <c r="J2369" s="69" t="s">
        <v>669</v>
      </c>
      <c r="K2369" s="69" t="s">
        <v>669</v>
      </c>
      <c r="L2369" s="253">
        <v>0.64101596516690851</v>
      </c>
      <c r="M2369" s="253">
        <v>0.66400000000000003</v>
      </c>
      <c r="N2369" s="253">
        <v>0.64500000000000002</v>
      </c>
      <c r="O2369" s="253">
        <v>0.65294061661584812</v>
      </c>
      <c r="P2369" s="253">
        <v>0.63396226415094337</v>
      </c>
      <c r="Q2369" s="253">
        <v>0.68378378378378391</v>
      </c>
      <c r="R2369" s="253">
        <v>0.66473282442748094</v>
      </c>
      <c r="S2369" s="253">
        <v>0.65613207547169794</v>
      </c>
      <c r="T2369" s="253">
        <v>0.66</v>
      </c>
      <c r="U2369" s="253">
        <v>0.67049382716049388</v>
      </c>
      <c r="V2369" s="253">
        <v>0.64300000000000002</v>
      </c>
      <c r="W2369" s="253">
        <v>0</v>
      </c>
      <c r="X2369" s="253">
        <v>0.66352941176470592</v>
      </c>
      <c r="Y2369" s="253">
        <v>0.64229166666666671</v>
      </c>
      <c r="Z2369" s="253">
        <v>0.66923076923076918</v>
      </c>
    </row>
    <row r="2370" spans="1:26">
      <c r="A2370" s="33">
        <v>2369</v>
      </c>
      <c r="B2370" s="69" t="s">
        <v>669</v>
      </c>
      <c r="C2370" s="69" t="s">
        <v>723</v>
      </c>
      <c r="D2370" s="56">
        <v>43139</v>
      </c>
      <c r="E2370" s="33" t="s">
        <v>724</v>
      </c>
      <c r="F2370" s="69" t="s">
        <v>725</v>
      </c>
      <c r="G2370" s="69" t="str">
        <f t="shared" ref="G2370:G2433" si="37">IF(V2370&gt;0,IF(W2370&gt;0,"Both","E-Commerce"),IF(W2370=0, "ERROR","User Registration"))</f>
        <v>E-Commerce</v>
      </c>
      <c r="H2370" s="69" t="s">
        <v>364</v>
      </c>
      <c r="I2370" s="69" t="s">
        <v>726</v>
      </c>
      <c r="J2370" s="69" t="s">
        <v>669</v>
      </c>
      <c r="K2370" s="151" t="s">
        <v>727</v>
      </c>
      <c r="L2370" s="253">
        <v>0.65786937590711181</v>
      </c>
      <c r="M2370" s="253">
        <v>0.64009518883225791</v>
      </c>
      <c r="N2370" s="253">
        <v>0.62248342628643583</v>
      </c>
      <c r="O2370" s="253">
        <v>0.59808417459485086</v>
      </c>
      <c r="P2370" s="253">
        <v>0.66849056603773582</v>
      </c>
      <c r="Q2370" s="253">
        <v>0.63756756756756749</v>
      </c>
      <c r="R2370" s="253">
        <v>0.61551829920810452</v>
      </c>
      <c r="S2370" s="253">
        <v>0.64433962264150957</v>
      </c>
      <c r="T2370" s="253">
        <v>0.62900763358778633</v>
      </c>
      <c r="U2370" s="253">
        <v>0.67983539094650214</v>
      </c>
      <c r="V2370" s="253">
        <v>0.62958139534883717</v>
      </c>
      <c r="W2370" s="253">
        <v>0</v>
      </c>
      <c r="X2370" s="253">
        <v>0.59882352941176464</v>
      </c>
      <c r="Y2370" s="253">
        <v>0.58083333333333331</v>
      </c>
      <c r="Z2370" s="253">
        <v>0.61538461538461542</v>
      </c>
    </row>
    <row r="2371" spans="1:26">
      <c r="A2371" s="33">
        <v>2370</v>
      </c>
      <c r="B2371" s="69" t="s">
        <v>669</v>
      </c>
      <c r="C2371" s="69" t="s">
        <v>723</v>
      </c>
      <c r="D2371" s="56">
        <v>43139</v>
      </c>
      <c r="E2371" s="33" t="s">
        <v>724</v>
      </c>
      <c r="F2371" s="69" t="s">
        <v>725</v>
      </c>
      <c r="G2371" s="69" t="str">
        <f t="shared" si="37"/>
        <v>E-Commerce</v>
      </c>
      <c r="H2371" s="69" t="s">
        <v>364</v>
      </c>
      <c r="I2371" s="69" t="s">
        <v>726</v>
      </c>
      <c r="J2371" s="69" t="s">
        <v>669</v>
      </c>
      <c r="K2371" s="151" t="s">
        <v>728</v>
      </c>
      <c r="L2371" s="253">
        <v>0.58425253991291726</v>
      </c>
      <c r="M2371" s="253">
        <v>0.63364554908502735</v>
      </c>
      <c r="N2371" s="253">
        <v>0.65857939598021686</v>
      </c>
      <c r="O2371" s="253">
        <v>0.57163338219027182</v>
      </c>
      <c r="P2371" s="253">
        <v>0.57358490566037734</v>
      </c>
      <c r="Q2371" s="253">
        <v>0.70202702702702702</v>
      </c>
      <c r="R2371" s="253">
        <v>0.63664835556823851</v>
      </c>
      <c r="S2371" s="253">
        <v>0.54292452830188676</v>
      </c>
      <c r="T2371" s="253">
        <v>0.63702290076335866</v>
      </c>
      <c r="U2371" s="253">
        <v>0.64917695473251025</v>
      </c>
      <c r="V2371" s="253">
        <v>0.66697674418604658</v>
      </c>
      <c r="W2371" s="253">
        <v>0</v>
      </c>
      <c r="X2371" s="253">
        <v>0.63058823529411767</v>
      </c>
      <c r="Y2371" s="253">
        <v>0.53187499999999999</v>
      </c>
      <c r="Z2371" s="253">
        <v>0.62692307692307692</v>
      </c>
    </row>
    <row r="2372" spans="1:26">
      <c r="A2372" s="33">
        <v>2371</v>
      </c>
      <c r="B2372" s="69" t="s">
        <v>669</v>
      </c>
      <c r="C2372" s="69" t="s">
        <v>723</v>
      </c>
      <c r="D2372" s="56">
        <v>43139</v>
      </c>
      <c r="E2372" s="33" t="s">
        <v>724</v>
      </c>
      <c r="F2372" s="69" t="s">
        <v>725</v>
      </c>
      <c r="G2372" s="69" t="str">
        <f t="shared" si="37"/>
        <v>E-Commerce</v>
      </c>
      <c r="H2372" s="69" t="s">
        <v>364</v>
      </c>
      <c r="I2372" s="69" t="s">
        <v>726</v>
      </c>
      <c r="J2372" s="69" t="s">
        <v>669</v>
      </c>
      <c r="K2372" s="151" t="s">
        <v>729</v>
      </c>
      <c r="L2372" s="253">
        <v>0.60947460087082728</v>
      </c>
      <c r="M2372" s="253">
        <v>0.60838555633258018</v>
      </c>
      <c r="N2372" s="253">
        <v>0.5819246553719879</v>
      </c>
      <c r="O2372" s="253">
        <v>0.58720701728888969</v>
      </c>
      <c r="P2372" s="253">
        <v>0.60415094339622644</v>
      </c>
      <c r="Q2372" s="253">
        <v>0.62729729729729733</v>
      </c>
      <c r="R2372" s="253">
        <v>0.62146108297067848</v>
      </c>
      <c r="S2372" s="253">
        <v>0.53207547169811331</v>
      </c>
      <c r="T2372" s="253">
        <v>0.61793893129770983</v>
      </c>
      <c r="U2372" s="253">
        <v>0.62654320987654322</v>
      </c>
      <c r="V2372" s="253">
        <v>0.58232558139534885</v>
      </c>
      <c r="W2372" s="253">
        <v>0</v>
      </c>
      <c r="X2372" s="253">
        <v>0.58058823529411763</v>
      </c>
      <c r="Y2372" s="253">
        <v>0.56879166666666658</v>
      </c>
      <c r="Z2372" s="253">
        <v>0.63076923076923075</v>
      </c>
    </row>
    <row r="2373" spans="1:26">
      <c r="A2373" s="33">
        <v>2372</v>
      </c>
      <c r="B2373" s="69" t="s">
        <v>669</v>
      </c>
      <c r="C2373" s="69" t="s">
        <v>723</v>
      </c>
      <c r="D2373" s="56">
        <v>43139</v>
      </c>
      <c r="E2373" s="33" t="s">
        <v>724</v>
      </c>
      <c r="F2373" s="69" t="s">
        <v>725</v>
      </c>
      <c r="G2373" s="69" t="str">
        <f t="shared" si="37"/>
        <v>E-Commerce</v>
      </c>
      <c r="H2373" s="69" t="s">
        <v>364</v>
      </c>
      <c r="I2373" s="69" t="s">
        <v>726</v>
      </c>
      <c r="J2373" s="69" t="s">
        <v>669</v>
      </c>
      <c r="K2373" s="151" t="s">
        <v>730</v>
      </c>
      <c r="L2373" s="253">
        <v>0.56811030478954994</v>
      </c>
      <c r="M2373" s="253">
        <v>0.57990388689875783</v>
      </c>
      <c r="N2373" s="253">
        <v>0.59538040618751964</v>
      </c>
      <c r="O2373" s="253">
        <v>0.54769038112318558</v>
      </c>
      <c r="P2373" s="253">
        <v>0.56283018867924517</v>
      </c>
      <c r="Q2373" s="253">
        <v>0.59135135135135131</v>
      </c>
      <c r="R2373" s="253">
        <v>0.59898123706927298</v>
      </c>
      <c r="S2373" s="253">
        <v>0.5051886792452831</v>
      </c>
      <c r="T2373" s="253">
        <v>0.59618320610687014</v>
      </c>
      <c r="U2373" s="253">
        <v>0.59794238683127565</v>
      </c>
      <c r="V2373" s="253">
        <v>0.61446511627906975</v>
      </c>
      <c r="W2373" s="253">
        <v>0</v>
      </c>
      <c r="X2373" s="253">
        <v>0.53176470588235303</v>
      </c>
      <c r="Y2373" s="253">
        <v>0.52485416666666662</v>
      </c>
      <c r="Z2373" s="253">
        <v>0.58923076923076922</v>
      </c>
    </row>
    <row r="2374" spans="1:26">
      <c r="A2374" s="33">
        <v>2373</v>
      </c>
      <c r="B2374" s="69" t="s">
        <v>669</v>
      </c>
      <c r="C2374" s="69" t="s">
        <v>723</v>
      </c>
      <c r="D2374" s="56">
        <v>43139</v>
      </c>
      <c r="E2374" s="33" t="s">
        <v>724</v>
      </c>
      <c r="F2374" s="69" t="s">
        <v>725</v>
      </c>
      <c r="G2374" s="69" t="str">
        <f t="shared" si="37"/>
        <v>E-Commerce</v>
      </c>
      <c r="H2374" s="69" t="s">
        <v>364</v>
      </c>
      <c r="I2374" s="69" t="s">
        <v>726</v>
      </c>
      <c r="J2374" s="69" t="s">
        <v>669</v>
      </c>
      <c r="K2374" s="69" t="s">
        <v>731</v>
      </c>
      <c r="L2374" s="253">
        <v>0.62635994194484756</v>
      </c>
      <c r="M2374" s="253">
        <v>0.6078993776605256</v>
      </c>
      <c r="N2374" s="253">
        <v>0.60011890981795224</v>
      </c>
      <c r="O2374" s="253">
        <v>0.58326223547695955</v>
      </c>
      <c r="P2374" s="253">
        <v>0.61660377358490559</v>
      </c>
      <c r="Q2374" s="253">
        <v>0.58148648648648649</v>
      </c>
      <c r="R2374" s="253">
        <v>0.61980309624027963</v>
      </c>
      <c r="S2374" s="253">
        <v>0.57216981132075473</v>
      </c>
      <c r="T2374" s="253">
        <v>0.66564885496183213</v>
      </c>
      <c r="U2374" s="253">
        <v>0.58806584362139924</v>
      </c>
      <c r="V2374" s="253">
        <v>0.60986046511627912</v>
      </c>
      <c r="W2374" s="253">
        <v>0</v>
      </c>
      <c r="X2374" s="253">
        <v>0.56764705882352939</v>
      </c>
      <c r="Y2374" s="253">
        <v>0.55260416666666667</v>
      </c>
      <c r="Z2374" s="253">
        <v>0.66538461538461535</v>
      </c>
    </row>
    <row r="2375" spans="1:26">
      <c r="A2375" s="33">
        <v>2374</v>
      </c>
      <c r="B2375" s="69" t="s">
        <v>669</v>
      </c>
      <c r="C2375" s="69" t="s">
        <v>723</v>
      </c>
      <c r="D2375" s="56">
        <v>43139</v>
      </c>
      <c r="E2375" s="33" t="s">
        <v>724</v>
      </c>
      <c r="F2375" s="69" t="s">
        <v>725</v>
      </c>
      <c r="G2375" s="69" t="str">
        <f t="shared" si="37"/>
        <v>E-Commerce</v>
      </c>
      <c r="H2375" s="69" t="s">
        <v>364</v>
      </c>
      <c r="I2375" s="69" t="s">
        <v>726</v>
      </c>
      <c r="J2375" s="69" t="s">
        <v>669</v>
      </c>
      <c r="K2375" s="69" t="s">
        <v>732</v>
      </c>
      <c r="L2375" s="253">
        <v>0.65146879535558777</v>
      </c>
      <c r="M2375" s="253">
        <v>0.66756714001229489</v>
      </c>
      <c r="N2375" s="253">
        <v>0.61429969483321045</v>
      </c>
      <c r="O2375" s="253">
        <v>0.61442074350368114</v>
      </c>
      <c r="P2375" s="253">
        <v>0.65452830188679245</v>
      </c>
      <c r="Q2375" s="253">
        <v>0.61878378378378374</v>
      </c>
      <c r="R2375" s="253">
        <v>0.68135478347720602</v>
      </c>
      <c r="S2375" s="253">
        <v>0.67471698113207546</v>
      </c>
      <c r="T2375" s="253">
        <v>0.68091603053435101</v>
      </c>
      <c r="U2375" s="253">
        <v>0.69041152263374506</v>
      </c>
      <c r="V2375" s="253">
        <v>0.59688372093023245</v>
      </c>
      <c r="W2375" s="253">
        <v>0</v>
      </c>
      <c r="X2375" s="253">
        <v>0.67235294117647071</v>
      </c>
      <c r="Y2375" s="253">
        <v>0.58712500000000001</v>
      </c>
      <c r="Z2375" s="253">
        <v>0.63923076923076916</v>
      </c>
    </row>
    <row r="2376" spans="1:26">
      <c r="A2376" s="33">
        <v>2375</v>
      </c>
      <c r="B2376" s="69" t="s">
        <v>669</v>
      </c>
      <c r="C2376" s="69" t="s">
        <v>723</v>
      </c>
      <c r="D2376" s="56">
        <v>43139</v>
      </c>
      <c r="E2376" s="33" t="s">
        <v>724</v>
      </c>
      <c r="F2376" s="69" t="s">
        <v>725</v>
      </c>
      <c r="G2376" s="69" t="str">
        <f t="shared" si="37"/>
        <v>E-Commerce</v>
      </c>
      <c r="H2376" s="69" t="s">
        <v>364</v>
      </c>
      <c r="I2376" s="69" t="s">
        <v>726</v>
      </c>
      <c r="J2376" s="69" t="s">
        <v>669</v>
      </c>
      <c r="K2376" s="69" t="s">
        <v>733</v>
      </c>
      <c r="L2376" s="253">
        <v>0.62755297532656029</v>
      </c>
      <c r="M2376" s="253">
        <v>0.65633342791554039</v>
      </c>
      <c r="N2376" s="253">
        <v>0.63700410396716833</v>
      </c>
      <c r="O2376" s="253">
        <v>0.60730164827409983</v>
      </c>
      <c r="P2376" s="253">
        <v>0.61905660377358496</v>
      </c>
      <c r="Q2376" s="253">
        <v>0.64310810810810803</v>
      </c>
      <c r="R2376" s="253">
        <v>0.64725690233288158</v>
      </c>
      <c r="S2376" s="253">
        <v>0.63584905660377367</v>
      </c>
      <c r="T2376" s="253">
        <v>0.64427480916030544</v>
      </c>
      <c r="U2376" s="253">
        <v>0.69753086419753085</v>
      </c>
      <c r="V2376" s="253">
        <v>0.65604651162790706</v>
      </c>
      <c r="W2376" s="253">
        <v>0</v>
      </c>
      <c r="X2376" s="253">
        <v>0.57352941176470584</v>
      </c>
      <c r="Y2376" s="253">
        <v>0.5766041666666667</v>
      </c>
      <c r="Z2376" s="253">
        <v>0.66153846153846152</v>
      </c>
    </row>
    <row r="2377" spans="1:26">
      <c r="A2377" s="33">
        <v>2376</v>
      </c>
      <c r="B2377" s="69" t="s">
        <v>734</v>
      </c>
      <c r="C2377" s="69" t="s">
        <v>735</v>
      </c>
      <c r="D2377" s="56">
        <v>43139</v>
      </c>
      <c r="E2377" s="33" t="s">
        <v>724</v>
      </c>
      <c r="F2377" s="69" t="s">
        <v>374</v>
      </c>
      <c r="G2377" s="69" t="str">
        <f t="shared" si="37"/>
        <v>E-Commerce</v>
      </c>
      <c r="H2377" s="69" t="s">
        <v>364</v>
      </c>
      <c r="I2377" s="69" t="s">
        <v>726</v>
      </c>
      <c r="J2377" s="69" t="s">
        <v>734</v>
      </c>
      <c r="K2377" s="69" t="s">
        <v>734</v>
      </c>
      <c r="L2377" s="253">
        <v>0.61873439767779392</v>
      </c>
      <c r="M2377" s="253">
        <v>0.62250788366075704</v>
      </c>
      <c r="N2377" s="253">
        <v>0.61638850889192887</v>
      </c>
      <c r="O2377" s="253">
        <v>0.6181242429826761</v>
      </c>
      <c r="P2377" s="253">
        <v>0.60226415094339614</v>
      </c>
      <c r="Q2377" s="253">
        <v>0.58904729729729743</v>
      </c>
      <c r="R2377" s="253">
        <v>0.611483198972676</v>
      </c>
      <c r="S2377" s="253">
        <v>0.60326923076923067</v>
      </c>
      <c r="T2377" s="253">
        <v>0.65114503816793889</v>
      </c>
      <c r="U2377" s="253">
        <v>0.63366666666666671</v>
      </c>
      <c r="V2377" s="253">
        <v>0.61706976744186048</v>
      </c>
      <c r="W2377" s="253"/>
      <c r="X2377" s="253">
        <v>0.61411764705882343</v>
      </c>
      <c r="Y2377" s="253">
        <v>0.60389830508474585</v>
      </c>
      <c r="Z2377" s="253">
        <v>0.68461538461538463</v>
      </c>
    </row>
    <row r="2378" spans="1:26">
      <c r="A2378" s="33">
        <v>2377</v>
      </c>
      <c r="B2378" s="69" t="s">
        <v>734</v>
      </c>
      <c r="C2378" s="69" t="s">
        <v>735</v>
      </c>
      <c r="D2378" s="56">
        <v>43139</v>
      </c>
      <c r="E2378" s="33" t="s">
        <v>724</v>
      </c>
      <c r="F2378" s="69" t="s">
        <v>374</v>
      </c>
      <c r="G2378" s="69" t="str">
        <f t="shared" si="37"/>
        <v>E-Commerce</v>
      </c>
      <c r="H2378" s="69" t="s">
        <v>364</v>
      </c>
      <c r="I2378" s="69" t="s">
        <v>726</v>
      </c>
      <c r="J2378" s="69" t="s">
        <v>734</v>
      </c>
      <c r="K2378" s="69" t="s">
        <v>736</v>
      </c>
      <c r="L2378" s="253">
        <v>0.5740522496371554</v>
      </c>
      <c r="M2378" s="253">
        <v>0.59434881719266985</v>
      </c>
      <c r="N2378" s="253">
        <v>0.62931916236977803</v>
      </c>
      <c r="O2378" s="253">
        <v>0.58375755955035302</v>
      </c>
      <c r="P2378" s="253">
        <v>0.55660377358490576</v>
      </c>
      <c r="Q2378" s="253">
        <v>0.57418918918918915</v>
      </c>
      <c r="R2378" s="253">
        <v>0.60718413355211531</v>
      </c>
      <c r="S2378" s="253">
        <v>0.57009615384615397</v>
      </c>
      <c r="T2378" s="253">
        <v>0.60114503816793896</v>
      </c>
      <c r="U2378" s="253">
        <v>0.59316666666666662</v>
      </c>
      <c r="V2378" s="253">
        <v>0.59823255813953491</v>
      </c>
      <c r="W2378" s="253"/>
      <c r="X2378" s="253">
        <v>0.73294117647058821</v>
      </c>
      <c r="Y2378" s="253">
        <v>0.56336864406779652</v>
      </c>
      <c r="Z2378" s="253">
        <v>0.64384615384615385</v>
      </c>
    </row>
    <row r="2379" spans="1:26">
      <c r="A2379" s="33">
        <v>2378</v>
      </c>
      <c r="B2379" s="69" t="s">
        <v>734</v>
      </c>
      <c r="C2379" s="69" t="s">
        <v>735</v>
      </c>
      <c r="D2379" s="56">
        <v>43139</v>
      </c>
      <c r="E2379" s="33" t="s">
        <v>724</v>
      </c>
      <c r="F2379" s="69" t="s">
        <v>374</v>
      </c>
      <c r="G2379" s="69" t="str">
        <f t="shared" si="37"/>
        <v>E-Commerce</v>
      </c>
      <c r="H2379" s="69" t="s">
        <v>364</v>
      </c>
      <c r="I2379" s="69" t="s">
        <v>726</v>
      </c>
      <c r="J2379" s="69" t="s">
        <v>734</v>
      </c>
      <c r="K2379" s="69" t="s">
        <v>737</v>
      </c>
      <c r="L2379" s="253">
        <v>0.57534107402031931</v>
      </c>
      <c r="M2379" s="253">
        <v>0.60502919209369332</v>
      </c>
      <c r="N2379" s="253">
        <v>0.60498684625907617</v>
      </c>
      <c r="O2379" s="253">
        <v>0.56729512547004934</v>
      </c>
      <c r="P2379" s="253">
        <v>0.56283018867924528</v>
      </c>
      <c r="Q2379" s="253">
        <v>0.6001283783783784</v>
      </c>
      <c r="R2379" s="253">
        <v>0.6303716915174431</v>
      </c>
      <c r="S2379" s="253">
        <v>0.53750000000000009</v>
      </c>
      <c r="T2379" s="253">
        <v>0.6354961832061069</v>
      </c>
      <c r="U2379" s="253">
        <v>0.61120833333333324</v>
      </c>
      <c r="V2379" s="253">
        <v>0.61195348837209307</v>
      </c>
      <c r="W2379" s="253"/>
      <c r="X2379" s="253">
        <v>0.58176470588235296</v>
      </c>
      <c r="Y2379" s="253">
        <v>0.53694915254237285</v>
      </c>
      <c r="Z2379" s="253">
        <v>0.62538461538461532</v>
      </c>
    </row>
    <row r="2380" spans="1:26">
      <c r="A2380" s="33">
        <v>2379</v>
      </c>
      <c r="B2380" s="69" t="s">
        <v>734</v>
      </c>
      <c r="C2380" s="69" t="s">
        <v>735</v>
      </c>
      <c r="D2380" s="56">
        <v>43139</v>
      </c>
      <c r="E2380" s="33" t="s">
        <v>724</v>
      </c>
      <c r="F2380" s="69" t="s">
        <v>374</v>
      </c>
      <c r="G2380" s="69" t="str">
        <f t="shared" si="37"/>
        <v>E-Commerce</v>
      </c>
      <c r="H2380" s="69" t="s">
        <v>364</v>
      </c>
      <c r="I2380" s="69" t="s">
        <v>726</v>
      </c>
      <c r="J2380" s="69" t="s">
        <v>734</v>
      </c>
      <c r="K2380" s="69" t="s">
        <v>738</v>
      </c>
      <c r="L2380" s="253">
        <v>0.59920603773584913</v>
      </c>
      <c r="M2380" s="253">
        <v>0.624254931019114</v>
      </c>
      <c r="N2380" s="253">
        <v>0.57618541513206356</v>
      </c>
      <c r="O2380" s="253">
        <v>0.60334285222079942</v>
      </c>
      <c r="P2380" s="253">
        <v>0.59150754716981135</v>
      </c>
      <c r="Q2380" s="253">
        <v>0.60648648648648651</v>
      </c>
      <c r="R2380" s="253">
        <v>0.59793436541342648</v>
      </c>
      <c r="S2380" s="253">
        <v>0.67405660377358489</v>
      </c>
      <c r="T2380" s="253">
        <v>0.5885496183206107</v>
      </c>
      <c r="U2380" s="253">
        <v>0.64407407407407413</v>
      </c>
      <c r="V2380" s="253">
        <v>0.56251162790697684</v>
      </c>
      <c r="W2380" s="253"/>
      <c r="X2380" s="253">
        <v>0.62176470588235289</v>
      </c>
      <c r="Y2380" s="253">
        <v>0.58904166666666657</v>
      </c>
      <c r="Z2380" s="253">
        <v>0.63</v>
      </c>
    </row>
    <row r="2381" spans="1:26">
      <c r="A2381" s="33">
        <v>2380</v>
      </c>
      <c r="B2381" s="69" t="s">
        <v>734</v>
      </c>
      <c r="C2381" s="69" t="s">
        <v>735</v>
      </c>
      <c r="D2381" s="56">
        <v>43139</v>
      </c>
      <c r="E2381" s="33" t="s">
        <v>724</v>
      </c>
      <c r="F2381" s="69" t="s">
        <v>374</v>
      </c>
      <c r="G2381" s="69" t="str">
        <f t="shared" si="37"/>
        <v>E-Commerce</v>
      </c>
      <c r="H2381" s="69" t="s">
        <v>364</v>
      </c>
      <c r="I2381" s="69" t="s">
        <v>726</v>
      </c>
      <c r="J2381" s="69" t="s">
        <v>734</v>
      </c>
      <c r="K2381" s="69" t="s">
        <v>727</v>
      </c>
      <c r="L2381" s="253">
        <v>0.65786937590711181</v>
      </c>
      <c r="M2381" s="253">
        <v>0.64009518883225791</v>
      </c>
      <c r="N2381" s="253">
        <v>0.62248342628643583</v>
      </c>
      <c r="O2381" s="253">
        <v>0.59808417459485086</v>
      </c>
      <c r="P2381" s="253">
        <v>0.66849056603773582</v>
      </c>
      <c r="Q2381" s="253">
        <v>0.63756756756756749</v>
      </c>
      <c r="R2381" s="253">
        <v>0.61551829920810452</v>
      </c>
      <c r="S2381" s="253">
        <v>0.64433962264150957</v>
      </c>
      <c r="T2381" s="253">
        <v>0.62900763358778633</v>
      </c>
      <c r="U2381" s="253">
        <v>0.67983539094650214</v>
      </c>
      <c r="V2381" s="253">
        <v>0.62958139534883717</v>
      </c>
      <c r="W2381" s="253"/>
      <c r="X2381" s="253">
        <v>0.59882352941176464</v>
      </c>
      <c r="Y2381" s="253">
        <v>0.58083333333333331</v>
      </c>
      <c r="Z2381" s="253">
        <v>0.61538461538461542</v>
      </c>
    </row>
    <row r="2382" spans="1:26">
      <c r="A2382" s="33">
        <v>2381</v>
      </c>
      <c r="B2382" s="69" t="s">
        <v>734</v>
      </c>
      <c r="C2382" s="69" t="s">
        <v>735</v>
      </c>
      <c r="D2382" s="56">
        <v>43139</v>
      </c>
      <c r="E2382" s="33" t="s">
        <v>724</v>
      </c>
      <c r="F2382" s="69" t="s">
        <v>374</v>
      </c>
      <c r="G2382" s="69" t="str">
        <f t="shared" si="37"/>
        <v>E-Commerce</v>
      </c>
      <c r="H2382" s="69" t="s">
        <v>364</v>
      </c>
      <c r="I2382" s="69" t="s">
        <v>726</v>
      </c>
      <c r="J2382" s="69" t="s">
        <v>734</v>
      </c>
      <c r="K2382" s="69" t="s">
        <v>733</v>
      </c>
      <c r="L2382" s="253">
        <v>0.62755297532656029</v>
      </c>
      <c r="M2382" s="253">
        <v>0.65633342791554039</v>
      </c>
      <c r="N2382" s="253">
        <v>0.63700410396716833</v>
      </c>
      <c r="O2382" s="253">
        <v>0.60730164827409983</v>
      </c>
      <c r="P2382" s="253">
        <v>0.61905660377358496</v>
      </c>
      <c r="Q2382" s="253">
        <v>0.64310810810810803</v>
      </c>
      <c r="R2382" s="253">
        <v>0.64725690233288158</v>
      </c>
      <c r="S2382" s="253">
        <v>0.63584905660377367</v>
      </c>
      <c r="T2382" s="253">
        <v>0.64427480916030544</v>
      </c>
      <c r="U2382" s="253">
        <v>0.69753086419753085</v>
      </c>
      <c r="V2382" s="253">
        <v>0.65604651162790706</v>
      </c>
      <c r="W2382" s="253"/>
      <c r="X2382" s="253">
        <v>0.57352941176470584</v>
      </c>
      <c r="Y2382" s="253">
        <v>0.5766041666666667</v>
      </c>
      <c r="Z2382" s="253">
        <v>0.66153846153846152</v>
      </c>
    </row>
    <row r="2383" spans="1:26">
      <c r="A2383" s="33">
        <v>2382</v>
      </c>
      <c r="B2383" s="69" t="s">
        <v>734</v>
      </c>
      <c r="C2383" s="69" t="s">
        <v>735</v>
      </c>
      <c r="D2383" s="56">
        <v>43139</v>
      </c>
      <c r="E2383" s="33" t="s">
        <v>724</v>
      </c>
      <c r="F2383" s="69" t="s">
        <v>374</v>
      </c>
      <c r="G2383" s="69" t="str">
        <f t="shared" si="37"/>
        <v>E-Commerce</v>
      </c>
      <c r="H2383" s="69" t="s">
        <v>364</v>
      </c>
      <c r="I2383" s="69" t="s">
        <v>726</v>
      </c>
      <c r="J2383" s="69" t="s">
        <v>734</v>
      </c>
      <c r="K2383" s="69" t="s">
        <v>669</v>
      </c>
      <c r="L2383" s="253">
        <v>0.64101596516690851</v>
      </c>
      <c r="M2383" s="253">
        <v>0.66400000000000003</v>
      </c>
      <c r="N2383" s="253">
        <v>0.64500000000000002</v>
      </c>
      <c r="O2383" s="253">
        <v>0.65294061661584812</v>
      </c>
      <c r="P2383" s="253">
        <v>0.63396226415094337</v>
      </c>
      <c r="Q2383" s="253">
        <v>0.68378378378378391</v>
      </c>
      <c r="R2383" s="253">
        <v>0.66473282442748094</v>
      </c>
      <c r="S2383" s="253">
        <v>0.65613207547169794</v>
      </c>
      <c r="T2383" s="253">
        <v>0.66</v>
      </c>
      <c r="U2383" s="253">
        <v>0.67049382716049388</v>
      </c>
      <c r="V2383" s="253">
        <v>0.64300000000000002</v>
      </c>
      <c r="W2383" s="253"/>
      <c r="X2383" s="253">
        <v>0.66352941176470592</v>
      </c>
      <c r="Y2383" s="253">
        <v>0.64229166666666671</v>
      </c>
      <c r="Z2383" s="253">
        <v>0.66923076923076918</v>
      </c>
    </row>
    <row r="2384" spans="1:26">
      <c r="A2384" s="33">
        <v>2383</v>
      </c>
      <c r="B2384" s="69" t="s">
        <v>734</v>
      </c>
      <c r="C2384" s="69" t="s">
        <v>735</v>
      </c>
      <c r="D2384" s="56">
        <v>43139</v>
      </c>
      <c r="E2384" s="33" t="s">
        <v>724</v>
      </c>
      <c r="F2384" s="69" t="s">
        <v>374</v>
      </c>
      <c r="G2384" s="69" t="str">
        <f t="shared" si="37"/>
        <v>E-Commerce</v>
      </c>
      <c r="H2384" s="69" t="s">
        <v>364</v>
      </c>
      <c r="I2384" s="69" t="s">
        <v>726</v>
      </c>
      <c r="J2384" s="69" t="s">
        <v>734</v>
      </c>
      <c r="K2384" s="69" t="s">
        <v>732</v>
      </c>
      <c r="L2384" s="253">
        <v>0.65146879535558777</v>
      </c>
      <c r="M2384" s="253">
        <v>0.66756714001229489</v>
      </c>
      <c r="N2384" s="253">
        <v>0.61429969483321045</v>
      </c>
      <c r="O2384" s="253">
        <v>0.61442074350368114</v>
      </c>
      <c r="P2384" s="253">
        <v>0.65452830188679245</v>
      </c>
      <c r="Q2384" s="253">
        <v>0.61878378378378374</v>
      </c>
      <c r="R2384" s="253">
        <v>0.68135478347720602</v>
      </c>
      <c r="S2384" s="253">
        <v>0.67471698113207546</v>
      </c>
      <c r="T2384" s="253">
        <v>0.68091603053435101</v>
      </c>
      <c r="U2384" s="253">
        <v>0.69041152263374506</v>
      </c>
      <c r="V2384" s="253">
        <v>0.59688372093023245</v>
      </c>
      <c r="W2384" s="253"/>
      <c r="X2384" s="253">
        <v>0.67235294117647071</v>
      </c>
      <c r="Y2384" s="253">
        <v>0.58712500000000001</v>
      </c>
      <c r="Z2384" s="253">
        <v>0.63923076923076916</v>
      </c>
    </row>
    <row r="2385" spans="7:7">
      <c r="G2385" s="69" t="str">
        <f t="shared" si="37"/>
        <v>ERROR</v>
      </c>
    </row>
    <row r="2386" spans="7:7">
      <c r="G2386" s="69" t="str">
        <f t="shared" si="37"/>
        <v>ERROR</v>
      </c>
    </row>
    <row r="2387" spans="7:7">
      <c r="G2387" s="69" t="str">
        <f t="shared" si="37"/>
        <v>ERROR</v>
      </c>
    </row>
    <row r="2388" spans="7:7">
      <c r="G2388" s="69" t="str">
        <f t="shared" si="37"/>
        <v>ERROR</v>
      </c>
    </row>
    <row r="2389" spans="7:7">
      <c r="G2389" s="69" t="str">
        <f t="shared" si="37"/>
        <v>ERROR</v>
      </c>
    </row>
    <row r="2390" spans="7:7">
      <c r="G2390" s="69" t="str">
        <f t="shared" si="37"/>
        <v>ERROR</v>
      </c>
    </row>
    <row r="2391" spans="7:7">
      <c r="G2391" s="69" t="str">
        <f t="shared" si="37"/>
        <v>ERROR</v>
      </c>
    </row>
    <row r="2392" spans="7:7">
      <c r="G2392" s="69" t="str">
        <f t="shared" si="37"/>
        <v>ERROR</v>
      </c>
    </row>
    <row r="2393" spans="7:7">
      <c r="G2393" s="69" t="str">
        <f t="shared" si="37"/>
        <v>ERROR</v>
      </c>
    </row>
    <row r="2394" spans="7:7">
      <c r="G2394" s="69" t="str">
        <f t="shared" si="37"/>
        <v>ERROR</v>
      </c>
    </row>
    <row r="2395" spans="7:7">
      <c r="G2395" s="69" t="str">
        <f t="shared" si="37"/>
        <v>ERROR</v>
      </c>
    </row>
    <row r="2396" spans="7:7">
      <c r="G2396" s="69" t="str">
        <f t="shared" si="37"/>
        <v>ERROR</v>
      </c>
    </row>
    <row r="2397" spans="7:7">
      <c r="G2397" s="69" t="str">
        <f t="shared" si="37"/>
        <v>ERROR</v>
      </c>
    </row>
    <row r="2398" spans="7:7">
      <c r="G2398" s="69" t="str">
        <f t="shared" si="37"/>
        <v>ERROR</v>
      </c>
    </row>
    <row r="2399" spans="7:7">
      <c r="G2399" s="69" t="str">
        <f t="shared" si="37"/>
        <v>ERROR</v>
      </c>
    </row>
    <row r="2400" spans="7:7">
      <c r="G2400" s="69" t="str">
        <f t="shared" si="37"/>
        <v>ERROR</v>
      </c>
    </row>
    <row r="2401" spans="7:7">
      <c r="G2401" s="69" t="str">
        <f t="shared" si="37"/>
        <v>ERROR</v>
      </c>
    </row>
    <row r="2402" spans="7:7">
      <c r="G2402" s="69" t="str">
        <f t="shared" si="37"/>
        <v>ERROR</v>
      </c>
    </row>
    <row r="2403" spans="7:7">
      <c r="G2403" s="69" t="str">
        <f t="shared" si="37"/>
        <v>ERROR</v>
      </c>
    </row>
    <row r="2404" spans="7:7">
      <c r="G2404" s="69" t="str">
        <f t="shared" si="37"/>
        <v>ERROR</v>
      </c>
    </row>
    <row r="2405" spans="7:7">
      <c r="G2405" s="69" t="str">
        <f t="shared" si="37"/>
        <v>ERROR</v>
      </c>
    </row>
    <row r="2406" spans="7:7">
      <c r="G2406" s="69" t="str">
        <f t="shared" si="37"/>
        <v>ERROR</v>
      </c>
    </row>
    <row r="2407" spans="7:7">
      <c r="G2407" s="69" t="str">
        <f t="shared" si="37"/>
        <v>ERROR</v>
      </c>
    </row>
    <row r="2408" spans="7:7">
      <c r="G2408" s="69" t="str">
        <f t="shared" si="37"/>
        <v>ERROR</v>
      </c>
    </row>
    <row r="2409" spans="7:7">
      <c r="G2409" s="69" t="str">
        <f t="shared" si="37"/>
        <v>ERROR</v>
      </c>
    </row>
    <row r="2410" spans="7:7">
      <c r="G2410" s="69" t="str">
        <f t="shared" si="37"/>
        <v>ERROR</v>
      </c>
    </row>
    <row r="2411" spans="7:7">
      <c r="G2411" s="69" t="str">
        <f t="shared" si="37"/>
        <v>ERROR</v>
      </c>
    </row>
    <row r="2412" spans="7:7">
      <c r="G2412" s="69" t="str">
        <f t="shared" si="37"/>
        <v>ERROR</v>
      </c>
    </row>
    <row r="2413" spans="7:7">
      <c r="G2413" s="69" t="str">
        <f t="shared" si="37"/>
        <v>ERROR</v>
      </c>
    </row>
    <row r="2414" spans="7:7">
      <c r="G2414" s="69" t="str">
        <f t="shared" si="37"/>
        <v>ERROR</v>
      </c>
    </row>
    <row r="2415" spans="7:7">
      <c r="G2415" s="69" t="str">
        <f t="shared" si="37"/>
        <v>ERROR</v>
      </c>
    </row>
    <row r="2416" spans="7:7">
      <c r="G2416" s="69" t="str">
        <f t="shared" si="37"/>
        <v>ERROR</v>
      </c>
    </row>
    <row r="2417" spans="7:7">
      <c r="G2417" s="69" t="str">
        <f t="shared" si="37"/>
        <v>ERROR</v>
      </c>
    </row>
    <row r="2418" spans="7:7">
      <c r="G2418" s="69" t="str">
        <f t="shared" si="37"/>
        <v>ERROR</v>
      </c>
    </row>
    <row r="2419" spans="7:7">
      <c r="G2419" s="69" t="str">
        <f t="shared" si="37"/>
        <v>ERROR</v>
      </c>
    </row>
    <row r="2420" spans="7:7">
      <c r="G2420" s="69" t="str">
        <f t="shared" si="37"/>
        <v>ERROR</v>
      </c>
    </row>
    <row r="2421" spans="7:7">
      <c r="G2421" s="69" t="str">
        <f t="shared" si="37"/>
        <v>ERROR</v>
      </c>
    </row>
    <row r="2422" spans="7:7">
      <c r="G2422" s="69" t="str">
        <f t="shared" si="37"/>
        <v>ERROR</v>
      </c>
    </row>
    <row r="2423" spans="7:7">
      <c r="G2423" s="69" t="str">
        <f t="shared" si="37"/>
        <v>ERROR</v>
      </c>
    </row>
    <row r="2424" spans="7:7">
      <c r="G2424" s="69" t="str">
        <f t="shared" si="37"/>
        <v>ERROR</v>
      </c>
    </row>
    <row r="2425" spans="7:7">
      <c r="G2425" s="69" t="str">
        <f t="shared" si="37"/>
        <v>ERROR</v>
      </c>
    </row>
    <row r="2426" spans="7:7">
      <c r="G2426" s="69" t="str">
        <f t="shared" si="37"/>
        <v>ERROR</v>
      </c>
    </row>
    <row r="2427" spans="7:7">
      <c r="G2427" s="69" t="str">
        <f t="shared" si="37"/>
        <v>ERROR</v>
      </c>
    </row>
    <row r="2428" spans="7:7">
      <c r="G2428" s="69" t="str">
        <f t="shared" si="37"/>
        <v>ERROR</v>
      </c>
    </row>
    <row r="2429" spans="7:7">
      <c r="G2429" s="69" t="str">
        <f t="shared" si="37"/>
        <v>ERROR</v>
      </c>
    </row>
    <row r="2430" spans="7:7">
      <c r="G2430" s="69" t="str">
        <f t="shared" si="37"/>
        <v>ERROR</v>
      </c>
    </row>
    <row r="2431" spans="7:7">
      <c r="G2431" s="69" t="str">
        <f t="shared" si="37"/>
        <v>ERROR</v>
      </c>
    </row>
    <row r="2432" spans="7:7">
      <c r="G2432" s="69" t="str">
        <f t="shared" si="37"/>
        <v>ERROR</v>
      </c>
    </row>
    <row r="2433" spans="7:7">
      <c r="G2433" s="69" t="str">
        <f t="shared" si="37"/>
        <v>ERROR</v>
      </c>
    </row>
    <row r="2434" spans="7:7">
      <c r="G2434" s="69" t="str">
        <f t="shared" ref="G2434:G2497" si="38">IF(V2434&gt;0,IF(W2434&gt;0,"Both","E-Commerce"),IF(W2434=0, "ERROR","User Registration"))</f>
        <v>ERROR</v>
      </c>
    </row>
    <row r="2435" spans="7:7">
      <c r="G2435" s="69" t="str">
        <f t="shared" si="38"/>
        <v>ERROR</v>
      </c>
    </row>
    <row r="2436" spans="7:7">
      <c r="G2436" s="69" t="str">
        <f t="shared" si="38"/>
        <v>ERROR</v>
      </c>
    </row>
    <row r="2437" spans="7:7">
      <c r="G2437" s="69" t="str">
        <f t="shared" si="38"/>
        <v>ERROR</v>
      </c>
    </row>
    <row r="2438" spans="7:7">
      <c r="G2438" s="69" t="str">
        <f t="shared" si="38"/>
        <v>ERROR</v>
      </c>
    </row>
    <row r="2439" spans="7:7">
      <c r="G2439" s="69" t="str">
        <f t="shared" si="38"/>
        <v>ERROR</v>
      </c>
    </row>
    <row r="2440" spans="7:7">
      <c r="G2440" s="69" t="str">
        <f t="shared" si="38"/>
        <v>ERROR</v>
      </c>
    </row>
    <row r="2441" spans="7:7">
      <c r="G2441" s="69" t="str">
        <f t="shared" si="38"/>
        <v>ERROR</v>
      </c>
    </row>
    <row r="2442" spans="7:7">
      <c r="G2442" s="69" t="str">
        <f t="shared" si="38"/>
        <v>ERROR</v>
      </c>
    </row>
    <row r="2443" spans="7:7">
      <c r="G2443" s="69" t="str">
        <f t="shared" si="38"/>
        <v>ERROR</v>
      </c>
    </row>
    <row r="2444" spans="7:7">
      <c r="G2444" s="69" t="str">
        <f t="shared" si="38"/>
        <v>ERROR</v>
      </c>
    </row>
    <row r="2445" spans="7:7">
      <c r="G2445" s="69" t="str">
        <f t="shared" si="38"/>
        <v>ERROR</v>
      </c>
    </row>
    <row r="2446" spans="7:7">
      <c r="G2446" s="69" t="str">
        <f t="shared" si="38"/>
        <v>ERROR</v>
      </c>
    </row>
    <row r="2447" spans="7:7">
      <c r="G2447" s="69" t="str">
        <f t="shared" si="38"/>
        <v>ERROR</v>
      </c>
    </row>
    <row r="2448" spans="7:7">
      <c r="G2448" s="69" t="str">
        <f t="shared" si="38"/>
        <v>ERROR</v>
      </c>
    </row>
    <row r="2449" spans="7:7">
      <c r="G2449" s="69" t="str">
        <f t="shared" si="38"/>
        <v>ERROR</v>
      </c>
    </row>
    <row r="2450" spans="7:7">
      <c r="G2450" s="69" t="str">
        <f t="shared" si="38"/>
        <v>ERROR</v>
      </c>
    </row>
    <row r="2451" spans="7:7">
      <c r="G2451" s="69" t="str">
        <f t="shared" si="38"/>
        <v>ERROR</v>
      </c>
    </row>
    <row r="2452" spans="7:7">
      <c r="G2452" s="69" t="str">
        <f t="shared" si="38"/>
        <v>ERROR</v>
      </c>
    </row>
    <row r="2453" spans="7:7">
      <c r="G2453" s="69" t="str">
        <f t="shared" si="38"/>
        <v>ERROR</v>
      </c>
    </row>
    <row r="2454" spans="7:7">
      <c r="G2454" s="69" t="str">
        <f t="shared" si="38"/>
        <v>ERROR</v>
      </c>
    </row>
    <row r="2455" spans="7:7">
      <c r="G2455" s="69" t="str">
        <f t="shared" si="38"/>
        <v>ERROR</v>
      </c>
    </row>
    <row r="2456" spans="7:7">
      <c r="G2456" s="69" t="str">
        <f t="shared" si="38"/>
        <v>ERROR</v>
      </c>
    </row>
    <row r="2457" spans="7:7">
      <c r="G2457" s="69" t="str">
        <f t="shared" si="38"/>
        <v>ERROR</v>
      </c>
    </row>
    <row r="2458" spans="7:7">
      <c r="G2458" s="69" t="str">
        <f t="shared" si="38"/>
        <v>ERROR</v>
      </c>
    </row>
    <row r="2459" spans="7:7">
      <c r="G2459" s="69" t="str">
        <f t="shared" si="38"/>
        <v>ERROR</v>
      </c>
    </row>
    <row r="2460" spans="7:7">
      <c r="G2460" s="69" t="str">
        <f t="shared" si="38"/>
        <v>ERROR</v>
      </c>
    </row>
    <row r="2461" spans="7:7">
      <c r="G2461" s="69" t="str">
        <f t="shared" si="38"/>
        <v>ERROR</v>
      </c>
    </row>
    <row r="2462" spans="7:7">
      <c r="G2462" s="69" t="str">
        <f t="shared" si="38"/>
        <v>ERROR</v>
      </c>
    </row>
    <row r="2463" spans="7:7">
      <c r="G2463" s="69" t="str">
        <f t="shared" si="38"/>
        <v>ERROR</v>
      </c>
    </row>
    <row r="2464" spans="7:7">
      <c r="G2464" s="69" t="str">
        <f t="shared" si="38"/>
        <v>ERROR</v>
      </c>
    </row>
    <row r="2465" spans="7:7">
      <c r="G2465" s="69" t="str">
        <f t="shared" si="38"/>
        <v>ERROR</v>
      </c>
    </row>
    <row r="2466" spans="7:7">
      <c r="G2466" s="69" t="str">
        <f t="shared" si="38"/>
        <v>ERROR</v>
      </c>
    </row>
    <row r="2467" spans="7:7">
      <c r="G2467" s="69" t="str">
        <f t="shared" si="38"/>
        <v>ERROR</v>
      </c>
    </row>
    <row r="2468" spans="7:7">
      <c r="G2468" s="69" t="str">
        <f t="shared" si="38"/>
        <v>ERROR</v>
      </c>
    </row>
    <row r="2469" spans="7:7">
      <c r="G2469" s="69" t="str">
        <f t="shared" si="38"/>
        <v>ERROR</v>
      </c>
    </row>
    <row r="2470" spans="7:7">
      <c r="G2470" s="69" t="str">
        <f t="shared" si="38"/>
        <v>ERROR</v>
      </c>
    </row>
    <row r="2471" spans="7:7">
      <c r="G2471" s="69" t="str">
        <f t="shared" si="38"/>
        <v>ERROR</v>
      </c>
    </row>
    <row r="2472" spans="7:7">
      <c r="G2472" s="69" t="str">
        <f t="shared" si="38"/>
        <v>ERROR</v>
      </c>
    </row>
    <row r="2473" spans="7:7">
      <c r="G2473" s="69" t="str">
        <f t="shared" si="38"/>
        <v>ERROR</v>
      </c>
    </row>
    <row r="2474" spans="7:7">
      <c r="G2474" s="69" t="str">
        <f t="shared" si="38"/>
        <v>ERROR</v>
      </c>
    </row>
    <row r="2475" spans="7:7">
      <c r="G2475" s="69" t="str">
        <f t="shared" si="38"/>
        <v>ERROR</v>
      </c>
    </row>
    <row r="2476" spans="7:7">
      <c r="G2476" s="69" t="str">
        <f t="shared" si="38"/>
        <v>ERROR</v>
      </c>
    </row>
    <row r="2477" spans="7:7">
      <c r="G2477" s="69" t="str">
        <f t="shared" si="38"/>
        <v>ERROR</v>
      </c>
    </row>
    <row r="2478" spans="7:7">
      <c r="G2478" s="69" t="str">
        <f t="shared" si="38"/>
        <v>ERROR</v>
      </c>
    </row>
    <row r="2479" spans="7:7">
      <c r="G2479" s="69" t="str">
        <f t="shared" si="38"/>
        <v>ERROR</v>
      </c>
    </row>
    <row r="2480" spans="7:7">
      <c r="G2480" s="69" t="str">
        <f t="shared" si="38"/>
        <v>ERROR</v>
      </c>
    </row>
    <row r="2481" spans="7:7">
      <c r="G2481" s="69" t="str">
        <f t="shared" si="38"/>
        <v>ERROR</v>
      </c>
    </row>
    <row r="2482" spans="7:7">
      <c r="G2482" s="69" t="str">
        <f t="shared" si="38"/>
        <v>ERROR</v>
      </c>
    </row>
    <row r="2483" spans="7:7">
      <c r="G2483" s="69" t="str">
        <f t="shared" si="38"/>
        <v>ERROR</v>
      </c>
    </row>
    <row r="2484" spans="7:7">
      <c r="G2484" s="69" t="str">
        <f t="shared" si="38"/>
        <v>ERROR</v>
      </c>
    </row>
    <row r="2485" spans="7:7">
      <c r="G2485" s="69" t="str">
        <f t="shared" si="38"/>
        <v>ERROR</v>
      </c>
    </row>
    <row r="2486" spans="7:7">
      <c r="G2486" s="69" t="str">
        <f t="shared" si="38"/>
        <v>ERROR</v>
      </c>
    </row>
    <row r="2487" spans="7:7">
      <c r="G2487" s="69" t="str">
        <f t="shared" si="38"/>
        <v>ERROR</v>
      </c>
    </row>
    <row r="2488" spans="7:7">
      <c r="G2488" s="69" t="str">
        <f t="shared" si="38"/>
        <v>ERROR</v>
      </c>
    </row>
    <row r="2489" spans="7:7">
      <c r="G2489" s="69" t="str">
        <f t="shared" si="38"/>
        <v>ERROR</v>
      </c>
    </row>
    <row r="2490" spans="7:7">
      <c r="G2490" s="69" t="str">
        <f t="shared" si="38"/>
        <v>ERROR</v>
      </c>
    </row>
    <row r="2491" spans="7:7">
      <c r="G2491" s="69" t="str">
        <f t="shared" si="38"/>
        <v>ERROR</v>
      </c>
    </row>
    <row r="2492" spans="7:7">
      <c r="G2492" s="69" t="str">
        <f t="shared" si="38"/>
        <v>ERROR</v>
      </c>
    </row>
    <row r="2493" spans="7:7">
      <c r="G2493" s="69" t="str">
        <f t="shared" si="38"/>
        <v>ERROR</v>
      </c>
    </row>
    <row r="2494" spans="7:7">
      <c r="G2494" s="69" t="str">
        <f t="shared" si="38"/>
        <v>ERROR</v>
      </c>
    </row>
    <row r="2495" spans="7:7">
      <c r="G2495" s="69" t="str">
        <f t="shared" si="38"/>
        <v>ERROR</v>
      </c>
    </row>
    <row r="2496" spans="7:7">
      <c r="G2496" s="69" t="str">
        <f t="shared" si="38"/>
        <v>ERROR</v>
      </c>
    </row>
    <row r="2497" spans="7:7">
      <c r="G2497" s="69" t="str">
        <f t="shared" si="38"/>
        <v>ERROR</v>
      </c>
    </row>
    <row r="2498" spans="7:7">
      <c r="G2498" s="69" t="str">
        <f t="shared" ref="G2498:G2561" si="39">IF(V2498&gt;0,IF(W2498&gt;0,"Both","E-Commerce"),IF(W2498=0, "ERROR","User Registration"))</f>
        <v>ERROR</v>
      </c>
    </row>
    <row r="2499" spans="7:7">
      <c r="G2499" s="69" t="str">
        <f t="shared" si="39"/>
        <v>ERROR</v>
      </c>
    </row>
    <row r="2500" spans="7:7">
      <c r="G2500" s="69" t="str">
        <f t="shared" si="39"/>
        <v>ERROR</v>
      </c>
    </row>
    <row r="2501" spans="7:7">
      <c r="G2501" s="69" t="str">
        <f t="shared" si="39"/>
        <v>ERROR</v>
      </c>
    </row>
    <row r="2502" spans="7:7">
      <c r="G2502" s="69" t="str">
        <f t="shared" si="39"/>
        <v>ERROR</v>
      </c>
    </row>
    <row r="2503" spans="7:7">
      <c r="G2503" s="69" t="str">
        <f t="shared" si="39"/>
        <v>ERROR</v>
      </c>
    </row>
    <row r="2504" spans="7:7">
      <c r="G2504" s="69" t="str">
        <f t="shared" si="39"/>
        <v>ERROR</v>
      </c>
    </row>
    <row r="2505" spans="7:7">
      <c r="G2505" s="69" t="str">
        <f t="shared" si="39"/>
        <v>ERROR</v>
      </c>
    </row>
    <row r="2506" spans="7:7">
      <c r="G2506" s="69" t="str">
        <f t="shared" si="39"/>
        <v>ERROR</v>
      </c>
    </row>
    <row r="2507" spans="7:7">
      <c r="G2507" s="69" t="str">
        <f t="shared" si="39"/>
        <v>ERROR</v>
      </c>
    </row>
    <row r="2508" spans="7:7">
      <c r="G2508" s="69" t="str">
        <f t="shared" si="39"/>
        <v>ERROR</v>
      </c>
    </row>
    <row r="2509" spans="7:7">
      <c r="G2509" s="69" t="str">
        <f t="shared" si="39"/>
        <v>ERROR</v>
      </c>
    </row>
    <row r="2510" spans="7:7">
      <c r="G2510" s="69" t="str">
        <f t="shared" si="39"/>
        <v>ERROR</v>
      </c>
    </row>
    <row r="2511" spans="7:7">
      <c r="G2511" s="69" t="str">
        <f t="shared" si="39"/>
        <v>ERROR</v>
      </c>
    </row>
    <row r="2512" spans="7:7">
      <c r="G2512" s="69" t="str">
        <f t="shared" si="39"/>
        <v>ERROR</v>
      </c>
    </row>
    <row r="2513" spans="7:7">
      <c r="G2513" s="69" t="str">
        <f t="shared" si="39"/>
        <v>ERROR</v>
      </c>
    </row>
    <row r="2514" spans="7:7">
      <c r="G2514" s="69" t="str">
        <f t="shared" si="39"/>
        <v>ERROR</v>
      </c>
    </row>
    <row r="2515" spans="7:7">
      <c r="G2515" s="69" t="str">
        <f t="shared" si="39"/>
        <v>ERROR</v>
      </c>
    </row>
    <row r="2516" spans="7:7">
      <c r="G2516" s="69" t="str">
        <f t="shared" si="39"/>
        <v>ERROR</v>
      </c>
    </row>
    <row r="2517" spans="7:7">
      <c r="G2517" s="69" t="str">
        <f t="shared" si="39"/>
        <v>ERROR</v>
      </c>
    </row>
    <row r="2518" spans="7:7">
      <c r="G2518" s="69" t="str">
        <f t="shared" si="39"/>
        <v>ERROR</v>
      </c>
    </row>
    <row r="2519" spans="7:7">
      <c r="G2519" s="69" t="str">
        <f t="shared" si="39"/>
        <v>ERROR</v>
      </c>
    </row>
    <row r="2520" spans="7:7">
      <c r="G2520" s="69" t="str">
        <f t="shared" si="39"/>
        <v>ERROR</v>
      </c>
    </row>
    <row r="2521" spans="7:7">
      <c r="G2521" s="69" t="str">
        <f t="shared" si="39"/>
        <v>ERROR</v>
      </c>
    </row>
    <row r="2522" spans="7:7">
      <c r="G2522" s="69" t="str">
        <f t="shared" si="39"/>
        <v>ERROR</v>
      </c>
    </row>
    <row r="2523" spans="7:7">
      <c r="G2523" s="69" t="str">
        <f t="shared" si="39"/>
        <v>ERROR</v>
      </c>
    </row>
    <row r="2524" spans="7:7">
      <c r="G2524" s="69" t="str">
        <f t="shared" si="39"/>
        <v>ERROR</v>
      </c>
    </row>
    <row r="2525" spans="7:7">
      <c r="G2525" s="69" t="str">
        <f t="shared" si="39"/>
        <v>ERROR</v>
      </c>
    </row>
    <row r="2526" spans="7:7">
      <c r="G2526" s="69" t="str">
        <f t="shared" si="39"/>
        <v>ERROR</v>
      </c>
    </row>
    <row r="2527" spans="7:7">
      <c r="G2527" s="69" t="str">
        <f t="shared" si="39"/>
        <v>ERROR</v>
      </c>
    </row>
    <row r="2528" spans="7:7">
      <c r="G2528" s="69" t="str">
        <f t="shared" si="39"/>
        <v>ERROR</v>
      </c>
    </row>
    <row r="2529" spans="7:7">
      <c r="G2529" s="69" t="str">
        <f t="shared" si="39"/>
        <v>ERROR</v>
      </c>
    </row>
    <row r="2530" spans="7:7">
      <c r="G2530" s="69" t="str">
        <f t="shared" si="39"/>
        <v>ERROR</v>
      </c>
    </row>
    <row r="2531" spans="7:7">
      <c r="G2531" s="69" t="str">
        <f t="shared" si="39"/>
        <v>ERROR</v>
      </c>
    </row>
    <row r="2532" spans="7:7">
      <c r="G2532" s="69" t="str">
        <f t="shared" si="39"/>
        <v>ERROR</v>
      </c>
    </row>
    <row r="2533" spans="7:7">
      <c r="G2533" s="69" t="str">
        <f t="shared" si="39"/>
        <v>ERROR</v>
      </c>
    </row>
    <row r="2534" spans="7:7">
      <c r="G2534" s="69" t="str">
        <f t="shared" si="39"/>
        <v>ERROR</v>
      </c>
    </row>
    <row r="2535" spans="7:7">
      <c r="G2535" s="69" t="str">
        <f t="shared" si="39"/>
        <v>ERROR</v>
      </c>
    </row>
    <row r="2536" spans="7:7">
      <c r="G2536" s="69" t="str">
        <f t="shared" si="39"/>
        <v>ERROR</v>
      </c>
    </row>
    <row r="2537" spans="7:7">
      <c r="G2537" s="69" t="str">
        <f t="shared" si="39"/>
        <v>ERROR</v>
      </c>
    </row>
    <row r="2538" spans="7:7">
      <c r="G2538" s="69" t="str">
        <f t="shared" si="39"/>
        <v>ERROR</v>
      </c>
    </row>
    <row r="2539" spans="7:7">
      <c r="G2539" s="69" t="str">
        <f t="shared" si="39"/>
        <v>ERROR</v>
      </c>
    </row>
    <row r="2540" spans="7:7">
      <c r="G2540" s="69" t="str">
        <f t="shared" si="39"/>
        <v>ERROR</v>
      </c>
    </row>
    <row r="2541" spans="7:7">
      <c r="G2541" s="69" t="str">
        <f t="shared" si="39"/>
        <v>ERROR</v>
      </c>
    </row>
    <row r="2542" spans="7:7">
      <c r="G2542" s="69" t="str">
        <f t="shared" si="39"/>
        <v>ERROR</v>
      </c>
    </row>
    <row r="2543" spans="7:7">
      <c r="G2543" s="69" t="str">
        <f t="shared" si="39"/>
        <v>ERROR</v>
      </c>
    </row>
    <row r="2544" spans="7:7">
      <c r="G2544" s="69" t="str">
        <f t="shared" si="39"/>
        <v>ERROR</v>
      </c>
    </row>
    <row r="2545" spans="7:7">
      <c r="G2545" s="69" t="str">
        <f t="shared" si="39"/>
        <v>ERROR</v>
      </c>
    </row>
    <row r="2546" spans="7:7">
      <c r="G2546" s="69" t="str">
        <f t="shared" si="39"/>
        <v>ERROR</v>
      </c>
    </row>
    <row r="2547" spans="7:7">
      <c r="G2547" s="69" t="str">
        <f t="shared" si="39"/>
        <v>ERROR</v>
      </c>
    </row>
    <row r="2548" spans="7:7">
      <c r="G2548" s="69" t="str">
        <f t="shared" si="39"/>
        <v>ERROR</v>
      </c>
    </row>
    <row r="2549" spans="7:7">
      <c r="G2549" s="69" t="str">
        <f t="shared" si="39"/>
        <v>ERROR</v>
      </c>
    </row>
    <row r="2550" spans="7:7">
      <c r="G2550" s="69" t="str">
        <f t="shared" si="39"/>
        <v>ERROR</v>
      </c>
    </row>
    <row r="2551" spans="7:7">
      <c r="G2551" s="69" t="str">
        <f t="shared" si="39"/>
        <v>ERROR</v>
      </c>
    </row>
    <row r="2552" spans="7:7">
      <c r="G2552" s="69" t="str">
        <f t="shared" si="39"/>
        <v>ERROR</v>
      </c>
    </row>
    <row r="2553" spans="7:7">
      <c r="G2553" s="69" t="str">
        <f t="shared" si="39"/>
        <v>ERROR</v>
      </c>
    </row>
    <row r="2554" spans="7:7">
      <c r="G2554" s="69" t="str">
        <f t="shared" si="39"/>
        <v>ERROR</v>
      </c>
    </row>
    <row r="2555" spans="7:7">
      <c r="G2555" s="69" t="str">
        <f t="shared" si="39"/>
        <v>ERROR</v>
      </c>
    </row>
    <row r="2556" spans="7:7">
      <c r="G2556" s="69" t="str">
        <f t="shared" si="39"/>
        <v>ERROR</v>
      </c>
    </row>
    <row r="2557" spans="7:7">
      <c r="G2557" s="69" t="str">
        <f t="shared" si="39"/>
        <v>ERROR</v>
      </c>
    </row>
    <row r="2558" spans="7:7">
      <c r="G2558" s="69" t="str">
        <f t="shared" si="39"/>
        <v>ERROR</v>
      </c>
    </row>
    <row r="2559" spans="7:7">
      <c r="G2559" s="69" t="str">
        <f t="shared" si="39"/>
        <v>ERROR</v>
      </c>
    </row>
    <row r="2560" spans="7:7">
      <c r="G2560" s="69" t="str">
        <f t="shared" si="39"/>
        <v>ERROR</v>
      </c>
    </row>
    <row r="2561" spans="7:7">
      <c r="G2561" s="69" t="str">
        <f t="shared" si="39"/>
        <v>ERROR</v>
      </c>
    </row>
    <row r="2562" spans="7:7">
      <c r="G2562" s="69" t="str">
        <f t="shared" ref="G2562:G2625" si="40">IF(V2562&gt;0,IF(W2562&gt;0,"Both","E-Commerce"),IF(W2562=0, "ERROR","User Registration"))</f>
        <v>ERROR</v>
      </c>
    </row>
    <row r="2563" spans="7:7">
      <c r="G2563" s="69" t="str">
        <f t="shared" si="40"/>
        <v>ERROR</v>
      </c>
    </row>
    <row r="2564" spans="7:7">
      <c r="G2564" s="69" t="str">
        <f t="shared" si="40"/>
        <v>ERROR</v>
      </c>
    </row>
    <row r="2565" spans="7:7">
      <c r="G2565" s="69" t="str">
        <f t="shared" si="40"/>
        <v>ERROR</v>
      </c>
    </row>
    <row r="2566" spans="7:7">
      <c r="G2566" s="69" t="str">
        <f t="shared" si="40"/>
        <v>ERROR</v>
      </c>
    </row>
    <row r="2567" spans="7:7">
      <c r="G2567" s="69" t="str">
        <f t="shared" si="40"/>
        <v>ERROR</v>
      </c>
    </row>
    <row r="2568" spans="7:7">
      <c r="G2568" s="69" t="str">
        <f t="shared" si="40"/>
        <v>ERROR</v>
      </c>
    </row>
    <row r="2569" spans="7:7">
      <c r="G2569" s="69" t="str">
        <f t="shared" si="40"/>
        <v>ERROR</v>
      </c>
    </row>
    <row r="2570" spans="7:7">
      <c r="G2570" s="69" t="str">
        <f t="shared" si="40"/>
        <v>ERROR</v>
      </c>
    </row>
    <row r="2571" spans="7:7">
      <c r="G2571" s="69" t="str">
        <f t="shared" si="40"/>
        <v>ERROR</v>
      </c>
    </row>
    <row r="2572" spans="7:7">
      <c r="G2572" s="69" t="str">
        <f t="shared" si="40"/>
        <v>ERROR</v>
      </c>
    </row>
    <row r="2573" spans="7:7">
      <c r="G2573" s="69" t="str">
        <f t="shared" si="40"/>
        <v>ERROR</v>
      </c>
    </row>
    <row r="2574" spans="7:7">
      <c r="G2574" s="69" t="str">
        <f t="shared" si="40"/>
        <v>ERROR</v>
      </c>
    </row>
    <row r="2575" spans="7:7">
      <c r="G2575" s="69" t="str">
        <f t="shared" si="40"/>
        <v>ERROR</v>
      </c>
    </row>
    <row r="2576" spans="7:7">
      <c r="G2576" s="69" t="str">
        <f t="shared" si="40"/>
        <v>ERROR</v>
      </c>
    </row>
    <row r="2577" spans="7:7">
      <c r="G2577" s="69" t="str">
        <f t="shared" si="40"/>
        <v>ERROR</v>
      </c>
    </row>
    <row r="2578" spans="7:7">
      <c r="G2578" s="69" t="str">
        <f t="shared" si="40"/>
        <v>ERROR</v>
      </c>
    </row>
    <row r="2579" spans="7:7">
      <c r="G2579" s="69" t="str">
        <f t="shared" si="40"/>
        <v>ERROR</v>
      </c>
    </row>
    <row r="2580" spans="7:7">
      <c r="G2580" s="69" t="str">
        <f t="shared" si="40"/>
        <v>ERROR</v>
      </c>
    </row>
    <row r="2581" spans="7:7">
      <c r="G2581" s="69" t="str">
        <f t="shared" si="40"/>
        <v>ERROR</v>
      </c>
    </row>
    <row r="2582" spans="7:7">
      <c r="G2582" s="69" t="str">
        <f t="shared" si="40"/>
        <v>ERROR</v>
      </c>
    </row>
    <row r="2583" spans="7:7">
      <c r="G2583" s="69" t="str">
        <f t="shared" si="40"/>
        <v>ERROR</v>
      </c>
    </row>
    <row r="2584" spans="7:7">
      <c r="G2584" s="69" t="str">
        <f t="shared" si="40"/>
        <v>ERROR</v>
      </c>
    </row>
    <row r="2585" spans="7:7">
      <c r="G2585" s="69" t="str">
        <f t="shared" si="40"/>
        <v>ERROR</v>
      </c>
    </row>
    <row r="2586" spans="7:7">
      <c r="G2586" s="69" t="str">
        <f t="shared" si="40"/>
        <v>ERROR</v>
      </c>
    </row>
    <row r="2587" spans="7:7">
      <c r="G2587" s="69" t="str">
        <f t="shared" si="40"/>
        <v>ERROR</v>
      </c>
    </row>
    <row r="2588" spans="7:7">
      <c r="G2588" s="69" t="str">
        <f t="shared" si="40"/>
        <v>ERROR</v>
      </c>
    </row>
    <row r="2589" spans="7:7">
      <c r="G2589" s="69" t="str">
        <f t="shared" si="40"/>
        <v>ERROR</v>
      </c>
    </row>
    <row r="2590" spans="7:7">
      <c r="G2590" s="69" t="str">
        <f t="shared" si="40"/>
        <v>ERROR</v>
      </c>
    </row>
    <row r="2591" spans="7:7">
      <c r="G2591" s="69" t="str">
        <f t="shared" si="40"/>
        <v>ERROR</v>
      </c>
    </row>
    <row r="2592" spans="7:7">
      <c r="G2592" s="69" t="str">
        <f t="shared" si="40"/>
        <v>ERROR</v>
      </c>
    </row>
    <row r="2593" spans="7:7">
      <c r="G2593" s="69" t="str">
        <f t="shared" si="40"/>
        <v>ERROR</v>
      </c>
    </row>
    <row r="2594" spans="7:7">
      <c r="G2594" s="69" t="str">
        <f t="shared" si="40"/>
        <v>ERROR</v>
      </c>
    </row>
    <row r="2595" spans="7:7">
      <c r="G2595" s="69" t="str">
        <f t="shared" si="40"/>
        <v>ERROR</v>
      </c>
    </row>
    <row r="2596" spans="7:7">
      <c r="G2596" s="69" t="str">
        <f t="shared" si="40"/>
        <v>ERROR</v>
      </c>
    </row>
    <row r="2597" spans="7:7">
      <c r="G2597" s="69" t="str">
        <f t="shared" si="40"/>
        <v>ERROR</v>
      </c>
    </row>
    <row r="2598" spans="7:7">
      <c r="G2598" s="69" t="str">
        <f t="shared" si="40"/>
        <v>ERROR</v>
      </c>
    </row>
    <row r="2599" spans="7:7">
      <c r="G2599" s="69" t="str">
        <f t="shared" si="40"/>
        <v>ERROR</v>
      </c>
    </row>
    <row r="2600" spans="7:7">
      <c r="G2600" s="69" t="str">
        <f t="shared" si="40"/>
        <v>ERROR</v>
      </c>
    </row>
    <row r="2601" spans="7:7">
      <c r="G2601" s="69" t="str">
        <f t="shared" si="40"/>
        <v>ERROR</v>
      </c>
    </row>
    <row r="2602" spans="7:7">
      <c r="G2602" s="69" t="str">
        <f t="shared" si="40"/>
        <v>ERROR</v>
      </c>
    </row>
    <row r="2603" spans="7:7">
      <c r="G2603" s="69" t="str">
        <f t="shared" si="40"/>
        <v>ERROR</v>
      </c>
    </row>
    <row r="2604" spans="7:7">
      <c r="G2604" s="69" t="str">
        <f t="shared" si="40"/>
        <v>ERROR</v>
      </c>
    </row>
    <row r="2605" spans="7:7">
      <c r="G2605" s="69" t="str">
        <f t="shared" si="40"/>
        <v>ERROR</v>
      </c>
    </row>
    <row r="2606" spans="7:7">
      <c r="G2606" s="69" t="str">
        <f t="shared" si="40"/>
        <v>ERROR</v>
      </c>
    </row>
    <row r="2607" spans="7:7">
      <c r="G2607" s="69" t="str">
        <f t="shared" si="40"/>
        <v>ERROR</v>
      </c>
    </row>
    <row r="2608" spans="7:7">
      <c r="G2608" s="69" t="str">
        <f t="shared" si="40"/>
        <v>ERROR</v>
      </c>
    </row>
    <row r="2609" spans="7:7">
      <c r="G2609" s="69" t="str">
        <f t="shared" si="40"/>
        <v>ERROR</v>
      </c>
    </row>
    <row r="2610" spans="7:7">
      <c r="G2610" s="69" t="str">
        <f t="shared" si="40"/>
        <v>ERROR</v>
      </c>
    </row>
    <row r="2611" spans="7:7">
      <c r="G2611" s="69" t="str">
        <f t="shared" si="40"/>
        <v>ERROR</v>
      </c>
    </row>
    <row r="2612" spans="7:7">
      <c r="G2612" s="69" t="str">
        <f t="shared" si="40"/>
        <v>ERROR</v>
      </c>
    </row>
    <row r="2613" spans="7:7">
      <c r="G2613" s="69" t="str">
        <f t="shared" si="40"/>
        <v>ERROR</v>
      </c>
    </row>
    <row r="2614" spans="7:7">
      <c r="G2614" s="69" t="str">
        <f t="shared" si="40"/>
        <v>ERROR</v>
      </c>
    </row>
    <row r="2615" spans="7:7">
      <c r="G2615" s="69" t="str">
        <f t="shared" si="40"/>
        <v>ERROR</v>
      </c>
    </row>
    <row r="2616" spans="7:7">
      <c r="G2616" s="69" t="str">
        <f t="shared" si="40"/>
        <v>ERROR</v>
      </c>
    </row>
    <row r="2617" spans="7:7">
      <c r="G2617" s="69" t="str">
        <f t="shared" si="40"/>
        <v>ERROR</v>
      </c>
    </row>
    <row r="2618" spans="7:7">
      <c r="G2618" s="69" t="str">
        <f t="shared" si="40"/>
        <v>ERROR</v>
      </c>
    </row>
    <row r="2619" spans="7:7">
      <c r="G2619" s="69" t="str">
        <f t="shared" si="40"/>
        <v>ERROR</v>
      </c>
    </row>
    <row r="2620" spans="7:7">
      <c r="G2620" s="69" t="str">
        <f t="shared" si="40"/>
        <v>ERROR</v>
      </c>
    </row>
    <row r="2621" spans="7:7">
      <c r="G2621" s="69" t="str">
        <f t="shared" si="40"/>
        <v>ERROR</v>
      </c>
    </row>
    <row r="2622" spans="7:7">
      <c r="G2622" s="69" t="str">
        <f t="shared" si="40"/>
        <v>ERROR</v>
      </c>
    </row>
    <row r="2623" spans="7:7">
      <c r="G2623" s="69" t="str">
        <f t="shared" si="40"/>
        <v>ERROR</v>
      </c>
    </row>
    <row r="2624" spans="7:7">
      <c r="G2624" s="69" t="str">
        <f t="shared" si="40"/>
        <v>ERROR</v>
      </c>
    </row>
    <row r="2625" spans="7:7">
      <c r="G2625" s="69" t="str">
        <f t="shared" si="40"/>
        <v>ERROR</v>
      </c>
    </row>
    <row r="2626" spans="7:7">
      <c r="G2626" s="69" t="str">
        <f t="shared" ref="G2626:G2689" si="41">IF(V2626&gt;0,IF(W2626&gt;0,"Both","E-Commerce"),IF(W2626=0, "ERROR","User Registration"))</f>
        <v>ERROR</v>
      </c>
    </row>
    <row r="2627" spans="7:7">
      <c r="G2627" s="69" t="str">
        <f t="shared" si="41"/>
        <v>ERROR</v>
      </c>
    </row>
    <row r="2628" spans="7:7">
      <c r="G2628" s="69" t="str">
        <f t="shared" si="41"/>
        <v>ERROR</v>
      </c>
    </row>
    <row r="2629" spans="7:7">
      <c r="G2629" s="69" t="str">
        <f t="shared" si="41"/>
        <v>ERROR</v>
      </c>
    </row>
    <row r="2630" spans="7:7">
      <c r="G2630" s="69" t="str">
        <f t="shared" si="41"/>
        <v>ERROR</v>
      </c>
    </row>
    <row r="2631" spans="7:7">
      <c r="G2631" s="69" t="str">
        <f t="shared" si="41"/>
        <v>ERROR</v>
      </c>
    </row>
    <row r="2632" spans="7:7">
      <c r="G2632" s="69" t="str">
        <f t="shared" si="41"/>
        <v>ERROR</v>
      </c>
    </row>
    <row r="2633" spans="7:7">
      <c r="G2633" s="69" t="str">
        <f t="shared" si="41"/>
        <v>ERROR</v>
      </c>
    </row>
    <row r="2634" spans="7:7">
      <c r="G2634" s="69" t="str">
        <f t="shared" si="41"/>
        <v>ERROR</v>
      </c>
    </row>
    <row r="2635" spans="7:7">
      <c r="G2635" s="69" t="str">
        <f t="shared" si="41"/>
        <v>ERROR</v>
      </c>
    </row>
    <row r="2636" spans="7:7">
      <c r="G2636" s="69" t="str">
        <f t="shared" si="41"/>
        <v>ERROR</v>
      </c>
    </row>
    <row r="2637" spans="7:7">
      <c r="G2637" s="69" t="str">
        <f t="shared" si="41"/>
        <v>ERROR</v>
      </c>
    </row>
    <row r="2638" spans="7:7">
      <c r="G2638" s="69" t="str">
        <f t="shared" si="41"/>
        <v>ERROR</v>
      </c>
    </row>
    <row r="2639" spans="7:7">
      <c r="G2639" s="69" t="str">
        <f t="shared" si="41"/>
        <v>ERROR</v>
      </c>
    </row>
    <row r="2640" spans="7:7">
      <c r="G2640" s="69" t="str">
        <f t="shared" si="41"/>
        <v>ERROR</v>
      </c>
    </row>
    <row r="2641" spans="7:7">
      <c r="G2641" s="69" t="str">
        <f t="shared" si="41"/>
        <v>ERROR</v>
      </c>
    </row>
    <row r="2642" spans="7:7">
      <c r="G2642" s="69" t="str">
        <f t="shared" si="41"/>
        <v>ERROR</v>
      </c>
    </row>
    <row r="2643" spans="7:7">
      <c r="G2643" s="69" t="str">
        <f t="shared" si="41"/>
        <v>ERROR</v>
      </c>
    </row>
    <row r="2644" spans="7:7">
      <c r="G2644" s="69" t="str">
        <f t="shared" si="41"/>
        <v>ERROR</v>
      </c>
    </row>
    <row r="2645" spans="7:7">
      <c r="G2645" s="69" t="str">
        <f t="shared" si="41"/>
        <v>ERROR</v>
      </c>
    </row>
    <row r="2646" spans="7:7">
      <c r="G2646" s="69" t="str">
        <f t="shared" si="41"/>
        <v>ERROR</v>
      </c>
    </row>
    <row r="2647" spans="7:7">
      <c r="G2647" s="69" t="str">
        <f t="shared" si="41"/>
        <v>ERROR</v>
      </c>
    </row>
    <row r="2648" spans="7:7">
      <c r="G2648" s="69" t="str">
        <f t="shared" si="41"/>
        <v>ERROR</v>
      </c>
    </row>
    <row r="2649" spans="7:7">
      <c r="G2649" s="69" t="str">
        <f t="shared" si="41"/>
        <v>ERROR</v>
      </c>
    </row>
    <row r="2650" spans="7:7">
      <c r="G2650" s="69" t="str">
        <f t="shared" si="41"/>
        <v>ERROR</v>
      </c>
    </row>
    <row r="2651" spans="7:7">
      <c r="G2651" s="69" t="str">
        <f t="shared" si="41"/>
        <v>ERROR</v>
      </c>
    </row>
    <row r="2652" spans="7:7">
      <c r="G2652" s="69" t="str">
        <f t="shared" si="41"/>
        <v>ERROR</v>
      </c>
    </row>
    <row r="2653" spans="7:7">
      <c r="G2653" s="69" t="str">
        <f t="shared" si="41"/>
        <v>ERROR</v>
      </c>
    </row>
    <row r="2654" spans="7:7">
      <c r="G2654" s="69" t="str">
        <f t="shared" si="41"/>
        <v>ERROR</v>
      </c>
    </row>
    <row r="2655" spans="7:7">
      <c r="G2655" s="69" t="str">
        <f t="shared" si="41"/>
        <v>ERROR</v>
      </c>
    </row>
    <row r="2656" spans="7:7">
      <c r="G2656" s="69" t="str">
        <f t="shared" si="41"/>
        <v>ERROR</v>
      </c>
    </row>
    <row r="2657" spans="7:7">
      <c r="G2657" s="69" t="str">
        <f t="shared" si="41"/>
        <v>ERROR</v>
      </c>
    </row>
    <row r="2658" spans="7:7">
      <c r="G2658" s="69" t="str">
        <f t="shared" si="41"/>
        <v>ERROR</v>
      </c>
    </row>
    <row r="2659" spans="7:7">
      <c r="G2659" s="69" t="str">
        <f t="shared" si="41"/>
        <v>ERROR</v>
      </c>
    </row>
    <row r="2660" spans="7:7">
      <c r="G2660" s="69" t="str">
        <f t="shared" si="41"/>
        <v>ERROR</v>
      </c>
    </row>
    <row r="2661" spans="7:7">
      <c r="G2661" s="69" t="str">
        <f t="shared" si="41"/>
        <v>ERROR</v>
      </c>
    </row>
    <row r="2662" spans="7:7">
      <c r="G2662" s="69" t="str">
        <f t="shared" si="41"/>
        <v>ERROR</v>
      </c>
    </row>
    <row r="2663" spans="7:7">
      <c r="G2663" s="69" t="str">
        <f t="shared" si="41"/>
        <v>ERROR</v>
      </c>
    </row>
    <row r="2664" spans="7:7">
      <c r="G2664" s="69" t="str">
        <f t="shared" si="41"/>
        <v>ERROR</v>
      </c>
    </row>
    <row r="2665" spans="7:7">
      <c r="G2665" s="69" t="str">
        <f t="shared" si="41"/>
        <v>ERROR</v>
      </c>
    </row>
    <row r="2666" spans="7:7">
      <c r="G2666" s="69" t="str">
        <f t="shared" si="41"/>
        <v>ERROR</v>
      </c>
    </row>
    <row r="2667" spans="7:7">
      <c r="G2667" s="69" t="str">
        <f t="shared" si="41"/>
        <v>ERROR</v>
      </c>
    </row>
    <row r="2668" spans="7:7">
      <c r="G2668" s="69" t="str">
        <f t="shared" si="41"/>
        <v>ERROR</v>
      </c>
    </row>
    <row r="2669" spans="7:7">
      <c r="G2669" s="69" t="str">
        <f t="shared" si="41"/>
        <v>ERROR</v>
      </c>
    </row>
    <row r="2670" spans="7:7">
      <c r="G2670" s="69" t="str">
        <f t="shared" si="41"/>
        <v>ERROR</v>
      </c>
    </row>
    <row r="2671" spans="7:7">
      <c r="G2671" s="69" t="str">
        <f t="shared" si="41"/>
        <v>ERROR</v>
      </c>
    </row>
    <row r="2672" spans="7:7">
      <c r="G2672" s="69" t="str">
        <f t="shared" si="41"/>
        <v>ERROR</v>
      </c>
    </row>
    <row r="2673" spans="7:7">
      <c r="G2673" s="69" t="str">
        <f t="shared" si="41"/>
        <v>ERROR</v>
      </c>
    </row>
    <row r="2674" spans="7:7">
      <c r="G2674" s="69" t="str">
        <f t="shared" si="41"/>
        <v>ERROR</v>
      </c>
    </row>
    <row r="2675" spans="7:7">
      <c r="G2675" s="69" t="str">
        <f t="shared" si="41"/>
        <v>ERROR</v>
      </c>
    </row>
    <row r="2676" spans="7:7">
      <c r="G2676" s="69" t="str">
        <f t="shared" si="41"/>
        <v>ERROR</v>
      </c>
    </row>
    <row r="2677" spans="7:7">
      <c r="G2677" s="69" t="str">
        <f t="shared" si="41"/>
        <v>ERROR</v>
      </c>
    </row>
    <row r="2678" spans="7:7">
      <c r="G2678" s="69" t="str">
        <f t="shared" si="41"/>
        <v>ERROR</v>
      </c>
    </row>
    <row r="2679" spans="7:7">
      <c r="G2679" s="69" t="str">
        <f t="shared" si="41"/>
        <v>ERROR</v>
      </c>
    </row>
    <row r="2680" spans="7:7">
      <c r="G2680" s="69" t="str">
        <f t="shared" si="41"/>
        <v>ERROR</v>
      </c>
    </row>
    <row r="2681" spans="7:7">
      <c r="G2681" s="69" t="str">
        <f t="shared" si="41"/>
        <v>ERROR</v>
      </c>
    </row>
    <row r="2682" spans="7:7">
      <c r="G2682" s="69" t="str">
        <f t="shared" si="41"/>
        <v>ERROR</v>
      </c>
    </row>
    <row r="2683" spans="7:7">
      <c r="G2683" s="69" t="str">
        <f t="shared" si="41"/>
        <v>ERROR</v>
      </c>
    </row>
    <row r="2684" spans="7:7">
      <c r="G2684" s="69" t="str">
        <f t="shared" si="41"/>
        <v>ERROR</v>
      </c>
    </row>
    <row r="2685" spans="7:7">
      <c r="G2685" s="69" t="str">
        <f t="shared" si="41"/>
        <v>ERROR</v>
      </c>
    </row>
    <row r="2686" spans="7:7">
      <c r="G2686" s="69" t="str">
        <f t="shared" si="41"/>
        <v>ERROR</v>
      </c>
    </row>
    <row r="2687" spans="7:7">
      <c r="G2687" s="69" t="str">
        <f t="shared" si="41"/>
        <v>ERROR</v>
      </c>
    </row>
    <row r="2688" spans="7:7">
      <c r="G2688" s="69" t="str">
        <f t="shared" si="41"/>
        <v>ERROR</v>
      </c>
    </row>
    <row r="2689" spans="7:7">
      <c r="G2689" s="69" t="str">
        <f t="shared" si="41"/>
        <v>ERROR</v>
      </c>
    </row>
    <row r="2690" spans="7:7">
      <c r="G2690" s="69" t="str">
        <f t="shared" ref="G2690:G2753" si="42">IF(V2690&gt;0,IF(W2690&gt;0,"Both","E-Commerce"),IF(W2690=0, "ERROR","User Registration"))</f>
        <v>ERROR</v>
      </c>
    </row>
    <row r="2691" spans="7:7">
      <c r="G2691" s="69" t="str">
        <f t="shared" si="42"/>
        <v>ERROR</v>
      </c>
    </row>
    <row r="2692" spans="7:7">
      <c r="G2692" s="69" t="str">
        <f t="shared" si="42"/>
        <v>ERROR</v>
      </c>
    </row>
    <row r="2693" spans="7:7">
      <c r="G2693" s="69" t="str">
        <f t="shared" si="42"/>
        <v>ERROR</v>
      </c>
    </row>
    <row r="2694" spans="7:7">
      <c r="G2694" s="69" t="str">
        <f t="shared" si="42"/>
        <v>ERROR</v>
      </c>
    </row>
    <row r="2695" spans="7:7">
      <c r="G2695" s="69" t="str">
        <f t="shared" si="42"/>
        <v>ERROR</v>
      </c>
    </row>
    <row r="2696" spans="7:7">
      <c r="G2696" s="69" t="str">
        <f t="shared" si="42"/>
        <v>ERROR</v>
      </c>
    </row>
    <row r="2697" spans="7:7">
      <c r="G2697" s="69" t="str">
        <f t="shared" si="42"/>
        <v>ERROR</v>
      </c>
    </row>
    <row r="2698" spans="7:7">
      <c r="G2698" s="69" t="str">
        <f t="shared" si="42"/>
        <v>ERROR</v>
      </c>
    </row>
    <row r="2699" spans="7:7">
      <c r="G2699" s="69" t="str">
        <f t="shared" si="42"/>
        <v>ERROR</v>
      </c>
    </row>
    <row r="2700" spans="7:7">
      <c r="G2700" s="69" t="str">
        <f t="shared" si="42"/>
        <v>ERROR</v>
      </c>
    </row>
    <row r="2701" spans="7:7">
      <c r="G2701" s="69" t="str">
        <f t="shared" si="42"/>
        <v>ERROR</v>
      </c>
    </row>
    <row r="2702" spans="7:7">
      <c r="G2702" s="69" t="str">
        <f t="shared" si="42"/>
        <v>ERROR</v>
      </c>
    </row>
    <row r="2703" spans="7:7">
      <c r="G2703" s="69" t="str">
        <f t="shared" si="42"/>
        <v>ERROR</v>
      </c>
    </row>
    <row r="2704" spans="7:7">
      <c r="G2704" s="69" t="str">
        <f t="shared" si="42"/>
        <v>ERROR</v>
      </c>
    </row>
    <row r="2705" spans="7:7">
      <c r="G2705" s="69" t="str">
        <f t="shared" si="42"/>
        <v>ERROR</v>
      </c>
    </row>
    <row r="2706" spans="7:7">
      <c r="G2706" s="69" t="str">
        <f t="shared" si="42"/>
        <v>ERROR</v>
      </c>
    </row>
    <row r="2707" spans="7:7">
      <c r="G2707" s="69" t="str">
        <f t="shared" si="42"/>
        <v>ERROR</v>
      </c>
    </row>
    <row r="2708" spans="7:7">
      <c r="G2708" s="69" t="str">
        <f t="shared" si="42"/>
        <v>ERROR</v>
      </c>
    </row>
    <row r="2709" spans="7:7">
      <c r="G2709" s="69" t="str">
        <f t="shared" si="42"/>
        <v>ERROR</v>
      </c>
    </row>
    <row r="2710" spans="7:7">
      <c r="G2710" s="69" t="str">
        <f t="shared" si="42"/>
        <v>ERROR</v>
      </c>
    </row>
    <row r="2711" spans="7:7">
      <c r="G2711" s="69" t="str">
        <f t="shared" si="42"/>
        <v>ERROR</v>
      </c>
    </row>
    <row r="2712" spans="7:7">
      <c r="G2712" s="69" t="str">
        <f t="shared" si="42"/>
        <v>ERROR</v>
      </c>
    </row>
    <row r="2713" spans="7:7">
      <c r="G2713" s="69" t="str">
        <f t="shared" si="42"/>
        <v>ERROR</v>
      </c>
    </row>
    <row r="2714" spans="7:7">
      <c r="G2714" s="69" t="str">
        <f t="shared" si="42"/>
        <v>ERROR</v>
      </c>
    </row>
    <row r="2715" spans="7:7">
      <c r="G2715" s="69" t="str">
        <f t="shared" si="42"/>
        <v>ERROR</v>
      </c>
    </row>
    <row r="2716" spans="7:7">
      <c r="G2716" s="69" t="str">
        <f t="shared" si="42"/>
        <v>ERROR</v>
      </c>
    </row>
    <row r="2717" spans="7:7">
      <c r="G2717" s="69" t="str">
        <f t="shared" si="42"/>
        <v>ERROR</v>
      </c>
    </row>
    <row r="2718" spans="7:7">
      <c r="G2718" s="69" t="str">
        <f t="shared" si="42"/>
        <v>ERROR</v>
      </c>
    </row>
    <row r="2719" spans="7:7">
      <c r="G2719" s="69" t="str">
        <f t="shared" si="42"/>
        <v>ERROR</v>
      </c>
    </row>
    <row r="2720" spans="7:7">
      <c r="G2720" s="69" t="str">
        <f t="shared" si="42"/>
        <v>ERROR</v>
      </c>
    </row>
    <row r="2721" spans="7:7">
      <c r="G2721" s="69" t="str">
        <f t="shared" si="42"/>
        <v>ERROR</v>
      </c>
    </row>
    <row r="2722" spans="7:7">
      <c r="G2722" s="69" t="str">
        <f t="shared" si="42"/>
        <v>ERROR</v>
      </c>
    </row>
    <row r="2723" spans="7:7">
      <c r="G2723" s="69" t="str">
        <f t="shared" si="42"/>
        <v>ERROR</v>
      </c>
    </row>
    <row r="2724" spans="7:7">
      <c r="G2724" s="69" t="str">
        <f t="shared" si="42"/>
        <v>ERROR</v>
      </c>
    </row>
    <row r="2725" spans="7:7">
      <c r="G2725" s="69" t="str">
        <f t="shared" si="42"/>
        <v>ERROR</v>
      </c>
    </row>
    <row r="2726" spans="7:7">
      <c r="G2726" s="69" t="str">
        <f t="shared" si="42"/>
        <v>ERROR</v>
      </c>
    </row>
    <row r="2727" spans="7:7">
      <c r="G2727" s="69" t="str">
        <f t="shared" si="42"/>
        <v>ERROR</v>
      </c>
    </row>
    <row r="2728" spans="7:7">
      <c r="G2728" s="69" t="str">
        <f t="shared" si="42"/>
        <v>ERROR</v>
      </c>
    </row>
    <row r="2729" spans="7:7">
      <c r="G2729" s="69" t="str">
        <f t="shared" si="42"/>
        <v>ERROR</v>
      </c>
    </row>
    <row r="2730" spans="7:7">
      <c r="G2730" s="69" t="str">
        <f t="shared" si="42"/>
        <v>ERROR</v>
      </c>
    </row>
    <row r="2731" spans="7:7">
      <c r="G2731" s="69" t="str">
        <f t="shared" si="42"/>
        <v>ERROR</v>
      </c>
    </row>
    <row r="2732" spans="7:7">
      <c r="G2732" s="69" t="str">
        <f t="shared" si="42"/>
        <v>ERROR</v>
      </c>
    </row>
    <row r="2733" spans="7:7">
      <c r="G2733" s="69" t="str">
        <f t="shared" si="42"/>
        <v>ERROR</v>
      </c>
    </row>
    <row r="2734" spans="7:7">
      <c r="G2734" s="69" t="str">
        <f t="shared" si="42"/>
        <v>ERROR</v>
      </c>
    </row>
    <row r="2735" spans="7:7">
      <c r="G2735" s="69" t="str">
        <f t="shared" si="42"/>
        <v>ERROR</v>
      </c>
    </row>
    <row r="2736" spans="7:7">
      <c r="G2736" s="69" t="str">
        <f t="shared" si="42"/>
        <v>ERROR</v>
      </c>
    </row>
    <row r="2737" spans="7:7">
      <c r="G2737" s="69" t="str">
        <f t="shared" si="42"/>
        <v>ERROR</v>
      </c>
    </row>
    <row r="2738" spans="7:7">
      <c r="G2738" s="69" t="str">
        <f t="shared" si="42"/>
        <v>ERROR</v>
      </c>
    </row>
    <row r="2739" spans="7:7">
      <c r="G2739" s="69" t="str">
        <f t="shared" si="42"/>
        <v>ERROR</v>
      </c>
    </row>
    <row r="2740" spans="7:7">
      <c r="G2740" s="69" t="str">
        <f t="shared" si="42"/>
        <v>ERROR</v>
      </c>
    </row>
    <row r="2741" spans="7:7">
      <c r="G2741" s="69" t="str">
        <f t="shared" si="42"/>
        <v>ERROR</v>
      </c>
    </row>
    <row r="2742" spans="7:7">
      <c r="G2742" s="69" t="str">
        <f t="shared" si="42"/>
        <v>ERROR</v>
      </c>
    </row>
    <row r="2743" spans="7:7">
      <c r="G2743" s="69" t="str">
        <f t="shared" si="42"/>
        <v>ERROR</v>
      </c>
    </row>
    <row r="2744" spans="7:7">
      <c r="G2744" s="69" t="str">
        <f t="shared" si="42"/>
        <v>ERROR</v>
      </c>
    </row>
    <row r="2745" spans="7:7">
      <c r="G2745" s="69" t="str">
        <f t="shared" si="42"/>
        <v>ERROR</v>
      </c>
    </row>
    <row r="2746" spans="7:7">
      <c r="G2746" s="69" t="str">
        <f t="shared" si="42"/>
        <v>ERROR</v>
      </c>
    </row>
    <row r="2747" spans="7:7">
      <c r="G2747" s="69" t="str">
        <f t="shared" si="42"/>
        <v>ERROR</v>
      </c>
    </row>
    <row r="2748" spans="7:7">
      <c r="G2748" s="69" t="str">
        <f t="shared" si="42"/>
        <v>ERROR</v>
      </c>
    </row>
    <row r="2749" spans="7:7">
      <c r="G2749" s="69" t="str">
        <f t="shared" si="42"/>
        <v>ERROR</v>
      </c>
    </row>
    <row r="2750" spans="7:7">
      <c r="G2750" s="69" t="str">
        <f t="shared" si="42"/>
        <v>ERROR</v>
      </c>
    </row>
    <row r="2751" spans="7:7">
      <c r="G2751" s="69" t="str">
        <f t="shared" si="42"/>
        <v>ERROR</v>
      </c>
    </row>
    <row r="2752" spans="7:7">
      <c r="G2752" s="69" t="str">
        <f t="shared" si="42"/>
        <v>ERROR</v>
      </c>
    </row>
    <row r="2753" spans="7:7">
      <c r="G2753" s="69" t="str">
        <f t="shared" si="42"/>
        <v>ERROR</v>
      </c>
    </row>
    <row r="2754" spans="7:7">
      <c r="G2754" s="69" t="str">
        <f t="shared" ref="G2754:G2817" si="43">IF(V2754&gt;0,IF(W2754&gt;0,"Both","E-Commerce"),IF(W2754=0, "ERROR","User Registration"))</f>
        <v>ERROR</v>
      </c>
    </row>
    <row r="2755" spans="7:7">
      <c r="G2755" s="69" t="str">
        <f t="shared" si="43"/>
        <v>ERROR</v>
      </c>
    </row>
    <row r="2756" spans="7:7">
      <c r="G2756" s="69" t="str">
        <f t="shared" si="43"/>
        <v>ERROR</v>
      </c>
    </row>
    <row r="2757" spans="7:7">
      <c r="G2757" s="69" t="str">
        <f t="shared" si="43"/>
        <v>ERROR</v>
      </c>
    </row>
    <row r="2758" spans="7:7">
      <c r="G2758" s="69" t="str">
        <f t="shared" si="43"/>
        <v>ERROR</v>
      </c>
    </row>
    <row r="2759" spans="7:7">
      <c r="G2759" s="69" t="str">
        <f t="shared" si="43"/>
        <v>ERROR</v>
      </c>
    </row>
    <row r="2760" spans="7:7">
      <c r="G2760" s="69" t="str">
        <f t="shared" si="43"/>
        <v>ERROR</v>
      </c>
    </row>
    <row r="2761" spans="7:7">
      <c r="G2761" s="69" t="str">
        <f t="shared" si="43"/>
        <v>ERROR</v>
      </c>
    </row>
    <row r="2762" spans="7:7">
      <c r="G2762" s="69" t="str">
        <f t="shared" si="43"/>
        <v>ERROR</v>
      </c>
    </row>
    <row r="2763" spans="7:7">
      <c r="G2763" s="69" t="str">
        <f t="shared" si="43"/>
        <v>ERROR</v>
      </c>
    </row>
    <row r="2764" spans="7:7">
      <c r="G2764" s="69" t="str">
        <f t="shared" si="43"/>
        <v>ERROR</v>
      </c>
    </row>
    <row r="2765" spans="7:7">
      <c r="G2765" s="69" t="str">
        <f t="shared" si="43"/>
        <v>ERROR</v>
      </c>
    </row>
    <row r="2766" spans="7:7">
      <c r="G2766" s="69" t="str">
        <f t="shared" si="43"/>
        <v>ERROR</v>
      </c>
    </row>
    <row r="2767" spans="7:7">
      <c r="G2767" s="69" t="str">
        <f t="shared" si="43"/>
        <v>ERROR</v>
      </c>
    </row>
    <row r="2768" spans="7:7">
      <c r="G2768" s="69" t="str">
        <f t="shared" si="43"/>
        <v>ERROR</v>
      </c>
    </row>
    <row r="2769" spans="7:7">
      <c r="G2769" s="69" t="str">
        <f t="shared" si="43"/>
        <v>ERROR</v>
      </c>
    </row>
    <row r="2770" spans="7:7">
      <c r="G2770" s="69" t="str">
        <f t="shared" si="43"/>
        <v>ERROR</v>
      </c>
    </row>
    <row r="2771" spans="7:7">
      <c r="G2771" s="69" t="str">
        <f t="shared" si="43"/>
        <v>ERROR</v>
      </c>
    </row>
    <row r="2772" spans="7:7">
      <c r="G2772" s="69" t="str">
        <f t="shared" si="43"/>
        <v>ERROR</v>
      </c>
    </row>
    <row r="2773" spans="7:7">
      <c r="G2773" s="69" t="str">
        <f t="shared" si="43"/>
        <v>ERROR</v>
      </c>
    </row>
    <row r="2774" spans="7:7">
      <c r="G2774" s="69" t="str">
        <f t="shared" si="43"/>
        <v>ERROR</v>
      </c>
    </row>
    <row r="2775" spans="7:7">
      <c r="G2775" s="69" t="str">
        <f t="shared" si="43"/>
        <v>ERROR</v>
      </c>
    </row>
    <row r="2776" spans="7:7">
      <c r="G2776" s="69" t="str">
        <f t="shared" si="43"/>
        <v>ERROR</v>
      </c>
    </row>
    <row r="2777" spans="7:7">
      <c r="G2777" s="69" t="str">
        <f t="shared" si="43"/>
        <v>ERROR</v>
      </c>
    </row>
    <row r="2778" spans="7:7">
      <c r="G2778" s="69" t="str">
        <f t="shared" si="43"/>
        <v>ERROR</v>
      </c>
    </row>
    <row r="2779" spans="7:7">
      <c r="G2779" s="69" t="str">
        <f t="shared" si="43"/>
        <v>ERROR</v>
      </c>
    </row>
    <row r="2780" spans="7:7">
      <c r="G2780" s="69" t="str">
        <f t="shared" si="43"/>
        <v>ERROR</v>
      </c>
    </row>
    <row r="2781" spans="7:7">
      <c r="G2781" s="69" t="str">
        <f t="shared" si="43"/>
        <v>ERROR</v>
      </c>
    </row>
    <row r="2782" spans="7:7">
      <c r="G2782" s="69" t="str">
        <f t="shared" si="43"/>
        <v>ERROR</v>
      </c>
    </row>
    <row r="2783" spans="7:7">
      <c r="G2783" s="69" t="str">
        <f t="shared" si="43"/>
        <v>ERROR</v>
      </c>
    </row>
    <row r="2784" spans="7:7">
      <c r="G2784" s="69" t="str">
        <f t="shared" si="43"/>
        <v>ERROR</v>
      </c>
    </row>
    <row r="2785" spans="7:7">
      <c r="G2785" s="69" t="str">
        <f t="shared" si="43"/>
        <v>ERROR</v>
      </c>
    </row>
    <row r="2786" spans="7:7">
      <c r="G2786" s="69" t="str">
        <f t="shared" si="43"/>
        <v>ERROR</v>
      </c>
    </row>
    <row r="2787" spans="7:7">
      <c r="G2787" s="69" t="str">
        <f t="shared" si="43"/>
        <v>ERROR</v>
      </c>
    </row>
    <row r="2788" spans="7:7">
      <c r="G2788" s="69" t="str">
        <f t="shared" si="43"/>
        <v>ERROR</v>
      </c>
    </row>
    <row r="2789" spans="7:7">
      <c r="G2789" s="69" t="str">
        <f t="shared" si="43"/>
        <v>ERROR</v>
      </c>
    </row>
    <row r="2790" spans="7:7">
      <c r="G2790" s="69" t="str">
        <f t="shared" si="43"/>
        <v>ERROR</v>
      </c>
    </row>
    <row r="2791" spans="7:7">
      <c r="G2791" s="69" t="str">
        <f t="shared" si="43"/>
        <v>ERROR</v>
      </c>
    </row>
    <row r="2792" spans="7:7">
      <c r="G2792" s="69" t="str">
        <f t="shared" si="43"/>
        <v>ERROR</v>
      </c>
    </row>
    <row r="2793" spans="7:7">
      <c r="G2793" s="69" t="str">
        <f t="shared" si="43"/>
        <v>ERROR</v>
      </c>
    </row>
    <row r="2794" spans="7:7">
      <c r="G2794" s="69" t="str">
        <f t="shared" si="43"/>
        <v>ERROR</v>
      </c>
    </row>
    <row r="2795" spans="7:7">
      <c r="G2795" s="69" t="str">
        <f t="shared" si="43"/>
        <v>ERROR</v>
      </c>
    </row>
    <row r="2796" spans="7:7">
      <c r="G2796" s="69" t="str">
        <f t="shared" si="43"/>
        <v>ERROR</v>
      </c>
    </row>
    <row r="2797" spans="7:7">
      <c r="G2797" s="69" t="str">
        <f t="shared" si="43"/>
        <v>ERROR</v>
      </c>
    </row>
    <row r="2798" spans="7:7">
      <c r="G2798" s="69" t="str">
        <f t="shared" si="43"/>
        <v>ERROR</v>
      </c>
    </row>
    <row r="2799" spans="7:7">
      <c r="G2799" s="69" t="str">
        <f t="shared" si="43"/>
        <v>ERROR</v>
      </c>
    </row>
    <row r="2800" spans="7:7">
      <c r="G2800" s="69" t="str">
        <f t="shared" si="43"/>
        <v>ERROR</v>
      </c>
    </row>
    <row r="2801" spans="7:7">
      <c r="G2801" s="69" t="str">
        <f t="shared" si="43"/>
        <v>ERROR</v>
      </c>
    </row>
    <row r="2802" spans="7:7">
      <c r="G2802" s="69" t="str">
        <f t="shared" si="43"/>
        <v>ERROR</v>
      </c>
    </row>
    <row r="2803" spans="7:7">
      <c r="G2803" s="69" t="str">
        <f t="shared" si="43"/>
        <v>ERROR</v>
      </c>
    </row>
    <row r="2804" spans="7:7">
      <c r="G2804" s="69" t="str">
        <f t="shared" si="43"/>
        <v>ERROR</v>
      </c>
    </row>
    <row r="2805" spans="7:7">
      <c r="G2805" s="69" t="str">
        <f t="shared" si="43"/>
        <v>ERROR</v>
      </c>
    </row>
    <row r="2806" spans="7:7">
      <c r="G2806" s="69" t="str">
        <f t="shared" si="43"/>
        <v>ERROR</v>
      </c>
    </row>
    <row r="2807" spans="7:7">
      <c r="G2807" s="69" t="str">
        <f t="shared" si="43"/>
        <v>ERROR</v>
      </c>
    </row>
    <row r="2808" spans="7:7">
      <c r="G2808" s="69" t="str">
        <f t="shared" si="43"/>
        <v>ERROR</v>
      </c>
    </row>
    <row r="2809" spans="7:7">
      <c r="G2809" s="69" t="str">
        <f t="shared" si="43"/>
        <v>ERROR</v>
      </c>
    </row>
    <row r="2810" spans="7:7">
      <c r="G2810" s="69" t="str">
        <f t="shared" si="43"/>
        <v>ERROR</v>
      </c>
    </row>
    <row r="2811" spans="7:7">
      <c r="G2811" s="69" t="str">
        <f t="shared" si="43"/>
        <v>ERROR</v>
      </c>
    </row>
    <row r="2812" spans="7:7">
      <c r="G2812" s="69" t="str">
        <f t="shared" si="43"/>
        <v>ERROR</v>
      </c>
    </row>
    <row r="2813" spans="7:7">
      <c r="G2813" s="69" t="str">
        <f t="shared" si="43"/>
        <v>ERROR</v>
      </c>
    </row>
    <row r="2814" spans="7:7">
      <c r="G2814" s="69" t="str">
        <f t="shared" si="43"/>
        <v>ERROR</v>
      </c>
    </row>
    <row r="2815" spans="7:7">
      <c r="G2815" s="69" t="str">
        <f t="shared" si="43"/>
        <v>ERROR</v>
      </c>
    </row>
    <row r="2816" spans="7:7">
      <c r="G2816" s="69" t="str">
        <f t="shared" si="43"/>
        <v>ERROR</v>
      </c>
    </row>
    <row r="2817" spans="7:7">
      <c r="G2817" s="69" t="str">
        <f t="shared" si="43"/>
        <v>ERROR</v>
      </c>
    </row>
    <row r="2818" spans="7:7">
      <c r="G2818" s="69" t="str">
        <f t="shared" ref="G2818:G2881" si="44">IF(V2818&gt;0,IF(W2818&gt;0,"Both","E-Commerce"),IF(W2818=0, "ERROR","User Registration"))</f>
        <v>ERROR</v>
      </c>
    </row>
    <row r="2819" spans="7:7">
      <c r="G2819" s="69" t="str">
        <f t="shared" si="44"/>
        <v>ERROR</v>
      </c>
    </row>
    <row r="2820" spans="7:7">
      <c r="G2820" s="69" t="str">
        <f t="shared" si="44"/>
        <v>ERROR</v>
      </c>
    </row>
    <row r="2821" spans="7:7">
      <c r="G2821" s="69" t="str">
        <f t="shared" si="44"/>
        <v>ERROR</v>
      </c>
    </row>
    <row r="2822" spans="7:7">
      <c r="G2822" s="69" t="str">
        <f t="shared" si="44"/>
        <v>ERROR</v>
      </c>
    </row>
    <row r="2823" spans="7:7">
      <c r="G2823" s="69" t="str">
        <f t="shared" si="44"/>
        <v>ERROR</v>
      </c>
    </row>
    <row r="2824" spans="7:7">
      <c r="G2824" s="69" t="str">
        <f t="shared" si="44"/>
        <v>ERROR</v>
      </c>
    </row>
    <row r="2825" spans="7:7">
      <c r="G2825" s="69" t="str">
        <f t="shared" si="44"/>
        <v>ERROR</v>
      </c>
    </row>
    <row r="2826" spans="7:7">
      <c r="G2826" s="69" t="str">
        <f t="shared" si="44"/>
        <v>ERROR</v>
      </c>
    </row>
    <row r="2827" spans="7:7">
      <c r="G2827" s="69" t="str">
        <f t="shared" si="44"/>
        <v>ERROR</v>
      </c>
    </row>
    <row r="2828" spans="7:7">
      <c r="G2828" s="69" t="str">
        <f t="shared" si="44"/>
        <v>ERROR</v>
      </c>
    </row>
    <row r="2829" spans="7:7">
      <c r="G2829" s="69" t="str">
        <f t="shared" si="44"/>
        <v>ERROR</v>
      </c>
    </row>
    <row r="2830" spans="7:7">
      <c r="G2830" s="69" t="str">
        <f t="shared" si="44"/>
        <v>ERROR</v>
      </c>
    </row>
    <row r="2831" spans="7:7">
      <c r="G2831" s="69" t="str">
        <f t="shared" si="44"/>
        <v>ERROR</v>
      </c>
    </row>
    <row r="2832" spans="7:7">
      <c r="G2832" s="69" t="str">
        <f t="shared" si="44"/>
        <v>ERROR</v>
      </c>
    </row>
    <row r="2833" spans="7:7">
      <c r="G2833" s="69" t="str">
        <f t="shared" si="44"/>
        <v>ERROR</v>
      </c>
    </row>
    <row r="2834" spans="7:7">
      <c r="G2834" s="69" t="str">
        <f t="shared" si="44"/>
        <v>ERROR</v>
      </c>
    </row>
    <row r="2835" spans="7:7">
      <c r="G2835" s="69" t="str">
        <f t="shared" si="44"/>
        <v>ERROR</v>
      </c>
    </row>
    <row r="2836" spans="7:7">
      <c r="G2836" s="69" t="str">
        <f t="shared" si="44"/>
        <v>ERROR</v>
      </c>
    </row>
    <row r="2837" spans="7:7">
      <c r="G2837" s="69" t="str">
        <f t="shared" si="44"/>
        <v>ERROR</v>
      </c>
    </row>
    <row r="2838" spans="7:7">
      <c r="G2838" s="69" t="str">
        <f t="shared" si="44"/>
        <v>ERROR</v>
      </c>
    </row>
    <row r="2839" spans="7:7">
      <c r="G2839" s="69" t="str">
        <f t="shared" si="44"/>
        <v>ERROR</v>
      </c>
    </row>
    <row r="2840" spans="7:7">
      <c r="G2840" s="69" t="str">
        <f t="shared" si="44"/>
        <v>ERROR</v>
      </c>
    </row>
    <row r="2841" spans="7:7">
      <c r="G2841" s="69" t="str">
        <f t="shared" si="44"/>
        <v>ERROR</v>
      </c>
    </row>
    <row r="2842" spans="7:7">
      <c r="G2842" s="69" t="str">
        <f t="shared" si="44"/>
        <v>ERROR</v>
      </c>
    </row>
    <row r="2843" spans="7:7">
      <c r="G2843" s="69" t="str">
        <f t="shared" si="44"/>
        <v>ERROR</v>
      </c>
    </row>
    <row r="2844" spans="7:7">
      <c r="G2844" s="69" t="str">
        <f t="shared" si="44"/>
        <v>ERROR</v>
      </c>
    </row>
    <row r="2845" spans="7:7">
      <c r="G2845" s="69" t="str">
        <f t="shared" si="44"/>
        <v>ERROR</v>
      </c>
    </row>
    <row r="2846" spans="7:7">
      <c r="G2846" s="69" t="str">
        <f t="shared" si="44"/>
        <v>ERROR</v>
      </c>
    </row>
    <row r="2847" spans="7:7">
      <c r="G2847" s="69" t="str">
        <f t="shared" si="44"/>
        <v>ERROR</v>
      </c>
    </row>
    <row r="2848" spans="7:7">
      <c r="G2848" s="69" t="str">
        <f t="shared" si="44"/>
        <v>ERROR</v>
      </c>
    </row>
    <row r="2849" spans="7:7">
      <c r="G2849" s="69" t="str">
        <f t="shared" si="44"/>
        <v>ERROR</v>
      </c>
    </row>
    <row r="2850" spans="7:7">
      <c r="G2850" s="69" t="str">
        <f t="shared" si="44"/>
        <v>ERROR</v>
      </c>
    </row>
    <row r="2851" spans="7:7">
      <c r="G2851" s="69" t="str">
        <f t="shared" si="44"/>
        <v>ERROR</v>
      </c>
    </row>
    <row r="2852" spans="7:7">
      <c r="G2852" s="69" t="str">
        <f t="shared" si="44"/>
        <v>ERROR</v>
      </c>
    </row>
    <row r="2853" spans="7:7">
      <c r="G2853" s="69" t="str">
        <f t="shared" si="44"/>
        <v>ERROR</v>
      </c>
    </row>
    <row r="2854" spans="7:7">
      <c r="G2854" s="69" t="str">
        <f t="shared" si="44"/>
        <v>ERROR</v>
      </c>
    </row>
    <row r="2855" spans="7:7">
      <c r="G2855" s="69" t="str">
        <f t="shared" si="44"/>
        <v>ERROR</v>
      </c>
    </row>
    <row r="2856" spans="7:7">
      <c r="G2856" s="69" t="str">
        <f t="shared" si="44"/>
        <v>ERROR</v>
      </c>
    </row>
    <row r="2857" spans="7:7">
      <c r="G2857" s="69" t="str">
        <f t="shared" si="44"/>
        <v>ERROR</v>
      </c>
    </row>
    <row r="2858" spans="7:7">
      <c r="G2858" s="69" t="str">
        <f t="shared" si="44"/>
        <v>ERROR</v>
      </c>
    </row>
    <row r="2859" spans="7:7">
      <c r="G2859" s="69" t="str">
        <f t="shared" si="44"/>
        <v>ERROR</v>
      </c>
    </row>
    <row r="2860" spans="7:7">
      <c r="G2860" s="69" t="str">
        <f t="shared" si="44"/>
        <v>ERROR</v>
      </c>
    </row>
    <row r="2861" spans="7:7">
      <c r="G2861" s="69" t="str">
        <f t="shared" si="44"/>
        <v>ERROR</v>
      </c>
    </row>
    <row r="2862" spans="7:7">
      <c r="G2862" s="69" t="str">
        <f t="shared" si="44"/>
        <v>ERROR</v>
      </c>
    </row>
    <row r="2863" spans="7:7">
      <c r="G2863" s="69" t="str">
        <f t="shared" si="44"/>
        <v>ERROR</v>
      </c>
    </row>
    <row r="2864" spans="7:7">
      <c r="G2864" s="69" t="str">
        <f t="shared" si="44"/>
        <v>ERROR</v>
      </c>
    </row>
    <row r="2865" spans="7:7">
      <c r="G2865" s="69" t="str">
        <f t="shared" si="44"/>
        <v>ERROR</v>
      </c>
    </row>
    <row r="2866" spans="7:7">
      <c r="G2866" s="69" t="str">
        <f t="shared" si="44"/>
        <v>ERROR</v>
      </c>
    </row>
    <row r="2867" spans="7:7">
      <c r="G2867" s="69" t="str">
        <f t="shared" si="44"/>
        <v>ERROR</v>
      </c>
    </row>
    <row r="2868" spans="7:7">
      <c r="G2868" s="69" t="str">
        <f t="shared" si="44"/>
        <v>ERROR</v>
      </c>
    </row>
    <row r="2869" spans="7:7">
      <c r="G2869" s="69" t="str">
        <f t="shared" si="44"/>
        <v>ERROR</v>
      </c>
    </row>
    <row r="2870" spans="7:7">
      <c r="G2870" s="69" t="str">
        <f t="shared" si="44"/>
        <v>ERROR</v>
      </c>
    </row>
    <row r="2871" spans="7:7">
      <c r="G2871" s="69" t="str">
        <f t="shared" si="44"/>
        <v>ERROR</v>
      </c>
    </row>
    <row r="2872" spans="7:7">
      <c r="G2872" s="69" t="str">
        <f t="shared" si="44"/>
        <v>ERROR</v>
      </c>
    </row>
    <row r="2873" spans="7:7">
      <c r="G2873" s="69" t="str">
        <f t="shared" si="44"/>
        <v>ERROR</v>
      </c>
    </row>
    <row r="2874" spans="7:7">
      <c r="G2874" s="69" t="str">
        <f t="shared" si="44"/>
        <v>ERROR</v>
      </c>
    </row>
    <row r="2875" spans="7:7">
      <c r="G2875" s="69" t="str">
        <f t="shared" si="44"/>
        <v>ERROR</v>
      </c>
    </row>
    <row r="2876" spans="7:7">
      <c r="G2876" s="69" t="str">
        <f t="shared" si="44"/>
        <v>ERROR</v>
      </c>
    </row>
    <row r="2877" spans="7:7">
      <c r="G2877" s="69" t="str">
        <f t="shared" si="44"/>
        <v>ERROR</v>
      </c>
    </row>
    <row r="2878" spans="7:7">
      <c r="G2878" s="69" t="str">
        <f t="shared" si="44"/>
        <v>ERROR</v>
      </c>
    </row>
    <row r="2879" spans="7:7">
      <c r="G2879" s="69" t="str">
        <f t="shared" si="44"/>
        <v>ERROR</v>
      </c>
    </row>
    <row r="2880" spans="7:7">
      <c r="G2880" s="69" t="str">
        <f t="shared" si="44"/>
        <v>ERROR</v>
      </c>
    </row>
    <row r="2881" spans="7:7">
      <c r="G2881" s="69" t="str">
        <f t="shared" si="44"/>
        <v>ERROR</v>
      </c>
    </row>
    <row r="2882" spans="7:7">
      <c r="G2882" s="69" t="str">
        <f t="shared" ref="G2882:G2945" si="45">IF(V2882&gt;0,IF(W2882&gt;0,"Both","E-Commerce"),IF(W2882=0, "ERROR","User Registration"))</f>
        <v>ERROR</v>
      </c>
    </row>
    <row r="2883" spans="7:7">
      <c r="G2883" s="69" t="str">
        <f t="shared" si="45"/>
        <v>ERROR</v>
      </c>
    </row>
    <row r="2884" spans="7:7">
      <c r="G2884" s="69" t="str">
        <f t="shared" si="45"/>
        <v>ERROR</v>
      </c>
    </row>
    <row r="2885" spans="7:7">
      <c r="G2885" s="69" t="str">
        <f t="shared" si="45"/>
        <v>ERROR</v>
      </c>
    </row>
    <row r="2886" spans="7:7">
      <c r="G2886" s="69" t="str">
        <f t="shared" si="45"/>
        <v>ERROR</v>
      </c>
    </row>
    <row r="2887" spans="7:7">
      <c r="G2887" s="69" t="str">
        <f t="shared" si="45"/>
        <v>ERROR</v>
      </c>
    </row>
    <row r="2888" spans="7:7">
      <c r="G2888" s="69" t="str">
        <f t="shared" si="45"/>
        <v>ERROR</v>
      </c>
    </row>
    <row r="2889" spans="7:7">
      <c r="G2889" s="69" t="str">
        <f t="shared" si="45"/>
        <v>ERROR</v>
      </c>
    </row>
    <row r="2890" spans="7:7">
      <c r="G2890" s="69" t="str">
        <f t="shared" si="45"/>
        <v>ERROR</v>
      </c>
    </row>
    <row r="2891" spans="7:7">
      <c r="G2891" s="69" t="str">
        <f t="shared" si="45"/>
        <v>ERROR</v>
      </c>
    </row>
    <row r="2892" spans="7:7">
      <c r="G2892" s="69" t="str">
        <f t="shared" si="45"/>
        <v>ERROR</v>
      </c>
    </row>
    <row r="2893" spans="7:7">
      <c r="G2893" s="69" t="str">
        <f t="shared" si="45"/>
        <v>ERROR</v>
      </c>
    </row>
    <row r="2894" spans="7:7">
      <c r="G2894" s="69" t="str">
        <f t="shared" si="45"/>
        <v>ERROR</v>
      </c>
    </row>
    <row r="2895" spans="7:7">
      <c r="G2895" s="69" t="str">
        <f t="shared" si="45"/>
        <v>ERROR</v>
      </c>
    </row>
    <row r="2896" spans="7:7">
      <c r="G2896" s="69" t="str">
        <f t="shared" si="45"/>
        <v>ERROR</v>
      </c>
    </row>
    <row r="2897" spans="7:7">
      <c r="G2897" s="69" t="str">
        <f t="shared" si="45"/>
        <v>ERROR</v>
      </c>
    </row>
    <row r="2898" spans="7:7">
      <c r="G2898" s="69" t="str">
        <f t="shared" si="45"/>
        <v>ERROR</v>
      </c>
    </row>
    <row r="2899" spans="7:7">
      <c r="G2899" s="69" t="str">
        <f t="shared" si="45"/>
        <v>ERROR</v>
      </c>
    </row>
    <row r="2900" spans="7:7">
      <c r="G2900" s="69" t="str">
        <f t="shared" si="45"/>
        <v>ERROR</v>
      </c>
    </row>
    <row r="2901" spans="7:7">
      <c r="G2901" s="69" t="str">
        <f t="shared" si="45"/>
        <v>ERROR</v>
      </c>
    </row>
    <row r="2902" spans="7:7">
      <c r="G2902" s="69" t="str">
        <f t="shared" si="45"/>
        <v>ERROR</v>
      </c>
    </row>
    <row r="2903" spans="7:7">
      <c r="G2903" s="69" t="str">
        <f t="shared" si="45"/>
        <v>ERROR</v>
      </c>
    </row>
    <row r="2904" spans="7:7">
      <c r="G2904" s="69" t="str">
        <f t="shared" si="45"/>
        <v>ERROR</v>
      </c>
    </row>
    <row r="2905" spans="7:7">
      <c r="G2905" s="69" t="str">
        <f t="shared" si="45"/>
        <v>ERROR</v>
      </c>
    </row>
    <row r="2906" spans="7:7">
      <c r="G2906" s="69" t="str">
        <f t="shared" si="45"/>
        <v>ERROR</v>
      </c>
    </row>
    <row r="2907" spans="7:7">
      <c r="G2907" s="69" t="str">
        <f t="shared" si="45"/>
        <v>ERROR</v>
      </c>
    </row>
    <row r="2908" spans="7:7">
      <c r="G2908" s="69" t="str">
        <f t="shared" si="45"/>
        <v>ERROR</v>
      </c>
    </row>
    <row r="2909" spans="7:7">
      <c r="G2909" s="69" t="str">
        <f t="shared" si="45"/>
        <v>ERROR</v>
      </c>
    </row>
    <row r="2910" spans="7:7">
      <c r="G2910" s="69" t="str">
        <f t="shared" si="45"/>
        <v>ERROR</v>
      </c>
    </row>
    <row r="2911" spans="7:7">
      <c r="G2911" s="69" t="str">
        <f t="shared" si="45"/>
        <v>ERROR</v>
      </c>
    </row>
    <row r="2912" spans="7:7">
      <c r="G2912" s="69" t="str">
        <f t="shared" si="45"/>
        <v>ERROR</v>
      </c>
    </row>
    <row r="2913" spans="7:7">
      <c r="G2913" s="69" t="str">
        <f t="shared" si="45"/>
        <v>ERROR</v>
      </c>
    </row>
    <row r="2914" spans="7:7">
      <c r="G2914" s="69" t="str">
        <f t="shared" si="45"/>
        <v>ERROR</v>
      </c>
    </row>
    <row r="2915" spans="7:7">
      <c r="G2915" s="69" t="str">
        <f t="shared" si="45"/>
        <v>ERROR</v>
      </c>
    </row>
    <row r="2916" spans="7:7">
      <c r="G2916" s="69" t="str">
        <f t="shared" si="45"/>
        <v>ERROR</v>
      </c>
    </row>
    <row r="2917" spans="7:7">
      <c r="G2917" s="69" t="str">
        <f t="shared" si="45"/>
        <v>ERROR</v>
      </c>
    </row>
    <row r="2918" spans="7:7">
      <c r="G2918" s="69" t="str">
        <f t="shared" si="45"/>
        <v>ERROR</v>
      </c>
    </row>
    <row r="2919" spans="7:7">
      <c r="G2919" s="69" t="str">
        <f t="shared" si="45"/>
        <v>ERROR</v>
      </c>
    </row>
    <row r="2920" spans="7:7">
      <c r="G2920" s="69" t="str">
        <f t="shared" si="45"/>
        <v>ERROR</v>
      </c>
    </row>
    <row r="2921" spans="7:7">
      <c r="G2921" s="69" t="str">
        <f t="shared" si="45"/>
        <v>ERROR</v>
      </c>
    </row>
    <row r="2922" spans="7:7">
      <c r="G2922" s="69" t="str">
        <f t="shared" si="45"/>
        <v>ERROR</v>
      </c>
    </row>
    <row r="2923" spans="7:7">
      <c r="G2923" s="69" t="str">
        <f t="shared" si="45"/>
        <v>ERROR</v>
      </c>
    </row>
    <row r="2924" spans="7:7">
      <c r="G2924" s="69" t="str">
        <f t="shared" si="45"/>
        <v>ERROR</v>
      </c>
    </row>
    <row r="2925" spans="7:7">
      <c r="G2925" s="69" t="str">
        <f t="shared" si="45"/>
        <v>ERROR</v>
      </c>
    </row>
    <row r="2926" spans="7:7">
      <c r="G2926" s="69" t="str">
        <f t="shared" si="45"/>
        <v>ERROR</v>
      </c>
    </row>
    <row r="2927" spans="7:7">
      <c r="G2927" s="69" t="str">
        <f t="shared" si="45"/>
        <v>ERROR</v>
      </c>
    </row>
    <row r="2928" spans="7:7">
      <c r="G2928" s="69" t="str">
        <f t="shared" si="45"/>
        <v>ERROR</v>
      </c>
    </row>
    <row r="2929" spans="7:7">
      <c r="G2929" s="69" t="str">
        <f t="shared" si="45"/>
        <v>ERROR</v>
      </c>
    </row>
    <row r="2930" spans="7:7">
      <c r="G2930" s="69" t="str">
        <f t="shared" si="45"/>
        <v>ERROR</v>
      </c>
    </row>
    <row r="2931" spans="7:7">
      <c r="G2931" s="69" t="str">
        <f t="shared" si="45"/>
        <v>ERROR</v>
      </c>
    </row>
    <row r="2932" spans="7:7">
      <c r="G2932" s="69" t="str">
        <f t="shared" si="45"/>
        <v>ERROR</v>
      </c>
    </row>
    <row r="2933" spans="7:7">
      <c r="G2933" s="69" t="str">
        <f t="shared" si="45"/>
        <v>ERROR</v>
      </c>
    </row>
    <row r="2934" spans="7:7">
      <c r="G2934" s="69" t="str">
        <f t="shared" si="45"/>
        <v>ERROR</v>
      </c>
    </row>
    <row r="2935" spans="7:7">
      <c r="G2935" s="69" t="str">
        <f t="shared" si="45"/>
        <v>ERROR</v>
      </c>
    </row>
    <row r="2936" spans="7:7">
      <c r="G2936" s="69" t="str">
        <f t="shared" si="45"/>
        <v>ERROR</v>
      </c>
    </row>
    <row r="2937" spans="7:7">
      <c r="G2937" s="69" t="str">
        <f t="shared" si="45"/>
        <v>ERROR</v>
      </c>
    </row>
    <row r="2938" spans="7:7">
      <c r="G2938" s="69" t="str">
        <f t="shared" si="45"/>
        <v>ERROR</v>
      </c>
    </row>
    <row r="2939" spans="7:7">
      <c r="G2939" s="69" t="str">
        <f t="shared" si="45"/>
        <v>ERROR</v>
      </c>
    </row>
    <row r="2940" spans="7:7">
      <c r="G2940" s="69" t="str">
        <f t="shared" si="45"/>
        <v>ERROR</v>
      </c>
    </row>
    <row r="2941" spans="7:7">
      <c r="G2941" s="69" t="str">
        <f t="shared" si="45"/>
        <v>ERROR</v>
      </c>
    </row>
    <row r="2942" spans="7:7">
      <c r="G2942" s="69" t="str">
        <f t="shared" si="45"/>
        <v>ERROR</v>
      </c>
    </row>
    <row r="2943" spans="7:7">
      <c r="G2943" s="69" t="str">
        <f t="shared" si="45"/>
        <v>ERROR</v>
      </c>
    </row>
    <row r="2944" spans="7:7">
      <c r="G2944" s="69" t="str">
        <f t="shared" si="45"/>
        <v>ERROR</v>
      </c>
    </row>
    <row r="2945" spans="7:7">
      <c r="G2945" s="69" t="str">
        <f t="shared" si="45"/>
        <v>ERROR</v>
      </c>
    </row>
    <row r="2946" spans="7:7">
      <c r="G2946" s="69" t="str">
        <f t="shared" ref="G2946:G3009" si="46">IF(V2946&gt;0,IF(W2946&gt;0,"Both","E-Commerce"),IF(W2946=0, "ERROR","User Registration"))</f>
        <v>ERROR</v>
      </c>
    </row>
    <row r="2947" spans="7:7">
      <c r="G2947" s="69" t="str">
        <f t="shared" si="46"/>
        <v>ERROR</v>
      </c>
    </row>
    <row r="2948" spans="7:7">
      <c r="G2948" s="69" t="str">
        <f t="shared" si="46"/>
        <v>ERROR</v>
      </c>
    </row>
    <row r="2949" spans="7:7">
      <c r="G2949" s="69" t="str">
        <f t="shared" si="46"/>
        <v>ERROR</v>
      </c>
    </row>
    <row r="2950" spans="7:7">
      <c r="G2950" s="69" t="str">
        <f t="shared" si="46"/>
        <v>ERROR</v>
      </c>
    </row>
    <row r="2951" spans="7:7">
      <c r="G2951" s="69" t="str">
        <f t="shared" si="46"/>
        <v>ERROR</v>
      </c>
    </row>
    <row r="2952" spans="7:7">
      <c r="G2952" s="69" t="str">
        <f t="shared" si="46"/>
        <v>ERROR</v>
      </c>
    </row>
    <row r="2953" spans="7:7">
      <c r="G2953" s="69" t="str">
        <f t="shared" si="46"/>
        <v>ERROR</v>
      </c>
    </row>
    <row r="2954" spans="7:7">
      <c r="G2954" s="69" t="str">
        <f t="shared" si="46"/>
        <v>ERROR</v>
      </c>
    </row>
    <row r="2955" spans="7:7">
      <c r="G2955" s="69" t="str">
        <f t="shared" si="46"/>
        <v>ERROR</v>
      </c>
    </row>
    <row r="2956" spans="7:7">
      <c r="G2956" s="69" t="str">
        <f t="shared" si="46"/>
        <v>ERROR</v>
      </c>
    </row>
    <row r="2957" spans="7:7">
      <c r="G2957" s="69" t="str">
        <f t="shared" si="46"/>
        <v>ERROR</v>
      </c>
    </row>
    <row r="2958" spans="7:7">
      <c r="G2958" s="69" t="str">
        <f t="shared" si="46"/>
        <v>ERROR</v>
      </c>
    </row>
    <row r="2959" spans="7:7">
      <c r="G2959" s="69" t="str">
        <f t="shared" si="46"/>
        <v>ERROR</v>
      </c>
    </row>
    <row r="2960" spans="7:7">
      <c r="G2960" s="69" t="str">
        <f t="shared" si="46"/>
        <v>ERROR</v>
      </c>
    </row>
    <row r="2961" spans="7:7">
      <c r="G2961" s="69" t="str">
        <f t="shared" si="46"/>
        <v>ERROR</v>
      </c>
    </row>
    <row r="2962" spans="7:7">
      <c r="G2962" s="69" t="str">
        <f t="shared" si="46"/>
        <v>ERROR</v>
      </c>
    </row>
    <row r="2963" spans="7:7">
      <c r="G2963" s="69" t="str">
        <f t="shared" si="46"/>
        <v>ERROR</v>
      </c>
    </row>
    <row r="2964" spans="7:7">
      <c r="G2964" s="69" t="str">
        <f t="shared" si="46"/>
        <v>ERROR</v>
      </c>
    </row>
    <row r="2965" spans="7:7">
      <c r="G2965" s="69" t="str">
        <f t="shared" si="46"/>
        <v>ERROR</v>
      </c>
    </row>
    <row r="2966" spans="7:7">
      <c r="G2966" s="69" t="str">
        <f t="shared" si="46"/>
        <v>ERROR</v>
      </c>
    </row>
    <row r="2967" spans="7:7">
      <c r="G2967" s="69" t="str">
        <f t="shared" si="46"/>
        <v>ERROR</v>
      </c>
    </row>
    <row r="2968" spans="7:7">
      <c r="G2968" s="69" t="str">
        <f t="shared" si="46"/>
        <v>ERROR</v>
      </c>
    </row>
    <row r="2969" spans="7:7">
      <c r="G2969" s="69" t="str">
        <f t="shared" si="46"/>
        <v>ERROR</v>
      </c>
    </row>
    <row r="2970" spans="7:7">
      <c r="G2970" s="69" t="str">
        <f t="shared" si="46"/>
        <v>ERROR</v>
      </c>
    </row>
    <row r="2971" spans="7:7">
      <c r="G2971" s="69" t="str">
        <f t="shared" si="46"/>
        <v>ERROR</v>
      </c>
    </row>
    <row r="2972" spans="7:7">
      <c r="G2972" s="69" t="str">
        <f t="shared" si="46"/>
        <v>ERROR</v>
      </c>
    </row>
    <row r="2973" spans="7:7">
      <c r="G2973" s="69" t="str">
        <f t="shared" si="46"/>
        <v>ERROR</v>
      </c>
    </row>
    <row r="2974" spans="7:7">
      <c r="G2974" s="69" t="str">
        <f t="shared" si="46"/>
        <v>ERROR</v>
      </c>
    </row>
    <row r="2975" spans="7:7">
      <c r="G2975" s="69" t="str">
        <f t="shared" si="46"/>
        <v>ERROR</v>
      </c>
    </row>
    <row r="2976" spans="7:7">
      <c r="G2976" s="69" t="str">
        <f t="shared" si="46"/>
        <v>ERROR</v>
      </c>
    </row>
    <row r="2977" spans="7:7">
      <c r="G2977" s="69" t="str">
        <f t="shared" si="46"/>
        <v>ERROR</v>
      </c>
    </row>
    <row r="2978" spans="7:7">
      <c r="G2978" s="69" t="str">
        <f t="shared" si="46"/>
        <v>ERROR</v>
      </c>
    </row>
    <row r="2979" spans="7:7">
      <c r="G2979" s="69" t="str">
        <f t="shared" si="46"/>
        <v>ERROR</v>
      </c>
    </row>
    <row r="2980" spans="7:7">
      <c r="G2980" s="69" t="str">
        <f t="shared" si="46"/>
        <v>ERROR</v>
      </c>
    </row>
    <row r="2981" spans="7:7">
      <c r="G2981" s="69" t="str">
        <f t="shared" si="46"/>
        <v>ERROR</v>
      </c>
    </row>
    <row r="2982" spans="7:7">
      <c r="G2982" s="69" t="str">
        <f t="shared" si="46"/>
        <v>ERROR</v>
      </c>
    </row>
    <row r="2983" spans="7:7">
      <c r="G2983" s="69" t="str">
        <f t="shared" si="46"/>
        <v>ERROR</v>
      </c>
    </row>
    <row r="2984" spans="7:7">
      <c r="G2984" s="69" t="str">
        <f t="shared" si="46"/>
        <v>ERROR</v>
      </c>
    </row>
    <row r="2985" spans="7:7">
      <c r="G2985" s="69" t="str">
        <f t="shared" si="46"/>
        <v>ERROR</v>
      </c>
    </row>
    <row r="2986" spans="7:7">
      <c r="G2986" s="69" t="str">
        <f t="shared" si="46"/>
        <v>ERROR</v>
      </c>
    </row>
    <row r="2987" spans="7:7">
      <c r="G2987" s="69" t="str">
        <f t="shared" si="46"/>
        <v>ERROR</v>
      </c>
    </row>
    <row r="2988" spans="7:7">
      <c r="G2988" s="69" t="str">
        <f t="shared" si="46"/>
        <v>ERROR</v>
      </c>
    </row>
    <row r="2989" spans="7:7">
      <c r="G2989" s="69" t="str">
        <f t="shared" si="46"/>
        <v>ERROR</v>
      </c>
    </row>
    <row r="2990" spans="7:7">
      <c r="G2990" s="69" t="str">
        <f t="shared" si="46"/>
        <v>ERROR</v>
      </c>
    </row>
    <row r="2991" spans="7:7">
      <c r="G2991" s="69" t="str">
        <f t="shared" si="46"/>
        <v>ERROR</v>
      </c>
    </row>
    <row r="2992" spans="7:7">
      <c r="G2992" s="69" t="str">
        <f t="shared" si="46"/>
        <v>ERROR</v>
      </c>
    </row>
    <row r="2993" spans="7:7">
      <c r="G2993" s="69" t="str">
        <f t="shared" si="46"/>
        <v>ERROR</v>
      </c>
    </row>
    <row r="2994" spans="7:7">
      <c r="G2994" s="69" t="str">
        <f t="shared" si="46"/>
        <v>ERROR</v>
      </c>
    </row>
    <row r="2995" spans="7:7">
      <c r="G2995" s="69" t="str">
        <f t="shared" si="46"/>
        <v>ERROR</v>
      </c>
    </row>
    <row r="2996" spans="7:7">
      <c r="G2996" s="69" t="str">
        <f t="shared" si="46"/>
        <v>ERROR</v>
      </c>
    </row>
    <row r="2997" spans="7:7">
      <c r="G2997" s="69" t="str">
        <f t="shared" si="46"/>
        <v>ERROR</v>
      </c>
    </row>
    <row r="2998" spans="7:7">
      <c r="G2998" s="69" t="str">
        <f t="shared" si="46"/>
        <v>ERROR</v>
      </c>
    </row>
    <row r="2999" spans="7:7">
      <c r="G2999" s="69" t="str">
        <f t="shared" si="46"/>
        <v>ERROR</v>
      </c>
    </row>
    <row r="3000" spans="7:7">
      <c r="G3000" s="69" t="str">
        <f t="shared" si="46"/>
        <v>ERROR</v>
      </c>
    </row>
    <row r="3001" spans="7:7">
      <c r="G3001" s="69" t="str">
        <f t="shared" si="46"/>
        <v>ERROR</v>
      </c>
    </row>
    <row r="3002" spans="7:7">
      <c r="G3002" s="69" t="str">
        <f t="shared" si="46"/>
        <v>ERROR</v>
      </c>
    </row>
    <row r="3003" spans="7:7">
      <c r="G3003" s="69" t="str">
        <f t="shared" si="46"/>
        <v>ERROR</v>
      </c>
    </row>
    <row r="3004" spans="7:7">
      <c r="G3004" s="69" t="str">
        <f t="shared" si="46"/>
        <v>ERROR</v>
      </c>
    </row>
    <row r="3005" spans="7:7">
      <c r="G3005" s="69" t="str">
        <f t="shared" si="46"/>
        <v>ERROR</v>
      </c>
    </row>
    <row r="3006" spans="7:7">
      <c r="G3006" s="69" t="str">
        <f t="shared" si="46"/>
        <v>ERROR</v>
      </c>
    </row>
    <row r="3007" spans="7:7">
      <c r="G3007" s="69" t="str">
        <f t="shared" si="46"/>
        <v>ERROR</v>
      </c>
    </row>
    <row r="3008" spans="7:7">
      <c r="G3008" s="69" t="str">
        <f t="shared" si="46"/>
        <v>ERROR</v>
      </c>
    </row>
    <row r="3009" spans="7:7">
      <c r="G3009" s="69" t="str">
        <f t="shared" si="46"/>
        <v>ERROR</v>
      </c>
    </row>
    <row r="3010" spans="7:7">
      <c r="G3010" s="69" t="str">
        <f t="shared" ref="G3010:G3073" si="47">IF(V3010&gt;0,IF(W3010&gt;0,"Both","E-Commerce"),IF(W3010=0, "ERROR","User Registration"))</f>
        <v>ERROR</v>
      </c>
    </row>
    <row r="3011" spans="7:7">
      <c r="G3011" s="69" t="str">
        <f t="shared" si="47"/>
        <v>ERROR</v>
      </c>
    </row>
    <row r="3012" spans="7:7">
      <c r="G3012" s="69" t="str">
        <f t="shared" si="47"/>
        <v>ERROR</v>
      </c>
    </row>
    <row r="3013" spans="7:7">
      <c r="G3013" s="69" t="str">
        <f t="shared" si="47"/>
        <v>ERROR</v>
      </c>
    </row>
    <row r="3014" spans="7:7">
      <c r="G3014" s="69" t="str">
        <f t="shared" si="47"/>
        <v>ERROR</v>
      </c>
    </row>
    <row r="3015" spans="7:7">
      <c r="G3015" s="69" t="str">
        <f t="shared" si="47"/>
        <v>ERROR</v>
      </c>
    </row>
    <row r="3016" spans="7:7">
      <c r="G3016" s="69" t="str">
        <f t="shared" si="47"/>
        <v>ERROR</v>
      </c>
    </row>
    <row r="3017" spans="7:7">
      <c r="G3017" s="69" t="str">
        <f t="shared" si="47"/>
        <v>ERROR</v>
      </c>
    </row>
    <row r="3018" spans="7:7">
      <c r="G3018" s="69" t="str">
        <f t="shared" si="47"/>
        <v>ERROR</v>
      </c>
    </row>
    <row r="3019" spans="7:7">
      <c r="G3019" s="69" t="str">
        <f t="shared" si="47"/>
        <v>ERROR</v>
      </c>
    </row>
    <row r="3020" spans="7:7">
      <c r="G3020" s="69" t="str">
        <f t="shared" si="47"/>
        <v>ERROR</v>
      </c>
    </row>
    <row r="3021" spans="7:7">
      <c r="G3021" s="69" t="str">
        <f t="shared" si="47"/>
        <v>ERROR</v>
      </c>
    </row>
    <row r="3022" spans="7:7">
      <c r="G3022" s="69" t="str">
        <f t="shared" si="47"/>
        <v>ERROR</v>
      </c>
    </row>
    <row r="3023" spans="7:7">
      <c r="G3023" s="69" t="str">
        <f t="shared" si="47"/>
        <v>ERROR</v>
      </c>
    </row>
    <row r="3024" spans="7:7">
      <c r="G3024" s="69" t="str">
        <f t="shared" si="47"/>
        <v>ERROR</v>
      </c>
    </row>
    <row r="3025" spans="7:7">
      <c r="G3025" s="69" t="str">
        <f t="shared" si="47"/>
        <v>ERROR</v>
      </c>
    </row>
    <row r="3026" spans="7:7">
      <c r="G3026" s="69" t="str">
        <f t="shared" si="47"/>
        <v>ERROR</v>
      </c>
    </row>
    <row r="3027" spans="7:7">
      <c r="G3027" s="69" t="str">
        <f t="shared" si="47"/>
        <v>ERROR</v>
      </c>
    </row>
    <row r="3028" spans="7:7">
      <c r="G3028" s="69" t="str">
        <f t="shared" si="47"/>
        <v>ERROR</v>
      </c>
    </row>
    <row r="3029" spans="7:7">
      <c r="G3029" s="69" t="str">
        <f t="shared" si="47"/>
        <v>ERROR</v>
      </c>
    </row>
    <row r="3030" spans="7:7">
      <c r="G3030" s="69" t="str">
        <f t="shared" si="47"/>
        <v>ERROR</v>
      </c>
    </row>
    <row r="3031" spans="7:7">
      <c r="G3031" s="69" t="str">
        <f t="shared" si="47"/>
        <v>ERROR</v>
      </c>
    </row>
    <row r="3032" spans="7:7">
      <c r="G3032" s="69" t="str">
        <f t="shared" si="47"/>
        <v>ERROR</v>
      </c>
    </row>
    <row r="3033" spans="7:7">
      <c r="G3033" s="69" t="str">
        <f t="shared" si="47"/>
        <v>ERROR</v>
      </c>
    </row>
    <row r="3034" spans="7:7">
      <c r="G3034" s="69" t="str">
        <f t="shared" si="47"/>
        <v>ERROR</v>
      </c>
    </row>
    <row r="3035" spans="7:7">
      <c r="G3035" s="69" t="str">
        <f t="shared" si="47"/>
        <v>ERROR</v>
      </c>
    </row>
    <row r="3036" spans="7:7">
      <c r="G3036" s="69" t="str">
        <f t="shared" si="47"/>
        <v>ERROR</v>
      </c>
    </row>
    <row r="3037" spans="7:7">
      <c r="G3037" s="69" t="str">
        <f t="shared" si="47"/>
        <v>ERROR</v>
      </c>
    </row>
    <row r="3038" spans="7:7">
      <c r="G3038" s="69" t="str">
        <f t="shared" si="47"/>
        <v>ERROR</v>
      </c>
    </row>
    <row r="3039" spans="7:7">
      <c r="G3039" s="69" t="str">
        <f t="shared" si="47"/>
        <v>ERROR</v>
      </c>
    </row>
    <row r="3040" spans="7:7">
      <c r="G3040" s="69" t="str">
        <f t="shared" si="47"/>
        <v>ERROR</v>
      </c>
    </row>
    <row r="3041" spans="7:7">
      <c r="G3041" s="69" t="str">
        <f t="shared" si="47"/>
        <v>ERROR</v>
      </c>
    </row>
    <row r="3042" spans="7:7">
      <c r="G3042" s="69" t="str">
        <f t="shared" si="47"/>
        <v>ERROR</v>
      </c>
    </row>
    <row r="3043" spans="7:7">
      <c r="G3043" s="69" t="str">
        <f t="shared" si="47"/>
        <v>ERROR</v>
      </c>
    </row>
    <row r="3044" spans="7:7">
      <c r="G3044" s="69" t="str">
        <f t="shared" si="47"/>
        <v>ERROR</v>
      </c>
    </row>
    <row r="3045" spans="7:7">
      <c r="G3045" s="69" t="str">
        <f t="shared" si="47"/>
        <v>ERROR</v>
      </c>
    </row>
    <row r="3046" spans="7:7">
      <c r="G3046" s="69" t="str">
        <f t="shared" si="47"/>
        <v>ERROR</v>
      </c>
    </row>
    <row r="3047" spans="7:7">
      <c r="G3047" s="69" t="str">
        <f t="shared" si="47"/>
        <v>ERROR</v>
      </c>
    </row>
    <row r="3048" spans="7:7">
      <c r="G3048" s="69" t="str">
        <f t="shared" si="47"/>
        <v>ERROR</v>
      </c>
    </row>
    <row r="3049" spans="7:7">
      <c r="G3049" s="69" t="str">
        <f t="shared" si="47"/>
        <v>ERROR</v>
      </c>
    </row>
    <row r="3050" spans="7:7">
      <c r="G3050" s="69" t="str">
        <f t="shared" si="47"/>
        <v>ERROR</v>
      </c>
    </row>
    <row r="3051" spans="7:7">
      <c r="G3051" s="69" t="str">
        <f t="shared" si="47"/>
        <v>ERROR</v>
      </c>
    </row>
    <row r="3052" spans="7:7">
      <c r="G3052" s="69" t="str">
        <f t="shared" si="47"/>
        <v>ERROR</v>
      </c>
    </row>
    <row r="3053" spans="7:7">
      <c r="G3053" s="69" t="str">
        <f t="shared" si="47"/>
        <v>ERROR</v>
      </c>
    </row>
    <row r="3054" spans="7:7">
      <c r="G3054" s="69" t="str">
        <f t="shared" si="47"/>
        <v>ERROR</v>
      </c>
    </row>
    <row r="3055" spans="7:7">
      <c r="G3055" s="69" t="str">
        <f t="shared" si="47"/>
        <v>ERROR</v>
      </c>
    </row>
    <row r="3056" spans="7:7">
      <c r="G3056" s="69" t="str">
        <f t="shared" si="47"/>
        <v>ERROR</v>
      </c>
    </row>
    <row r="3057" spans="7:7">
      <c r="G3057" s="69" t="str">
        <f t="shared" si="47"/>
        <v>ERROR</v>
      </c>
    </row>
    <row r="3058" spans="7:7">
      <c r="G3058" s="69" t="str">
        <f t="shared" si="47"/>
        <v>ERROR</v>
      </c>
    </row>
    <row r="3059" spans="7:7">
      <c r="G3059" s="69" t="str">
        <f t="shared" si="47"/>
        <v>ERROR</v>
      </c>
    </row>
    <row r="3060" spans="7:7">
      <c r="G3060" s="69" t="str">
        <f t="shared" si="47"/>
        <v>ERROR</v>
      </c>
    </row>
    <row r="3061" spans="7:7">
      <c r="G3061" s="69" t="str">
        <f t="shared" si="47"/>
        <v>ERROR</v>
      </c>
    </row>
    <row r="3062" spans="7:7">
      <c r="G3062" s="69" t="str">
        <f t="shared" si="47"/>
        <v>ERROR</v>
      </c>
    </row>
    <row r="3063" spans="7:7">
      <c r="G3063" s="69" t="str">
        <f t="shared" si="47"/>
        <v>ERROR</v>
      </c>
    </row>
    <row r="3064" spans="7:7">
      <c r="G3064" s="69" t="str">
        <f t="shared" si="47"/>
        <v>ERROR</v>
      </c>
    </row>
    <row r="3065" spans="7:7">
      <c r="G3065" s="69" t="str">
        <f t="shared" si="47"/>
        <v>ERROR</v>
      </c>
    </row>
    <row r="3066" spans="7:7">
      <c r="G3066" s="69" t="str">
        <f t="shared" si="47"/>
        <v>ERROR</v>
      </c>
    </row>
    <row r="3067" spans="7:7">
      <c r="G3067" s="69" t="str">
        <f t="shared" si="47"/>
        <v>ERROR</v>
      </c>
    </row>
    <row r="3068" spans="7:7">
      <c r="G3068" s="69" t="str">
        <f t="shared" si="47"/>
        <v>ERROR</v>
      </c>
    </row>
    <row r="3069" spans="7:7">
      <c r="G3069" s="69" t="str">
        <f t="shared" si="47"/>
        <v>ERROR</v>
      </c>
    </row>
    <row r="3070" spans="7:7">
      <c r="G3070" s="69" t="str">
        <f t="shared" si="47"/>
        <v>ERROR</v>
      </c>
    </row>
    <row r="3071" spans="7:7">
      <c r="G3071" s="69" t="str">
        <f t="shared" si="47"/>
        <v>ERROR</v>
      </c>
    </row>
    <row r="3072" spans="7:7">
      <c r="G3072" s="69" t="str">
        <f t="shared" si="47"/>
        <v>ERROR</v>
      </c>
    </row>
    <row r="3073" spans="7:7">
      <c r="G3073" s="69" t="str">
        <f t="shared" si="47"/>
        <v>ERROR</v>
      </c>
    </row>
    <row r="3074" spans="7:7">
      <c r="G3074" s="69" t="str">
        <f t="shared" ref="G3074:G3137" si="48">IF(V3074&gt;0,IF(W3074&gt;0,"Both","E-Commerce"),IF(W3074=0, "ERROR","User Registration"))</f>
        <v>ERROR</v>
      </c>
    </row>
    <row r="3075" spans="7:7">
      <c r="G3075" s="69" t="str">
        <f t="shared" si="48"/>
        <v>ERROR</v>
      </c>
    </row>
    <row r="3076" spans="7:7">
      <c r="G3076" s="69" t="str">
        <f t="shared" si="48"/>
        <v>ERROR</v>
      </c>
    </row>
    <row r="3077" spans="7:7">
      <c r="G3077" s="69" t="str">
        <f t="shared" si="48"/>
        <v>ERROR</v>
      </c>
    </row>
    <row r="3078" spans="7:7">
      <c r="G3078" s="69" t="str">
        <f t="shared" si="48"/>
        <v>ERROR</v>
      </c>
    </row>
    <row r="3079" spans="7:7">
      <c r="G3079" s="69" t="str">
        <f t="shared" si="48"/>
        <v>ERROR</v>
      </c>
    </row>
    <row r="3080" spans="7:7">
      <c r="G3080" s="69" t="str">
        <f t="shared" si="48"/>
        <v>ERROR</v>
      </c>
    </row>
    <row r="3081" spans="7:7">
      <c r="G3081" s="69" t="str">
        <f t="shared" si="48"/>
        <v>ERROR</v>
      </c>
    </row>
    <row r="3082" spans="7:7">
      <c r="G3082" s="69" t="str">
        <f t="shared" si="48"/>
        <v>ERROR</v>
      </c>
    </row>
    <row r="3083" spans="7:7">
      <c r="G3083" s="69" t="str">
        <f t="shared" si="48"/>
        <v>ERROR</v>
      </c>
    </row>
    <row r="3084" spans="7:7">
      <c r="G3084" s="69" t="str">
        <f t="shared" si="48"/>
        <v>ERROR</v>
      </c>
    </row>
    <row r="3085" spans="7:7">
      <c r="G3085" s="69" t="str">
        <f t="shared" si="48"/>
        <v>ERROR</v>
      </c>
    </row>
    <row r="3086" spans="7:7">
      <c r="G3086" s="69" t="str">
        <f t="shared" si="48"/>
        <v>ERROR</v>
      </c>
    </row>
    <row r="3087" spans="7:7">
      <c r="G3087" s="69" t="str">
        <f t="shared" si="48"/>
        <v>ERROR</v>
      </c>
    </row>
    <row r="3088" spans="7:7">
      <c r="G3088" s="69" t="str">
        <f t="shared" si="48"/>
        <v>ERROR</v>
      </c>
    </row>
    <row r="3089" spans="7:7">
      <c r="G3089" s="69" t="str">
        <f t="shared" si="48"/>
        <v>ERROR</v>
      </c>
    </row>
    <row r="3090" spans="7:7">
      <c r="G3090" s="69" t="str">
        <f t="shared" si="48"/>
        <v>ERROR</v>
      </c>
    </row>
    <row r="3091" spans="7:7">
      <c r="G3091" s="69" t="str">
        <f t="shared" si="48"/>
        <v>ERROR</v>
      </c>
    </row>
    <row r="3092" spans="7:7">
      <c r="G3092" s="69" t="str">
        <f t="shared" si="48"/>
        <v>ERROR</v>
      </c>
    </row>
    <row r="3093" spans="7:7">
      <c r="G3093" s="69" t="str">
        <f t="shared" si="48"/>
        <v>ERROR</v>
      </c>
    </row>
    <row r="3094" spans="7:7">
      <c r="G3094" s="69" t="str">
        <f t="shared" si="48"/>
        <v>ERROR</v>
      </c>
    </row>
    <row r="3095" spans="7:7">
      <c r="G3095" s="69" t="str">
        <f t="shared" si="48"/>
        <v>ERROR</v>
      </c>
    </row>
    <row r="3096" spans="7:7">
      <c r="G3096" s="69" t="str">
        <f t="shared" si="48"/>
        <v>ERROR</v>
      </c>
    </row>
    <row r="3097" spans="7:7">
      <c r="G3097" s="69" t="str">
        <f t="shared" si="48"/>
        <v>ERROR</v>
      </c>
    </row>
    <row r="3098" spans="7:7">
      <c r="G3098" s="69" t="str">
        <f t="shared" si="48"/>
        <v>ERROR</v>
      </c>
    </row>
    <row r="3099" spans="7:7">
      <c r="G3099" s="69" t="str">
        <f t="shared" si="48"/>
        <v>ERROR</v>
      </c>
    </row>
    <row r="3100" spans="7:7">
      <c r="G3100" s="69" t="str">
        <f t="shared" si="48"/>
        <v>ERROR</v>
      </c>
    </row>
    <row r="3101" spans="7:7">
      <c r="G3101" s="69" t="str">
        <f t="shared" si="48"/>
        <v>ERROR</v>
      </c>
    </row>
    <row r="3102" spans="7:7">
      <c r="G3102" s="69" t="str">
        <f t="shared" si="48"/>
        <v>ERROR</v>
      </c>
    </row>
    <row r="3103" spans="7:7">
      <c r="G3103" s="69" t="str">
        <f t="shared" si="48"/>
        <v>ERROR</v>
      </c>
    </row>
    <row r="3104" spans="7:7">
      <c r="G3104" s="69" t="str">
        <f t="shared" si="48"/>
        <v>ERROR</v>
      </c>
    </row>
    <row r="3105" spans="7:7">
      <c r="G3105" s="69" t="str">
        <f t="shared" si="48"/>
        <v>ERROR</v>
      </c>
    </row>
    <row r="3106" spans="7:7">
      <c r="G3106" s="69" t="str">
        <f t="shared" si="48"/>
        <v>ERROR</v>
      </c>
    </row>
    <row r="3107" spans="7:7">
      <c r="G3107" s="69" t="str">
        <f t="shared" si="48"/>
        <v>ERROR</v>
      </c>
    </row>
    <row r="3108" spans="7:7">
      <c r="G3108" s="69" t="str">
        <f t="shared" si="48"/>
        <v>ERROR</v>
      </c>
    </row>
    <row r="3109" spans="7:7">
      <c r="G3109" s="69" t="str">
        <f t="shared" si="48"/>
        <v>ERROR</v>
      </c>
    </row>
    <row r="3110" spans="7:7">
      <c r="G3110" s="69" t="str">
        <f t="shared" si="48"/>
        <v>ERROR</v>
      </c>
    </row>
    <row r="3111" spans="7:7">
      <c r="G3111" s="69" t="str">
        <f t="shared" si="48"/>
        <v>ERROR</v>
      </c>
    </row>
    <row r="3112" spans="7:7">
      <c r="G3112" s="69" t="str">
        <f t="shared" si="48"/>
        <v>ERROR</v>
      </c>
    </row>
    <row r="3113" spans="7:7">
      <c r="G3113" s="69" t="str">
        <f t="shared" si="48"/>
        <v>ERROR</v>
      </c>
    </row>
    <row r="3114" spans="7:7">
      <c r="G3114" s="69" t="str">
        <f t="shared" si="48"/>
        <v>ERROR</v>
      </c>
    </row>
    <row r="3115" spans="7:7">
      <c r="G3115" s="69" t="str">
        <f t="shared" si="48"/>
        <v>ERROR</v>
      </c>
    </row>
    <row r="3116" spans="7:7">
      <c r="G3116" s="69" t="str">
        <f t="shared" si="48"/>
        <v>ERROR</v>
      </c>
    </row>
    <row r="3117" spans="7:7">
      <c r="G3117" s="69" t="str">
        <f t="shared" si="48"/>
        <v>ERROR</v>
      </c>
    </row>
    <row r="3118" spans="7:7">
      <c r="G3118" s="69" t="str">
        <f t="shared" si="48"/>
        <v>ERROR</v>
      </c>
    </row>
    <row r="3119" spans="7:7">
      <c r="G3119" s="69" t="str">
        <f t="shared" si="48"/>
        <v>ERROR</v>
      </c>
    </row>
    <row r="3120" spans="7:7">
      <c r="G3120" s="69" t="str">
        <f t="shared" si="48"/>
        <v>ERROR</v>
      </c>
    </row>
    <row r="3121" spans="7:7">
      <c r="G3121" s="69" t="str">
        <f t="shared" si="48"/>
        <v>ERROR</v>
      </c>
    </row>
    <row r="3122" spans="7:7">
      <c r="G3122" s="69" t="str">
        <f t="shared" si="48"/>
        <v>ERROR</v>
      </c>
    </row>
    <row r="3123" spans="7:7">
      <c r="G3123" s="69" t="str">
        <f t="shared" si="48"/>
        <v>ERROR</v>
      </c>
    </row>
    <row r="3124" spans="7:7">
      <c r="G3124" s="69" t="str">
        <f t="shared" si="48"/>
        <v>ERROR</v>
      </c>
    </row>
    <row r="3125" spans="7:7">
      <c r="G3125" s="69" t="str">
        <f t="shared" si="48"/>
        <v>ERROR</v>
      </c>
    </row>
    <row r="3126" spans="7:7">
      <c r="G3126" s="69" t="str">
        <f t="shared" si="48"/>
        <v>ERROR</v>
      </c>
    </row>
    <row r="3127" spans="7:7">
      <c r="G3127" s="69" t="str">
        <f t="shared" si="48"/>
        <v>ERROR</v>
      </c>
    </row>
    <row r="3128" spans="7:7">
      <c r="G3128" s="69" t="str">
        <f t="shared" si="48"/>
        <v>ERROR</v>
      </c>
    </row>
    <row r="3129" spans="7:7">
      <c r="G3129" s="69" t="str">
        <f t="shared" si="48"/>
        <v>ERROR</v>
      </c>
    </row>
    <row r="3130" spans="7:7">
      <c r="G3130" s="69" t="str">
        <f t="shared" si="48"/>
        <v>ERROR</v>
      </c>
    </row>
    <row r="3131" spans="7:7">
      <c r="G3131" s="69" t="str">
        <f t="shared" si="48"/>
        <v>ERROR</v>
      </c>
    </row>
    <row r="3132" spans="7:7">
      <c r="G3132" s="69" t="str">
        <f t="shared" si="48"/>
        <v>ERROR</v>
      </c>
    </row>
    <row r="3133" spans="7:7">
      <c r="G3133" s="69" t="str">
        <f t="shared" si="48"/>
        <v>ERROR</v>
      </c>
    </row>
    <row r="3134" spans="7:7">
      <c r="G3134" s="69" t="str">
        <f t="shared" si="48"/>
        <v>ERROR</v>
      </c>
    </row>
    <row r="3135" spans="7:7">
      <c r="G3135" s="69" t="str">
        <f t="shared" si="48"/>
        <v>ERROR</v>
      </c>
    </row>
    <row r="3136" spans="7:7">
      <c r="G3136" s="69" t="str">
        <f t="shared" si="48"/>
        <v>ERROR</v>
      </c>
    </row>
    <row r="3137" spans="7:7">
      <c r="G3137" s="69" t="str">
        <f t="shared" si="48"/>
        <v>ERROR</v>
      </c>
    </row>
    <row r="3138" spans="7:7">
      <c r="G3138" s="69" t="str">
        <f t="shared" ref="G3138:G3201" si="49">IF(V3138&gt;0,IF(W3138&gt;0,"Both","E-Commerce"),IF(W3138=0, "ERROR","User Registration"))</f>
        <v>ERROR</v>
      </c>
    </row>
    <row r="3139" spans="7:7">
      <c r="G3139" s="69" t="str">
        <f t="shared" si="49"/>
        <v>ERROR</v>
      </c>
    </row>
    <row r="3140" spans="7:7">
      <c r="G3140" s="69" t="str">
        <f t="shared" si="49"/>
        <v>ERROR</v>
      </c>
    </row>
    <row r="3141" spans="7:7">
      <c r="G3141" s="69" t="str">
        <f t="shared" si="49"/>
        <v>ERROR</v>
      </c>
    </row>
    <row r="3142" spans="7:7">
      <c r="G3142" s="69" t="str">
        <f t="shared" si="49"/>
        <v>ERROR</v>
      </c>
    </row>
    <row r="3143" spans="7:7">
      <c r="G3143" s="69" t="str">
        <f t="shared" si="49"/>
        <v>ERROR</v>
      </c>
    </row>
    <row r="3144" spans="7:7">
      <c r="G3144" s="69" t="str">
        <f t="shared" si="49"/>
        <v>ERROR</v>
      </c>
    </row>
    <row r="3145" spans="7:7">
      <c r="G3145" s="69" t="str">
        <f t="shared" si="49"/>
        <v>ERROR</v>
      </c>
    </row>
    <row r="3146" spans="7:7">
      <c r="G3146" s="69" t="str">
        <f t="shared" si="49"/>
        <v>ERROR</v>
      </c>
    </row>
    <row r="3147" spans="7:7">
      <c r="G3147" s="69" t="str">
        <f t="shared" si="49"/>
        <v>ERROR</v>
      </c>
    </row>
    <row r="3148" spans="7:7">
      <c r="G3148" s="69" t="str">
        <f t="shared" si="49"/>
        <v>ERROR</v>
      </c>
    </row>
    <row r="3149" spans="7:7">
      <c r="G3149" s="69" t="str">
        <f t="shared" si="49"/>
        <v>ERROR</v>
      </c>
    </row>
    <row r="3150" spans="7:7">
      <c r="G3150" s="69" t="str">
        <f t="shared" si="49"/>
        <v>ERROR</v>
      </c>
    </row>
    <row r="3151" spans="7:7">
      <c r="G3151" s="69" t="str">
        <f t="shared" si="49"/>
        <v>ERROR</v>
      </c>
    </row>
    <row r="3152" spans="7:7">
      <c r="G3152" s="69" t="str">
        <f t="shared" si="49"/>
        <v>ERROR</v>
      </c>
    </row>
    <row r="3153" spans="7:7">
      <c r="G3153" s="69" t="str">
        <f t="shared" si="49"/>
        <v>ERROR</v>
      </c>
    </row>
    <row r="3154" spans="7:7">
      <c r="G3154" s="69" t="str">
        <f t="shared" si="49"/>
        <v>ERROR</v>
      </c>
    </row>
    <row r="3155" spans="7:7">
      <c r="G3155" s="69" t="str">
        <f t="shared" si="49"/>
        <v>ERROR</v>
      </c>
    </row>
    <row r="3156" spans="7:7">
      <c r="G3156" s="69" t="str">
        <f t="shared" si="49"/>
        <v>ERROR</v>
      </c>
    </row>
    <row r="3157" spans="7:7">
      <c r="G3157" s="69" t="str">
        <f t="shared" si="49"/>
        <v>ERROR</v>
      </c>
    </row>
    <row r="3158" spans="7:7">
      <c r="G3158" s="69" t="str">
        <f t="shared" si="49"/>
        <v>ERROR</v>
      </c>
    </row>
    <row r="3159" spans="7:7">
      <c r="G3159" s="69" t="str">
        <f t="shared" si="49"/>
        <v>ERROR</v>
      </c>
    </row>
    <row r="3160" spans="7:7">
      <c r="G3160" s="69" t="str">
        <f t="shared" si="49"/>
        <v>ERROR</v>
      </c>
    </row>
    <row r="3161" spans="7:7">
      <c r="G3161" s="69" t="str">
        <f t="shared" si="49"/>
        <v>ERROR</v>
      </c>
    </row>
    <row r="3162" spans="7:7">
      <c r="G3162" s="69" t="str">
        <f t="shared" si="49"/>
        <v>ERROR</v>
      </c>
    </row>
    <row r="3163" spans="7:7">
      <c r="G3163" s="69" t="str">
        <f t="shared" si="49"/>
        <v>ERROR</v>
      </c>
    </row>
    <row r="3164" spans="7:7">
      <c r="G3164" s="69" t="str">
        <f t="shared" si="49"/>
        <v>ERROR</v>
      </c>
    </row>
    <row r="3165" spans="7:7">
      <c r="G3165" s="69" t="str">
        <f t="shared" si="49"/>
        <v>ERROR</v>
      </c>
    </row>
    <row r="3166" spans="7:7">
      <c r="G3166" s="69" t="str">
        <f t="shared" si="49"/>
        <v>ERROR</v>
      </c>
    </row>
    <row r="3167" spans="7:7">
      <c r="G3167" s="69" t="str">
        <f t="shared" si="49"/>
        <v>ERROR</v>
      </c>
    </row>
    <row r="3168" spans="7:7">
      <c r="G3168" s="69" t="str">
        <f t="shared" si="49"/>
        <v>ERROR</v>
      </c>
    </row>
    <row r="3169" spans="7:7">
      <c r="G3169" s="69" t="str">
        <f t="shared" si="49"/>
        <v>ERROR</v>
      </c>
    </row>
    <row r="3170" spans="7:7">
      <c r="G3170" s="69" t="str">
        <f t="shared" si="49"/>
        <v>ERROR</v>
      </c>
    </row>
    <row r="3171" spans="7:7">
      <c r="G3171" s="69" t="str">
        <f t="shared" si="49"/>
        <v>ERROR</v>
      </c>
    </row>
    <row r="3172" spans="7:7">
      <c r="G3172" s="69" t="str">
        <f t="shared" si="49"/>
        <v>ERROR</v>
      </c>
    </row>
    <row r="3173" spans="7:7">
      <c r="G3173" s="69" t="str">
        <f t="shared" si="49"/>
        <v>ERROR</v>
      </c>
    </row>
    <row r="3174" spans="7:7">
      <c r="G3174" s="69" t="str">
        <f t="shared" si="49"/>
        <v>ERROR</v>
      </c>
    </row>
    <row r="3175" spans="7:7">
      <c r="G3175" s="69" t="str">
        <f t="shared" si="49"/>
        <v>ERROR</v>
      </c>
    </row>
    <row r="3176" spans="7:7">
      <c r="G3176" s="69" t="str">
        <f t="shared" si="49"/>
        <v>ERROR</v>
      </c>
    </row>
    <row r="3177" spans="7:7">
      <c r="G3177" s="69" t="str">
        <f t="shared" si="49"/>
        <v>ERROR</v>
      </c>
    </row>
    <row r="3178" spans="7:7">
      <c r="G3178" s="69" t="str">
        <f t="shared" si="49"/>
        <v>ERROR</v>
      </c>
    </row>
    <row r="3179" spans="7:7">
      <c r="G3179" s="69" t="str">
        <f t="shared" si="49"/>
        <v>ERROR</v>
      </c>
    </row>
    <row r="3180" spans="7:7">
      <c r="G3180" s="69" t="str">
        <f t="shared" si="49"/>
        <v>ERROR</v>
      </c>
    </row>
    <row r="3181" spans="7:7">
      <c r="G3181" s="69" t="str">
        <f t="shared" si="49"/>
        <v>ERROR</v>
      </c>
    </row>
    <row r="3182" spans="7:7">
      <c r="G3182" s="69" t="str">
        <f t="shared" si="49"/>
        <v>ERROR</v>
      </c>
    </row>
    <row r="3183" spans="7:7">
      <c r="G3183" s="69" t="str">
        <f t="shared" si="49"/>
        <v>ERROR</v>
      </c>
    </row>
    <row r="3184" spans="7:7">
      <c r="G3184" s="69" t="str">
        <f t="shared" si="49"/>
        <v>ERROR</v>
      </c>
    </row>
    <row r="3185" spans="7:7">
      <c r="G3185" s="69" t="str">
        <f t="shared" si="49"/>
        <v>ERROR</v>
      </c>
    </row>
    <row r="3186" spans="7:7">
      <c r="G3186" s="69" t="str">
        <f t="shared" si="49"/>
        <v>ERROR</v>
      </c>
    </row>
    <row r="3187" spans="7:7">
      <c r="G3187" s="69" t="str">
        <f t="shared" si="49"/>
        <v>ERROR</v>
      </c>
    </row>
    <row r="3188" spans="7:7">
      <c r="G3188" s="69" t="str">
        <f t="shared" si="49"/>
        <v>ERROR</v>
      </c>
    </row>
    <row r="3189" spans="7:7">
      <c r="G3189" s="69" t="str">
        <f t="shared" si="49"/>
        <v>ERROR</v>
      </c>
    </row>
    <row r="3190" spans="7:7">
      <c r="G3190" s="69" t="str">
        <f t="shared" si="49"/>
        <v>ERROR</v>
      </c>
    </row>
    <row r="3191" spans="7:7">
      <c r="G3191" s="69" t="str">
        <f t="shared" si="49"/>
        <v>ERROR</v>
      </c>
    </row>
    <row r="3192" spans="7:7">
      <c r="G3192" s="69" t="str">
        <f t="shared" si="49"/>
        <v>ERROR</v>
      </c>
    </row>
    <row r="3193" spans="7:7">
      <c r="G3193" s="69" t="str">
        <f t="shared" si="49"/>
        <v>ERROR</v>
      </c>
    </row>
    <row r="3194" spans="7:7">
      <c r="G3194" s="69" t="str">
        <f t="shared" si="49"/>
        <v>ERROR</v>
      </c>
    </row>
    <row r="3195" spans="7:7">
      <c r="G3195" s="69" t="str">
        <f t="shared" si="49"/>
        <v>ERROR</v>
      </c>
    </row>
    <row r="3196" spans="7:7">
      <c r="G3196" s="69" t="str">
        <f t="shared" si="49"/>
        <v>ERROR</v>
      </c>
    </row>
    <row r="3197" spans="7:7">
      <c r="G3197" s="69" t="str">
        <f t="shared" si="49"/>
        <v>ERROR</v>
      </c>
    </row>
    <row r="3198" spans="7:7">
      <c r="G3198" s="69" t="str">
        <f t="shared" si="49"/>
        <v>ERROR</v>
      </c>
    </row>
    <row r="3199" spans="7:7">
      <c r="G3199" s="69" t="str">
        <f t="shared" si="49"/>
        <v>ERROR</v>
      </c>
    </row>
    <row r="3200" spans="7:7">
      <c r="G3200" s="69" t="str">
        <f t="shared" si="49"/>
        <v>ERROR</v>
      </c>
    </row>
    <row r="3201" spans="7:7">
      <c r="G3201" s="69" t="str">
        <f t="shared" si="49"/>
        <v>ERROR</v>
      </c>
    </row>
    <row r="3202" spans="7:7">
      <c r="G3202" s="69" t="str">
        <f t="shared" ref="G3202:G3265" si="50">IF(V3202&gt;0,IF(W3202&gt;0,"Both","E-Commerce"),IF(W3202=0, "ERROR","User Registration"))</f>
        <v>ERROR</v>
      </c>
    </row>
    <row r="3203" spans="7:7">
      <c r="G3203" s="69" t="str">
        <f t="shared" si="50"/>
        <v>ERROR</v>
      </c>
    </row>
    <row r="3204" spans="7:7">
      <c r="G3204" s="69" t="str">
        <f t="shared" si="50"/>
        <v>ERROR</v>
      </c>
    </row>
    <row r="3205" spans="7:7">
      <c r="G3205" s="69" t="str">
        <f t="shared" si="50"/>
        <v>ERROR</v>
      </c>
    </row>
    <row r="3206" spans="7:7">
      <c r="G3206" s="69" t="str">
        <f t="shared" si="50"/>
        <v>ERROR</v>
      </c>
    </row>
    <row r="3207" spans="7:7">
      <c r="G3207" s="69" t="str">
        <f t="shared" si="50"/>
        <v>ERROR</v>
      </c>
    </row>
    <row r="3208" spans="7:7">
      <c r="G3208" s="69" t="str">
        <f t="shared" si="50"/>
        <v>ERROR</v>
      </c>
    </row>
    <row r="3209" spans="7:7">
      <c r="G3209" s="69" t="str">
        <f t="shared" si="50"/>
        <v>ERROR</v>
      </c>
    </row>
    <row r="3210" spans="7:7">
      <c r="G3210" s="69" t="str">
        <f t="shared" si="50"/>
        <v>ERROR</v>
      </c>
    </row>
    <row r="3211" spans="7:7">
      <c r="G3211" s="69" t="str">
        <f t="shared" si="50"/>
        <v>ERROR</v>
      </c>
    </row>
    <row r="3212" spans="7:7">
      <c r="G3212" s="69" t="str">
        <f t="shared" si="50"/>
        <v>ERROR</v>
      </c>
    </row>
    <row r="3213" spans="7:7">
      <c r="G3213" s="69" t="str">
        <f t="shared" si="50"/>
        <v>ERROR</v>
      </c>
    </row>
    <row r="3214" spans="7:7">
      <c r="G3214" s="69" t="str">
        <f t="shared" si="50"/>
        <v>ERROR</v>
      </c>
    </row>
    <row r="3215" spans="7:7">
      <c r="G3215" s="69" t="str">
        <f t="shared" si="50"/>
        <v>ERROR</v>
      </c>
    </row>
    <row r="3216" spans="7:7">
      <c r="G3216" s="69" t="str">
        <f t="shared" si="50"/>
        <v>ERROR</v>
      </c>
    </row>
    <row r="3217" spans="7:7">
      <c r="G3217" s="69" t="str">
        <f t="shared" si="50"/>
        <v>ERROR</v>
      </c>
    </row>
    <row r="3218" spans="7:7">
      <c r="G3218" s="69" t="str">
        <f t="shared" si="50"/>
        <v>ERROR</v>
      </c>
    </row>
    <row r="3219" spans="7:7">
      <c r="G3219" s="69" t="str">
        <f t="shared" si="50"/>
        <v>ERROR</v>
      </c>
    </row>
    <row r="3220" spans="7:7">
      <c r="G3220" s="69" t="str">
        <f t="shared" si="50"/>
        <v>ERROR</v>
      </c>
    </row>
    <row r="3221" spans="7:7">
      <c r="G3221" s="69" t="str">
        <f t="shared" si="50"/>
        <v>ERROR</v>
      </c>
    </row>
    <row r="3222" spans="7:7">
      <c r="G3222" s="69" t="str">
        <f t="shared" si="50"/>
        <v>ERROR</v>
      </c>
    </row>
    <row r="3223" spans="7:7">
      <c r="G3223" s="69" t="str">
        <f t="shared" si="50"/>
        <v>ERROR</v>
      </c>
    </row>
    <row r="3224" spans="7:7">
      <c r="G3224" s="69" t="str">
        <f t="shared" si="50"/>
        <v>ERROR</v>
      </c>
    </row>
    <row r="3225" spans="7:7">
      <c r="G3225" s="69" t="str">
        <f t="shared" si="50"/>
        <v>ERROR</v>
      </c>
    </row>
    <row r="3226" spans="7:7">
      <c r="G3226" s="69" t="str">
        <f t="shared" si="50"/>
        <v>ERROR</v>
      </c>
    </row>
    <row r="3227" spans="7:7">
      <c r="G3227" s="69" t="str">
        <f t="shared" si="50"/>
        <v>ERROR</v>
      </c>
    </row>
    <row r="3228" spans="7:7">
      <c r="G3228" s="69" t="str">
        <f t="shared" si="50"/>
        <v>ERROR</v>
      </c>
    </row>
    <row r="3229" spans="7:7">
      <c r="G3229" s="69" t="str">
        <f t="shared" si="50"/>
        <v>ERROR</v>
      </c>
    </row>
    <row r="3230" spans="7:7">
      <c r="G3230" s="69" t="str">
        <f t="shared" si="50"/>
        <v>ERROR</v>
      </c>
    </row>
    <row r="3231" spans="7:7">
      <c r="G3231" s="69" t="str">
        <f t="shared" si="50"/>
        <v>ERROR</v>
      </c>
    </row>
    <row r="3232" spans="7:7">
      <c r="G3232" s="69" t="str">
        <f t="shared" si="50"/>
        <v>ERROR</v>
      </c>
    </row>
    <row r="3233" spans="7:7">
      <c r="G3233" s="69" t="str">
        <f t="shared" si="50"/>
        <v>ERROR</v>
      </c>
    </row>
    <row r="3234" spans="7:7">
      <c r="G3234" s="69" t="str">
        <f t="shared" si="50"/>
        <v>ERROR</v>
      </c>
    </row>
    <row r="3235" spans="7:7">
      <c r="G3235" s="69" t="str">
        <f t="shared" si="50"/>
        <v>ERROR</v>
      </c>
    </row>
    <row r="3236" spans="7:7">
      <c r="G3236" s="69" t="str">
        <f t="shared" si="50"/>
        <v>ERROR</v>
      </c>
    </row>
    <row r="3237" spans="7:7">
      <c r="G3237" s="69" t="str">
        <f t="shared" si="50"/>
        <v>ERROR</v>
      </c>
    </row>
    <row r="3238" spans="7:7">
      <c r="G3238" s="69" t="str">
        <f t="shared" si="50"/>
        <v>ERROR</v>
      </c>
    </row>
    <row r="3239" spans="7:7">
      <c r="G3239" s="69" t="str">
        <f t="shared" si="50"/>
        <v>ERROR</v>
      </c>
    </row>
    <row r="3240" spans="7:7">
      <c r="G3240" s="69" t="str">
        <f t="shared" si="50"/>
        <v>ERROR</v>
      </c>
    </row>
    <row r="3241" spans="7:7">
      <c r="G3241" s="69" t="str">
        <f t="shared" si="50"/>
        <v>ERROR</v>
      </c>
    </row>
    <row r="3242" spans="7:7">
      <c r="G3242" s="69" t="str">
        <f t="shared" si="50"/>
        <v>ERROR</v>
      </c>
    </row>
    <row r="3243" spans="7:7">
      <c r="G3243" s="69" t="str">
        <f t="shared" si="50"/>
        <v>ERROR</v>
      </c>
    </row>
    <row r="3244" spans="7:7">
      <c r="G3244" s="69" t="str">
        <f t="shared" si="50"/>
        <v>ERROR</v>
      </c>
    </row>
    <row r="3245" spans="7:7">
      <c r="G3245" s="69" t="str">
        <f t="shared" si="50"/>
        <v>ERROR</v>
      </c>
    </row>
    <row r="3246" spans="7:7">
      <c r="G3246" s="69" t="str">
        <f t="shared" si="50"/>
        <v>ERROR</v>
      </c>
    </row>
    <row r="3247" spans="7:7">
      <c r="G3247" s="69" t="str">
        <f t="shared" si="50"/>
        <v>ERROR</v>
      </c>
    </row>
    <row r="3248" spans="7:7">
      <c r="G3248" s="69" t="str">
        <f t="shared" si="50"/>
        <v>ERROR</v>
      </c>
    </row>
    <row r="3249" spans="7:7">
      <c r="G3249" s="69" t="str">
        <f t="shared" si="50"/>
        <v>ERROR</v>
      </c>
    </row>
    <row r="3250" spans="7:7">
      <c r="G3250" s="69" t="str">
        <f t="shared" si="50"/>
        <v>ERROR</v>
      </c>
    </row>
    <row r="3251" spans="7:7">
      <c r="G3251" s="69" t="str">
        <f t="shared" si="50"/>
        <v>ERROR</v>
      </c>
    </row>
    <row r="3252" spans="7:7">
      <c r="G3252" s="69" t="str">
        <f t="shared" si="50"/>
        <v>ERROR</v>
      </c>
    </row>
    <row r="3253" spans="7:7">
      <c r="G3253" s="69" t="str">
        <f t="shared" si="50"/>
        <v>ERROR</v>
      </c>
    </row>
    <row r="3254" spans="7:7">
      <c r="G3254" s="69" t="str">
        <f t="shared" si="50"/>
        <v>ERROR</v>
      </c>
    </row>
    <row r="3255" spans="7:7">
      <c r="G3255" s="69" t="str">
        <f t="shared" si="50"/>
        <v>ERROR</v>
      </c>
    </row>
    <row r="3256" spans="7:7">
      <c r="G3256" s="69" t="str">
        <f t="shared" si="50"/>
        <v>ERROR</v>
      </c>
    </row>
    <row r="3257" spans="7:7">
      <c r="G3257" s="69" t="str">
        <f t="shared" si="50"/>
        <v>ERROR</v>
      </c>
    </row>
    <row r="3258" spans="7:7">
      <c r="G3258" s="69" t="str">
        <f t="shared" si="50"/>
        <v>ERROR</v>
      </c>
    </row>
    <row r="3259" spans="7:7">
      <c r="G3259" s="69" t="str">
        <f t="shared" si="50"/>
        <v>ERROR</v>
      </c>
    </row>
    <row r="3260" spans="7:7">
      <c r="G3260" s="69" t="str">
        <f t="shared" si="50"/>
        <v>ERROR</v>
      </c>
    </row>
    <row r="3261" spans="7:7">
      <c r="G3261" s="69" t="str">
        <f t="shared" si="50"/>
        <v>ERROR</v>
      </c>
    </row>
    <row r="3262" spans="7:7">
      <c r="G3262" s="69" t="str">
        <f t="shared" si="50"/>
        <v>ERROR</v>
      </c>
    </row>
    <row r="3263" spans="7:7">
      <c r="G3263" s="69" t="str">
        <f t="shared" si="50"/>
        <v>ERROR</v>
      </c>
    </row>
    <row r="3264" spans="7:7">
      <c r="G3264" s="69" t="str">
        <f t="shared" si="50"/>
        <v>ERROR</v>
      </c>
    </row>
    <row r="3265" spans="7:7">
      <c r="G3265" s="69" t="str">
        <f t="shared" si="50"/>
        <v>ERROR</v>
      </c>
    </row>
    <row r="3266" spans="7:7">
      <c r="G3266" s="69" t="str">
        <f t="shared" ref="G3266:G3329" si="51">IF(V3266&gt;0,IF(W3266&gt;0,"Both","E-Commerce"),IF(W3266=0, "ERROR","User Registration"))</f>
        <v>ERROR</v>
      </c>
    </row>
    <row r="3267" spans="7:7">
      <c r="G3267" s="69" t="str">
        <f t="shared" si="51"/>
        <v>ERROR</v>
      </c>
    </row>
    <row r="3268" spans="7:7">
      <c r="G3268" s="69" t="str">
        <f t="shared" si="51"/>
        <v>ERROR</v>
      </c>
    </row>
    <row r="3269" spans="7:7">
      <c r="G3269" s="69" t="str">
        <f t="shared" si="51"/>
        <v>ERROR</v>
      </c>
    </row>
    <row r="3270" spans="7:7">
      <c r="G3270" s="69" t="str">
        <f t="shared" si="51"/>
        <v>ERROR</v>
      </c>
    </row>
    <row r="3271" spans="7:7">
      <c r="G3271" s="69" t="str">
        <f t="shared" si="51"/>
        <v>ERROR</v>
      </c>
    </row>
    <row r="3272" spans="7:7">
      <c r="G3272" s="69" t="str">
        <f t="shared" si="51"/>
        <v>ERROR</v>
      </c>
    </row>
    <row r="3273" spans="7:7">
      <c r="G3273" s="69" t="str">
        <f t="shared" si="51"/>
        <v>ERROR</v>
      </c>
    </row>
    <row r="3274" spans="7:7">
      <c r="G3274" s="69" t="str">
        <f t="shared" si="51"/>
        <v>ERROR</v>
      </c>
    </row>
    <row r="3275" spans="7:7">
      <c r="G3275" s="69" t="str">
        <f t="shared" si="51"/>
        <v>ERROR</v>
      </c>
    </row>
    <row r="3276" spans="7:7">
      <c r="G3276" s="69" t="str">
        <f t="shared" si="51"/>
        <v>ERROR</v>
      </c>
    </row>
    <row r="3277" spans="7:7">
      <c r="G3277" s="69" t="str">
        <f t="shared" si="51"/>
        <v>ERROR</v>
      </c>
    </row>
    <row r="3278" spans="7:7">
      <c r="G3278" s="69" t="str">
        <f t="shared" si="51"/>
        <v>ERROR</v>
      </c>
    </row>
    <row r="3279" spans="7:7">
      <c r="G3279" s="69" t="str">
        <f t="shared" si="51"/>
        <v>ERROR</v>
      </c>
    </row>
    <row r="3280" spans="7:7">
      <c r="G3280" s="69" t="str">
        <f t="shared" si="51"/>
        <v>ERROR</v>
      </c>
    </row>
    <row r="3281" spans="7:7">
      <c r="G3281" s="69" t="str">
        <f t="shared" si="51"/>
        <v>ERROR</v>
      </c>
    </row>
    <row r="3282" spans="7:7">
      <c r="G3282" s="69" t="str">
        <f t="shared" si="51"/>
        <v>ERROR</v>
      </c>
    </row>
    <row r="3283" spans="7:7">
      <c r="G3283" s="69" t="str">
        <f t="shared" si="51"/>
        <v>ERROR</v>
      </c>
    </row>
    <row r="3284" spans="7:7">
      <c r="G3284" s="69" t="str">
        <f t="shared" si="51"/>
        <v>ERROR</v>
      </c>
    </row>
    <row r="3285" spans="7:7">
      <c r="G3285" s="69" t="str">
        <f t="shared" si="51"/>
        <v>ERROR</v>
      </c>
    </row>
    <row r="3286" spans="7:7">
      <c r="G3286" s="69" t="str">
        <f t="shared" si="51"/>
        <v>ERROR</v>
      </c>
    </row>
    <row r="3287" spans="7:7">
      <c r="G3287" s="69" t="str">
        <f t="shared" si="51"/>
        <v>ERROR</v>
      </c>
    </row>
    <row r="3288" spans="7:7">
      <c r="G3288" s="69" t="str">
        <f t="shared" si="51"/>
        <v>ERROR</v>
      </c>
    </row>
    <row r="3289" spans="7:7">
      <c r="G3289" s="69" t="str">
        <f t="shared" si="51"/>
        <v>ERROR</v>
      </c>
    </row>
    <row r="3290" spans="7:7">
      <c r="G3290" s="69" t="str">
        <f t="shared" si="51"/>
        <v>ERROR</v>
      </c>
    </row>
    <row r="3291" spans="7:7">
      <c r="G3291" s="69" t="str">
        <f t="shared" si="51"/>
        <v>ERROR</v>
      </c>
    </row>
    <row r="3292" spans="7:7">
      <c r="G3292" s="69" t="str">
        <f t="shared" si="51"/>
        <v>ERROR</v>
      </c>
    </row>
    <row r="3293" spans="7:7">
      <c r="G3293" s="69" t="str">
        <f t="shared" si="51"/>
        <v>ERROR</v>
      </c>
    </row>
    <row r="3294" spans="7:7">
      <c r="G3294" s="69" t="str">
        <f t="shared" si="51"/>
        <v>ERROR</v>
      </c>
    </row>
    <row r="3295" spans="7:7">
      <c r="G3295" s="69" t="str">
        <f t="shared" si="51"/>
        <v>ERROR</v>
      </c>
    </row>
    <row r="3296" spans="7:7">
      <c r="G3296" s="69" t="str">
        <f t="shared" si="51"/>
        <v>ERROR</v>
      </c>
    </row>
    <row r="3297" spans="7:7">
      <c r="G3297" s="69" t="str">
        <f t="shared" si="51"/>
        <v>ERROR</v>
      </c>
    </row>
    <row r="3298" spans="7:7">
      <c r="G3298" s="69" t="str">
        <f t="shared" si="51"/>
        <v>ERROR</v>
      </c>
    </row>
    <row r="3299" spans="7:7">
      <c r="G3299" s="69" t="str">
        <f t="shared" si="51"/>
        <v>ERROR</v>
      </c>
    </row>
    <row r="3300" spans="7:7">
      <c r="G3300" s="69" t="str">
        <f t="shared" si="51"/>
        <v>ERROR</v>
      </c>
    </row>
    <row r="3301" spans="7:7">
      <c r="G3301" s="69" t="str">
        <f t="shared" si="51"/>
        <v>ERROR</v>
      </c>
    </row>
    <row r="3302" spans="7:7">
      <c r="G3302" s="69" t="str">
        <f t="shared" si="51"/>
        <v>ERROR</v>
      </c>
    </row>
    <row r="3303" spans="7:7">
      <c r="G3303" s="69" t="str">
        <f t="shared" si="51"/>
        <v>ERROR</v>
      </c>
    </row>
    <row r="3304" spans="7:7">
      <c r="G3304" s="69" t="str">
        <f t="shared" si="51"/>
        <v>ERROR</v>
      </c>
    </row>
    <row r="3305" spans="7:7">
      <c r="G3305" s="69" t="str">
        <f t="shared" si="51"/>
        <v>ERROR</v>
      </c>
    </row>
    <row r="3306" spans="7:7">
      <c r="G3306" s="69" t="str">
        <f t="shared" si="51"/>
        <v>ERROR</v>
      </c>
    </row>
    <row r="3307" spans="7:7">
      <c r="G3307" s="69" t="str">
        <f t="shared" si="51"/>
        <v>ERROR</v>
      </c>
    </row>
    <row r="3308" spans="7:7">
      <c r="G3308" s="69" t="str">
        <f t="shared" si="51"/>
        <v>ERROR</v>
      </c>
    </row>
    <row r="3309" spans="7:7">
      <c r="G3309" s="69" t="str">
        <f t="shared" si="51"/>
        <v>ERROR</v>
      </c>
    </row>
    <row r="3310" spans="7:7">
      <c r="G3310" s="69" t="str">
        <f t="shared" si="51"/>
        <v>ERROR</v>
      </c>
    </row>
    <row r="3311" spans="7:7">
      <c r="G3311" s="69" t="str">
        <f t="shared" si="51"/>
        <v>ERROR</v>
      </c>
    </row>
    <row r="3312" spans="7:7">
      <c r="G3312" s="69" t="str">
        <f t="shared" si="51"/>
        <v>ERROR</v>
      </c>
    </row>
    <row r="3313" spans="7:7">
      <c r="G3313" s="69" t="str">
        <f t="shared" si="51"/>
        <v>ERROR</v>
      </c>
    </row>
    <row r="3314" spans="7:7">
      <c r="G3314" s="69" t="str">
        <f t="shared" si="51"/>
        <v>ERROR</v>
      </c>
    </row>
    <row r="3315" spans="7:7">
      <c r="G3315" s="69" t="str">
        <f t="shared" si="51"/>
        <v>ERROR</v>
      </c>
    </row>
    <row r="3316" spans="7:7">
      <c r="G3316" s="69" t="str">
        <f t="shared" si="51"/>
        <v>ERROR</v>
      </c>
    </row>
    <row r="3317" spans="7:7">
      <c r="G3317" s="69" t="str">
        <f t="shared" si="51"/>
        <v>ERROR</v>
      </c>
    </row>
    <row r="3318" spans="7:7">
      <c r="G3318" s="69" t="str">
        <f t="shared" si="51"/>
        <v>ERROR</v>
      </c>
    </row>
    <row r="3319" spans="7:7">
      <c r="G3319" s="69" t="str">
        <f t="shared" si="51"/>
        <v>ERROR</v>
      </c>
    </row>
    <row r="3320" spans="7:7">
      <c r="G3320" s="69" t="str">
        <f t="shared" si="51"/>
        <v>ERROR</v>
      </c>
    </row>
    <row r="3321" spans="7:7">
      <c r="G3321" s="69" t="str">
        <f t="shared" si="51"/>
        <v>ERROR</v>
      </c>
    </row>
    <row r="3322" spans="7:7">
      <c r="G3322" s="69" t="str">
        <f t="shared" si="51"/>
        <v>ERROR</v>
      </c>
    </row>
    <row r="3323" spans="7:7">
      <c r="G3323" s="69" t="str">
        <f t="shared" si="51"/>
        <v>ERROR</v>
      </c>
    </row>
    <row r="3324" spans="7:7">
      <c r="G3324" s="69" t="str">
        <f t="shared" si="51"/>
        <v>ERROR</v>
      </c>
    </row>
    <row r="3325" spans="7:7">
      <c r="G3325" s="69" t="str">
        <f t="shared" si="51"/>
        <v>ERROR</v>
      </c>
    </row>
    <row r="3326" spans="7:7">
      <c r="G3326" s="69" t="str">
        <f t="shared" si="51"/>
        <v>ERROR</v>
      </c>
    </row>
    <row r="3327" spans="7:7">
      <c r="G3327" s="69" t="str">
        <f t="shared" si="51"/>
        <v>ERROR</v>
      </c>
    </row>
    <row r="3328" spans="7:7">
      <c r="G3328" s="69" t="str">
        <f t="shared" si="51"/>
        <v>ERROR</v>
      </c>
    </row>
    <row r="3329" spans="7:7">
      <c r="G3329" s="69" t="str">
        <f t="shared" si="51"/>
        <v>ERROR</v>
      </c>
    </row>
    <row r="3330" spans="7:7">
      <c r="G3330" s="69" t="str">
        <f t="shared" ref="G3330:G3339" si="52">IF(V3330&gt;0,IF(W3330&gt;0,"Both","E-Commerce"),IF(W3330=0, "ERROR","User Registration"))</f>
        <v>ERROR</v>
      </c>
    </row>
    <row r="3331" spans="7:7">
      <c r="G3331" s="69" t="str">
        <f t="shared" si="52"/>
        <v>ERROR</v>
      </c>
    </row>
    <row r="3332" spans="7:7">
      <c r="G3332" s="69" t="str">
        <f t="shared" si="52"/>
        <v>ERROR</v>
      </c>
    </row>
    <row r="3333" spans="7:7">
      <c r="G3333" s="69" t="str">
        <f t="shared" si="52"/>
        <v>ERROR</v>
      </c>
    </row>
    <row r="3334" spans="7:7">
      <c r="G3334" s="69" t="str">
        <f t="shared" si="52"/>
        <v>ERROR</v>
      </c>
    </row>
    <row r="3335" spans="7:7">
      <c r="G3335" s="69" t="str">
        <f t="shared" si="52"/>
        <v>ERROR</v>
      </c>
    </row>
    <row r="3336" spans="7:7">
      <c r="G3336" s="69" t="str">
        <f t="shared" si="52"/>
        <v>ERROR</v>
      </c>
    </row>
    <row r="3337" spans="7:7">
      <c r="G3337" s="69" t="str">
        <f t="shared" si="52"/>
        <v>ERROR</v>
      </c>
    </row>
    <row r="3338" spans="7:7">
      <c r="G3338" s="69" t="str">
        <f t="shared" si="52"/>
        <v>ERROR</v>
      </c>
    </row>
    <row r="3339" spans="7:7">
      <c r="G3339" s="69" t="str">
        <f t="shared" si="52"/>
        <v>ERROR</v>
      </c>
    </row>
  </sheetData>
  <autoFilter ref="A1:AE3339"/>
  <conditionalFormatting sqref="L192:Z196">
    <cfRule type="cellIs" dxfId="31" priority="1"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O258"/>
  <sheetViews>
    <sheetView zoomScaleNormal="100" workbookViewId="0">
      <pane xSplit="2" ySplit="5" topLeftCell="R76" activePane="bottomRight" state="frozen"/>
      <selection pane="topRight" activeCell="C1" sqref="C1"/>
      <selection pane="bottomLeft" activeCell="A6" sqref="A6"/>
      <selection pane="bottomRight" activeCell="Z90" sqref="Z90"/>
    </sheetView>
  </sheetViews>
  <sheetFormatPr defaultRowHeight="15"/>
  <cols>
    <col min="1" max="1" width="1.28515625" style="31" customWidth="1" collapsed="1"/>
    <col min="2" max="2" width="28.42578125" customWidth="1" collapsed="1"/>
    <col min="3" max="3" width="13.42578125" bestFit="1" customWidth="1" collapsed="1"/>
    <col min="4" max="7" width="11.28515625" customWidth="1" collapsed="1"/>
    <col min="8" max="17" width="11.28515625" style="69" customWidth="1" collapsed="1"/>
    <col min="18" max="22" width="11.28515625" customWidth="1" collapsed="1"/>
    <col min="23" max="23" width="5" style="38" customWidth="1" collapsed="1"/>
    <col min="24" max="24" width="3.85546875" style="39" customWidth="1" collapsed="1"/>
    <col min="25" max="37" width="8.7109375" customWidth="1" collapsed="1"/>
    <col min="38" max="38" width="3.42578125" customWidth="1" collapsed="1"/>
    <col min="39" max="39" width="27.42578125" customWidth="1" collapsed="1"/>
  </cols>
  <sheetData>
    <row r="1" spans="1:41">
      <c r="B1" s="180" t="s">
        <v>535</v>
      </c>
      <c r="C1" s="182" t="str">
        <f ca="1">INDIRECT("'TESTING v2'!B"&amp;COLUMN())</f>
        <v>CPhI</v>
      </c>
      <c r="D1" s="182" t="str">
        <f ca="1">INDIRECT("'TESTING v2'!B"&amp;COLUMN())</f>
        <v>Fi Global</v>
      </c>
      <c r="E1" s="182" t="str">
        <f t="shared" ref="E1:V1" ca="1" si="0">INDIRECT("'TESTING v2'!B"&amp;COLUMN())</f>
        <v>Sleep and Eat</v>
      </c>
      <c r="F1" s="182" t="str">
        <f t="shared" ca="1" si="0"/>
        <v>Decorex</v>
      </c>
      <c r="G1" s="182" t="str">
        <f t="shared" ca="1" si="0"/>
        <v>Slas Europe</v>
      </c>
      <c r="H1" s="182" t="str">
        <f t="shared" ca="1" si="0"/>
        <v>Africa's Big</v>
      </c>
      <c r="I1" s="182" t="str">
        <f t="shared" ca="1" si="0"/>
        <v>BLLA</v>
      </c>
      <c r="J1" s="182" t="str">
        <f t="shared" ca="1" si="0"/>
        <v>AIA</v>
      </c>
      <c r="K1" s="182">
        <f t="shared" ca="1" si="0"/>
        <v>0</v>
      </c>
      <c r="L1" s="182">
        <f t="shared" ca="1" si="0"/>
        <v>0</v>
      </c>
      <c r="M1" s="182">
        <f t="shared" ca="1" si="0"/>
        <v>0</v>
      </c>
      <c r="N1" s="182">
        <f t="shared" ca="1" si="0"/>
        <v>0</v>
      </c>
      <c r="O1" s="182">
        <f t="shared" ca="1" si="0"/>
        <v>0</v>
      </c>
      <c r="P1" s="182">
        <f t="shared" ca="1" si="0"/>
        <v>0</v>
      </c>
      <c r="Q1" s="182">
        <f t="shared" ca="1" si="0"/>
        <v>0</v>
      </c>
      <c r="R1" s="182">
        <f t="shared" ca="1" si="0"/>
        <v>0</v>
      </c>
      <c r="S1" s="182">
        <f t="shared" ca="1" si="0"/>
        <v>0</v>
      </c>
      <c r="T1" s="182">
        <f t="shared" ca="1" si="0"/>
        <v>0</v>
      </c>
      <c r="U1" s="182">
        <f t="shared" ca="1" si="0"/>
        <v>0</v>
      </c>
      <c r="V1" s="182">
        <f t="shared" ca="1" si="0"/>
        <v>0</v>
      </c>
      <c r="W1" s="200"/>
      <c r="X1" s="201"/>
      <c r="Y1" s="374" t="s">
        <v>112</v>
      </c>
      <c r="Z1" s="374"/>
      <c r="AA1" s="374"/>
      <c r="AB1" s="374"/>
      <c r="AC1" s="374"/>
      <c r="AD1" s="374"/>
      <c r="AE1" s="374"/>
      <c r="AF1" s="374"/>
      <c r="AG1" s="374"/>
      <c r="AH1" s="374"/>
      <c r="AI1" s="374"/>
      <c r="AJ1" s="374"/>
      <c r="AK1" s="374"/>
      <c r="AL1" s="179"/>
      <c r="AM1" s="69"/>
      <c r="AN1" s="69"/>
      <c r="AO1" s="69"/>
    </row>
    <row r="2" spans="1:41">
      <c r="B2" s="198" t="s">
        <v>532</v>
      </c>
      <c r="C2" s="85">
        <f ca="1">INDIRECT("'TESTING v2'!V"&amp;COLUMN())</f>
        <v>0</v>
      </c>
      <c r="D2" s="85">
        <f t="shared" ref="D2:V2" ca="1" si="1">INDIRECT("'TESTING v2'!V"&amp;COLUMN())</f>
        <v>0</v>
      </c>
      <c r="E2" s="85">
        <f t="shared" ca="1" si="1"/>
        <v>0</v>
      </c>
      <c r="F2" s="85">
        <f t="shared" ca="1" si="1"/>
        <v>0</v>
      </c>
      <c r="G2" s="85">
        <f t="shared" ca="1" si="1"/>
        <v>0</v>
      </c>
      <c r="H2" s="85">
        <f t="shared" ca="1" si="1"/>
        <v>0</v>
      </c>
      <c r="I2" s="85">
        <f t="shared" ca="1" si="1"/>
        <v>0</v>
      </c>
      <c r="J2" s="85">
        <f t="shared" ca="1" si="1"/>
        <v>0</v>
      </c>
      <c r="K2" s="85">
        <f t="shared" ca="1" si="1"/>
        <v>0</v>
      </c>
      <c r="L2" s="85">
        <f t="shared" ca="1" si="1"/>
        <v>0</v>
      </c>
      <c r="M2" s="85">
        <f t="shared" ca="1" si="1"/>
        <v>0</v>
      </c>
      <c r="N2" s="85">
        <f t="shared" ca="1" si="1"/>
        <v>0</v>
      </c>
      <c r="O2" s="85">
        <f t="shared" ca="1" si="1"/>
        <v>0</v>
      </c>
      <c r="P2" s="85">
        <f t="shared" ca="1" si="1"/>
        <v>0</v>
      </c>
      <c r="Q2" s="85">
        <f t="shared" ca="1" si="1"/>
        <v>0</v>
      </c>
      <c r="R2" s="85">
        <f t="shared" ca="1" si="1"/>
        <v>0</v>
      </c>
      <c r="S2" s="85">
        <f t="shared" ca="1" si="1"/>
        <v>0</v>
      </c>
      <c r="T2" s="85">
        <f t="shared" ca="1" si="1"/>
        <v>0</v>
      </c>
      <c r="U2" s="85">
        <f t="shared" ca="1" si="1"/>
        <v>0</v>
      </c>
      <c r="V2" s="85">
        <f t="shared" ca="1" si="1"/>
        <v>0</v>
      </c>
      <c r="W2" s="375" t="s">
        <v>0</v>
      </c>
      <c r="X2" s="375"/>
      <c r="Y2" s="376"/>
      <c r="Z2" s="1">
        <v>0</v>
      </c>
      <c r="AA2" s="1">
        <v>0</v>
      </c>
      <c r="AB2" s="1">
        <v>20</v>
      </c>
      <c r="AC2" s="1">
        <v>0</v>
      </c>
      <c r="AD2" s="1">
        <v>0</v>
      </c>
      <c r="AE2" s="1">
        <v>0</v>
      </c>
      <c r="AF2" s="1">
        <v>0</v>
      </c>
      <c r="AG2" s="1">
        <v>80</v>
      </c>
      <c r="AH2" s="1">
        <v>0</v>
      </c>
      <c r="AI2" s="1">
        <v>0</v>
      </c>
      <c r="AJ2" s="1">
        <v>0</v>
      </c>
      <c r="AK2" s="1">
        <v>0</v>
      </c>
      <c r="AL2" s="179"/>
      <c r="AM2" s="69"/>
      <c r="AN2" s="69"/>
      <c r="AO2" s="69"/>
    </row>
    <row r="3" spans="1:41">
      <c r="B3" s="198" t="s">
        <v>517</v>
      </c>
      <c r="C3" s="85">
        <f ca="1">INDIRECT("'TESTING v2'!W"&amp;COLUMN())</f>
        <v>4.3520000000000003E-2</v>
      </c>
      <c r="D3" s="85">
        <f t="shared" ref="D3:V3" ca="1" si="2">INDIRECT("'TESTING v2'!W"&amp;COLUMN())</f>
        <v>0</v>
      </c>
      <c r="E3" s="85">
        <f t="shared" ca="1" si="2"/>
        <v>0</v>
      </c>
      <c r="F3" s="85">
        <f t="shared" ca="1" si="2"/>
        <v>0</v>
      </c>
      <c r="G3" s="85">
        <f t="shared" ca="1" si="2"/>
        <v>0</v>
      </c>
      <c r="H3" s="85">
        <f t="shared" ca="1" si="2"/>
        <v>0</v>
      </c>
      <c r="I3" s="85">
        <f t="shared" ca="1" si="2"/>
        <v>0</v>
      </c>
      <c r="J3" s="85">
        <f t="shared" ca="1" si="2"/>
        <v>0</v>
      </c>
      <c r="K3" s="85">
        <f t="shared" ca="1" si="2"/>
        <v>0</v>
      </c>
      <c r="L3" s="85">
        <f t="shared" ca="1" si="2"/>
        <v>0</v>
      </c>
      <c r="M3" s="85">
        <f t="shared" ca="1" si="2"/>
        <v>0</v>
      </c>
      <c r="N3" s="85">
        <f t="shared" ca="1" si="2"/>
        <v>0</v>
      </c>
      <c r="O3" s="85">
        <f t="shared" ca="1" si="2"/>
        <v>0</v>
      </c>
      <c r="P3" s="85">
        <f t="shared" ca="1" si="2"/>
        <v>0</v>
      </c>
      <c r="Q3" s="85">
        <f t="shared" ca="1" si="2"/>
        <v>0</v>
      </c>
      <c r="R3" s="85">
        <f t="shared" ca="1" si="2"/>
        <v>0</v>
      </c>
      <c r="S3" s="85">
        <f t="shared" ca="1" si="2"/>
        <v>0</v>
      </c>
      <c r="T3" s="85">
        <f t="shared" ca="1" si="2"/>
        <v>0</v>
      </c>
      <c r="U3" s="85">
        <f t="shared" ca="1" si="2"/>
        <v>0</v>
      </c>
      <c r="V3" s="85">
        <f t="shared" ca="1" si="2"/>
        <v>0</v>
      </c>
      <c r="W3" s="377" t="s">
        <v>1</v>
      </c>
      <c r="X3" s="377"/>
      <c r="Y3" s="378"/>
      <c r="Z3" s="1">
        <v>50</v>
      </c>
      <c r="AA3" s="1">
        <v>40</v>
      </c>
      <c r="AB3" s="1">
        <v>20</v>
      </c>
      <c r="AC3" s="1">
        <v>50</v>
      </c>
      <c r="AD3" s="1">
        <v>40</v>
      </c>
      <c r="AE3" s="1">
        <v>0</v>
      </c>
      <c r="AF3" s="1">
        <v>0</v>
      </c>
      <c r="AG3" s="1">
        <v>0</v>
      </c>
      <c r="AH3" s="1">
        <v>0</v>
      </c>
      <c r="AI3" s="1">
        <v>0</v>
      </c>
      <c r="AJ3" s="1">
        <v>0</v>
      </c>
      <c r="AK3" s="1">
        <v>30</v>
      </c>
      <c r="AL3" s="179"/>
      <c r="AM3" s="69"/>
      <c r="AN3" s="69"/>
      <c r="AO3" s="69"/>
    </row>
    <row r="4" spans="1:41">
      <c r="B4" s="199" t="str">
        <f>INDEX('Industries v3'!C3:C27,MATCH('TESTING v1'!B3,'Industries v3'!B3:B27,0))</f>
        <v>E-Commerce</v>
      </c>
      <c r="C4" s="85">
        <f ca="1">INDIRECT("'TESTING v2'!X"&amp;COLUMN())</f>
        <v>0</v>
      </c>
      <c r="D4" s="85">
        <f t="shared" ref="D4:V4" ca="1" si="3">INDIRECT("'TESTING v2'!X"&amp;COLUMN())</f>
        <v>0</v>
      </c>
      <c r="E4" s="85">
        <f t="shared" ca="1" si="3"/>
        <v>0</v>
      </c>
      <c r="F4" s="85">
        <f t="shared" ca="1" si="3"/>
        <v>0</v>
      </c>
      <c r="G4" s="85">
        <f t="shared" ca="1" si="3"/>
        <v>0</v>
      </c>
      <c r="H4" s="85">
        <f t="shared" ca="1" si="3"/>
        <v>0</v>
      </c>
      <c r="I4" s="85">
        <f t="shared" ca="1" si="3"/>
        <v>0</v>
      </c>
      <c r="J4" s="85">
        <f t="shared" ca="1" si="3"/>
        <v>0</v>
      </c>
      <c r="K4" s="85">
        <f t="shared" ca="1" si="3"/>
        <v>0</v>
      </c>
      <c r="L4" s="85">
        <f t="shared" ca="1" si="3"/>
        <v>0</v>
      </c>
      <c r="M4" s="85">
        <f t="shared" ca="1" si="3"/>
        <v>0</v>
      </c>
      <c r="N4" s="85">
        <f t="shared" ca="1" si="3"/>
        <v>0</v>
      </c>
      <c r="O4" s="85">
        <f t="shared" ca="1" si="3"/>
        <v>0</v>
      </c>
      <c r="P4" s="85">
        <f t="shared" ca="1" si="3"/>
        <v>0</v>
      </c>
      <c r="Q4" s="85">
        <f t="shared" ca="1" si="3"/>
        <v>0</v>
      </c>
      <c r="R4" s="85">
        <f t="shared" ca="1" si="3"/>
        <v>0</v>
      </c>
      <c r="S4" s="85">
        <f t="shared" ca="1" si="3"/>
        <v>0</v>
      </c>
      <c r="T4" s="85">
        <f t="shared" ca="1" si="3"/>
        <v>0</v>
      </c>
      <c r="U4" s="85">
        <f t="shared" ca="1" si="3"/>
        <v>0</v>
      </c>
      <c r="V4" s="85">
        <f t="shared" ca="1" si="3"/>
        <v>0</v>
      </c>
      <c r="W4" s="375" t="s">
        <v>2</v>
      </c>
      <c r="X4" s="375"/>
      <c r="Y4" s="376"/>
      <c r="Z4" s="1">
        <v>0</v>
      </c>
      <c r="AA4" s="1">
        <v>0</v>
      </c>
      <c r="AB4" s="1">
        <v>0</v>
      </c>
      <c r="AC4" s="1">
        <v>0</v>
      </c>
      <c r="AD4" s="1">
        <v>0</v>
      </c>
      <c r="AE4" s="1">
        <v>100</v>
      </c>
      <c r="AF4" s="1">
        <v>0</v>
      </c>
      <c r="AG4" s="1">
        <v>0</v>
      </c>
      <c r="AH4" s="1">
        <v>100</v>
      </c>
      <c r="AI4" s="1">
        <v>0</v>
      </c>
      <c r="AJ4" s="1">
        <v>30</v>
      </c>
      <c r="AK4" s="1">
        <v>0</v>
      </c>
      <c r="AL4" s="179"/>
      <c r="AM4" s="69"/>
      <c r="AN4" s="69"/>
      <c r="AO4" s="69"/>
    </row>
    <row r="5" spans="1:41">
      <c r="B5" s="198" t="s">
        <v>537</v>
      </c>
      <c r="C5" s="85">
        <f ca="1">INDIRECT("'TESTING v2'!Y"&amp;COLUMN())</f>
        <v>1.536E-2</v>
      </c>
      <c r="D5" s="85">
        <f t="shared" ref="D5:V5" ca="1" si="4">INDIRECT("'TESTING v2'!Y"&amp;COLUMN())</f>
        <v>0</v>
      </c>
      <c r="E5" s="85">
        <f t="shared" ca="1" si="4"/>
        <v>0</v>
      </c>
      <c r="F5" s="85">
        <f t="shared" ca="1" si="4"/>
        <v>0</v>
      </c>
      <c r="G5" s="85">
        <f t="shared" ca="1" si="4"/>
        <v>0</v>
      </c>
      <c r="H5" s="85">
        <f t="shared" ca="1" si="4"/>
        <v>0</v>
      </c>
      <c r="I5" s="85">
        <f t="shared" ca="1" si="4"/>
        <v>0</v>
      </c>
      <c r="J5" s="85">
        <f t="shared" ca="1" si="4"/>
        <v>0</v>
      </c>
      <c r="K5" s="85">
        <f t="shared" ca="1" si="4"/>
        <v>0</v>
      </c>
      <c r="L5" s="85">
        <f t="shared" ca="1" si="4"/>
        <v>0</v>
      </c>
      <c r="M5" s="85">
        <f t="shared" ca="1" si="4"/>
        <v>0</v>
      </c>
      <c r="N5" s="85">
        <f t="shared" ca="1" si="4"/>
        <v>0</v>
      </c>
      <c r="O5" s="85">
        <f t="shared" ca="1" si="4"/>
        <v>0</v>
      </c>
      <c r="P5" s="85">
        <f t="shared" ca="1" si="4"/>
        <v>0</v>
      </c>
      <c r="Q5" s="85">
        <f t="shared" ca="1" si="4"/>
        <v>0</v>
      </c>
      <c r="R5" s="85">
        <f t="shared" ca="1" si="4"/>
        <v>0</v>
      </c>
      <c r="S5" s="85">
        <f t="shared" ca="1" si="4"/>
        <v>0</v>
      </c>
      <c r="T5" s="85">
        <f t="shared" ca="1" si="4"/>
        <v>0</v>
      </c>
      <c r="U5" s="85">
        <f t="shared" ca="1" si="4"/>
        <v>0</v>
      </c>
      <c r="V5" s="85">
        <f t="shared" ca="1" si="4"/>
        <v>0</v>
      </c>
      <c r="W5" s="375" t="s">
        <v>3</v>
      </c>
      <c r="X5" s="375"/>
      <c r="Y5" s="376"/>
      <c r="Z5" s="1">
        <v>20</v>
      </c>
      <c r="AA5" s="1">
        <v>10</v>
      </c>
      <c r="AB5" s="1">
        <v>30</v>
      </c>
      <c r="AC5" s="1">
        <v>0</v>
      </c>
      <c r="AD5" s="1">
        <v>10</v>
      </c>
      <c r="AE5" s="1">
        <v>0</v>
      </c>
      <c r="AF5" s="1">
        <v>100</v>
      </c>
      <c r="AG5" s="1">
        <v>0</v>
      </c>
      <c r="AH5" s="1">
        <v>0</v>
      </c>
      <c r="AI5" s="48">
        <v>0</v>
      </c>
      <c r="AJ5" s="48">
        <v>0</v>
      </c>
      <c r="AK5" s="48">
        <v>0</v>
      </c>
      <c r="AL5" s="179"/>
      <c r="AM5" s="69"/>
      <c r="AN5" s="69"/>
      <c r="AO5" s="69"/>
    </row>
    <row r="6" spans="1:41" s="9" customFormat="1" ht="8.4499999999999993" customHeight="1">
      <c r="B6" s="187"/>
      <c r="C6" s="188"/>
      <c r="D6" s="188"/>
      <c r="E6" s="188"/>
      <c r="F6" s="188"/>
      <c r="G6" s="188"/>
      <c r="H6" s="188"/>
      <c r="I6" s="188"/>
      <c r="J6" s="188"/>
      <c r="K6" s="188"/>
      <c r="L6" s="188"/>
      <c r="M6" s="188"/>
      <c r="N6" s="188"/>
      <c r="O6" s="188"/>
      <c r="P6" s="188"/>
      <c r="Q6" s="188"/>
      <c r="R6" s="188"/>
      <c r="S6" s="188"/>
      <c r="T6" s="188"/>
      <c r="U6" s="188"/>
      <c r="V6" s="188"/>
      <c r="W6" s="43"/>
      <c r="X6" s="40"/>
      <c r="Y6" s="189"/>
      <c r="Z6" s="190"/>
      <c r="AA6" s="190"/>
      <c r="AB6" s="190"/>
      <c r="AC6" s="190"/>
      <c r="AD6" s="190"/>
      <c r="AE6" s="190"/>
      <c r="AF6" s="190"/>
      <c r="AG6" s="190"/>
      <c r="AH6" s="190"/>
      <c r="AI6" s="191"/>
      <c r="AJ6" s="191"/>
      <c r="AK6" s="191"/>
    </row>
    <row r="7" spans="1:41">
      <c r="A7" s="29"/>
      <c r="B7" s="29"/>
      <c r="C7" s="29"/>
      <c r="D7" s="28"/>
      <c r="E7" s="28"/>
      <c r="F7" s="28"/>
      <c r="G7" s="28"/>
      <c r="H7" s="28"/>
      <c r="I7" s="28"/>
      <c r="J7" s="28"/>
      <c r="K7" s="28"/>
      <c r="L7" s="28"/>
      <c r="M7" s="28"/>
      <c r="N7" s="28"/>
      <c r="O7" s="28"/>
      <c r="P7" s="28"/>
      <c r="Q7" s="28"/>
      <c r="R7" s="28"/>
      <c r="S7" s="28"/>
      <c r="T7" s="28"/>
      <c r="U7" s="28"/>
      <c r="V7" s="28"/>
      <c r="Y7" s="2"/>
      <c r="Z7" s="3" t="s">
        <v>4</v>
      </c>
      <c r="AA7" s="3" t="s">
        <v>5</v>
      </c>
      <c r="AB7" s="3" t="s">
        <v>6</v>
      </c>
      <c r="AC7" s="3" t="s">
        <v>7</v>
      </c>
      <c r="AD7" s="3" t="s">
        <v>8</v>
      </c>
      <c r="AE7" s="4" t="s">
        <v>9</v>
      </c>
      <c r="AF7" s="3" t="s">
        <v>10</v>
      </c>
      <c r="AG7" s="3" t="s">
        <v>496</v>
      </c>
      <c r="AH7" s="3" t="s">
        <v>12</v>
      </c>
      <c r="AI7" s="3" t="s">
        <v>332</v>
      </c>
      <c r="AJ7" s="3" t="s">
        <v>13</v>
      </c>
      <c r="AK7" s="4" t="s">
        <v>84</v>
      </c>
      <c r="AL7" s="179"/>
      <c r="AM7" s="69"/>
      <c r="AN7" s="69"/>
      <c r="AO7" s="69"/>
    </row>
    <row r="8" spans="1:41">
      <c r="A8" s="181"/>
      <c r="B8" s="181"/>
      <c r="C8" s="181"/>
      <c r="D8" s="181"/>
      <c r="E8" s="181"/>
      <c r="F8" s="181"/>
      <c r="G8" s="181"/>
      <c r="H8" s="181"/>
      <c r="I8" s="181"/>
      <c r="J8" s="181"/>
      <c r="K8" s="181"/>
      <c r="L8" s="181"/>
      <c r="M8" s="181"/>
      <c r="N8" s="181"/>
      <c r="O8" s="181"/>
      <c r="P8" s="181"/>
      <c r="Q8" s="181"/>
      <c r="R8" s="181"/>
      <c r="S8" s="181"/>
      <c r="T8" s="181"/>
      <c r="U8" s="181"/>
      <c r="V8" s="181"/>
      <c r="W8" s="42"/>
      <c r="X8" s="41"/>
      <c r="Y8" s="27" t="s">
        <v>72</v>
      </c>
      <c r="Z8" s="5">
        <v>1</v>
      </c>
      <c r="AA8" s="5">
        <v>1</v>
      </c>
      <c r="AB8" s="5">
        <v>1</v>
      </c>
      <c r="AC8" s="5">
        <v>1</v>
      </c>
      <c r="AD8" s="5">
        <v>1</v>
      </c>
      <c r="AE8" s="5">
        <f>IF(B4="Website / Lead Gen",1,0)</f>
        <v>0</v>
      </c>
      <c r="AF8" s="5">
        <v>1</v>
      </c>
      <c r="AG8" s="5">
        <v>1</v>
      </c>
      <c r="AH8" s="5">
        <f>IF(B4="E-Commerce",1,0)</f>
        <v>1</v>
      </c>
      <c r="AI8" s="5">
        <v>0</v>
      </c>
      <c r="AJ8" s="5">
        <f>IF(B5="Yes E-referral",1,0)</f>
        <v>1</v>
      </c>
      <c r="AK8" s="5">
        <v>1</v>
      </c>
      <c r="AL8" s="179"/>
      <c r="AM8" s="69"/>
      <c r="AN8" s="69"/>
      <c r="AO8" s="69"/>
    </row>
    <row r="9" spans="1:41">
      <c r="A9" s="181"/>
      <c r="B9" s="181"/>
      <c r="C9" s="181"/>
      <c r="D9" s="181"/>
      <c r="E9" s="181"/>
      <c r="F9" s="181"/>
      <c r="G9" s="181"/>
      <c r="H9" s="181"/>
      <c r="I9" s="181"/>
      <c r="J9" s="181"/>
      <c r="K9" s="181"/>
      <c r="L9" s="181"/>
      <c r="M9" s="181"/>
      <c r="N9" s="181"/>
      <c r="O9" s="181"/>
      <c r="P9" s="181"/>
      <c r="Q9" s="181"/>
      <c r="R9" s="181"/>
      <c r="S9" s="181"/>
      <c r="T9" s="181"/>
      <c r="U9" s="181"/>
      <c r="V9" s="181"/>
      <c r="W9" s="42"/>
      <c r="X9" s="41"/>
      <c r="Y9" s="7" t="s">
        <v>0</v>
      </c>
      <c r="Z9" s="7" t="s">
        <v>1</v>
      </c>
      <c r="AA9" s="7" t="s">
        <v>2</v>
      </c>
      <c r="AB9" s="7" t="s">
        <v>3</v>
      </c>
    </row>
    <row r="10" spans="1:41">
      <c r="B10" s="23" t="s">
        <v>43</v>
      </c>
      <c r="C10" s="81">
        <f>SUMPRODUCT(C12:C29,$X$12:$X$29)/C31</f>
        <v>0</v>
      </c>
      <c r="D10" s="81">
        <f t="shared" ref="D10:V10" si="5">SUMPRODUCT(D12:D29,$X$12:$X$29)/D31</f>
        <v>0</v>
      </c>
      <c r="E10" s="81">
        <f t="shared" si="5"/>
        <v>0</v>
      </c>
      <c r="F10" s="81">
        <f t="shared" si="5"/>
        <v>0</v>
      </c>
      <c r="G10" s="81">
        <f t="shared" si="5"/>
        <v>0</v>
      </c>
      <c r="H10" s="81">
        <f t="shared" si="5"/>
        <v>0</v>
      </c>
      <c r="I10" s="81">
        <f t="shared" si="5"/>
        <v>0</v>
      </c>
      <c r="J10" s="81">
        <f t="shared" si="5"/>
        <v>0</v>
      </c>
      <c r="K10" s="81">
        <f t="shared" si="5"/>
        <v>0</v>
      </c>
      <c r="L10" s="81">
        <f t="shared" si="5"/>
        <v>0</v>
      </c>
      <c r="M10" s="81">
        <f t="shared" si="5"/>
        <v>0</v>
      </c>
      <c r="N10" s="81">
        <f t="shared" si="5"/>
        <v>0</v>
      </c>
      <c r="O10" s="81">
        <f t="shared" si="5"/>
        <v>0</v>
      </c>
      <c r="P10" s="81">
        <f t="shared" si="5"/>
        <v>0</v>
      </c>
      <c r="Q10" s="81">
        <f t="shared" si="5"/>
        <v>0</v>
      </c>
      <c r="R10" s="81">
        <f t="shared" si="5"/>
        <v>0</v>
      </c>
      <c r="S10" s="81">
        <f t="shared" si="5"/>
        <v>0</v>
      </c>
      <c r="T10" s="81">
        <f t="shared" si="5"/>
        <v>0</v>
      </c>
      <c r="U10" s="81">
        <f t="shared" si="5"/>
        <v>0</v>
      </c>
      <c r="V10" s="81">
        <f t="shared" si="5"/>
        <v>0</v>
      </c>
      <c r="W10" s="37"/>
      <c r="Y10" s="32"/>
      <c r="Z10" s="32"/>
      <c r="AA10" s="32"/>
      <c r="AB10" s="32"/>
    </row>
    <row r="11" spans="1:41">
      <c r="B11" s="35" t="s">
        <v>495</v>
      </c>
      <c r="C11" s="246">
        <f ca="1">INDIRECT("'TESTING v2'!Z"&amp;COLUMN())</f>
        <v>0</v>
      </c>
      <c r="D11" s="246">
        <f t="shared" ref="D11:V11" ca="1" si="6">INDIRECT("'TESTING v2'!Z"&amp;COLUMN())</f>
        <v>0</v>
      </c>
      <c r="E11" s="246">
        <f t="shared" ca="1" si="6"/>
        <v>0</v>
      </c>
      <c r="F11" s="246">
        <f t="shared" ca="1" si="6"/>
        <v>0</v>
      </c>
      <c r="G11" s="246">
        <f t="shared" ca="1" si="6"/>
        <v>0</v>
      </c>
      <c r="H11" s="246">
        <f t="shared" ca="1" si="6"/>
        <v>0</v>
      </c>
      <c r="I11" s="246">
        <f t="shared" ca="1" si="6"/>
        <v>0</v>
      </c>
      <c r="J11" s="246">
        <f t="shared" ca="1" si="6"/>
        <v>0</v>
      </c>
      <c r="K11" s="246">
        <f t="shared" ca="1" si="6"/>
        <v>0</v>
      </c>
      <c r="L11" s="246">
        <f t="shared" ca="1" si="6"/>
        <v>0</v>
      </c>
      <c r="M11" s="246">
        <f t="shared" ca="1" si="6"/>
        <v>0</v>
      </c>
      <c r="N11" s="246">
        <f t="shared" ca="1" si="6"/>
        <v>0</v>
      </c>
      <c r="O11" s="246">
        <f t="shared" ca="1" si="6"/>
        <v>0</v>
      </c>
      <c r="P11" s="246">
        <f t="shared" ca="1" si="6"/>
        <v>0</v>
      </c>
      <c r="Q11" s="246">
        <f t="shared" ca="1" si="6"/>
        <v>0</v>
      </c>
      <c r="R11" s="246">
        <f t="shared" ca="1" si="6"/>
        <v>0</v>
      </c>
      <c r="S11" s="246">
        <f t="shared" ca="1" si="6"/>
        <v>0</v>
      </c>
      <c r="T11" s="246">
        <f t="shared" ca="1" si="6"/>
        <v>0</v>
      </c>
      <c r="U11" s="246">
        <f t="shared" ca="1" si="6"/>
        <v>0</v>
      </c>
      <c r="V11" s="246">
        <f t="shared" ca="1" si="6"/>
        <v>0</v>
      </c>
      <c r="W11" s="67">
        <f ca="1">COUNTBLANK(C32:V35)</f>
        <v>0</v>
      </c>
      <c r="X11" s="39" t="s">
        <v>259</v>
      </c>
      <c r="Y11" s="6">
        <f>AG2*AG8</f>
        <v>80</v>
      </c>
      <c r="Z11" s="6">
        <f>AG3*AG8</f>
        <v>0</v>
      </c>
      <c r="AA11" s="6">
        <f>AG4*AG8</f>
        <v>0</v>
      </c>
      <c r="AB11" s="6">
        <f>AG5*AG8</f>
        <v>0</v>
      </c>
    </row>
    <row r="12" spans="1:41" s="69" customFormat="1">
      <c r="A12" s="31"/>
      <c r="B12" s="70" t="s">
        <v>625</v>
      </c>
      <c r="C12" s="77"/>
      <c r="D12" s="77"/>
      <c r="E12" s="77"/>
      <c r="F12" s="77"/>
      <c r="G12" s="77"/>
      <c r="H12" s="77"/>
      <c r="I12" s="77"/>
      <c r="J12" s="77"/>
      <c r="K12" s="77"/>
      <c r="L12" s="77"/>
      <c r="M12" s="77"/>
      <c r="N12" s="77"/>
      <c r="O12" s="77"/>
      <c r="P12" s="77"/>
      <c r="Q12" s="77"/>
      <c r="R12" s="77"/>
      <c r="S12" s="77"/>
      <c r="T12" s="77"/>
      <c r="U12" s="77"/>
      <c r="V12" s="77"/>
      <c r="W12" s="72">
        <f t="shared" ref="W12:W29" si="7">X12/SUM($X$12:$X$29)</f>
        <v>0.11320754716981132</v>
      </c>
      <c r="X12" s="39">
        <v>30</v>
      </c>
    </row>
    <row r="13" spans="1:41" s="69" customFormat="1">
      <c r="A13" s="31"/>
      <c r="B13" s="70" t="s">
        <v>626</v>
      </c>
      <c r="C13" s="77"/>
      <c r="D13" s="77"/>
      <c r="E13" s="77"/>
      <c r="F13" s="77"/>
      <c r="G13" s="77"/>
      <c r="H13" s="77"/>
      <c r="I13" s="77"/>
      <c r="J13" s="77"/>
      <c r="K13" s="77"/>
      <c r="L13" s="77"/>
      <c r="M13" s="77"/>
      <c r="N13" s="77"/>
      <c r="O13" s="77"/>
      <c r="P13" s="77"/>
      <c r="Q13" s="77"/>
      <c r="R13" s="77"/>
      <c r="S13" s="77"/>
      <c r="T13" s="77"/>
      <c r="U13" s="77"/>
      <c r="V13" s="77"/>
      <c r="W13" s="72">
        <f t="shared" si="7"/>
        <v>0.11320754716981132</v>
      </c>
      <c r="X13" s="39">
        <v>30</v>
      </c>
    </row>
    <row r="14" spans="1:41" s="69" customFormat="1">
      <c r="A14" s="31"/>
      <c r="B14" s="70" t="s">
        <v>627</v>
      </c>
      <c r="C14" s="77"/>
      <c r="D14" s="77"/>
      <c r="E14" s="77"/>
      <c r="F14" s="77"/>
      <c r="G14" s="77"/>
      <c r="H14" s="77"/>
      <c r="I14" s="77"/>
      <c r="J14" s="77"/>
      <c r="K14" s="77"/>
      <c r="L14" s="77"/>
      <c r="M14" s="77"/>
      <c r="N14" s="77"/>
      <c r="O14" s="77"/>
      <c r="P14" s="77"/>
      <c r="Q14" s="77"/>
      <c r="R14" s="77"/>
      <c r="S14" s="77"/>
      <c r="T14" s="77"/>
      <c r="U14" s="77"/>
      <c r="V14" s="77"/>
      <c r="W14" s="72">
        <f t="shared" si="7"/>
        <v>3.7735849056603772E-2</v>
      </c>
      <c r="X14" s="39">
        <v>10</v>
      </c>
    </row>
    <row r="15" spans="1:41" s="69" customFormat="1">
      <c r="A15" s="31"/>
      <c r="B15" s="70" t="s">
        <v>628</v>
      </c>
      <c r="C15" s="77"/>
      <c r="D15" s="77"/>
      <c r="E15" s="77"/>
      <c r="F15" s="77"/>
      <c r="G15" s="77"/>
      <c r="H15" s="77"/>
      <c r="I15" s="77"/>
      <c r="J15" s="77"/>
      <c r="K15" s="77"/>
      <c r="L15" s="77"/>
      <c r="M15" s="77"/>
      <c r="N15" s="77"/>
      <c r="O15" s="77"/>
      <c r="P15" s="77"/>
      <c r="Q15" s="77"/>
      <c r="R15" s="77"/>
      <c r="S15" s="77"/>
      <c r="T15" s="77"/>
      <c r="U15" s="77"/>
      <c r="V15" s="77"/>
      <c r="W15" s="72">
        <f t="shared" si="7"/>
        <v>0.11320754716981132</v>
      </c>
      <c r="X15" s="39">
        <v>30</v>
      </c>
    </row>
    <row r="16" spans="1:41" s="69" customFormat="1">
      <c r="A16" s="31"/>
      <c r="B16" s="70" t="s">
        <v>260</v>
      </c>
      <c r="C16" s="77"/>
      <c r="D16" s="77"/>
      <c r="E16" s="77"/>
      <c r="F16" s="77"/>
      <c r="G16" s="77"/>
      <c r="H16" s="77"/>
      <c r="I16" s="77"/>
      <c r="J16" s="77"/>
      <c r="K16" s="77"/>
      <c r="L16" s="77"/>
      <c r="M16" s="77"/>
      <c r="N16" s="77"/>
      <c r="O16" s="77"/>
      <c r="P16" s="77"/>
      <c r="Q16" s="77"/>
      <c r="R16" s="77"/>
      <c r="S16" s="77"/>
      <c r="T16" s="77"/>
      <c r="U16" s="77"/>
      <c r="V16" s="77"/>
      <c r="W16" s="72">
        <f t="shared" si="7"/>
        <v>3.7735849056603772E-2</v>
      </c>
      <c r="X16" s="39">
        <v>10</v>
      </c>
    </row>
    <row r="17" spans="1:27" s="69" customFormat="1">
      <c r="A17" s="31"/>
      <c r="B17" s="70" t="s">
        <v>653</v>
      </c>
      <c r="C17" s="77"/>
      <c r="D17" s="77"/>
      <c r="E17" s="77"/>
      <c r="F17" s="77"/>
      <c r="G17" s="77"/>
      <c r="H17" s="77"/>
      <c r="I17" s="77"/>
      <c r="J17" s="77"/>
      <c r="K17" s="77"/>
      <c r="L17" s="77"/>
      <c r="M17" s="77"/>
      <c r="N17" s="77"/>
      <c r="O17" s="77"/>
      <c r="P17" s="77"/>
      <c r="Q17" s="77"/>
      <c r="R17" s="77"/>
      <c r="S17" s="77"/>
      <c r="T17" s="77"/>
      <c r="U17" s="77"/>
      <c r="V17" s="77"/>
      <c r="W17" s="72">
        <f t="shared" si="7"/>
        <v>1.1320754716981131E-2</v>
      </c>
      <c r="X17" s="39">
        <v>3</v>
      </c>
    </row>
    <row r="18" spans="1:27" s="69" customFormat="1">
      <c r="A18" s="31"/>
      <c r="B18" s="70" t="s">
        <v>636</v>
      </c>
      <c r="C18" s="77"/>
      <c r="D18" s="77"/>
      <c r="E18" s="77"/>
      <c r="F18" s="77"/>
      <c r="G18" s="77"/>
      <c r="H18" s="77"/>
      <c r="I18" s="77"/>
      <c r="J18" s="77"/>
      <c r="K18" s="77"/>
      <c r="L18" s="77"/>
      <c r="M18" s="77"/>
      <c r="N18" s="77"/>
      <c r="O18" s="77"/>
      <c r="P18" s="77"/>
      <c r="Q18" s="77"/>
      <c r="R18" s="77"/>
      <c r="S18" s="77"/>
      <c r="T18" s="77"/>
      <c r="U18" s="77"/>
      <c r="V18" s="77"/>
      <c r="W18" s="72">
        <f t="shared" si="7"/>
        <v>0</v>
      </c>
      <c r="X18" s="39">
        <v>0</v>
      </c>
    </row>
    <row r="19" spans="1:27" s="69" customFormat="1">
      <c r="A19" s="31"/>
      <c r="B19" s="71" t="s">
        <v>641</v>
      </c>
      <c r="C19" s="75">
        <f>C94</f>
        <v>0</v>
      </c>
      <c r="D19" s="75" t="str">
        <f t="shared" ref="D19:V19" si="8">D94</f>
        <v xml:space="preserve"> </v>
      </c>
      <c r="E19" s="75">
        <f t="shared" si="8"/>
        <v>0</v>
      </c>
      <c r="F19" s="75">
        <f t="shared" si="8"/>
        <v>0</v>
      </c>
      <c r="G19" s="75">
        <f t="shared" si="8"/>
        <v>0</v>
      </c>
      <c r="H19" s="75">
        <f t="shared" si="8"/>
        <v>0</v>
      </c>
      <c r="I19" s="75">
        <f t="shared" si="8"/>
        <v>0</v>
      </c>
      <c r="J19" s="75">
        <f t="shared" si="8"/>
        <v>0</v>
      </c>
      <c r="K19" s="75">
        <f t="shared" si="8"/>
        <v>0</v>
      </c>
      <c r="L19" s="75">
        <f t="shared" si="8"/>
        <v>0</v>
      </c>
      <c r="M19" s="75">
        <f t="shared" si="8"/>
        <v>0</v>
      </c>
      <c r="N19" s="75">
        <f t="shared" si="8"/>
        <v>0</v>
      </c>
      <c r="O19" s="75">
        <f t="shared" si="8"/>
        <v>0</v>
      </c>
      <c r="P19" s="75">
        <f t="shared" si="8"/>
        <v>0</v>
      </c>
      <c r="Q19" s="75">
        <f t="shared" si="8"/>
        <v>0</v>
      </c>
      <c r="R19" s="75">
        <f t="shared" si="8"/>
        <v>0</v>
      </c>
      <c r="S19" s="75">
        <f t="shared" si="8"/>
        <v>0</v>
      </c>
      <c r="T19" s="75">
        <f t="shared" si="8"/>
        <v>0</v>
      </c>
      <c r="U19" s="75">
        <f t="shared" si="8"/>
        <v>0</v>
      </c>
      <c r="V19" s="75">
        <f t="shared" si="8"/>
        <v>0</v>
      </c>
      <c r="W19" s="72">
        <f t="shared" si="7"/>
        <v>1.8867924528301886E-2</v>
      </c>
      <c r="X19" s="39">
        <v>5</v>
      </c>
    </row>
    <row r="20" spans="1:27" s="69" customFormat="1">
      <c r="A20" s="31"/>
      <c r="B20" s="71" t="s">
        <v>638</v>
      </c>
      <c r="C20" s="75">
        <f>C78</f>
        <v>0</v>
      </c>
      <c r="D20" s="75">
        <f t="shared" ref="D20:V20" si="9">D78</f>
        <v>0</v>
      </c>
      <c r="E20" s="75">
        <f t="shared" si="9"/>
        <v>0</v>
      </c>
      <c r="F20" s="75">
        <f t="shared" si="9"/>
        <v>0</v>
      </c>
      <c r="G20" s="75">
        <f t="shared" si="9"/>
        <v>0</v>
      </c>
      <c r="H20" s="75">
        <f t="shared" si="9"/>
        <v>0</v>
      </c>
      <c r="I20" s="75">
        <f t="shared" si="9"/>
        <v>0</v>
      </c>
      <c r="J20" s="75">
        <f t="shared" si="9"/>
        <v>0</v>
      </c>
      <c r="K20" s="75">
        <f t="shared" si="9"/>
        <v>0</v>
      </c>
      <c r="L20" s="75">
        <f t="shared" si="9"/>
        <v>0</v>
      </c>
      <c r="M20" s="75">
        <f t="shared" si="9"/>
        <v>0</v>
      </c>
      <c r="N20" s="75">
        <f t="shared" si="9"/>
        <v>0</v>
      </c>
      <c r="O20" s="75">
        <f t="shared" si="9"/>
        <v>0</v>
      </c>
      <c r="P20" s="75">
        <f t="shared" si="9"/>
        <v>0</v>
      </c>
      <c r="Q20" s="75">
        <f t="shared" si="9"/>
        <v>0</v>
      </c>
      <c r="R20" s="75">
        <f t="shared" si="9"/>
        <v>0</v>
      </c>
      <c r="S20" s="75">
        <f t="shared" si="9"/>
        <v>0</v>
      </c>
      <c r="T20" s="75">
        <f t="shared" si="9"/>
        <v>0</v>
      </c>
      <c r="U20" s="75">
        <f t="shared" si="9"/>
        <v>0</v>
      </c>
      <c r="V20" s="75">
        <f t="shared" si="9"/>
        <v>0</v>
      </c>
      <c r="W20" s="72">
        <f t="shared" si="7"/>
        <v>1.8867924528301886E-2</v>
      </c>
      <c r="X20" s="39">
        <v>5</v>
      </c>
    </row>
    <row r="21" spans="1:27" s="69" customFormat="1">
      <c r="A21" s="31"/>
      <c r="B21" s="71" t="s">
        <v>308</v>
      </c>
      <c r="C21" s="75">
        <f>C129</f>
        <v>0</v>
      </c>
      <c r="D21" s="75">
        <f t="shared" ref="D21:V21" si="10">D129</f>
        <v>0</v>
      </c>
      <c r="E21" s="75">
        <f>E129</f>
        <v>0</v>
      </c>
      <c r="F21" s="75">
        <f t="shared" si="10"/>
        <v>0</v>
      </c>
      <c r="G21" s="75">
        <f t="shared" si="10"/>
        <v>0</v>
      </c>
      <c r="H21" s="75">
        <f t="shared" si="10"/>
        <v>0</v>
      </c>
      <c r="I21" s="75">
        <f t="shared" si="10"/>
        <v>0</v>
      </c>
      <c r="J21" s="75">
        <f t="shared" si="10"/>
        <v>0</v>
      </c>
      <c r="K21" s="75">
        <f t="shared" si="10"/>
        <v>0</v>
      </c>
      <c r="L21" s="75">
        <f t="shared" si="10"/>
        <v>0</v>
      </c>
      <c r="M21" s="75">
        <f t="shared" si="10"/>
        <v>0</v>
      </c>
      <c r="N21" s="75">
        <f t="shared" si="10"/>
        <v>0</v>
      </c>
      <c r="O21" s="75">
        <f t="shared" si="10"/>
        <v>0</v>
      </c>
      <c r="P21" s="75">
        <f t="shared" si="10"/>
        <v>0</v>
      </c>
      <c r="Q21" s="75">
        <f t="shared" si="10"/>
        <v>0</v>
      </c>
      <c r="R21" s="75">
        <f t="shared" si="10"/>
        <v>0</v>
      </c>
      <c r="S21" s="75">
        <f t="shared" si="10"/>
        <v>0</v>
      </c>
      <c r="T21" s="75">
        <f t="shared" si="10"/>
        <v>0</v>
      </c>
      <c r="U21" s="75">
        <f t="shared" si="10"/>
        <v>0</v>
      </c>
      <c r="V21" s="75">
        <f t="shared" si="10"/>
        <v>0</v>
      </c>
      <c r="W21" s="72">
        <f t="shared" si="7"/>
        <v>0.26415094339622641</v>
      </c>
      <c r="X21" s="39">
        <v>70</v>
      </c>
    </row>
    <row r="22" spans="1:27" s="69" customFormat="1">
      <c r="A22" s="31"/>
      <c r="B22" s="71" t="s">
        <v>336</v>
      </c>
      <c r="C22" s="75">
        <f>C108</f>
        <v>0</v>
      </c>
      <c r="D22" s="75">
        <f t="shared" ref="D22:V22" si="11">D108</f>
        <v>0</v>
      </c>
      <c r="E22" s="75">
        <f t="shared" si="11"/>
        <v>0</v>
      </c>
      <c r="F22" s="75">
        <f t="shared" si="11"/>
        <v>0</v>
      </c>
      <c r="G22" s="75">
        <f t="shared" si="11"/>
        <v>0</v>
      </c>
      <c r="H22" s="75">
        <f t="shared" si="11"/>
        <v>0</v>
      </c>
      <c r="I22" s="75">
        <f t="shared" si="11"/>
        <v>0</v>
      </c>
      <c r="J22" s="75">
        <f t="shared" si="11"/>
        <v>0</v>
      </c>
      <c r="K22" s="75">
        <f t="shared" si="11"/>
        <v>0</v>
      </c>
      <c r="L22" s="75">
        <f t="shared" si="11"/>
        <v>0</v>
      </c>
      <c r="M22" s="75">
        <f t="shared" si="11"/>
        <v>0</v>
      </c>
      <c r="N22" s="75">
        <f t="shared" si="11"/>
        <v>0</v>
      </c>
      <c r="O22" s="75">
        <f t="shared" si="11"/>
        <v>0</v>
      </c>
      <c r="P22" s="75">
        <f t="shared" si="11"/>
        <v>0</v>
      </c>
      <c r="Q22" s="75">
        <f t="shared" si="11"/>
        <v>0</v>
      </c>
      <c r="R22" s="75">
        <f t="shared" si="11"/>
        <v>0</v>
      </c>
      <c r="S22" s="75">
        <f t="shared" si="11"/>
        <v>0</v>
      </c>
      <c r="T22" s="75">
        <f t="shared" si="11"/>
        <v>0</v>
      </c>
      <c r="U22" s="75">
        <f t="shared" si="11"/>
        <v>0</v>
      </c>
      <c r="V22" s="75">
        <f t="shared" si="11"/>
        <v>0</v>
      </c>
      <c r="W22" s="72">
        <f t="shared" si="7"/>
        <v>0.11320754716981132</v>
      </c>
      <c r="X22" s="39">
        <v>30</v>
      </c>
    </row>
    <row r="23" spans="1:27" s="69" customFormat="1">
      <c r="A23" s="31"/>
      <c r="B23" s="71" t="s">
        <v>337</v>
      </c>
      <c r="C23" s="75">
        <f>C109</f>
        <v>0</v>
      </c>
      <c r="D23" s="75">
        <f t="shared" ref="D23:V23" si="12">D109</f>
        <v>0</v>
      </c>
      <c r="E23" s="75">
        <f t="shared" si="12"/>
        <v>0</v>
      </c>
      <c r="F23" s="75">
        <f t="shared" si="12"/>
        <v>0</v>
      </c>
      <c r="G23" s="75">
        <f t="shared" si="12"/>
        <v>0</v>
      </c>
      <c r="H23" s="75">
        <f t="shared" si="12"/>
        <v>0</v>
      </c>
      <c r="I23" s="75">
        <f t="shared" si="12"/>
        <v>0</v>
      </c>
      <c r="J23" s="75">
        <f t="shared" si="12"/>
        <v>0</v>
      </c>
      <c r="K23" s="75">
        <f t="shared" si="12"/>
        <v>0</v>
      </c>
      <c r="L23" s="75">
        <f t="shared" si="12"/>
        <v>0</v>
      </c>
      <c r="M23" s="75">
        <f t="shared" si="12"/>
        <v>0</v>
      </c>
      <c r="N23" s="75">
        <f t="shared" si="12"/>
        <v>0</v>
      </c>
      <c r="O23" s="75">
        <f t="shared" si="12"/>
        <v>0</v>
      </c>
      <c r="P23" s="75">
        <f t="shared" si="12"/>
        <v>0</v>
      </c>
      <c r="Q23" s="75">
        <f t="shared" si="12"/>
        <v>0</v>
      </c>
      <c r="R23" s="75">
        <f t="shared" si="12"/>
        <v>0</v>
      </c>
      <c r="S23" s="75">
        <f t="shared" si="12"/>
        <v>0</v>
      </c>
      <c r="T23" s="75">
        <f t="shared" si="12"/>
        <v>0</v>
      </c>
      <c r="U23" s="75">
        <f t="shared" si="12"/>
        <v>0</v>
      </c>
      <c r="V23" s="75">
        <f t="shared" si="12"/>
        <v>0</v>
      </c>
      <c r="W23" s="72">
        <f t="shared" si="7"/>
        <v>5.6603773584905662E-2</v>
      </c>
      <c r="X23" s="39">
        <v>15</v>
      </c>
    </row>
    <row r="24" spans="1:27" s="69" customFormat="1">
      <c r="A24" s="31"/>
      <c r="B24" s="73" t="s">
        <v>621</v>
      </c>
      <c r="C24" s="75">
        <f>C48</f>
        <v>0</v>
      </c>
      <c r="D24" s="75">
        <f t="shared" ref="D24:F24" si="13">D48</f>
        <v>0</v>
      </c>
      <c r="E24" s="75">
        <f t="shared" si="13"/>
        <v>0</v>
      </c>
      <c r="F24" s="75">
        <f t="shared" si="13"/>
        <v>0</v>
      </c>
      <c r="G24" s="75">
        <f t="shared" ref="G24:V24" si="14">G48</f>
        <v>0</v>
      </c>
      <c r="H24" s="75">
        <f t="shared" si="14"/>
        <v>0</v>
      </c>
      <c r="I24" s="75">
        <f t="shared" si="14"/>
        <v>0</v>
      </c>
      <c r="J24" s="75">
        <f t="shared" si="14"/>
        <v>0</v>
      </c>
      <c r="K24" s="75">
        <f t="shared" si="14"/>
        <v>0</v>
      </c>
      <c r="L24" s="75">
        <f t="shared" si="14"/>
        <v>0</v>
      </c>
      <c r="M24" s="75">
        <f t="shared" si="14"/>
        <v>0</v>
      </c>
      <c r="N24" s="75">
        <f t="shared" si="14"/>
        <v>0</v>
      </c>
      <c r="O24" s="75">
        <f t="shared" si="14"/>
        <v>0</v>
      </c>
      <c r="P24" s="75">
        <f t="shared" si="14"/>
        <v>0</v>
      </c>
      <c r="Q24" s="75">
        <f t="shared" si="14"/>
        <v>0</v>
      </c>
      <c r="R24" s="75">
        <f t="shared" si="14"/>
        <v>0</v>
      </c>
      <c r="S24" s="75">
        <f t="shared" si="14"/>
        <v>0</v>
      </c>
      <c r="T24" s="75">
        <f t="shared" si="14"/>
        <v>0</v>
      </c>
      <c r="U24" s="75">
        <f t="shared" si="14"/>
        <v>0</v>
      </c>
      <c r="V24" s="75">
        <f t="shared" si="14"/>
        <v>0</v>
      </c>
      <c r="W24" s="72">
        <f t="shared" si="7"/>
        <v>7.5471698113207548E-3</v>
      </c>
      <c r="X24" s="39">
        <v>2</v>
      </c>
    </row>
    <row r="25" spans="1:27" s="69" customFormat="1">
      <c r="A25" s="31"/>
      <c r="B25" s="73" t="s">
        <v>304</v>
      </c>
      <c r="C25" s="75">
        <f>C47</f>
        <v>0</v>
      </c>
      <c r="D25" s="75">
        <f t="shared" ref="D25:V25" si="15">D47</f>
        <v>0</v>
      </c>
      <c r="E25" s="75">
        <f t="shared" si="15"/>
        <v>0</v>
      </c>
      <c r="F25" s="75">
        <f t="shared" si="15"/>
        <v>0</v>
      </c>
      <c r="G25" s="75">
        <f t="shared" si="15"/>
        <v>0</v>
      </c>
      <c r="H25" s="75">
        <f t="shared" si="15"/>
        <v>0</v>
      </c>
      <c r="I25" s="75">
        <f t="shared" si="15"/>
        <v>0</v>
      </c>
      <c r="J25" s="75">
        <f t="shared" si="15"/>
        <v>0</v>
      </c>
      <c r="K25" s="75">
        <f t="shared" si="15"/>
        <v>0</v>
      </c>
      <c r="L25" s="75">
        <f t="shared" si="15"/>
        <v>0</v>
      </c>
      <c r="M25" s="75">
        <f t="shared" si="15"/>
        <v>0</v>
      </c>
      <c r="N25" s="75">
        <f t="shared" si="15"/>
        <v>0</v>
      </c>
      <c r="O25" s="75">
        <f t="shared" si="15"/>
        <v>0</v>
      </c>
      <c r="P25" s="75">
        <f t="shared" si="15"/>
        <v>0</v>
      </c>
      <c r="Q25" s="75">
        <f t="shared" si="15"/>
        <v>0</v>
      </c>
      <c r="R25" s="75">
        <f t="shared" si="15"/>
        <v>0</v>
      </c>
      <c r="S25" s="75">
        <f t="shared" si="15"/>
        <v>0</v>
      </c>
      <c r="T25" s="75">
        <f t="shared" si="15"/>
        <v>0</v>
      </c>
      <c r="U25" s="75">
        <f t="shared" si="15"/>
        <v>0</v>
      </c>
      <c r="V25" s="75">
        <f t="shared" si="15"/>
        <v>0</v>
      </c>
      <c r="W25" s="72">
        <f t="shared" si="7"/>
        <v>1.8867924528301886E-2</v>
      </c>
      <c r="X25" s="39">
        <v>5</v>
      </c>
    </row>
    <row r="26" spans="1:27" s="69" customFormat="1">
      <c r="A26" s="31"/>
      <c r="B26" s="71" t="s">
        <v>261</v>
      </c>
      <c r="C26" s="75">
        <f>C75</f>
        <v>0</v>
      </c>
      <c r="D26" s="75">
        <f t="shared" ref="D26:V26" si="16">D75</f>
        <v>0</v>
      </c>
      <c r="E26" s="75">
        <f t="shared" si="16"/>
        <v>0</v>
      </c>
      <c r="F26" s="75">
        <f t="shared" si="16"/>
        <v>0</v>
      </c>
      <c r="G26" s="75">
        <f t="shared" si="16"/>
        <v>0</v>
      </c>
      <c r="H26" s="75">
        <f t="shared" si="16"/>
        <v>0</v>
      </c>
      <c r="I26" s="75">
        <f t="shared" si="16"/>
        <v>0</v>
      </c>
      <c r="J26" s="75">
        <f t="shared" si="16"/>
        <v>0</v>
      </c>
      <c r="K26" s="75">
        <f t="shared" si="16"/>
        <v>0</v>
      </c>
      <c r="L26" s="75">
        <f t="shared" si="16"/>
        <v>0</v>
      </c>
      <c r="M26" s="75">
        <f t="shared" si="16"/>
        <v>0</v>
      </c>
      <c r="N26" s="75">
        <f t="shared" si="16"/>
        <v>0</v>
      </c>
      <c r="O26" s="75">
        <f t="shared" si="16"/>
        <v>0</v>
      </c>
      <c r="P26" s="75">
        <f t="shared" si="16"/>
        <v>0</v>
      </c>
      <c r="Q26" s="75">
        <f t="shared" si="16"/>
        <v>0</v>
      </c>
      <c r="R26" s="75">
        <f t="shared" si="16"/>
        <v>0</v>
      </c>
      <c r="S26" s="75">
        <f t="shared" si="16"/>
        <v>0</v>
      </c>
      <c r="T26" s="75">
        <f t="shared" si="16"/>
        <v>0</v>
      </c>
      <c r="U26" s="75">
        <f t="shared" si="16"/>
        <v>0</v>
      </c>
      <c r="V26" s="75">
        <f t="shared" si="16"/>
        <v>0</v>
      </c>
      <c r="W26" s="72">
        <f t="shared" si="7"/>
        <v>1.8867924528301886E-2</v>
      </c>
      <c r="X26" s="39">
        <v>5</v>
      </c>
    </row>
    <row r="27" spans="1:27" s="69" customFormat="1">
      <c r="A27" s="31"/>
      <c r="B27" s="71" t="s">
        <v>262</v>
      </c>
      <c r="C27" s="75">
        <f>C76</f>
        <v>0</v>
      </c>
      <c r="D27" s="75">
        <f t="shared" ref="D27:V27" si="17">D76</f>
        <v>0</v>
      </c>
      <c r="E27" s="75">
        <f t="shared" si="17"/>
        <v>0</v>
      </c>
      <c r="F27" s="75">
        <f t="shared" si="17"/>
        <v>0</v>
      </c>
      <c r="G27" s="75">
        <f t="shared" si="17"/>
        <v>0</v>
      </c>
      <c r="H27" s="75">
        <f t="shared" si="17"/>
        <v>0</v>
      </c>
      <c r="I27" s="75">
        <f t="shared" si="17"/>
        <v>0</v>
      </c>
      <c r="J27" s="75">
        <f t="shared" si="17"/>
        <v>0</v>
      </c>
      <c r="K27" s="75">
        <f t="shared" si="17"/>
        <v>0</v>
      </c>
      <c r="L27" s="75">
        <f t="shared" si="17"/>
        <v>0</v>
      </c>
      <c r="M27" s="75">
        <f t="shared" si="17"/>
        <v>0</v>
      </c>
      <c r="N27" s="75">
        <f t="shared" si="17"/>
        <v>0</v>
      </c>
      <c r="O27" s="75">
        <f t="shared" si="17"/>
        <v>0</v>
      </c>
      <c r="P27" s="75">
        <f t="shared" si="17"/>
        <v>0</v>
      </c>
      <c r="Q27" s="75">
        <f t="shared" si="17"/>
        <v>0</v>
      </c>
      <c r="R27" s="75">
        <f t="shared" si="17"/>
        <v>0</v>
      </c>
      <c r="S27" s="75">
        <f t="shared" si="17"/>
        <v>0</v>
      </c>
      <c r="T27" s="75">
        <f t="shared" si="17"/>
        <v>0</v>
      </c>
      <c r="U27" s="75">
        <f t="shared" si="17"/>
        <v>0</v>
      </c>
      <c r="V27" s="75">
        <f t="shared" si="17"/>
        <v>0</v>
      </c>
      <c r="W27" s="72">
        <f t="shared" si="7"/>
        <v>1.8867924528301886E-2</v>
      </c>
      <c r="X27" s="39">
        <v>5</v>
      </c>
    </row>
    <row r="28" spans="1:27" s="69" customFormat="1">
      <c r="A28" s="31"/>
      <c r="B28" s="71" t="s">
        <v>267</v>
      </c>
      <c r="C28" s="75">
        <f>C77</f>
        <v>0</v>
      </c>
      <c r="D28" s="75">
        <f t="shared" ref="D28:V28" si="18">D77</f>
        <v>0</v>
      </c>
      <c r="E28" s="75">
        <f t="shared" si="18"/>
        <v>0</v>
      </c>
      <c r="F28" s="75">
        <f t="shared" si="18"/>
        <v>0</v>
      </c>
      <c r="G28" s="75">
        <f t="shared" si="18"/>
        <v>0</v>
      </c>
      <c r="H28" s="75">
        <f t="shared" si="18"/>
        <v>0</v>
      </c>
      <c r="I28" s="75">
        <f t="shared" si="18"/>
        <v>0</v>
      </c>
      <c r="J28" s="75">
        <f t="shared" si="18"/>
        <v>0</v>
      </c>
      <c r="K28" s="75">
        <f t="shared" si="18"/>
        <v>0</v>
      </c>
      <c r="L28" s="75">
        <f t="shared" si="18"/>
        <v>0</v>
      </c>
      <c r="M28" s="75">
        <f t="shared" si="18"/>
        <v>0</v>
      </c>
      <c r="N28" s="75">
        <f t="shared" si="18"/>
        <v>0</v>
      </c>
      <c r="O28" s="75">
        <f t="shared" si="18"/>
        <v>0</v>
      </c>
      <c r="P28" s="75">
        <f t="shared" si="18"/>
        <v>0</v>
      </c>
      <c r="Q28" s="75">
        <f t="shared" si="18"/>
        <v>0</v>
      </c>
      <c r="R28" s="75">
        <f t="shared" si="18"/>
        <v>0</v>
      </c>
      <c r="S28" s="75">
        <f t="shared" si="18"/>
        <v>0</v>
      </c>
      <c r="T28" s="75">
        <f t="shared" si="18"/>
        <v>0</v>
      </c>
      <c r="U28" s="75">
        <f t="shared" si="18"/>
        <v>0</v>
      </c>
      <c r="V28" s="75">
        <f t="shared" si="18"/>
        <v>0</v>
      </c>
      <c r="W28" s="72">
        <f t="shared" si="7"/>
        <v>3.7735849056603772E-2</v>
      </c>
      <c r="X28" s="39">
        <v>10</v>
      </c>
    </row>
    <row r="29" spans="1:27" s="69" customFormat="1">
      <c r="A29" s="31"/>
      <c r="B29" s="96" t="s">
        <v>310</v>
      </c>
      <c r="C29" s="97" t="s">
        <v>309</v>
      </c>
      <c r="D29" s="97" t="s">
        <v>309</v>
      </c>
      <c r="E29" s="97" t="s">
        <v>309</v>
      </c>
      <c r="F29" s="97" t="s">
        <v>309</v>
      </c>
      <c r="G29" s="97" t="s">
        <v>309</v>
      </c>
      <c r="H29" s="97" t="s">
        <v>309</v>
      </c>
      <c r="I29" s="97" t="s">
        <v>309</v>
      </c>
      <c r="J29" s="97" t="s">
        <v>309</v>
      </c>
      <c r="K29" s="97" t="s">
        <v>309</v>
      </c>
      <c r="L29" s="97" t="s">
        <v>309</v>
      </c>
      <c r="M29" s="97" t="s">
        <v>309</v>
      </c>
      <c r="N29" s="97" t="s">
        <v>309</v>
      </c>
      <c r="O29" s="97" t="s">
        <v>309</v>
      </c>
      <c r="P29" s="97" t="s">
        <v>309</v>
      </c>
      <c r="Q29" s="97" t="s">
        <v>309</v>
      </c>
      <c r="R29" s="97" t="s">
        <v>309</v>
      </c>
      <c r="S29" s="97" t="s">
        <v>309</v>
      </c>
      <c r="T29" s="97" t="s">
        <v>309</v>
      </c>
      <c r="U29" s="97" t="s">
        <v>309</v>
      </c>
      <c r="V29" s="97" t="s">
        <v>309</v>
      </c>
      <c r="W29" s="72">
        <f t="shared" si="7"/>
        <v>0</v>
      </c>
      <c r="X29" s="39">
        <v>0</v>
      </c>
    </row>
    <row r="30" spans="1:27">
      <c r="D30" s="69"/>
      <c r="E30" s="69"/>
      <c r="F30" s="69"/>
      <c r="G30" s="69"/>
      <c r="R30" s="69"/>
      <c r="S30" s="69"/>
      <c r="T30" s="69"/>
      <c r="U30" s="69"/>
      <c r="V30" s="69"/>
      <c r="W30" s="37"/>
      <c r="AA30" s="89"/>
    </row>
    <row r="31" spans="1:27" s="69" customFormat="1" hidden="1">
      <c r="A31" s="31"/>
      <c r="B31" s="202" t="s">
        <v>623</v>
      </c>
      <c r="C31" s="69">
        <f t="shared" ref="C31:V31" si="19">SUMPRODUCT((C12:C29&lt;&gt;"NA")*$X12:$X29)</f>
        <v>265</v>
      </c>
      <c r="D31" s="69">
        <f t="shared" si="19"/>
        <v>265</v>
      </c>
      <c r="E31" s="69">
        <f t="shared" si="19"/>
        <v>265</v>
      </c>
      <c r="F31" s="69">
        <f t="shared" si="19"/>
        <v>265</v>
      </c>
      <c r="G31" s="69">
        <f t="shared" si="19"/>
        <v>265</v>
      </c>
      <c r="H31" s="69">
        <f t="shared" si="19"/>
        <v>265</v>
      </c>
      <c r="I31" s="69">
        <f t="shared" si="19"/>
        <v>265</v>
      </c>
      <c r="J31" s="69">
        <f t="shared" si="19"/>
        <v>265</v>
      </c>
      <c r="K31" s="69">
        <f t="shared" si="19"/>
        <v>265</v>
      </c>
      <c r="L31" s="69">
        <f t="shared" si="19"/>
        <v>265</v>
      </c>
      <c r="M31" s="69">
        <f t="shared" si="19"/>
        <v>265</v>
      </c>
      <c r="N31" s="69">
        <f t="shared" si="19"/>
        <v>265</v>
      </c>
      <c r="O31" s="69">
        <f t="shared" si="19"/>
        <v>265</v>
      </c>
      <c r="P31" s="69">
        <f t="shared" si="19"/>
        <v>265</v>
      </c>
      <c r="Q31" s="69">
        <f t="shared" si="19"/>
        <v>265</v>
      </c>
      <c r="R31" s="69">
        <f t="shared" si="19"/>
        <v>265</v>
      </c>
      <c r="S31" s="69">
        <f t="shared" si="19"/>
        <v>265</v>
      </c>
      <c r="T31" s="69">
        <f t="shared" si="19"/>
        <v>265</v>
      </c>
      <c r="U31" s="69">
        <f t="shared" si="19"/>
        <v>265</v>
      </c>
      <c r="V31" s="69">
        <f t="shared" si="19"/>
        <v>265</v>
      </c>
      <c r="W31" s="37"/>
      <c r="X31" s="39"/>
      <c r="AA31" s="89"/>
    </row>
    <row r="32" spans="1:27" hidden="1">
      <c r="B32" s="8" t="s">
        <v>14</v>
      </c>
      <c r="C32">
        <f t="shared" ref="C32:V32" ca="1" si="20">C11*$Y11</f>
        <v>0</v>
      </c>
      <c r="D32" s="69">
        <f t="shared" ca="1" si="20"/>
        <v>0</v>
      </c>
      <c r="E32" s="69">
        <f t="shared" ca="1" si="20"/>
        <v>0</v>
      </c>
      <c r="F32" s="69">
        <f t="shared" ca="1" si="20"/>
        <v>0</v>
      </c>
      <c r="G32" s="69">
        <f t="shared" ca="1" si="20"/>
        <v>0</v>
      </c>
      <c r="H32" s="69">
        <f t="shared" ca="1" si="20"/>
        <v>0</v>
      </c>
      <c r="I32" s="69">
        <f t="shared" ca="1" si="20"/>
        <v>0</v>
      </c>
      <c r="J32" s="69">
        <f t="shared" ca="1" si="20"/>
        <v>0</v>
      </c>
      <c r="K32" s="69">
        <f t="shared" ca="1" si="20"/>
        <v>0</v>
      </c>
      <c r="L32" s="69">
        <f t="shared" ca="1" si="20"/>
        <v>0</v>
      </c>
      <c r="M32" s="69">
        <f t="shared" ca="1" si="20"/>
        <v>0</v>
      </c>
      <c r="N32" s="69">
        <f t="shared" ca="1" si="20"/>
        <v>0</v>
      </c>
      <c r="O32" s="69">
        <f t="shared" ca="1" si="20"/>
        <v>0</v>
      </c>
      <c r="P32" s="69">
        <f t="shared" ca="1" si="20"/>
        <v>0</v>
      </c>
      <c r="Q32" s="69">
        <f t="shared" ca="1" si="20"/>
        <v>0</v>
      </c>
      <c r="R32" s="69">
        <f t="shared" ca="1" si="20"/>
        <v>0</v>
      </c>
      <c r="S32" s="69">
        <f t="shared" ca="1" si="20"/>
        <v>0</v>
      </c>
      <c r="T32" s="69">
        <f t="shared" ca="1" si="20"/>
        <v>0</v>
      </c>
      <c r="U32" s="69">
        <f t="shared" ca="1" si="20"/>
        <v>0</v>
      </c>
      <c r="V32" s="69">
        <f t="shared" ca="1" si="20"/>
        <v>0</v>
      </c>
      <c r="W32" s="37"/>
      <c r="AA32" s="89"/>
    </row>
    <row r="33" spans="1:28" hidden="1">
      <c r="B33" s="8" t="s">
        <v>15</v>
      </c>
      <c r="C33">
        <f t="shared" ref="C33:V33" ca="1" si="21">C11*$Z11</f>
        <v>0</v>
      </c>
      <c r="D33" s="69">
        <f t="shared" ca="1" si="21"/>
        <v>0</v>
      </c>
      <c r="E33" s="69">
        <f t="shared" ca="1" si="21"/>
        <v>0</v>
      </c>
      <c r="F33" s="69">
        <f t="shared" ca="1" si="21"/>
        <v>0</v>
      </c>
      <c r="G33" s="69">
        <f t="shared" ca="1" si="21"/>
        <v>0</v>
      </c>
      <c r="H33" s="69">
        <f t="shared" ca="1" si="21"/>
        <v>0</v>
      </c>
      <c r="I33" s="69">
        <f t="shared" ca="1" si="21"/>
        <v>0</v>
      </c>
      <c r="J33" s="69">
        <f t="shared" ca="1" si="21"/>
        <v>0</v>
      </c>
      <c r="K33" s="69">
        <f t="shared" ca="1" si="21"/>
        <v>0</v>
      </c>
      <c r="L33" s="69">
        <f t="shared" ca="1" si="21"/>
        <v>0</v>
      </c>
      <c r="M33" s="69">
        <f t="shared" ca="1" si="21"/>
        <v>0</v>
      </c>
      <c r="N33" s="69">
        <f t="shared" ca="1" si="21"/>
        <v>0</v>
      </c>
      <c r="O33" s="69">
        <f t="shared" ca="1" si="21"/>
        <v>0</v>
      </c>
      <c r="P33" s="69">
        <f t="shared" ca="1" si="21"/>
        <v>0</v>
      </c>
      <c r="Q33" s="69">
        <f t="shared" ca="1" si="21"/>
        <v>0</v>
      </c>
      <c r="R33" s="69">
        <f t="shared" ca="1" si="21"/>
        <v>0</v>
      </c>
      <c r="S33" s="69">
        <f t="shared" ca="1" si="21"/>
        <v>0</v>
      </c>
      <c r="T33" s="69">
        <f t="shared" ca="1" si="21"/>
        <v>0</v>
      </c>
      <c r="U33" s="69">
        <f t="shared" ca="1" si="21"/>
        <v>0</v>
      </c>
      <c r="V33" s="69">
        <f t="shared" ca="1" si="21"/>
        <v>0</v>
      </c>
      <c r="W33" s="37"/>
      <c r="AA33" s="89"/>
    </row>
    <row r="34" spans="1:28" hidden="1">
      <c r="B34" s="8" t="s">
        <v>16</v>
      </c>
      <c r="C34">
        <f t="shared" ref="C34:V34" ca="1" si="22">C11*$AA11</f>
        <v>0</v>
      </c>
      <c r="D34" s="69">
        <f t="shared" ca="1" si="22"/>
        <v>0</v>
      </c>
      <c r="E34" s="69">
        <f t="shared" ca="1" si="22"/>
        <v>0</v>
      </c>
      <c r="F34" s="69">
        <f t="shared" ca="1" si="22"/>
        <v>0</v>
      </c>
      <c r="G34" s="69">
        <f t="shared" ca="1" si="22"/>
        <v>0</v>
      </c>
      <c r="H34" s="69">
        <f t="shared" ca="1" si="22"/>
        <v>0</v>
      </c>
      <c r="I34" s="69">
        <f t="shared" ca="1" si="22"/>
        <v>0</v>
      </c>
      <c r="J34" s="69">
        <f t="shared" ca="1" si="22"/>
        <v>0</v>
      </c>
      <c r="K34" s="69">
        <f t="shared" ca="1" si="22"/>
        <v>0</v>
      </c>
      <c r="L34" s="69">
        <f t="shared" ca="1" si="22"/>
        <v>0</v>
      </c>
      <c r="M34" s="69">
        <f t="shared" ca="1" si="22"/>
        <v>0</v>
      </c>
      <c r="N34" s="69">
        <f t="shared" ca="1" si="22"/>
        <v>0</v>
      </c>
      <c r="O34" s="69">
        <f t="shared" ca="1" si="22"/>
        <v>0</v>
      </c>
      <c r="P34" s="69">
        <f t="shared" ca="1" si="22"/>
        <v>0</v>
      </c>
      <c r="Q34" s="69">
        <f t="shared" ca="1" si="22"/>
        <v>0</v>
      </c>
      <c r="R34" s="69">
        <f t="shared" ca="1" si="22"/>
        <v>0</v>
      </c>
      <c r="S34" s="69">
        <f t="shared" ca="1" si="22"/>
        <v>0</v>
      </c>
      <c r="T34" s="69">
        <f t="shared" ca="1" si="22"/>
        <v>0</v>
      </c>
      <c r="U34" s="69">
        <f t="shared" ca="1" si="22"/>
        <v>0</v>
      </c>
      <c r="V34" s="69">
        <f t="shared" ca="1" si="22"/>
        <v>0</v>
      </c>
      <c r="W34" s="37"/>
      <c r="AA34" s="89"/>
    </row>
    <row r="35" spans="1:28" hidden="1">
      <c r="B35" s="8" t="s">
        <v>17</v>
      </c>
      <c r="C35">
        <f t="shared" ref="C35:V35" ca="1" si="23">C11*$AB11</f>
        <v>0</v>
      </c>
      <c r="D35" s="69">
        <f t="shared" ca="1" si="23"/>
        <v>0</v>
      </c>
      <c r="E35" s="69">
        <f t="shared" ca="1" si="23"/>
        <v>0</v>
      </c>
      <c r="F35" s="69">
        <f t="shared" ca="1" si="23"/>
        <v>0</v>
      </c>
      <c r="G35" s="69">
        <f t="shared" ca="1" si="23"/>
        <v>0</v>
      </c>
      <c r="H35" s="69">
        <f t="shared" ca="1" si="23"/>
        <v>0</v>
      </c>
      <c r="I35" s="69">
        <f t="shared" ca="1" si="23"/>
        <v>0</v>
      </c>
      <c r="J35" s="69">
        <f t="shared" ca="1" si="23"/>
        <v>0</v>
      </c>
      <c r="K35" s="69">
        <f t="shared" ca="1" si="23"/>
        <v>0</v>
      </c>
      <c r="L35" s="69">
        <f t="shared" ca="1" si="23"/>
        <v>0</v>
      </c>
      <c r="M35" s="69">
        <f t="shared" ca="1" si="23"/>
        <v>0</v>
      </c>
      <c r="N35" s="69">
        <f t="shared" ca="1" si="23"/>
        <v>0</v>
      </c>
      <c r="O35" s="69">
        <f t="shared" ca="1" si="23"/>
        <v>0</v>
      </c>
      <c r="P35" s="69">
        <f t="shared" ca="1" si="23"/>
        <v>0</v>
      </c>
      <c r="Q35" s="69">
        <f t="shared" ca="1" si="23"/>
        <v>0</v>
      </c>
      <c r="R35" s="69">
        <f t="shared" ca="1" si="23"/>
        <v>0</v>
      </c>
      <c r="S35" s="69">
        <f t="shared" ca="1" si="23"/>
        <v>0</v>
      </c>
      <c r="T35" s="69">
        <f t="shared" ca="1" si="23"/>
        <v>0</v>
      </c>
      <c r="U35" s="69">
        <f t="shared" ca="1" si="23"/>
        <v>0</v>
      </c>
      <c r="V35" s="69">
        <f t="shared" ca="1" si="23"/>
        <v>0</v>
      </c>
      <c r="W35" s="37"/>
      <c r="AA35" s="89"/>
    </row>
    <row r="36" spans="1:28">
      <c r="B36" s="65"/>
      <c r="C36" s="64"/>
      <c r="D36" s="64"/>
      <c r="E36" s="64"/>
      <c r="F36" s="64"/>
      <c r="G36" s="64"/>
      <c r="H36" s="64"/>
      <c r="I36" s="64"/>
      <c r="J36" s="64"/>
      <c r="K36" s="64"/>
      <c r="L36" s="64"/>
      <c r="M36" s="64"/>
      <c r="N36" s="64"/>
      <c r="O36" s="64"/>
      <c r="P36" s="64"/>
      <c r="Q36" s="64"/>
      <c r="R36" s="64"/>
      <c r="S36" s="64"/>
      <c r="T36" s="64"/>
      <c r="U36" s="64"/>
      <c r="V36" s="64"/>
      <c r="W36" s="37"/>
      <c r="AA36" s="89"/>
    </row>
    <row r="37" spans="1:28">
      <c r="B37" s="23" t="s">
        <v>44</v>
      </c>
      <c r="C37" s="81">
        <f>SUMPRODUCT(C39:C49,$X39:$X49)/C51</f>
        <v>0</v>
      </c>
      <c r="D37" s="81">
        <f t="shared" ref="D37:V37" si="24">SUMPRODUCT(D39:D49,$X39:$X49)/D51</f>
        <v>0</v>
      </c>
      <c r="E37" s="81">
        <f t="shared" si="24"/>
        <v>0</v>
      </c>
      <c r="F37" s="81">
        <f t="shared" si="24"/>
        <v>0</v>
      </c>
      <c r="G37" s="81">
        <f t="shared" si="24"/>
        <v>0</v>
      </c>
      <c r="H37" s="81">
        <f t="shared" si="24"/>
        <v>0</v>
      </c>
      <c r="I37" s="81">
        <f t="shared" si="24"/>
        <v>0</v>
      </c>
      <c r="J37" s="81">
        <f t="shared" si="24"/>
        <v>0</v>
      </c>
      <c r="K37" s="81">
        <f t="shared" si="24"/>
        <v>0</v>
      </c>
      <c r="L37" s="81">
        <f t="shared" si="24"/>
        <v>0</v>
      </c>
      <c r="M37" s="81">
        <f t="shared" si="24"/>
        <v>0</v>
      </c>
      <c r="N37" s="81">
        <f t="shared" si="24"/>
        <v>0</v>
      </c>
      <c r="O37" s="81">
        <f t="shared" si="24"/>
        <v>0</v>
      </c>
      <c r="P37" s="81">
        <f t="shared" si="24"/>
        <v>0</v>
      </c>
      <c r="Q37" s="81">
        <f t="shared" si="24"/>
        <v>0</v>
      </c>
      <c r="R37" s="81">
        <f t="shared" si="24"/>
        <v>0</v>
      </c>
      <c r="S37" s="81">
        <f t="shared" si="24"/>
        <v>0</v>
      </c>
      <c r="T37" s="81">
        <f t="shared" si="24"/>
        <v>0</v>
      </c>
      <c r="U37" s="81">
        <f t="shared" si="24"/>
        <v>0</v>
      </c>
      <c r="V37" s="81">
        <f t="shared" si="24"/>
        <v>0</v>
      </c>
      <c r="W37" s="37"/>
      <c r="Y37" s="87"/>
      <c r="Z37" s="88"/>
      <c r="AA37" s="90"/>
    </row>
    <row r="38" spans="1:28">
      <c r="B38" s="35" t="s">
        <v>671</v>
      </c>
      <c r="C38" s="246">
        <f ca="1">INDIRECT("'TESTING v2'!AA"&amp;COLUMN())</f>
        <v>0.25600000000000001</v>
      </c>
      <c r="D38" s="246">
        <f t="shared" ref="D38:V38" ca="1" si="25">INDIRECT("'TESTING v2'!AA"&amp;COLUMN())</f>
        <v>0</v>
      </c>
      <c r="E38" s="246">
        <f t="shared" ca="1" si="25"/>
        <v>0</v>
      </c>
      <c r="F38" s="246">
        <f t="shared" ca="1" si="25"/>
        <v>0</v>
      </c>
      <c r="G38" s="246">
        <f t="shared" ca="1" si="25"/>
        <v>0</v>
      </c>
      <c r="H38" s="246">
        <f t="shared" ca="1" si="25"/>
        <v>0</v>
      </c>
      <c r="I38" s="246">
        <f t="shared" ca="1" si="25"/>
        <v>0</v>
      </c>
      <c r="J38" s="246">
        <f t="shared" ca="1" si="25"/>
        <v>0</v>
      </c>
      <c r="K38" s="246">
        <f t="shared" ca="1" si="25"/>
        <v>0</v>
      </c>
      <c r="L38" s="246">
        <f t="shared" ca="1" si="25"/>
        <v>0</v>
      </c>
      <c r="M38" s="246">
        <f t="shared" ca="1" si="25"/>
        <v>0</v>
      </c>
      <c r="N38" s="246">
        <f t="shared" ca="1" si="25"/>
        <v>0</v>
      </c>
      <c r="O38" s="246">
        <f t="shared" ca="1" si="25"/>
        <v>0</v>
      </c>
      <c r="P38" s="246">
        <f t="shared" ca="1" si="25"/>
        <v>0</v>
      </c>
      <c r="Q38" s="246">
        <f t="shared" ca="1" si="25"/>
        <v>0</v>
      </c>
      <c r="R38" s="246">
        <f t="shared" ca="1" si="25"/>
        <v>0</v>
      </c>
      <c r="S38" s="246">
        <f t="shared" ca="1" si="25"/>
        <v>0</v>
      </c>
      <c r="T38" s="246">
        <f t="shared" ca="1" si="25"/>
        <v>0</v>
      </c>
      <c r="U38" s="246">
        <f t="shared" ca="1" si="25"/>
        <v>0</v>
      </c>
      <c r="V38" s="246">
        <f t="shared" ca="1" si="25"/>
        <v>0</v>
      </c>
      <c r="W38" s="67">
        <f ca="1">COUNTBLANK(C52:V55)</f>
        <v>0</v>
      </c>
      <c r="X38" s="39" t="s">
        <v>259</v>
      </c>
      <c r="Y38" s="6">
        <f>AA2*AA8</f>
        <v>0</v>
      </c>
      <c r="Z38" s="6">
        <f>AA3*AA8</f>
        <v>40</v>
      </c>
      <c r="AA38" s="6">
        <f>AA4*AA8</f>
        <v>0</v>
      </c>
      <c r="AB38" s="6">
        <f>AA5*AA8</f>
        <v>10</v>
      </c>
    </row>
    <row r="39" spans="1:28" s="69" customFormat="1">
      <c r="A39" s="31"/>
      <c r="B39" s="70" t="s">
        <v>504</v>
      </c>
      <c r="C39" s="77"/>
      <c r="D39" s="77"/>
      <c r="E39" s="77"/>
      <c r="F39" s="77"/>
      <c r="G39" s="77"/>
      <c r="H39" s="77"/>
      <c r="I39" s="77"/>
      <c r="J39" s="77"/>
      <c r="K39" s="78"/>
      <c r="L39" s="78"/>
      <c r="M39" s="78"/>
      <c r="N39" s="78"/>
      <c r="O39" s="78"/>
      <c r="P39" s="78"/>
      <c r="Q39" s="78"/>
      <c r="R39" s="78"/>
      <c r="S39" s="78"/>
      <c r="T39" s="78"/>
      <c r="U39" s="78"/>
      <c r="V39" s="78"/>
      <c r="W39" s="37">
        <f t="shared" ref="W39:W49" si="26">X39/SUM(X$39:X$49)</f>
        <v>0.22972972972972974</v>
      </c>
      <c r="X39" s="39">
        <v>17</v>
      </c>
    </row>
    <row r="40" spans="1:28" s="69" customFormat="1">
      <c r="A40" s="31"/>
      <c r="B40" s="70" t="s">
        <v>273</v>
      </c>
      <c r="C40" s="77"/>
      <c r="D40" s="77"/>
      <c r="E40" s="77"/>
      <c r="F40" s="77"/>
      <c r="G40" s="77"/>
      <c r="H40" s="77"/>
      <c r="I40" s="77"/>
      <c r="J40" s="77"/>
      <c r="K40" s="78"/>
      <c r="L40" s="78"/>
      <c r="M40" s="78"/>
      <c r="N40" s="78"/>
      <c r="O40" s="78"/>
      <c r="P40" s="78"/>
      <c r="Q40" s="78"/>
      <c r="R40" s="78"/>
      <c r="S40" s="78"/>
      <c r="T40" s="78"/>
      <c r="U40" s="78"/>
      <c r="V40" s="78"/>
      <c r="W40" s="37">
        <f t="shared" si="26"/>
        <v>0.13513513513513514</v>
      </c>
      <c r="X40" s="39">
        <v>10</v>
      </c>
    </row>
    <row r="41" spans="1:28" s="69" customFormat="1">
      <c r="A41" s="31"/>
      <c r="B41" s="70" t="s">
        <v>274</v>
      </c>
      <c r="C41" s="77"/>
      <c r="D41" s="77"/>
      <c r="E41" s="77"/>
      <c r="F41" s="77"/>
      <c r="G41" s="77"/>
      <c r="H41" s="77"/>
      <c r="I41" s="77"/>
      <c r="J41" s="77"/>
      <c r="K41" s="78"/>
      <c r="L41" s="78"/>
      <c r="M41" s="78"/>
      <c r="N41" s="78"/>
      <c r="O41" s="78"/>
      <c r="P41" s="78"/>
      <c r="Q41" s="78"/>
      <c r="R41" s="78"/>
      <c r="S41" s="78"/>
      <c r="T41" s="78"/>
      <c r="U41" s="78"/>
      <c r="V41" s="78"/>
      <c r="W41" s="37">
        <f t="shared" si="26"/>
        <v>0.13513513513513514</v>
      </c>
      <c r="X41" s="39">
        <v>10</v>
      </c>
    </row>
    <row r="42" spans="1:28" s="69" customFormat="1">
      <c r="A42" s="31"/>
      <c r="B42" s="70" t="s">
        <v>294</v>
      </c>
      <c r="C42" s="77"/>
      <c r="D42" s="77"/>
      <c r="E42" s="77"/>
      <c r="F42" s="77"/>
      <c r="G42" s="77"/>
      <c r="H42" s="77"/>
      <c r="I42" s="77"/>
      <c r="J42" s="77"/>
      <c r="K42" s="78"/>
      <c r="L42" s="78"/>
      <c r="M42" s="78"/>
      <c r="N42" s="78"/>
      <c r="O42" s="78"/>
      <c r="P42" s="78"/>
      <c r="Q42" s="78"/>
      <c r="R42" s="78"/>
      <c r="S42" s="78"/>
      <c r="T42" s="78"/>
      <c r="U42" s="78"/>
      <c r="V42" s="78"/>
      <c r="W42" s="37">
        <f t="shared" si="26"/>
        <v>0.13513513513513514</v>
      </c>
      <c r="X42" s="39">
        <v>10</v>
      </c>
    </row>
    <row r="43" spans="1:28" s="69" customFormat="1">
      <c r="A43" s="31"/>
      <c r="B43" s="70" t="s">
        <v>503</v>
      </c>
      <c r="C43" s="77"/>
      <c r="D43" s="77"/>
      <c r="E43" s="77"/>
      <c r="F43" s="77"/>
      <c r="G43" s="77"/>
      <c r="H43" s="77"/>
      <c r="I43" s="77"/>
      <c r="J43" s="77"/>
      <c r="K43" s="78"/>
      <c r="L43" s="78"/>
      <c r="M43" s="78"/>
      <c r="N43" s="78"/>
      <c r="O43" s="78"/>
      <c r="P43" s="78"/>
      <c r="Q43" s="78"/>
      <c r="R43" s="78"/>
      <c r="S43" s="78"/>
      <c r="T43" s="78"/>
      <c r="U43" s="78"/>
      <c r="V43" s="78"/>
      <c r="W43" s="37">
        <f t="shared" si="26"/>
        <v>0.13513513513513514</v>
      </c>
      <c r="X43" s="39">
        <v>10</v>
      </c>
    </row>
    <row r="44" spans="1:28" s="69" customFormat="1">
      <c r="A44" s="31"/>
      <c r="B44" s="70" t="s">
        <v>637</v>
      </c>
      <c r="C44" s="77"/>
      <c r="D44" s="77"/>
      <c r="E44" s="77"/>
      <c r="F44" s="77"/>
      <c r="G44" s="77"/>
      <c r="H44" s="77"/>
      <c r="I44" s="77"/>
      <c r="J44" s="77"/>
      <c r="K44" s="78"/>
      <c r="L44" s="78"/>
      <c r="M44" s="78"/>
      <c r="N44" s="78"/>
      <c r="O44" s="78"/>
      <c r="P44" s="78"/>
      <c r="Q44" s="78"/>
      <c r="R44" s="78"/>
      <c r="S44" s="78"/>
      <c r="T44" s="78"/>
      <c r="U44" s="78"/>
      <c r="V44" s="78"/>
      <c r="W44" s="37">
        <f t="shared" si="26"/>
        <v>1.3513513513513514E-2</v>
      </c>
      <c r="X44" s="39">
        <v>1</v>
      </c>
      <c r="AA44" s="69">
        <f>9/16</f>
        <v>0.5625</v>
      </c>
    </row>
    <row r="45" spans="1:28" s="69" customFormat="1">
      <c r="A45" s="31"/>
      <c r="B45" s="70" t="s">
        <v>302</v>
      </c>
      <c r="C45" s="77"/>
      <c r="D45" s="77"/>
      <c r="E45" s="77"/>
      <c r="F45" s="77"/>
      <c r="G45" s="77"/>
      <c r="H45" s="78"/>
      <c r="I45" s="78"/>
      <c r="J45" s="78"/>
      <c r="K45" s="78"/>
      <c r="L45" s="78"/>
      <c r="M45" s="78"/>
      <c r="N45" s="78"/>
      <c r="O45" s="78"/>
      <c r="P45" s="78"/>
      <c r="Q45" s="78"/>
      <c r="R45" s="78"/>
      <c r="S45" s="78"/>
      <c r="T45" s="78"/>
      <c r="U45" s="78"/>
      <c r="V45" s="78"/>
      <c r="W45" s="37">
        <f t="shared" si="26"/>
        <v>0</v>
      </c>
      <c r="X45" s="39">
        <v>0</v>
      </c>
    </row>
    <row r="46" spans="1:28" s="69" customFormat="1">
      <c r="A46" s="31"/>
      <c r="B46" s="70" t="s">
        <v>301</v>
      </c>
      <c r="C46" s="77"/>
      <c r="D46" s="77"/>
      <c r="E46" s="77"/>
      <c r="F46" s="77"/>
      <c r="G46" s="77"/>
      <c r="H46" s="78"/>
      <c r="I46" s="78"/>
      <c r="J46" s="78"/>
      <c r="K46" s="78"/>
      <c r="L46" s="78"/>
      <c r="M46" s="78"/>
      <c r="N46" s="78"/>
      <c r="O46" s="78"/>
      <c r="P46" s="78"/>
      <c r="Q46" s="78"/>
      <c r="R46" s="78"/>
      <c r="S46" s="78"/>
      <c r="T46" s="78"/>
      <c r="U46" s="78"/>
      <c r="V46" s="78"/>
      <c r="W46" s="37">
        <f t="shared" si="26"/>
        <v>0.20270270270270271</v>
      </c>
      <c r="X46" s="39">
        <v>15</v>
      </c>
    </row>
    <row r="47" spans="1:28">
      <c r="B47" s="79" t="s">
        <v>303</v>
      </c>
      <c r="C47" s="77"/>
      <c r="D47" s="77"/>
      <c r="E47" s="77"/>
      <c r="F47" s="77"/>
      <c r="G47" s="77"/>
      <c r="H47" s="78"/>
      <c r="I47" s="78"/>
      <c r="J47" s="78"/>
      <c r="K47" s="78"/>
      <c r="L47" s="78"/>
      <c r="M47" s="78"/>
      <c r="N47" s="78"/>
      <c r="O47" s="78"/>
      <c r="P47" s="78"/>
      <c r="Q47" s="78"/>
      <c r="R47" s="78"/>
      <c r="S47" s="78"/>
      <c r="T47" s="78"/>
      <c r="U47" s="78"/>
      <c r="V47" s="78"/>
      <c r="W47" s="37">
        <f t="shared" si="26"/>
        <v>0</v>
      </c>
      <c r="X47" s="39">
        <v>0</v>
      </c>
      <c r="Y47" s="69" t="s">
        <v>333</v>
      </c>
      <c r="Z47" s="69"/>
      <c r="AA47" s="69"/>
    </row>
    <row r="48" spans="1:28" s="69" customFormat="1">
      <c r="A48" s="31"/>
      <c r="B48" s="79" t="s">
        <v>620</v>
      </c>
      <c r="C48" s="78"/>
      <c r="D48" s="78"/>
      <c r="E48" s="78"/>
      <c r="F48" s="78"/>
      <c r="G48" s="78"/>
      <c r="H48" s="78"/>
      <c r="I48" s="78"/>
      <c r="J48" s="78"/>
      <c r="K48" s="78"/>
      <c r="L48" s="78"/>
      <c r="M48" s="78"/>
      <c r="N48" s="78"/>
      <c r="O48" s="78"/>
      <c r="P48" s="78"/>
      <c r="Q48" s="78"/>
      <c r="R48" s="78"/>
      <c r="S48" s="78"/>
      <c r="T48" s="78"/>
      <c r="U48" s="78"/>
      <c r="V48" s="78"/>
      <c r="W48" s="37">
        <f t="shared" si="26"/>
        <v>1.3513513513513514E-2</v>
      </c>
      <c r="X48" s="39">
        <v>1</v>
      </c>
    </row>
    <row r="49" spans="1:28">
      <c r="A49" s="31">
        <v>0</v>
      </c>
      <c r="B49" s="96" t="s">
        <v>310</v>
      </c>
      <c r="C49" s="97" t="s">
        <v>309</v>
      </c>
      <c r="D49" s="97" t="s">
        <v>309</v>
      </c>
      <c r="E49" s="97" t="s">
        <v>309</v>
      </c>
      <c r="F49" s="97" t="s">
        <v>309</v>
      </c>
      <c r="G49" s="97" t="s">
        <v>309</v>
      </c>
      <c r="H49" s="97" t="s">
        <v>309</v>
      </c>
      <c r="I49" s="97" t="s">
        <v>309</v>
      </c>
      <c r="J49" s="97" t="s">
        <v>309</v>
      </c>
      <c r="K49" s="97" t="s">
        <v>309</v>
      </c>
      <c r="L49" s="97" t="s">
        <v>309</v>
      </c>
      <c r="M49" s="97" t="s">
        <v>309</v>
      </c>
      <c r="N49" s="97" t="s">
        <v>309</v>
      </c>
      <c r="O49" s="97" t="s">
        <v>309</v>
      </c>
      <c r="P49" s="97" t="s">
        <v>309</v>
      </c>
      <c r="Q49" s="97" t="s">
        <v>309</v>
      </c>
      <c r="R49" s="97" t="s">
        <v>309</v>
      </c>
      <c r="S49" s="97" t="s">
        <v>309</v>
      </c>
      <c r="T49" s="97" t="s">
        <v>309</v>
      </c>
      <c r="U49" s="97" t="s">
        <v>309</v>
      </c>
      <c r="V49" s="97" t="s">
        <v>309</v>
      </c>
      <c r="W49" s="37">
        <f t="shared" si="26"/>
        <v>0</v>
      </c>
      <c r="X49" s="39">
        <v>0</v>
      </c>
      <c r="Y49" s="69"/>
      <c r="Z49" s="69"/>
      <c r="AA49" s="69"/>
    </row>
    <row r="50" spans="1:28">
      <c r="D50" s="69"/>
      <c r="E50" s="69"/>
      <c r="F50" s="69"/>
      <c r="G50" s="69"/>
      <c r="R50" s="69"/>
      <c r="S50" s="69"/>
      <c r="T50" s="69"/>
      <c r="U50" s="69"/>
      <c r="V50" s="69"/>
      <c r="W50" s="37"/>
      <c r="Y50" s="69"/>
      <c r="Z50" s="69"/>
      <c r="AA50" s="69"/>
    </row>
    <row r="51" spans="1:28" s="69" customFormat="1" hidden="1">
      <c r="A51" s="31"/>
      <c r="B51" s="202" t="s">
        <v>623</v>
      </c>
      <c r="C51" s="69">
        <f>SUMPRODUCT((C39:C49&lt;&gt;"NA")*$X39:$X49)</f>
        <v>74</v>
      </c>
      <c r="D51" s="69">
        <f t="shared" ref="D51:V51" si="27">SUMPRODUCT((D39:D49&lt;&gt;"NA")*$X39:$X49)</f>
        <v>74</v>
      </c>
      <c r="E51" s="69">
        <f t="shared" si="27"/>
        <v>74</v>
      </c>
      <c r="F51" s="69">
        <f t="shared" si="27"/>
        <v>74</v>
      </c>
      <c r="G51" s="69">
        <f t="shared" si="27"/>
        <v>74</v>
      </c>
      <c r="H51" s="69">
        <f t="shared" si="27"/>
        <v>74</v>
      </c>
      <c r="I51" s="69">
        <f t="shared" si="27"/>
        <v>74</v>
      </c>
      <c r="J51" s="69">
        <f t="shared" si="27"/>
        <v>74</v>
      </c>
      <c r="K51" s="69">
        <f t="shared" si="27"/>
        <v>74</v>
      </c>
      <c r="L51" s="69">
        <f t="shared" si="27"/>
        <v>74</v>
      </c>
      <c r="M51" s="69">
        <f t="shared" si="27"/>
        <v>74</v>
      </c>
      <c r="N51" s="69">
        <f t="shared" si="27"/>
        <v>74</v>
      </c>
      <c r="O51" s="69">
        <f t="shared" si="27"/>
        <v>74</v>
      </c>
      <c r="P51" s="69">
        <f t="shared" si="27"/>
        <v>74</v>
      </c>
      <c r="Q51" s="69">
        <f t="shared" si="27"/>
        <v>74</v>
      </c>
      <c r="R51" s="69">
        <f t="shared" si="27"/>
        <v>74</v>
      </c>
      <c r="S51" s="69">
        <f t="shared" si="27"/>
        <v>74</v>
      </c>
      <c r="T51" s="69">
        <f t="shared" si="27"/>
        <v>74</v>
      </c>
      <c r="U51" s="69">
        <f t="shared" si="27"/>
        <v>74</v>
      </c>
      <c r="V51" s="69">
        <f t="shared" si="27"/>
        <v>74</v>
      </c>
      <c r="W51" s="37"/>
      <c r="X51" s="39"/>
    </row>
    <row r="52" spans="1:28" hidden="1">
      <c r="B52" s="8" t="s">
        <v>14</v>
      </c>
      <c r="C52">
        <f t="shared" ref="C52:V52" ca="1" si="28">C38*$Y38</f>
        <v>0</v>
      </c>
      <c r="D52" s="69">
        <f t="shared" ca="1" si="28"/>
        <v>0</v>
      </c>
      <c r="E52" s="69">
        <f t="shared" ca="1" si="28"/>
        <v>0</v>
      </c>
      <c r="F52" s="69">
        <f t="shared" ca="1" si="28"/>
        <v>0</v>
      </c>
      <c r="G52" s="69">
        <f t="shared" ca="1" si="28"/>
        <v>0</v>
      </c>
      <c r="H52" s="69">
        <f t="shared" ca="1" si="28"/>
        <v>0</v>
      </c>
      <c r="I52" s="69">
        <f t="shared" ca="1" si="28"/>
        <v>0</v>
      </c>
      <c r="J52" s="69">
        <f t="shared" ca="1" si="28"/>
        <v>0</v>
      </c>
      <c r="K52" s="69">
        <f t="shared" ca="1" si="28"/>
        <v>0</v>
      </c>
      <c r="L52" s="69">
        <f t="shared" ca="1" si="28"/>
        <v>0</v>
      </c>
      <c r="M52" s="69">
        <f t="shared" ca="1" si="28"/>
        <v>0</v>
      </c>
      <c r="N52" s="69">
        <f t="shared" ca="1" si="28"/>
        <v>0</v>
      </c>
      <c r="O52" s="69">
        <f t="shared" ca="1" si="28"/>
        <v>0</v>
      </c>
      <c r="P52" s="69">
        <f t="shared" ca="1" si="28"/>
        <v>0</v>
      </c>
      <c r="Q52" s="69">
        <f t="shared" ca="1" si="28"/>
        <v>0</v>
      </c>
      <c r="R52" s="69">
        <f t="shared" ca="1" si="28"/>
        <v>0</v>
      </c>
      <c r="S52" s="69">
        <f t="shared" ca="1" si="28"/>
        <v>0</v>
      </c>
      <c r="T52" s="69">
        <f t="shared" ca="1" si="28"/>
        <v>0</v>
      </c>
      <c r="U52" s="69">
        <f t="shared" ca="1" si="28"/>
        <v>0</v>
      </c>
      <c r="V52" s="69">
        <f t="shared" ca="1" si="28"/>
        <v>0</v>
      </c>
      <c r="W52" s="37"/>
      <c r="Y52" s="69"/>
      <c r="Z52" s="69"/>
      <c r="AA52" s="69"/>
    </row>
    <row r="53" spans="1:28" hidden="1">
      <c r="B53" s="8" t="s">
        <v>15</v>
      </c>
      <c r="C53">
        <f t="shared" ref="C53:V53" ca="1" si="29">C38*$Z38</f>
        <v>10.24</v>
      </c>
      <c r="D53" s="69">
        <f t="shared" ca="1" si="29"/>
        <v>0</v>
      </c>
      <c r="E53" s="69">
        <f t="shared" ca="1" si="29"/>
        <v>0</v>
      </c>
      <c r="F53" s="69">
        <f t="shared" ca="1" si="29"/>
        <v>0</v>
      </c>
      <c r="G53" s="69">
        <f t="shared" ca="1" si="29"/>
        <v>0</v>
      </c>
      <c r="H53" s="69">
        <f t="shared" ca="1" si="29"/>
        <v>0</v>
      </c>
      <c r="I53" s="69">
        <f t="shared" ca="1" si="29"/>
        <v>0</v>
      </c>
      <c r="J53" s="69">
        <f t="shared" ca="1" si="29"/>
        <v>0</v>
      </c>
      <c r="K53" s="69">
        <f t="shared" ca="1" si="29"/>
        <v>0</v>
      </c>
      <c r="L53" s="69">
        <f t="shared" ca="1" si="29"/>
        <v>0</v>
      </c>
      <c r="M53" s="69">
        <f t="shared" ca="1" si="29"/>
        <v>0</v>
      </c>
      <c r="N53" s="69">
        <f t="shared" ca="1" si="29"/>
        <v>0</v>
      </c>
      <c r="O53" s="69">
        <f t="shared" ca="1" si="29"/>
        <v>0</v>
      </c>
      <c r="P53" s="69">
        <f t="shared" ca="1" si="29"/>
        <v>0</v>
      </c>
      <c r="Q53" s="69">
        <f t="shared" ca="1" si="29"/>
        <v>0</v>
      </c>
      <c r="R53" s="69">
        <f t="shared" ca="1" si="29"/>
        <v>0</v>
      </c>
      <c r="S53" s="69">
        <f t="shared" ca="1" si="29"/>
        <v>0</v>
      </c>
      <c r="T53" s="69">
        <f t="shared" ca="1" si="29"/>
        <v>0</v>
      </c>
      <c r="U53" s="69">
        <f t="shared" ca="1" si="29"/>
        <v>0</v>
      </c>
      <c r="V53" s="69">
        <f t="shared" ca="1" si="29"/>
        <v>0</v>
      </c>
      <c r="W53" s="37"/>
      <c r="Y53" s="69"/>
      <c r="Z53" s="69"/>
      <c r="AA53" s="69"/>
    </row>
    <row r="54" spans="1:28" hidden="1">
      <c r="B54" s="8" t="s">
        <v>16</v>
      </c>
      <c r="C54">
        <f t="shared" ref="C54:V54" ca="1" si="30">C38*$AA38</f>
        <v>0</v>
      </c>
      <c r="D54" s="69">
        <f t="shared" ca="1" si="30"/>
        <v>0</v>
      </c>
      <c r="E54" s="69">
        <f t="shared" ca="1" si="30"/>
        <v>0</v>
      </c>
      <c r="F54" s="69">
        <f t="shared" ca="1" si="30"/>
        <v>0</v>
      </c>
      <c r="G54" s="69">
        <f t="shared" ca="1" si="30"/>
        <v>0</v>
      </c>
      <c r="H54" s="69">
        <f t="shared" ca="1" si="30"/>
        <v>0</v>
      </c>
      <c r="I54" s="69">
        <f t="shared" ca="1" si="30"/>
        <v>0</v>
      </c>
      <c r="J54" s="69">
        <f t="shared" ca="1" si="30"/>
        <v>0</v>
      </c>
      <c r="K54" s="69">
        <f t="shared" ca="1" si="30"/>
        <v>0</v>
      </c>
      <c r="L54" s="69">
        <f t="shared" ca="1" si="30"/>
        <v>0</v>
      </c>
      <c r="M54" s="69">
        <f t="shared" ca="1" si="30"/>
        <v>0</v>
      </c>
      <c r="N54" s="69">
        <f t="shared" ca="1" si="30"/>
        <v>0</v>
      </c>
      <c r="O54" s="69">
        <f t="shared" ca="1" si="30"/>
        <v>0</v>
      </c>
      <c r="P54" s="69">
        <f t="shared" ca="1" si="30"/>
        <v>0</v>
      </c>
      <c r="Q54" s="69">
        <f t="shared" ca="1" si="30"/>
        <v>0</v>
      </c>
      <c r="R54" s="69">
        <f t="shared" ca="1" si="30"/>
        <v>0</v>
      </c>
      <c r="S54" s="69">
        <f t="shared" ca="1" si="30"/>
        <v>0</v>
      </c>
      <c r="T54" s="69">
        <f t="shared" ca="1" si="30"/>
        <v>0</v>
      </c>
      <c r="U54" s="69">
        <f t="shared" ca="1" si="30"/>
        <v>0</v>
      </c>
      <c r="V54" s="69">
        <f t="shared" ca="1" si="30"/>
        <v>0</v>
      </c>
      <c r="W54" s="37"/>
      <c r="Y54" s="69"/>
      <c r="Z54" s="69"/>
      <c r="AA54" s="69"/>
    </row>
    <row r="55" spans="1:28" hidden="1">
      <c r="B55" s="8" t="s">
        <v>17</v>
      </c>
      <c r="C55">
        <f t="shared" ref="C55:V55" ca="1" si="31">C38*$AB38</f>
        <v>2.56</v>
      </c>
      <c r="D55" s="69">
        <f t="shared" ca="1" si="31"/>
        <v>0</v>
      </c>
      <c r="E55" s="69">
        <f t="shared" ca="1" si="31"/>
        <v>0</v>
      </c>
      <c r="F55" s="69">
        <f t="shared" ca="1" si="31"/>
        <v>0</v>
      </c>
      <c r="G55" s="69">
        <f t="shared" ca="1" si="31"/>
        <v>0</v>
      </c>
      <c r="H55" s="69">
        <f t="shared" ca="1" si="31"/>
        <v>0</v>
      </c>
      <c r="I55" s="69">
        <f t="shared" ca="1" si="31"/>
        <v>0</v>
      </c>
      <c r="J55" s="69">
        <f t="shared" ca="1" si="31"/>
        <v>0</v>
      </c>
      <c r="K55" s="69">
        <f t="shared" ca="1" si="31"/>
        <v>0</v>
      </c>
      <c r="L55" s="69">
        <f t="shared" ca="1" si="31"/>
        <v>0</v>
      </c>
      <c r="M55" s="69">
        <f t="shared" ca="1" si="31"/>
        <v>0</v>
      </c>
      <c r="N55" s="69">
        <f t="shared" ca="1" si="31"/>
        <v>0</v>
      </c>
      <c r="O55" s="69">
        <f t="shared" ca="1" si="31"/>
        <v>0</v>
      </c>
      <c r="P55" s="69">
        <f t="shared" ca="1" si="31"/>
        <v>0</v>
      </c>
      <c r="Q55" s="69">
        <f t="shared" ca="1" si="31"/>
        <v>0</v>
      </c>
      <c r="R55" s="69">
        <f t="shared" ca="1" si="31"/>
        <v>0</v>
      </c>
      <c r="S55" s="69">
        <f t="shared" ca="1" si="31"/>
        <v>0</v>
      </c>
      <c r="T55" s="69">
        <f t="shared" ca="1" si="31"/>
        <v>0</v>
      </c>
      <c r="U55" s="69">
        <f t="shared" ca="1" si="31"/>
        <v>0</v>
      </c>
      <c r="V55" s="69">
        <f t="shared" ca="1" si="31"/>
        <v>0</v>
      </c>
      <c r="W55" s="37"/>
      <c r="Y55" s="69"/>
      <c r="Z55" s="69"/>
      <c r="AA55" s="69"/>
    </row>
    <row r="56" spans="1:28">
      <c r="B56" s="65"/>
      <c r="C56" s="64"/>
      <c r="D56" s="64"/>
      <c r="E56" s="64"/>
      <c r="F56" s="64"/>
      <c r="G56" s="64"/>
      <c r="H56" s="64"/>
      <c r="I56" s="64"/>
      <c r="J56" s="64"/>
      <c r="K56" s="64"/>
      <c r="L56" s="64"/>
      <c r="M56" s="64"/>
      <c r="N56" s="64"/>
      <c r="O56" s="64"/>
      <c r="P56" s="64"/>
      <c r="Q56" s="64"/>
      <c r="R56" s="64"/>
      <c r="S56" s="64"/>
      <c r="T56" s="64"/>
      <c r="U56" s="64"/>
      <c r="V56" s="64"/>
      <c r="W56" s="37"/>
      <c r="Y56" s="69"/>
      <c r="Z56" s="69"/>
      <c r="AA56" s="69"/>
    </row>
    <row r="57" spans="1:28">
      <c r="B57" s="23" t="s">
        <v>45</v>
      </c>
      <c r="C57" s="81">
        <f>SUMPRODUCT(C59:C63,$X$59:$X$63)/C65</f>
        <v>0</v>
      </c>
      <c r="D57" s="81">
        <f t="shared" ref="D57:V57" si="32">SUMPRODUCT(D59:D63,$X$59:$X$63)/D65</f>
        <v>0</v>
      </c>
      <c r="E57" s="81">
        <f t="shared" si="32"/>
        <v>0</v>
      </c>
      <c r="F57" s="81">
        <f t="shared" si="32"/>
        <v>0</v>
      </c>
      <c r="G57" s="81">
        <f t="shared" si="32"/>
        <v>0</v>
      </c>
      <c r="H57" s="81">
        <f t="shared" si="32"/>
        <v>0</v>
      </c>
      <c r="I57" s="81">
        <f t="shared" si="32"/>
        <v>0</v>
      </c>
      <c r="J57" s="81">
        <f t="shared" si="32"/>
        <v>0</v>
      </c>
      <c r="K57" s="81">
        <f t="shared" si="32"/>
        <v>0</v>
      </c>
      <c r="L57" s="81">
        <f t="shared" si="32"/>
        <v>0</v>
      </c>
      <c r="M57" s="81">
        <f t="shared" si="32"/>
        <v>0</v>
      </c>
      <c r="N57" s="81">
        <f t="shared" si="32"/>
        <v>0</v>
      </c>
      <c r="O57" s="81">
        <f t="shared" si="32"/>
        <v>0</v>
      </c>
      <c r="P57" s="81">
        <f t="shared" si="32"/>
        <v>0</v>
      </c>
      <c r="Q57" s="81">
        <f t="shared" si="32"/>
        <v>0</v>
      </c>
      <c r="R57" s="81">
        <f t="shared" si="32"/>
        <v>0</v>
      </c>
      <c r="S57" s="81">
        <f t="shared" si="32"/>
        <v>0</v>
      </c>
      <c r="T57" s="81">
        <f t="shared" si="32"/>
        <v>0</v>
      </c>
      <c r="U57" s="81">
        <f t="shared" si="32"/>
        <v>0</v>
      </c>
      <c r="V57" s="81">
        <f t="shared" si="32"/>
        <v>0</v>
      </c>
      <c r="W57" s="37"/>
      <c r="Y57" s="69"/>
      <c r="Z57" s="69"/>
      <c r="AA57" s="69"/>
    </row>
    <row r="58" spans="1:28">
      <c r="B58" s="35" t="s">
        <v>65</v>
      </c>
      <c r="C58" s="246">
        <f ca="1">INDIRECT("'TESTING v2'!AJ"&amp;COLUMN())</f>
        <v>0</v>
      </c>
      <c r="D58" s="246">
        <f t="shared" ref="D58:V58" ca="1" si="33">INDIRECT("'TESTING v2'!AJ"&amp;COLUMN())</f>
        <v>0</v>
      </c>
      <c r="E58" s="246">
        <f t="shared" ca="1" si="33"/>
        <v>0</v>
      </c>
      <c r="F58" s="246">
        <f t="shared" ca="1" si="33"/>
        <v>0</v>
      </c>
      <c r="G58" s="246">
        <f t="shared" ca="1" si="33"/>
        <v>0</v>
      </c>
      <c r="H58" s="246">
        <f t="shared" ca="1" si="33"/>
        <v>0</v>
      </c>
      <c r="I58" s="246">
        <f t="shared" ca="1" si="33"/>
        <v>0</v>
      </c>
      <c r="J58" s="246">
        <f t="shared" ca="1" si="33"/>
        <v>0</v>
      </c>
      <c r="K58" s="246">
        <f t="shared" ca="1" si="33"/>
        <v>0</v>
      </c>
      <c r="L58" s="246">
        <f t="shared" ca="1" si="33"/>
        <v>0</v>
      </c>
      <c r="M58" s="246">
        <f t="shared" ca="1" si="33"/>
        <v>0</v>
      </c>
      <c r="N58" s="246">
        <f t="shared" ca="1" si="33"/>
        <v>0</v>
      </c>
      <c r="O58" s="246">
        <f t="shared" ca="1" si="33"/>
        <v>0</v>
      </c>
      <c r="P58" s="246">
        <f t="shared" ca="1" si="33"/>
        <v>0</v>
      </c>
      <c r="Q58" s="246">
        <f t="shared" ca="1" si="33"/>
        <v>0</v>
      </c>
      <c r="R58" s="246">
        <f t="shared" ca="1" si="33"/>
        <v>0</v>
      </c>
      <c r="S58" s="246">
        <f t="shared" ca="1" si="33"/>
        <v>0</v>
      </c>
      <c r="T58" s="246">
        <f t="shared" ca="1" si="33"/>
        <v>0</v>
      </c>
      <c r="U58" s="246">
        <f t="shared" ca="1" si="33"/>
        <v>0</v>
      </c>
      <c r="V58" s="246">
        <f t="shared" ca="1" si="33"/>
        <v>0</v>
      </c>
      <c r="W58" s="67">
        <f ca="1">COUNTBLANK(C66:V69)</f>
        <v>0</v>
      </c>
      <c r="X58" s="39" t="s">
        <v>259</v>
      </c>
      <c r="Y58" s="6">
        <f>AB2*AB8</f>
        <v>20</v>
      </c>
      <c r="Z58" s="6">
        <f>AB3*AB8</f>
        <v>20</v>
      </c>
      <c r="AA58" s="6">
        <f>AB4*AB8</f>
        <v>0</v>
      </c>
      <c r="AB58" s="6">
        <f>AB5*AB8</f>
        <v>30</v>
      </c>
    </row>
    <row r="59" spans="1:28" s="69" customFormat="1">
      <c r="A59" s="31"/>
      <c r="B59" s="70" t="s">
        <v>75</v>
      </c>
      <c r="C59" s="77"/>
      <c r="D59" s="77"/>
      <c r="E59" s="77"/>
      <c r="F59" s="77"/>
      <c r="G59" s="77"/>
      <c r="H59" s="77"/>
      <c r="I59" s="77"/>
      <c r="J59" s="77"/>
      <c r="K59" s="77"/>
      <c r="L59" s="77"/>
      <c r="M59" s="77"/>
      <c r="N59" s="77"/>
      <c r="O59" s="77"/>
      <c r="P59" s="77"/>
      <c r="Q59" s="77"/>
      <c r="R59" s="77"/>
      <c r="S59" s="77"/>
      <c r="T59" s="77"/>
      <c r="U59" s="77"/>
      <c r="V59" s="77"/>
      <c r="W59" s="72">
        <f>X59/SUM($X$59:$X$63)</f>
        <v>0.38461538461538464</v>
      </c>
      <c r="X59" s="39">
        <v>50</v>
      </c>
    </row>
    <row r="60" spans="1:28" s="69" customFormat="1">
      <c r="A60" s="31"/>
      <c r="B60" s="70" t="s">
        <v>76</v>
      </c>
      <c r="C60" s="77"/>
      <c r="D60" s="77"/>
      <c r="E60" s="77"/>
      <c r="F60" s="77"/>
      <c r="G60" s="77"/>
      <c r="H60" s="77"/>
      <c r="I60" s="77"/>
      <c r="J60" s="77"/>
      <c r="K60" s="77"/>
      <c r="L60" s="77"/>
      <c r="M60" s="77"/>
      <c r="N60" s="77"/>
      <c r="O60" s="77"/>
      <c r="P60" s="77"/>
      <c r="Q60" s="77"/>
      <c r="R60" s="77"/>
      <c r="S60" s="77"/>
      <c r="T60" s="77"/>
      <c r="U60" s="77"/>
      <c r="V60" s="77"/>
      <c r="W60" s="72">
        <f>X60/SUM($X$59:$X$63)</f>
        <v>0.38461538461538464</v>
      </c>
      <c r="X60" s="39">
        <v>50</v>
      </c>
    </row>
    <row r="61" spans="1:28" s="69" customFormat="1">
      <c r="A61" s="31"/>
      <c r="B61" s="70" t="s">
        <v>77</v>
      </c>
      <c r="C61" s="77"/>
      <c r="D61" s="77"/>
      <c r="E61" s="77"/>
      <c r="F61" s="77"/>
      <c r="G61" s="77"/>
      <c r="H61" s="77"/>
      <c r="I61" s="77"/>
      <c r="J61" s="77"/>
      <c r="K61" s="77"/>
      <c r="L61" s="77"/>
      <c r="M61" s="77"/>
      <c r="N61" s="77"/>
      <c r="O61" s="77"/>
      <c r="P61" s="77"/>
      <c r="Q61" s="77"/>
      <c r="R61" s="77"/>
      <c r="S61" s="77"/>
      <c r="T61" s="77"/>
      <c r="U61" s="77"/>
      <c r="V61" s="77"/>
      <c r="W61" s="72">
        <f>X61/SUM($X$59:$X$63)</f>
        <v>7.6923076923076927E-2</v>
      </c>
      <c r="X61" s="39">
        <v>10</v>
      </c>
    </row>
    <row r="62" spans="1:28" s="69" customFormat="1">
      <c r="A62" s="31"/>
      <c r="B62" s="70" t="s">
        <v>295</v>
      </c>
      <c r="C62" s="77"/>
      <c r="D62" s="77"/>
      <c r="E62" s="77"/>
      <c r="F62" s="77"/>
      <c r="G62" s="77"/>
      <c r="H62" s="77"/>
      <c r="I62" s="77"/>
      <c r="J62" s="77"/>
      <c r="K62" s="77"/>
      <c r="L62" s="77"/>
      <c r="M62" s="77"/>
      <c r="N62" s="77"/>
      <c r="O62" s="77"/>
      <c r="P62" s="77"/>
      <c r="Q62" s="77"/>
      <c r="R62" s="77"/>
      <c r="S62" s="77"/>
      <c r="T62" s="77"/>
      <c r="U62" s="77"/>
      <c r="V62" s="77"/>
      <c r="W62" s="72">
        <f>X62/SUM($X$59:$X$63)</f>
        <v>0.15384615384615385</v>
      </c>
      <c r="X62" s="39">
        <v>20</v>
      </c>
    </row>
    <row r="63" spans="1:28" s="69" customFormat="1">
      <c r="A63" s="31"/>
      <c r="B63" s="96" t="s">
        <v>310</v>
      </c>
      <c r="C63" s="97" t="s">
        <v>309</v>
      </c>
      <c r="D63" s="97" t="s">
        <v>309</v>
      </c>
      <c r="E63" s="97" t="s">
        <v>309</v>
      </c>
      <c r="F63" s="97" t="s">
        <v>309</v>
      </c>
      <c r="G63" s="97" t="s">
        <v>309</v>
      </c>
      <c r="H63" s="97" t="s">
        <v>309</v>
      </c>
      <c r="I63" s="97" t="s">
        <v>309</v>
      </c>
      <c r="J63" s="97" t="s">
        <v>309</v>
      </c>
      <c r="K63" s="97" t="s">
        <v>309</v>
      </c>
      <c r="L63" s="97" t="s">
        <v>309</v>
      </c>
      <c r="M63" s="97" t="s">
        <v>309</v>
      </c>
      <c r="N63" s="97" t="s">
        <v>309</v>
      </c>
      <c r="O63" s="97" t="s">
        <v>309</v>
      </c>
      <c r="P63" s="97" t="s">
        <v>309</v>
      </c>
      <c r="Q63" s="97" t="s">
        <v>309</v>
      </c>
      <c r="R63" s="97" t="s">
        <v>309</v>
      </c>
      <c r="S63" s="97" t="s">
        <v>309</v>
      </c>
      <c r="T63" s="97" t="s">
        <v>309</v>
      </c>
      <c r="U63" s="97" t="s">
        <v>309</v>
      </c>
      <c r="V63" s="97" t="s">
        <v>309</v>
      </c>
      <c r="W63" s="72">
        <f>X63/SUM($X$59:$X$63)</f>
        <v>0</v>
      </c>
      <c r="X63" s="39">
        <v>0</v>
      </c>
    </row>
    <row r="64" spans="1:28">
      <c r="D64" s="69"/>
      <c r="E64" s="69"/>
      <c r="F64" s="69"/>
      <c r="G64" s="69"/>
      <c r="R64" s="69"/>
      <c r="S64" s="69"/>
      <c r="T64" s="69"/>
      <c r="U64" s="69"/>
      <c r="V64" s="69"/>
      <c r="W64" s="37"/>
    </row>
    <row r="65" spans="1:28" s="69" customFormat="1" hidden="1">
      <c r="A65" s="31"/>
      <c r="B65" s="202" t="s">
        <v>623</v>
      </c>
      <c r="C65" s="69">
        <f>SUMPRODUCT((C59:C63&lt;&gt;"NA")*$X59:$X63)</f>
        <v>130</v>
      </c>
      <c r="D65" s="69">
        <f t="shared" ref="D65:V65" si="34">SUMPRODUCT((D59:D63&lt;&gt;"NA")*$X59:$X63)</f>
        <v>130</v>
      </c>
      <c r="E65" s="69">
        <f t="shared" si="34"/>
        <v>130</v>
      </c>
      <c r="F65" s="69">
        <f t="shared" si="34"/>
        <v>130</v>
      </c>
      <c r="G65" s="69">
        <f>SUMPRODUCT((G59:G63&lt;&gt;"NA")*$X59:$X63)</f>
        <v>130</v>
      </c>
      <c r="H65" s="69">
        <f t="shared" si="34"/>
        <v>130</v>
      </c>
      <c r="I65" s="69">
        <f t="shared" si="34"/>
        <v>130</v>
      </c>
      <c r="J65" s="69">
        <f t="shared" si="34"/>
        <v>130</v>
      </c>
      <c r="K65" s="69">
        <f t="shared" si="34"/>
        <v>130</v>
      </c>
      <c r="L65" s="69">
        <f t="shared" si="34"/>
        <v>130</v>
      </c>
      <c r="M65" s="69">
        <f t="shared" si="34"/>
        <v>130</v>
      </c>
      <c r="N65" s="69">
        <f t="shared" si="34"/>
        <v>130</v>
      </c>
      <c r="O65" s="69">
        <f t="shared" si="34"/>
        <v>130</v>
      </c>
      <c r="P65" s="69">
        <f t="shared" si="34"/>
        <v>130</v>
      </c>
      <c r="Q65" s="69">
        <f t="shared" si="34"/>
        <v>130</v>
      </c>
      <c r="R65" s="69">
        <f t="shared" si="34"/>
        <v>130</v>
      </c>
      <c r="S65" s="69">
        <f t="shared" si="34"/>
        <v>130</v>
      </c>
      <c r="T65" s="69">
        <f t="shared" si="34"/>
        <v>130</v>
      </c>
      <c r="U65" s="69">
        <f t="shared" si="34"/>
        <v>130</v>
      </c>
      <c r="V65" s="69">
        <f t="shared" si="34"/>
        <v>130</v>
      </c>
      <c r="W65" s="37"/>
      <c r="X65" s="39"/>
    </row>
    <row r="66" spans="1:28" hidden="1">
      <c r="B66" s="8" t="s">
        <v>14</v>
      </c>
      <c r="C66">
        <f t="shared" ref="C66:V66" ca="1" si="35">C58*$Y58</f>
        <v>0</v>
      </c>
      <c r="D66" s="69">
        <f t="shared" ca="1" si="35"/>
        <v>0</v>
      </c>
      <c r="E66" s="69">
        <f t="shared" ca="1" si="35"/>
        <v>0</v>
      </c>
      <c r="F66" s="69">
        <f t="shared" ca="1" si="35"/>
        <v>0</v>
      </c>
      <c r="G66" s="69">
        <f t="shared" ca="1" si="35"/>
        <v>0</v>
      </c>
      <c r="H66" s="69">
        <f t="shared" ca="1" si="35"/>
        <v>0</v>
      </c>
      <c r="I66" s="69">
        <f t="shared" ca="1" si="35"/>
        <v>0</v>
      </c>
      <c r="J66" s="69">
        <f t="shared" ca="1" si="35"/>
        <v>0</v>
      </c>
      <c r="K66" s="69">
        <f t="shared" ca="1" si="35"/>
        <v>0</v>
      </c>
      <c r="L66" s="69">
        <f t="shared" ca="1" si="35"/>
        <v>0</v>
      </c>
      <c r="M66" s="69">
        <f t="shared" ca="1" si="35"/>
        <v>0</v>
      </c>
      <c r="N66" s="69">
        <f t="shared" ca="1" si="35"/>
        <v>0</v>
      </c>
      <c r="O66" s="69">
        <f t="shared" ca="1" si="35"/>
        <v>0</v>
      </c>
      <c r="P66" s="69">
        <f t="shared" ca="1" si="35"/>
        <v>0</v>
      </c>
      <c r="Q66" s="69">
        <f t="shared" ca="1" si="35"/>
        <v>0</v>
      </c>
      <c r="R66" s="69">
        <f t="shared" ca="1" si="35"/>
        <v>0</v>
      </c>
      <c r="S66" s="69">
        <f t="shared" ca="1" si="35"/>
        <v>0</v>
      </c>
      <c r="T66" s="69">
        <f t="shared" ca="1" si="35"/>
        <v>0</v>
      </c>
      <c r="U66" s="69">
        <f t="shared" ca="1" si="35"/>
        <v>0</v>
      </c>
      <c r="V66" s="69">
        <f t="shared" ca="1" si="35"/>
        <v>0</v>
      </c>
      <c r="W66" s="37"/>
    </row>
    <row r="67" spans="1:28" hidden="1">
      <c r="B67" s="8" t="s">
        <v>15</v>
      </c>
      <c r="C67">
        <f t="shared" ref="C67:V67" ca="1" si="36">C58*$Z58</f>
        <v>0</v>
      </c>
      <c r="D67" s="69">
        <f t="shared" ca="1" si="36"/>
        <v>0</v>
      </c>
      <c r="E67" s="69">
        <f t="shared" ca="1" si="36"/>
        <v>0</v>
      </c>
      <c r="F67" s="69">
        <f t="shared" ca="1" si="36"/>
        <v>0</v>
      </c>
      <c r="G67" s="69">
        <f t="shared" ca="1" si="36"/>
        <v>0</v>
      </c>
      <c r="H67" s="69">
        <f t="shared" ca="1" si="36"/>
        <v>0</v>
      </c>
      <c r="I67" s="69">
        <f t="shared" ca="1" si="36"/>
        <v>0</v>
      </c>
      <c r="J67" s="69">
        <f t="shared" ca="1" si="36"/>
        <v>0</v>
      </c>
      <c r="K67" s="69">
        <f t="shared" ca="1" si="36"/>
        <v>0</v>
      </c>
      <c r="L67" s="69">
        <f t="shared" ca="1" si="36"/>
        <v>0</v>
      </c>
      <c r="M67" s="69">
        <f t="shared" ca="1" si="36"/>
        <v>0</v>
      </c>
      <c r="N67" s="69">
        <f t="shared" ca="1" si="36"/>
        <v>0</v>
      </c>
      <c r="O67" s="69">
        <f t="shared" ca="1" si="36"/>
        <v>0</v>
      </c>
      <c r="P67" s="69">
        <f t="shared" ca="1" si="36"/>
        <v>0</v>
      </c>
      <c r="Q67" s="69">
        <f t="shared" ca="1" si="36"/>
        <v>0</v>
      </c>
      <c r="R67" s="69">
        <f t="shared" ca="1" si="36"/>
        <v>0</v>
      </c>
      <c r="S67" s="69">
        <f t="shared" ca="1" si="36"/>
        <v>0</v>
      </c>
      <c r="T67" s="69">
        <f t="shared" ca="1" si="36"/>
        <v>0</v>
      </c>
      <c r="U67" s="69">
        <f t="shared" ca="1" si="36"/>
        <v>0</v>
      </c>
      <c r="V67" s="69">
        <f t="shared" ca="1" si="36"/>
        <v>0</v>
      </c>
      <c r="W67" s="37"/>
    </row>
    <row r="68" spans="1:28" hidden="1">
      <c r="B68" s="8" t="s">
        <v>16</v>
      </c>
      <c r="C68">
        <f t="shared" ref="C68:V68" ca="1" si="37">C58*$AA58</f>
        <v>0</v>
      </c>
      <c r="D68" s="69">
        <f t="shared" ca="1" si="37"/>
        <v>0</v>
      </c>
      <c r="E68" s="69">
        <f t="shared" ca="1" si="37"/>
        <v>0</v>
      </c>
      <c r="F68" s="69">
        <f t="shared" ca="1" si="37"/>
        <v>0</v>
      </c>
      <c r="G68" s="69">
        <f t="shared" ca="1" si="37"/>
        <v>0</v>
      </c>
      <c r="H68" s="69">
        <f t="shared" ca="1" si="37"/>
        <v>0</v>
      </c>
      <c r="I68" s="69">
        <f t="shared" ca="1" si="37"/>
        <v>0</v>
      </c>
      <c r="J68" s="69">
        <f t="shared" ca="1" si="37"/>
        <v>0</v>
      </c>
      <c r="K68" s="69">
        <f t="shared" ca="1" si="37"/>
        <v>0</v>
      </c>
      <c r="L68" s="69">
        <f t="shared" ca="1" si="37"/>
        <v>0</v>
      </c>
      <c r="M68" s="69">
        <f t="shared" ca="1" si="37"/>
        <v>0</v>
      </c>
      <c r="N68" s="69">
        <f t="shared" ca="1" si="37"/>
        <v>0</v>
      </c>
      <c r="O68" s="69">
        <f t="shared" ca="1" si="37"/>
        <v>0</v>
      </c>
      <c r="P68" s="69">
        <f t="shared" ca="1" si="37"/>
        <v>0</v>
      </c>
      <c r="Q68" s="69">
        <f t="shared" ca="1" si="37"/>
        <v>0</v>
      </c>
      <c r="R68" s="69">
        <f t="shared" ca="1" si="37"/>
        <v>0</v>
      </c>
      <c r="S68" s="69">
        <f t="shared" ca="1" si="37"/>
        <v>0</v>
      </c>
      <c r="T68" s="69">
        <f t="shared" ca="1" si="37"/>
        <v>0</v>
      </c>
      <c r="U68" s="69">
        <f t="shared" ca="1" si="37"/>
        <v>0</v>
      </c>
      <c r="V68" s="69">
        <f t="shared" ca="1" si="37"/>
        <v>0</v>
      </c>
      <c r="W68" s="37"/>
    </row>
    <row r="69" spans="1:28" hidden="1">
      <c r="B69" s="8" t="s">
        <v>17</v>
      </c>
      <c r="C69">
        <f t="shared" ref="C69:V69" ca="1" si="38">C58*$AB58</f>
        <v>0</v>
      </c>
      <c r="D69" s="69">
        <f t="shared" ca="1" si="38"/>
        <v>0</v>
      </c>
      <c r="E69" s="69">
        <f t="shared" ca="1" si="38"/>
        <v>0</v>
      </c>
      <c r="F69" s="69">
        <f t="shared" ca="1" si="38"/>
        <v>0</v>
      </c>
      <c r="G69" s="69">
        <f t="shared" ca="1" si="38"/>
        <v>0</v>
      </c>
      <c r="H69" s="69">
        <f t="shared" ca="1" si="38"/>
        <v>0</v>
      </c>
      <c r="I69" s="69">
        <f t="shared" ca="1" si="38"/>
        <v>0</v>
      </c>
      <c r="J69" s="69">
        <f t="shared" ca="1" si="38"/>
        <v>0</v>
      </c>
      <c r="K69" s="69">
        <f t="shared" ca="1" si="38"/>
        <v>0</v>
      </c>
      <c r="L69" s="69">
        <f t="shared" ca="1" si="38"/>
        <v>0</v>
      </c>
      <c r="M69" s="69">
        <f t="shared" ca="1" si="38"/>
        <v>0</v>
      </c>
      <c r="N69" s="69">
        <f t="shared" ca="1" si="38"/>
        <v>0</v>
      </c>
      <c r="O69" s="69">
        <f t="shared" ca="1" si="38"/>
        <v>0</v>
      </c>
      <c r="P69" s="69">
        <f t="shared" ca="1" si="38"/>
        <v>0</v>
      </c>
      <c r="Q69" s="69">
        <f t="shared" ca="1" si="38"/>
        <v>0</v>
      </c>
      <c r="R69" s="69">
        <f t="shared" ca="1" si="38"/>
        <v>0</v>
      </c>
      <c r="S69" s="69">
        <f t="shared" ca="1" si="38"/>
        <v>0</v>
      </c>
      <c r="T69" s="69">
        <f t="shared" ca="1" si="38"/>
        <v>0</v>
      </c>
      <c r="U69" s="69">
        <f t="shared" ca="1" si="38"/>
        <v>0</v>
      </c>
      <c r="V69" s="69">
        <f t="shared" ca="1" si="38"/>
        <v>0</v>
      </c>
      <c r="W69" s="37"/>
    </row>
    <row r="70" spans="1:28">
      <c r="B70" s="65"/>
      <c r="C70" s="64"/>
      <c r="D70" s="64"/>
      <c r="E70" s="64"/>
      <c r="F70" s="64"/>
      <c r="G70" s="64"/>
      <c r="H70" s="64"/>
      <c r="I70" s="64"/>
      <c r="J70" s="64"/>
      <c r="K70" s="64"/>
      <c r="L70" s="64"/>
      <c r="M70" s="64"/>
      <c r="N70" s="64"/>
      <c r="O70" s="64"/>
      <c r="P70" s="64"/>
      <c r="Q70" s="64"/>
      <c r="R70" s="64"/>
      <c r="S70" s="64"/>
      <c r="T70" s="64"/>
      <c r="U70" s="64"/>
      <c r="V70" s="64"/>
      <c r="W70" s="37"/>
    </row>
    <row r="71" spans="1:28">
      <c r="B71" s="23" t="s">
        <v>46</v>
      </c>
      <c r="C71" s="81">
        <f ca="1">SUMPRODUCT(C73:C81,$X$73:$X$81)/C83</f>
        <v>0</v>
      </c>
      <c r="D71" s="81">
        <f t="shared" ref="D71:V71" ca="1" si="39">SUMPRODUCT(D73:D81,$X$73:$X$81)/D83</f>
        <v>0</v>
      </c>
      <c r="E71" s="81">
        <f t="shared" ca="1" si="39"/>
        <v>0</v>
      </c>
      <c r="F71" s="81">
        <f t="shared" ca="1" si="39"/>
        <v>0</v>
      </c>
      <c r="G71" s="81">
        <f t="shared" ca="1" si="39"/>
        <v>0</v>
      </c>
      <c r="H71" s="81">
        <f t="shared" ca="1" si="39"/>
        <v>0</v>
      </c>
      <c r="I71" s="81">
        <f t="shared" ca="1" si="39"/>
        <v>0</v>
      </c>
      <c r="J71" s="81">
        <f t="shared" ca="1" si="39"/>
        <v>0</v>
      </c>
      <c r="K71" s="81">
        <f t="shared" ca="1" si="39"/>
        <v>0</v>
      </c>
      <c r="L71" s="81">
        <f t="shared" ca="1" si="39"/>
        <v>0</v>
      </c>
      <c r="M71" s="81">
        <f t="shared" ca="1" si="39"/>
        <v>0</v>
      </c>
      <c r="N71" s="81">
        <f t="shared" ca="1" si="39"/>
        <v>0</v>
      </c>
      <c r="O71" s="81">
        <f t="shared" ca="1" si="39"/>
        <v>0</v>
      </c>
      <c r="P71" s="81">
        <f t="shared" ca="1" si="39"/>
        <v>0</v>
      </c>
      <c r="Q71" s="81">
        <f t="shared" ca="1" si="39"/>
        <v>0</v>
      </c>
      <c r="R71" s="81">
        <f t="shared" ca="1" si="39"/>
        <v>0</v>
      </c>
      <c r="S71" s="81">
        <f t="shared" ca="1" si="39"/>
        <v>0</v>
      </c>
      <c r="T71" s="81">
        <f t="shared" ca="1" si="39"/>
        <v>0</v>
      </c>
      <c r="U71" s="81">
        <f t="shared" ca="1" si="39"/>
        <v>0</v>
      </c>
      <c r="V71" s="81">
        <f t="shared" ca="1" si="39"/>
        <v>0</v>
      </c>
      <c r="W71" s="37"/>
      <c r="Y71" s="87"/>
      <c r="Z71" s="88"/>
      <c r="AA71" s="90"/>
    </row>
    <row r="72" spans="1:28">
      <c r="B72" s="35" t="s">
        <v>83</v>
      </c>
      <c r="C72" s="246">
        <f ca="1">INDIRECT("'TESTING v2'!AB"&amp;COLUMN())</f>
        <v>0</v>
      </c>
      <c r="D72" s="246">
        <f t="shared" ref="D72:V72" ca="1" si="40">INDIRECT("'TESTING v2'!AB"&amp;COLUMN())</f>
        <v>0</v>
      </c>
      <c r="E72" s="246">
        <f t="shared" ca="1" si="40"/>
        <v>0</v>
      </c>
      <c r="F72" s="246">
        <f t="shared" ca="1" si="40"/>
        <v>0</v>
      </c>
      <c r="G72" s="246">
        <f t="shared" ca="1" si="40"/>
        <v>0</v>
      </c>
      <c r="H72" s="246">
        <f t="shared" ca="1" si="40"/>
        <v>0</v>
      </c>
      <c r="I72" s="246">
        <f t="shared" ca="1" si="40"/>
        <v>0</v>
      </c>
      <c r="J72" s="246">
        <f t="shared" ca="1" si="40"/>
        <v>0</v>
      </c>
      <c r="K72" s="246">
        <f t="shared" ca="1" si="40"/>
        <v>0</v>
      </c>
      <c r="L72" s="246">
        <f t="shared" ca="1" si="40"/>
        <v>0</v>
      </c>
      <c r="M72" s="246">
        <f t="shared" ca="1" si="40"/>
        <v>0</v>
      </c>
      <c r="N72" s="246">
        <f t="shared" ca="1" si="40"/>
        <v>0</v>
      </c>
      <c r="O72" s="246">
        <f t="shared" ca="1" si="40"/>
        <v>0</v>
      </c>
      <c r="P72" s="246">
        <f t="shared" ca="1" si="40"/>
        <v>0</v>
      </c>
      <c r="Q72" s="246">
        <f t="shared" ca="1" si="40"/>
        <v>0</v>
      </c>
      <c r="R72" s="246">
        <f t="shared" ca="1" si="40"/>
        <v>0</v>
      </c>
      <c r="S72" s="246">
        <f t="shared" ca="1" si="40"/>
        <v>0</v>
      </c>
      <c r="T72" s="246">
        <f t="shared" ca="1" si="40"/>
        <v>0</v>
      </c>
      <c r="U72" s="246">
        <f t="shared" ca="1" si="40"/>
        <v>0</v>
      </c>
      <c r="V72" s="246">
        <f t="shared" ca="1" si="40"/>
        <v>0</v>
      </c>
      <c r="W72" s="68">
        <f ca="1">COUNTBLANK(C84:V87)</f>
        <v>0</v>
      </c>
      <c r="X72" s="39" t="s">
        <v>259</v>
      </c>
      <c r="Y72" s="6">
        <f>Z2*Z8</f>
        <v>0</v>
      </c>
      <c r="Z72" s="6">
        <f>Z3*Z8</f>
        <v>50</v>
      </c>
      <c r="AA72" s="6">
        <f>Z4*Z8</f>
        <v>0</v>
      </c>
      <c r="AB72" s="6">
        <f>Z5*Z8</f>
        <v>20</v>
      </c>
    </row>
    <row r="73" spans="1:28" s="69" customFormat="1">
      <c r="A73" s="31"/>
      <c r="B73" s="70" t="s">
        <v>622</v>
      </c>
      <c r="C73" s="77"/>
      <c r="D73" s="77"/>
      <c r="E73" s="77"/>
      <c r="F73" s="77"/>
      <c r="G73" s="77"/>
      <c r="H73" s="77"/>
      <c r="I73" s="77"/>
      <c r="J73" s="77"/>
      <c r="K73" s="77"/>
      <c r="L73" s="77"/>
      <c r="M73" s="77"/>
      <c r="N73" s="77"/>
      <c r="O73" s="77"/>
      <c r="P73" s="77"/>
      <c r="Q73" s="77"/>
      <c r="R73" s="77"/>
      <c r="S73" s="77"/>
      <c r="T73" s="77"/>
      <c r="U73" s="77"/>
      <c r="V73" s="77"/>
      <c r="W73" s="72">
        <f t="shared" ref="W73:W81" si="41">X73/SUM($X$73:$X$81)</f>
        <v>3.7383177570093455E-2</v>
      </c>
      <c r="X73" s="39">
        <v>4</v>
      </c>
    </row>
    <row r="74" spans="1:28" s="69" customFormat="1">
      <c r="A74" s="31"/>
      <c r="B74" s="70" t="s">
        <v>640</v>
      </c>
      <c r="C74" s="77"/>
      <c r="D74" s="77"/>
      <c r="E74" s="77"/>
      <c r="F74" s="77"/>
      <c r="G74" s="77"/>
      <c r="H74" s="77"/>
      <c r="I74" s="77"/>
      <c r="J74" s="77"/>
      <c r="K74" s="77"/>
      <c r="L74" s="77"/>
      <c r="M74" s="77"/>
      <c r="N74" s="77"/>
      <c r="O74" s="77"/>
      <c r="P74" s="77"/>
      <c r="Q74" s="77"/>
      <c r="R74" s="77"/>
      <c r="S74" s="77"/>
      <c r="T74" s="77"/>
      <c r="U74" s="77"/>
      <c r="V74" s="77"/>
      <c r="W74" s="72">
        <f t="shared" si="41"/>
        <v>9.3457943925233641E-2</v>
      </c>
      <c r="X74" s="39">
        <v>10</v>
      </c>
    </row>
    <row r="75" spans="1:28" s="69" customFormat="1">
      <c r="A75" s="31"/>
      <c r="B75" s="70" t="s">
        <v>263</v>
      </c>
      <c r="C75" s="77"/>
      <c r="D75" s="77"/>
      <c r="E75" s="77"/>
      <c r="F75" s="77"/>
      <c r="G75" s="77"/>
      <c r="H75" s="77"/>
      <c r="I75" s="77"/>
      <c r="J75" s="77"/>
      <c r="K75" s="77"/>
      <c r="L75" s="77"/>
      <c r="M75" s="77"/>
      <c r="N75" s="77"/>
      <c r="O75" s="77"/>
      <c r="P75" s="77"/>
      <c r="Q75" s="77"/>
      <c r="R75" s="77"/>
      <c r="S75" s="77"/>
      <c r="T75" s="77"/>
      <c r="U75" s="77"/>
      <c r="V75" s="77"/>
      <c r="W75" s="72">
        <f t="shared" si="41"/>
        <v>9.3457943925233641E-2</v>
      </c>
      <c r="X75" s="39">
        <v>10</v>
      </c>
    </row>
    <row r="76" spans="1:28" s="69" customFormat="1">
      <c r="A76" s="31"/>
      <c r="B76" s="70" t="s">
        <v>264</v>
      </c>
      <c r="C76" s="77"/>
      <c r="D76" s="77"/>
      <c r="E76" s="77"/>
      <c r="F76" s="77"/>
      <c r="G76" s="77"/>
      <c r="H76" s="77"/>
      <c r="I76" s="77"/>
      <c r="J76" s="77"/>
      <c r="K76" s="77"/>
      <c r="L76" s="77"/>
      <c r="M76" s="77"/>
      <c r="N76" s="77"/>
      <c r="O76" s="77"/>
      <c r="P76" s="77"/>
      <c r="Q76" s="77"/>
      <c r="R76" s="77"/>
      <c r="S76" s="77"/>
      <c r="T76" s="77"/>
      <c r="U76" s="77"/>
      <c r="V76" s="77"/>
      <c r="W76" s="72">
        <f t="shared" si="41"/>
        <v>9.3457943925233641E-2</v>
      </c>
      <c r="X76" s="39">
        <v>10</v>
      </c>
    </row>
    <row r="77" spans="1:28" s="69" customFormat="1">
      <c r="A77" s="31"/>
      <c r="B77" s="70" t="s">
        <v>266</v>
      </c>
      <c r="C77" s="77"/>
      <c r="D77" s="77"/>
      <c r="E77" s="77"/>
      <c r="F77" s="77"/>
      <c r="G77" s="77"/>
      <c r="H77" s="77"/>
      <c r="I77" s="77"/>
      <c r="J77" s="77"/>
      <c r="K77" s="77"/>
      <c r="L77" s="77"/>
      <c r="M77" s="77"/>
      <c r="N77" s="77"/>
      <c r="O77" s="77"/>
      <c r="P77" s="77"/>
      <c r="Q77" s="77"/>
      <c r="R77" s="77"/>
      <c r="S77" s="77"/>
      <c r="T77" s="77"/>
      <c r="U77" s="77"/>
      <c r="V77" s="77"/>
      <c r="W77" s="72">
        <f t="shared" si="41"/>
        <v>9.3457943925233641E-2</v>
      </c>
      <c r="X77" s="39">
        <v>10</v>
      </c>
    </row>
    <row r="78" spans="1:28" s="69" customFormat="1">
      <c r="A78" s="31"/>
      <c r="B78" s="70" t="s">
        <v>639</v>
      </c>
      <c r="C78" s="77"/>
      <c r="D78" s="77"/>
      <c r="E78" s="77"/>
      <c r="F78" s="77"/>
      <c r="G78" s="77"/>
      <c r="H78" s="77"/>
      <c r="I78" s="77"/>
      <c r="J78" s="77"/>
      <c r="K78" s="77"/>
      <c r="L78" s="77"/>
      <c r="M78" s="77"/>
      <c r="N78" s="77"/>
      <c r="O78" s="77"/>
      <c r="P78" s="77"/>
      <c r="Q78" s="77"/>
      <c r="R78" s="77"/>
      <c r="S78" s="77"/>
      <c r="T78" s="77"/>
      <c r="U78" s="77"/>
      <c r="V78" s="77"/>
      <c r="W78" s="72">
        <f t="shared" si="41"/>
        <v>1.8691588785046728E-2</v>
      </c>
      <c r="X78" s="39">
        <v>2</v>
      </c>
    </row>
    <row r="79" spans="1:28" s="69" customFormat="1">
      <c r="A79" s="31"/>
      <c r="B79" s="70" t="s">
        <v>670</v>
      </c>
      <c r="C79" s="77"/>
      <c r="D79" s="77"/>
      <c r="E79" s="77"/>
      <c r="F79" s="77"/>
      <c r="G79" s="77"/>
      <c r="H79" s="77"/>
      <c r="I79" s="77"/>
      <c r="J79" s="77"/>
      <c r="K79" s="77"/>
      <c r="L79" s="77"/>
      <c r="M79" s="77"/>
      <c r="N79" s="77"/>
      <c r="O79" s="77"/>
      <c r="P79" s="77"/>
      <c r="Q79" s="77"/>
      <c r="R79" s="77"/>
      <c r="S79" s="77"/>
      <c r="T79" s="77"/>
      <c r="U79" s="77"/>
      <c r="V79" s="77"/>
      <c r="W79" s="72">
        <f t="shared" si="41"/>
        <v>9.3457943925233638E-3</v>
      </c>
      <c r="X79" s="39">
        <v>1</v>
      </c>
    </row>
    <row r="80" spans="1:28" s="69" customFormat="1">
      <c r="A80" s="31"/>
      <c r="B80" s="71" t="s">
        <v>265</v>
      </c>
      <c r="C80" s="75">
        <f ca="1">C89</f>
        <v>0</v>
      </c>
      <c r="D80" s="75">
        <f t="shared" ref="D80:V80" ca="1" si="42">D89</f>
        <v>0</v>
      </c>
      <c r="E80" s="75">
        <f t="shared" ca="1" si="42"/>
        <v>0</v>
      </c>
      <c r="F80" s="75">
        <f t="shared" ca="1" si="42"/>
        <v>0</v>
      </c>
      <c r="G80" s="75">
        <f t="shared" ca="1" si="42"/>
        <v>0</v>
      </c>
      <c r="H80" s="75">
        <f t="shared" ca="1" si="42"/>
        <v>0</v>
      </c>
      <c r="I80" s="75">
        <f t="shared" ca="1" si="42"/>
        <v>0</v>
      </c>
      <c r="J80" s="75">
        <f t="shared" ca="1" si="42"/>
        <v>0</v>
      </c>
      <c r="K80" s="75">
        <f t="shared" ca="1" si="42"/>
        <v>0</v>
      </c>
      <c r="L80" s="75">
        <f t="shared" ca="1" si="42"/>
        <v>0</v>
      </c>
      <c r="M80" s="75">
        <f t="shared" ca="1" si="42"/>
        <v>0</v>
      </c>
      <c r="N80" s="75">
        <f t="shared" ca="1" si="42"/>
        <v>0</v>
      </c>
      <c r="O80" s="75">
        <f t="shared" ca="1" si="42"/>
        <v>0</v>
      </c>
      <c r="P80" s="75">
        <f t="shared" ca="1" si="42"/>
        <v>0</v>
      </c>
      <c r="Q80" s="75">
        <f t="shared" ca="1" si="42"/>
        <v>0</v>
      </c>
      <c r="R80" s="75">
        <f t="shared" ca="1" si="42"/>
        <v>0</v>
      </c>
      <c r="S80" s="75">
        <f t="shared" ca="1" si="42"/>
        <v>0</v>
      </c>
      <c r="T80" s="75">
        <f t="shared" ca="1" si="42"/>
        <v>0</v>
      </c>
      <c r="U80" s="75">
        <f t="shared" ca="1" si="42"/>
        <v>0</v>
      </c>
      <c r="V80" s="75">
        <f t="shared" ca="1" si="42"/>
        <v>0</v>
      </c>
      <c r="W80" s="72">
        <f t="shared" si="41"/>
        <v>0.56074766355140182</v>
      </c>
      <c r="X80" s="39">
        <v>60</v>
      </c>
    </row>
    <row r="81" spans="1:36" s="69" customFormat="1">
      <c r="A81" s="31"/>
      <c r="B81" s="96" t="s">
        <v>310</v>
      </c>
      <c r="C81" s="97" t="s">
        <v>309</v>
      </c>
      <c r="D81" s="97" t="s">
        <v>309</v>
      </c>
      <c r="E81" s="97" t="s">
        <v>309</v>
      </c>
      <c r="F81" s="97" t="s">
        <v>309</v>
      </c>
      <c r="G81" s="97" t="s">
        <v>309</v>
      </c>
      <c r="H81" s="97" t="s">
        <v>309</v>
      </c>
      <c r="I81" s="97" t="s">
        <v>309</v>
      </c>
      <c r="J81" s="97" t="s">
        <v>309</v>
      </c>
      <c r="K81" s="97" t="s">
        <v>309</v>
      </c>
      <c r="L81" s="97" t="s">
        <v>309</v>
      </c>
      <c r="M81" s="97" t="s">
        <v>309</v>
      </c>
      <c r="N81" s="97" t="s">
        <v>309</v>
      </c>
      <c r="O81" s="97" t="s">
        <v>309</v>
      </c>
      <c r="P81" s="97" t="s">
        <v>309</v>
      </c>
      <c r="Q81" s="97" t="s">
        <v>309</v>
      </c>
      <c r="R81" s="97" t="s">
        <v>309</v>
      </c>
      <c r="S81" s="97" t="s">
        <v>309</v>
      </c>
      <c r="T81" s="97" t="s">
        <v>309</v>
      </c>
      <c r="U81" s="97" t="s">
        <v>309</v>
      </c>
      <c r="V81" s="97" t="s">
        <v>309</v>
      </c>
      <c r="W81" s="72">
        <f t="shared" si="41"/>
        <v>0</v>
      </c>
      <c r="X81" s="39">
        <v>0</v>
      </c>
    </row>
    <row r="82" spans="1:36" s="69" customFormat="1">
      <c r="A82" s="31"/>
      <c r="W82" s="72"/>
      <c r="X82" s="39"/>
    </row>
    <row r="83" spans="1:36" hidden="1">
      <c r="B83" s="202" t="s">
        <v>623</v>
      </c>
      <c r="C83" s="69">
        <f ca="1">SUMPRODUCT((C73:C81&lt;&gt;"NA")*$X73:$X81)</f>
        <v>107</v>
      </c>
      <c r="D83" s="69">
        <f t="shared" ref="D83:V83" ca="1" si="43">SUMPRODUCT((D73:D81&lt;&gt;"NA")*$X73:$X81)</f>
        <v>107</v>
      </c>
      <c r="E83" s="69">
        <f t="shared" ca="1" si="43"/>
        <v>107</v>
      </c>
      <c r="F83" s="69">
        <f t="shared" ca="1" si="43"/>
        <v>107</v>
      </c>
      <c r="G83" s="69">
        <f t="shared" ca="1" si="43"/>
        <v>107</v>
      </c>
      <c r="H83" s="69">
        <f t="shared" ca="1" si="43"/>
        <v>107</v>
      </c>
      <c r="I83" s="69">
        <f t="shared" ca="1" si="43"/>
        <v>107</v>
      </c>
      <c r="J83" s="69">
        <f t="shared" ca="1" si="43"/>
        <v>107</v>
      </c>
      <c r="K83" s="69">
        <f t="shared" ca="1" si="43"/>
        <v>107</v>
      </c>
      <c r="L83" s="69">
        <f t="shared" ca="1" si="43"/>
        <v>107</v>
      </c>
      <c r="M83" s="69">
        <f t="shared" ca="1" si="43"/>
        <v>107</v>
      </c>
      <c r="N83" s="69">
        <f t="shared" ca="1" si="43"/>
        <v>107</v>
      </c>
      <c r="O83" s="69">
        <f t="shared" ca="1" si="43"/>
        <v>107</v>
      </c>
      <c r="P83" s="69">
        <f t="shared" ca="1" si="43"/>
        <v>107</v>
      </c>
      <c r="Q83" s="69">
        <f t="shared" ca="1" si="43"/>
        <v>107</v>
      </c>
      <c r="R83" s="69">
        <f t="shared" ca="1" si="43"/>
        <v>107</v>
      </c>
      <c r="S83" s="69">
        <f t="shared" ca="1" si="43"/>
        <v>107</v>
      </c>
      <c r="T83" s="69">
        <f t="shared" ca="1" si="43"/>
        <v>107</v>
      </c>
      <c r="U83" s="69">
        <f t="shared" ca="1" si="43"/>
        <v>107</v>
      </c>
      <c r="V83" s="69">
        <f t="shared" ca="1" si="43"/>
        <v>107</v>
      </c>
      <c r="W83" s="37"/>
      <c r="Y83" s="87" t="s">
        <v>305</v>
      </c>
      <c r="Z83" s="88"/>
      <c r="AA83" s="90" t="s">
        <v>12</v>
      </c>
      <c r="AD83" s="69"/>
    </row>
    <row r="84" spans="1:36" hidden="1">
      <c r="B84" s="8" t="s">
        <v>14</v>
      </c>
      <c r="C84">
        <f t="shared" ref="C84:V84" ca="1" si="44">C72*$Y72</f>
        <v>0</v>
      </c>
      <c r="D84" s="69">
        <f t="shared" ca="1" si="44"/>
        <v>0</v>
      </c>
      <c r="E84" s="69">
        <f t="shared" ca="1" si="44"/>
        <v>0</v>
      </c>
      <c r="F84" s="69">
        <f t="shared" ca="1" si="44"/>
        <v>0</v>
      </c>
      <c r="G84" s="69">
        <f t="shared" ca="1" si="44"/>
        <v>0</v>
      </c>
      <c r="H84" s="69">
        <f t="shared" ca="1" si="44"/>
        <v>0</v>
      </c>
      <c r="I84" s="69">
        <f t="shared" ca="1" si="44"/>
        <v>0</v>
      </c>
      <c r="J84" s="69">
        <f t="shared" ca="1" si="44"/>
        <v>0</v>
      </c>
      <c r="K84" s="69">
        <f t="shared" ca="1" si="44"/>
        <v>0</v>
      </c>
      <c r="L84" s="69">
        <f t="shared" ca="1" si="44"/>
        <v>0</v>
      </c>
      <c r="M84" s="69">
        <f t="shared" ca="1" si="44"/>
        <v>0</v>
      </c>
      <c r="N84" s="69">
        <f t="shared" ca="1" si="44"/>
        <v>0</v>
      </c>
      <c r="O84" s="69">
        <f t="shared" ca="1" si="44"/>
        <v>0</v>
      </c>
      <c r="P84" s="69">
        <f t="shared" ca="1" si="44"/>
        <v>0</v>
      </c>
      <c r="Q84" s="69">
        <f t="shared" ca="1" si="44"/>
        <v>0</v>
      </c>
      <c r="R84" s="69">
        <f t="shared" ca="1" si="44"/>
        <v>0</v>
      </c>
      <c r="S84" s="69">
        <f t="shared" ca="1" si="44"/>
        <v>0</v>
      </c>
      <c r="T84" s="69">
        <f t="shared" ca="1" si="44"/>
        <v>0</v>
      </c>
      <c r="U84" s="69">
        <f t="shared" ca="1" si="44"/>
        <v>0</v>
      </c>
      <c r="V84" s="69">
        <f t="shared" ca="1" si="44"/>
        <v>0</v>
      </c>
      <c r="W84" s="37"/>
      <c r="AD84" s="69"/>
    </row>
    <row r="85" spans="1:36" hidden="1">
      <c r="B85" s="8" t="s">
        <v>15</v>
      </c>
      <c r="C85">
        <f t="shared" ref="C85:V85" ca="1" si="45">C72*$Z72</f>
        <v>0</v>
      </c>
      <c r="D85" s="69">
        <f t="shared" ca="1" si="45"/>
        <v>0</v>
      </c>
      <c r="E85" s="69">
        <f t="shared" ca="1" si="45"/>
        <v>0</v>
      </c>
      <c r="F85" s="69">
        <f t="shared" ca="1" si="45"/>
        <v>0</v>
      </c>
      <c r="G85" s="69">
        <f t="shared" ca="1" si="45"/>
        <v>0</v>
      </c>
      <c r="H85" s="69">
        <f t="shared" ca="1" si="45"/>
        <v>0</v>
      </c>
      <c r="I85" s="69">
        <f t="shared" ca="1" si="45"/>
        <v>0</v>
      </c>
      <c r="J85" s="69">
        <f t="shared" ca="1" si="45"/>
        <v>0</v>
      </c>
      <c r="K85" s="69">
        <f t="shared" ca="1" si="45"/>
        <v>0</v>
      </c>
      <c r="L85" s="69">
        <f t="shared" ca="1" si="45"/>
        <v>0</v>
      </c>
      <c r="M85" s="69">
        <f t="shared" ca="1" si="45"/>
        <v>0</v>
      </c>
      <c r="N85" s="69">
        <f t="shared" ca="1" si="45"/>
        <v>0</v>
      </c>
      <c r="O85" s="69">
        <f t="shared" ca="1" si="45"/>
        <v>0</v>
      </c>
      <c r="P85" s="69">
        <f t="shared" ca="1" si="45"/>
        <v>0</v>
      </c>
      <c r="Q85" s="69">
        <f t="shared" ca="1" si="45"/>
        <v>0</v>
      </c>
      <c r="R85" s="69">
        <f t="shared" ca="1" si="45"/>
        <v>0</v>
      </c>
      <c r="S85" s="69">
        <f t="shared" ca="1" si="45"/>
        <v>0</v>
      </c>
      <c r="T85" s="69">
        <f t="shared" ca="1" si="45"/>
        <v>0</v>
      </c>
      <c r="U85" s="69">
        <f t="shared" ca="1" si="45"/>
        <v>0</v>
      </c>
      <c r="V85" s="69">
        <f t="shared" ca="1" si="45"/>
        <v>0</v>
      </c>
      <c r="W85" s="37"/>
      <c r="AD85" s="69"/>
    </row>
    <row r="86" spans="1:36" hidden="1">
      <c r="B86" s="8" t="s">
        <v>16</v>
      </c>
      <c r="C86">
        <f t="shared" ref="C86:V86" ca="1" si="46">C72*$AA72</f>
        <v>0</v>
      </c>
      <c r="D86" s="69">
        <f t="shared" ca="1" si="46"/>
        <v>0</v>
      </c>
      <c r="E86" s="69">
        <f t="shared" ca="1" si="46"/>
        <v>0</v>
      </c>
      <c r="F86" s="69">
        <f t="shared" ca="1" si="46"/>
        <v>0</v>
      </c>
      <c r="G86" s="69">
        <f t="shared" ca="1" si="46"/>
        <v>0</v>
      </c>
      <c r="H86" s="69">
        <f t="shared" ca="1" si="46"/>
        <v>0</v>
      </c>
      <c r="I86" s="69">
        <f t="shared" ca="1" si="46"/>
        <v>0</v>
      </c>
      <c r="J86" s="69">
        <f t="shared" ca="1" si="46"/>
        <v>0</v>
      </c>
      <c r="K86" s="69">
        <f t="shared" ca="1" si="46"/>
        <v>0</v>
      </c>
      <c r="L86" s="69">
        <f t="shared" ca="1" si="46"/>
        <v>0</v>
      </c>
      <c r="M86" s="69">
        <f t="shared" ca="1" si="46"/>
        <v>0</v>
      </c>
      <c r="N86" s="69">
        <f t="shared" ca="1" si="46"/>
        <v>0</v>
      </c>
      <c r="O86" s="69">
        <f t="shared" ca="1" si="46"/>
        <v>0</v>
      </c>
      <c r="P86" s="69">
        <f t="shared" ca="1" si="46"/>
        <v>0</v>
      </c>
      <c r="Q86" s="69">
        <f t="shared" ca="1" si="46"/>
        <v>0</v>
      </c>
      <c r="R86" s="69">
        <f t="shared" ca="1" si="46"/>
        <v>0</v>
      </c>
      <c r="S86" s="69">
        <f t="shared" ca="1" si="46"/>
        <v>0</v>
      </c>
      <c r="T86" s="69">
        <f t="shared" ca="1" si="46"/>
        <v>0</v>
      </c>
      <c r="U86" s="69">
        <f t="shared" ca="1" si="46"/>
        <v>0</v>
      </c>
      <c r="V86" s="69">
        <f t="shared" ca="1" si="46"/>
        <v>0</v>
      </c>
      <c r="W86" s="37"/>
      <c r="AD86" s="69"/>
    </row>
    <row r="87" spans="1:36" hidden="1">
      <c r="B87" s="8" t="s">
        <v>17</v>
      </c>
      <c r="C87">
        <f t="shared" ref="C87:V87" ca="1" si="47">C72*$AB72</f>
        <v>0</v>
      </c>
      <c r="D87" s="69">
        <f t="shared" ca="1" si="47"/>
        <v>0</v>
      </c>
      <c r="E87" s="69">
        <f t="shared" ca="1" si="47"/>
        <v>0</v>
      </c>
      <c r="F87" s="69">
        <f t="shared" ca="1" si="47"/>
        <v>0</v>
      </c>
      <c r="G87" s="69">
        <f t="shared" ca="1" si="47"/>
        <v>0</v>
      </c>
      <c r="H87" s="69">
        <f t="shared" ca="1" si="47"/>
        <v>0</v>
      </c>
      <c r="I87" s="69">
        <f t="shared" ca="1" si="47"/>
        <v>0</v>
      </c>
      <c r="J87" s="69">
        <f t="shared" ca="1" si="47"/>
        <v>0</v>
      </c>
      <c r="K87" s="69">
        <f t="shared" ca="1" si="47"/>
        <v>0</v>
      </c>
      <c r="L87" s="69">
        <f t="shared" ca="1" si="47"/>
        <v>0</v>
      </c>
      <c r="M87" s="69">
        <f t="shared" ca="1" si="47"/>
        <v>0</v>
      </c>
      <c r="N87" s="69">
        <f t="shared" ca="1" si="47"/>
        <v>0</v>
      </c>
      <c r="O87" s="69">
        <f t="shared" ca="1" si="47"/>
        <v>0</v>
      </c>
      <c r="P87" s="69">
        <f t="shared" ca="1" si="47"/>
        <v>0</v>
      </c>
      <c r="Q87" s="69">
        <f t="shared" ca="1" si="47"/>
        <v>0</v>
      </c>
      <c r="R87" s="69">
        <f t="shared" ca="1" si="47"/>
        <v>0</v>
      </c>
      <c r="S87" s="69">
        <f t="shared" ca="1" si="47"/>
        <v>0</v>
      </c>
      <c r="T87" s="69">
        <f t="shared" ca="1" si="47"/>
        <v>0</v>
      </c>
      <c r="U87" s="69">
        <f t="shared" ca="1" si="47"/>
        <v>0</v>
      </c>
      <c r="V87" s="69">
        <f t="shared" ca="1" si="47"/>
        <v>0</v>
      </c>
      <c r="W87" s="37"/>
      <c r="AD87" s="69"/>
    </row>
    <row r="88" spans="1:36">
      <c r="B88" s="65"/>
      <c r="C88" s="81">
        <f>SUMPRODUCT(C90:C98,$X90:$X98)/C100</f>
        <v>0</v>
      </c>
      <c r="D88" s="81">
        <f t="shared" ref="D88:V88" si="48">SUMPRODUCT(D90:D98,$X90:$X98)/D100</f>
        <v>0</v>
      </c>
      <c r="E88" s="81">
        <f t="shared" si="48"/>
        <v>0</v>
      </c>
      <c r="F88" s="81">
        <f t="shared" si="48"/>
        <v>0</v>
      </c>
      <c r="G88" s="81">
        <f t="shared" si="48"/>
        <v>0</v>
      </c>
      <c r="H88" s="81">
        <f t="shared" si="48"/>
        <v>0</v>
      </c>
      <c r="I88" s="81">
        <f t="shared" si="48"/>
        <v>0</v>
      </c>
      <c r="J88" s="81">
        <f t="shared" si="48"/>
        <v>0</v>
      </c>
      <c r="K88" s="81">
        <f t="shared" si="48"/>
        <v>0</v>
      </c>
      <c r="L88" s="81">
        <f t="shared" si="48"/>
        <v>0</v>
      </c>
      <c r="M88" s="81">
        <f t="shared" si="48"/>
        <v>0</v>
      </c>
      <c r="N88" s="81">
        <f t="shared" si="48"/>
        <v>0</v>
      </c>
      <c r="O88" s="81">
        <f t="shared" si="48"/>
        <v>0</v>
      </c>
      <c r="P88" s="81">
        <f t="shared" si="48"/>
        <v>0</v>
      </c>
      <c r="Q88" s="81">
        <f t="shared" si="48"/>
        <v>0</v>
      </c>
      <c r="R88" s="81">
        <f t="shared" si="48"/>
        <v>0</v>
      </c>
      <c r="S88" s="81">
        <f t="shared" si="48"/>
        <v>0</v>
      </c>
      <c r="T88" s="81">
        <f t="shared" si="48"/>
        <v>0</v>
      </c>
      <c r="U88" s="81">
        <f t="shared" si="48"/>
        <v>0</v>
      </c>
      <c r="V88" s="81">
        <f t="shared" si="48"/>
        <v>0</v>
      </c>
      <c r="W88" s="37"/>
      <c r="AD88" s="69"/>
    </row>
    <row r="89" spans="1:36">
      <c r="B89" s="35" t="s">
        <v>506</v>
      </c>
      <c r="C89" s="246">
        <f ca="1">INDIRECT("'TESTING v2'!AD"&amp;COLUMN())</f>
        <v>0</v>
      </c>
      <c r="D89" s="246">
        <f t="shared" ref="D89:V89" ca="1" si="49">INDIRECT("'TESTING v2'!AD"&amp;COLUMN())</f>
        <v>0</v>
      </c>
      <c r="E89" s="246">
        <f t="shared" ca="1" si="49"/>
        <v>0</v>
      </c>
      <c r="F89" s="246">
        <f t="shared" ca="1" si="49"/>
        <v>0</v>
      </c>
      <c r="G89" s="246">
        <f t="shared" ca="1" si="49"/>
        <v>0</v>
      </c>
      <c r="H89" s="246">
        <f t="shared" ca="1" si="49"/>
        <v>0</v>
      </c>
      <c r="I89" s="246">
        <f t="shared" ca="1" si="49"/>
        <v>0</v>
      </c>
      <c r="J89" s="246">
        <f t="shared" ca="1" si="49"/>
        <v>0</v>
      </c>
      <c r="K89" s="246">
        <f t="shared" ca="1" si="49"/>
        <v>0</v>
      </c>
      <c r="L89" s="246">
        <f t="shared" ca="1" si="49"/>
        <v>0</v>
      </c>
      <c r="M89" s="246">
        <f t="shared" ca="1" si="49"/>
        <v>0</v>
      </c>
      <c r="N89" s="246">
        <f t="shared" ca="1" si="49"/>
        <v>0</v>
      </c>
      <c r="O89" s="246">
        <f t="shared" ca="1" si="49"/>
        <v>0</v>
      </c>
      <c r="P89" s="246">
        <f t="shared" ca="1" si="49"/>
        <v>0</v>
      </c>
      <c r="Q89" s="246">
        <f t="shared" ca="1" si="49"/>
        <v>0</v>
      </c>
      <c r="R89" s="246">
        <f t="shared" ca="1" si="49"/>
        <v>0</v>
      </c>
      <c r="S89" s="246">
        <f t="shared" ca="1" si="49"/>
        <v>0</v>
      </c>
      <c r="T89" s="246">
        <f t="shared" ca="1" si="49"/>
        <v>0</v>
      </c>
      <c r="U89" s="246">
        <f t="shared" ca="1" si="49"/>
        <v>0</v>
      </c>
      <c r="V89" s="246">
        <f t="shared" ca="1" si="49"/>
        <v>0</v>
      </c>
      <c r="W89" s="67">
        <f ca="1">COUNTBLANK(C101:V104)</f>
        <v>0</v>
      </c>
      <c r="X89" s="39" t="s">
        <v>259</v>
      </c>
      <c r="Y89" s="93">
        <f>AK2*AK8</f>
        <v>0</v>
      </c>
      <c r="Z89" s="6">
        <f>AK3*AK8</f>
        <v>30</v>
      </c>
      <c r="AA89" s="93">
        <f>AK4*AK8</f>
        <v>0</v>
      </c>
      <c r="AB89" s="6">
        <f>AK5*AK8</f>
        <v>0</v>
      </c>
      <c r="AD89" s="69"/>
    </row>
    <row r="90" spans="1:36">
      <c r="B90" s="74" t="s">
        <v>85</v>
      </c>
      <c r="C90" s="77"/>
      <c r="D90" s="77"/>
      <c r="E90" s="77"/>
      <c r="F90" s="77"/>
      <c r="G90" s="77"/>
      <c r="H90" s="78"/>
      <c r="I90" s="78"/>
      <c r="J90" s="78"/>
      <c r="K90" s="78"/>
      <c r="L90" s="78"/>
      <c r="M90" s="78"/>
      <c r="N90" s="78"/>
      <c r="O90" s="78"/>
      <c r="P90" s="78"/>
      <c r="Q90" s="78"/>
      <c r="R90" s="78"/>
      <c r="S90" s="78"/>
      <c r="T90" s="78"/>
      <c r="U90" s="78"/>
      <c r="V90" s="78"/>
      <c r="W90" s="37">
        <f>X90/SUM(X$90:X$98)</f>
        <v>0.22900763358778625</v>
      </c>
      <c r="X90" s="39">
        <f t="shared" ref="X90" si="50">IF($B$4="E-Commerce",AA90,Y90)</f>
        <v>30</v>
      </c>
      <c r="Y90" s="94">
        <v>25</v>
      </c>
      <c r="Z90" s="91">
        <f t="shared" ref="Z90:Z98" si="51">Y90/SUM($Y$90:$Y$98)</f>
        <v>0.26595744680851063</v>
      </c>
      <c r="AA90" s="95">
        <v>30</v>
      </c>
      <c r="AB90" s="92">
        <f t="shared" ref="AB90:AB98" si="52">AA90/SUM($AA$90:$AA$98)</f>
        <v>0.22900763358778625</v>
      </c>
      <c r="AC90" s="84">
        <f>AB90-Z90</f>
        <v>-3.6949813220724381E-2</v>
      </c>
      <c r="AD90" s="69"/>
      <c r="AF90" s="85"/>
      <c r="AH90" s="85"/>
      <c r="AJ90" s="86"/>
    </row>
    <row r="91" spans="1:36">
      <c r="B91" s="70" t="s">
        <v>245</v>
      </c>
      <c r="C91" s="77"/>
      <c r="D91" s="77"/>
      <c r="E91" s="77"/>
      <c r="F91" s="77"/>
      <c r="G91" s="77"/>
      <c r="H91" s="78"/>
      <c r="I91" s="78"/>
      <c r="J91" s="78"/>
      <c r="K91" s="78"/>
      <c r="L91" s="78"/>
      <c r="M91" s="78"/>
      <c r="N91" s="78"/>
      <c r="O91" s="78"/>
      <c r="P91" s="78"/>
      <c r="Q91" s="78"/>
      <c r="R91" s="78"/>
      <c r="S91" s="78"/>
      <c r="T91" s="78"/>
      <c r="U91" s="78"/>
      <c r="V91" s="78"/>
      <c r="W91" s="37">
        <f t="shared" ref="W91:W98" si="53">X91/SUM(X$90:X$98)</f>
        <v>0.22900763358778625</v>
      </c>
      <c r="X91" s="39">
        <f t="shared" ref="X91:X98" si="54">IF($B$4="E-Commerce",AA91,Y91)</f>
        <v>30</v>
      </c>
      <c r="Y91" s="94">
        <v>10</v>
      </c>
      <c r="Z91" s="91">
        <f t="shared" si="51"/>
        <v>0.10638297872340426</v>
      </c>
      <c r="AA91" s="95">
        <v>30</v>
      </c>
      <c r="AB91" s="92">
        <f t="shared" si="52"/>
        <v>0.22900763358778625</v>
      </c>
      <c r="AC91" s="84">
        <f t="shared" ref="AC91:AC98" si="55">AB91-Z91</f>
        <v>0.122624654864382</v>
      </c>
      <c r="AD91" s="69"/>
      <c r="AF91" s="85"/>
      <c r="AH91" s="85"/>
      <c r="AJ91" s="86"/>
    </row>
    <row r="92" spans="1:36">
      <c r="B92" s="74" t="s">
        <v>629</v>
      </c>
      <c r="C92" s="77"/>
      <c r="D92" s="77"/>
      <c r="E92" s="77"/>
      <c r="F92" s="77"/>
      <c r="G92" s="77"/>
      <c r="H92" s="78"/>
      <c r="I92" s="77"/>
      <c r="J92" s="77"/>
      <c r="K92" s="78"/>
      <c r="L92" s="78"/>
      <c r="M92" s="78"/>
      <c r="N92" s="78"/>
      <c r="O92" s="78"/>
      <c r="P92" s="78"/>
      <c r="Q92" s="78"/>
      <c r="R92" s="78"/>
      <c r="S92" s="78"/>
      <c r="T92" s="78"/>
      <c r="U92" s="78"/>
      <c r="V92" s="78"/>
      <c r="W92" s="37">
        <f t="shared" si="53"/>
        <v>0.11450381679389313</v>
      </c>
      <c r="X92" s="39">
        <f t="shared" si="54"/>
        <v>15</v>
      </c>
      <c r="Y92" s="94">
        <v>25</v>
      </c>
      <c r="Z92" s="91">
        <f t="shared" si="51"/>
        <v>0.26595744680851063</v>
      </c>
      <c r="AA92" s="95">
        <v>15</v>
      </c>
      <c r="AB92" s="92">
        <f t="shared" si="52"/>
        <v>0.11450381679389313</v>
      </c>
      <c r="AC92" s="84">
        <f t="shared" si="55"/>
        <v>-0.15145363001461751</v>
      </c>
      <c r="AD92" s="69"/>
      <c r="AF92" s="85"/>
      <c r="AH92" s="85"/>
      <c r="AJ92" s="86"/>
    </row>
    <row r="93" spans="1:36" s="69" customFormat="1">
      <c r="A93" s="31"/>
      <c r="B93" s="70" t="s">
        <v>630</v>
      </c>
      <c r="C93" s="77"/>
      <c r="D93" s="77"/>
      <c r="E93" s="77"/>
      <c r="F93" s="77"/>
      <c r="G93" s="77"/>
      <c r="H93" s="78"/>
      <c r="I93" s="77"/>
      <c r="J93" s="77"/>
      <c r="K93" s="78"/>
      <c r="L93" s="78"/>
      <c r="M93" s="78"/>
      <c r="N93" s="78"/>
      <c r="O93" s="78"/>
      <c r="P93" s="78"/>
      <c r="Q93" s="78"/>
      <c r="R93" s="78"/>
      <c r="S93" s="78"/>
      <c r="T93" s="78"/>
      <c r="U93" s="78"/>
      <c r="V93" s="78"/>
      <c r="W93" s="37">
        <f t="shared" si="53"/>
        <v>0.11450381679389313</v>
      </c>
      <c r="X93" s="39">
        <f t="shared" si="54"/>
        <v>15</v>
      </c>
      <c r="Y93" s="94">
        <v>0</v>
      </c>
      <c r="Z93" s="91">
        <f t="shared" si="51"/>
        <v>0</v>
      </c>
      <c r="AA93" s="95">
        <v>15</v>
      </c>
      <c r="AB93" s="92">
        <f t="shared" si="52"/>
        <v>0.11450381679389313</v>
      </c>
      <c r="AC93" s="84">
        <f t="shared" ref="AC93" si="56">AB93-Z93</f>
        <v>0.11450381679389313</v>
      </c>
      <c r="AF93" s="85"/>
      <c r="AH93" s="85"/>
      <c r="AJ93" s="86"/>
    </row>
    <row r="94" spans="1:36" s="69" customFormat="1">
      <c r="A94" s="31"/>
      <c r="B94" s="70" t="s">
        <v>642</v>
      </c>
      <c r="C94" s="77"/>
      <c r="D94" s="77" t="s">
        <v>2516</v>
      </c>
      <c r="E94" s="77"/>
      <c r="F94" s="77"/>
      <c r="G94" s="77"/>
      <c r="H94" s="78"/>
      <c r="I94" s="77"/>
      <c r="J94" s="77"/>
      <c r="K94" s="78"/>
      <c r="L94" s="78"/>
      <c r="M94" s="78"/>
      <c r="N94" s="78"/>
      <c r="O94" s="78"/>
      <c r="P94" s="78"/>
      <c r="Q94" s="78"/>
      <c r="R94" s="78"/>
      <c r="S94" s="78"/>
      <c r="T94" s="78"/>
      <c r="U94" s="78"/>
      <c r="V94" s="78"/>
      <c r="W94" s="37">
        <f t="shared" si="53"/>
        <v>0.11450381679389313</v>
      </c>
      <c r="X94" s="39">
        <f t="shared" si="54"/>
        <v>15</v>
      </c>
      <c r="Y94" s="94">
        <v>20</v>
      </c>
      <c r="Z94" s="91">
        <f t="shared" si="51"/>
        <v>0.21276595744680851</v>
      </c>
      <c r="AA94" s="95">
        <v>15</v>
      </c>
      <c r="AB94" s="92">
        <f t="shared" si="52"/>
        <v>0.11450381679389313</v>
      </c>
      <c r="AC94" s="84">
        <f t="shared" si="55"/>
        <v>-9.8262140652915386E-2</v>
      </c>
      <c r="AF94" s="85"/>
      <c r="AH94" s="85"/>
      <c r="AJ94" s="86"/>
    </row>
    <row r="95" spans="1:36">
      <c r="B95" s="74" t="s">
        <v>86</v>
      </c>
      <c r="C95" s="77"/>
      <c r="D95" s="77"/>
      <c r="E95" s="77"/>
      <c r="F95" s="77"/>
      <c r="G95" s="77"/>
      <c r="H95" s="78"/>
      <c r="I95" s="77"/>
      <c r="J95" s="77"/>
      <c r="K95" s="78"/>
      <c r="L95" s="78"/>
      <c r="M95" s="78"/>
      <c r="N95" s="78"/>
      <c r="O95" s="78"/>
      <c r="P95" s="78"/>
      <c r="Q95" s="78"/>
      <c r="R95" s="78"/>
      <c r="S95" s="78"/>
      <c r="T95" s="78"/>
      <c r="U95" s="78"/>
      <c r="V95" s="78"/>
      <c r="W95" s="37">
        <f t="shared" si="53"/>
        <v>0.11450381679389313</v>
      </c>
      <c r="X95" s="39">
        <f t="shared" si="54"/>
        <v>15</v>
      </c>
      <c r="Y95" s="94">
        <v>3</v>
      </c>
      <c r="Z95" s="91">
        <f t="shared" si="51"/>
        <v>3.1914893617021274E-2</v>
      </c>
      <c r="AA95" s="95">
        <v>15</v>
      </c>
      <c r="AB95" s="92">
        <f t="shared" si="52"/>
        <v>0.11450381679389313</v>
      </c>
      <c r="AC95" s="84">
        <f t="shared" si="55"/>
        <v>8.2588923176871859E-2</v>
      </c>
      <c r="AD95" s="69"/>
      <c r="AE95" s="83"/>
      <c r="AF95" s="85"/>
      <c r="AH95" s="85"/>
      <c r="AJ95" s="86"/>
    </row>
    <row r="96" spans="1:36" s="69" customFormat="1">
      <c r="A96" s="31"/>
      <c r="B96" s="74" t="s">
        <v>293</v>
      </c>
      <c r="C96" s="77"/>
      <c r="D96" s="77"/>
      <c r="E96" s="77"/>
      <c r="F96" s="77"/>
      <c r="G96" s="77"/>
      <c r="H96" s="78"/>
      <c r="I96" s="77"/>
      <c r="J96" s="77"/>
      <c r="K96" s="78"/>
      <c r="L96" s="78"/>
      <c r="M96" s="78"/>
      <c r="N96" s="78"/>
      <c r="O96" s="78"/>
      <c r="P96" s="78"/>
      <c r="Q96" s="78"/>
      <c r="R96" s="78"/>
      <c r="S96" s="78"/>
      <c r="T96" s="78"/>
      <c r="U96" s="78"/>
      <c r="V96" s="78"/>
      <c r="W96" s="37">
        <f t="shared" si="53"/>
        <v>7.6335877862595417E-3</v>
      </c>
      <c r="X96" s="39">
        <f t="shared" si="54"/>
        <v>1</v>
      </c>
      <c r="Y96" s="94">
        <v>1</v>
      </c>
      <c r="Z96" s="91">
        <f t="shared" si="51"/>
        <v>1.0638297872340425E-2</v>
      </c>
      <c r="AA96" s="95">
        <v>1</v>
      </c>
      <c r="AB96" s="92">
        <f t="shared" si="52"/>
        <v>7.6335877862595417E-3</v>
      </c>
      <c r="AC96" s="84">
        <f t="shared" si="55"/>
        <v>-3.0047100860808836E-3</v>
      </c>
      <c r="AE96" s="83"/>
      <c r="AF96" s="85"/>
      <c r="AH96" s="85"/>
      <c r="AJ96" s="86"/>
    </row>
    <row r="97" spans="1:36" s="69" customFormat="1">
      <c r="A97" s="31"/>
      <c r="B97" s="70" t="s">
        <v>631</v>
      </c>
      <c r="C97" s="77"/>
      <c r="D97" s="77"/>
      <c r="E97" s="77"/>
      <c r="F97" s="77"/>
      <c r="G97" s="77"/>
      <c r="H97" s="78"/>
      <c r="I97" s="78"/>
      <c r="J97" s="78"/>
      <c r="K97" s="78"/>
      <c r="L97" s="78"/>
      <c r="M97" s="78"/>
      <c r="N97" s="78"/>
      <c r="O97" s="78"/>
      <c r="P97" s="78"/>
      <c r="Q97" s="78"/>
      <c r="R97" s="78"/>
      <c r="S97" s="78"/>
      <c r="T97" s="78"/>
      <c r="U97" s="78"/>
      <c r="V97" s="78"/>
      <c r="W97" s="37">
        <f t="shared" si="53"/>
        <v>7.6335877862595422E-2</v>
      </c>
      <c r="X97" s="39">
        <f t="shared" si="54"/>
        <v>10</v>
      </c>
      <c r="Y97" s="94">
        <v>10</v>
      </c>
      <c r="Z97" s="91">
        <f t="shared" si="51"/>
        <v>0.10638297872340426</v>
      </c>
      <c r="AA97" s="95">
        <v>10</v>
      </c>
      <c r="AB97" s="92">
        <f t="shared" si="52"/>
        <v>7.6335877862595422E-2</v>
      </c>
      <c r="AC97" s="84">
        <f t="shared" si="55"/>
        <v>-3.0047100860808834E-2</v>
      </c>
      <c r="AE97" s="83"/>
      <c r="AF97" s="85"/>
      <c r="AH97" s="85"/>
      <c r="AJ97" s="86"/>
    </row>
    <row r="98" spans="1:36">
      <c r="B98" s="96" t="s">
        <v>310</v>
      </c>
      <c r="C98" s="97" t="s">
        <v>309</v>
      </c>
      <c r="D98" s="97" t="s">
        <v>309</v>
      </c>
      <c r="E98" s="97" t="s">
        <v>309</v>
      </c>
      <c r="F98" s="97" t="s">
        <v>309</v>
      </c>
      <c r="G98" s="97" t="s">
        <v>309</v>
      </c>
      <c r="H98" s="97" t="s">
        <v>309</v>
      </c>
      <c r="I98" s="97" t="s">
        <v>309</v>
      </c>
      <c r="J98" s="97" t="s">
        <v>309</v>
      </c>
      <c r="K98" s="97" t="s">
        <v>309</v>
      </c>
      <c r="L98" s="97" t="s">
        <v>309</v>
      </c>
      <c r="M98" s="97" t="s">
        <v>309</v>
      </c>
      <c r="N98" s="97" t="s">
        <v>309</v>
      </c>
      <c r="O98" s="97" t="s">
        <v>309</v>
      </c>
      <c r="P98" s="97" t="s">
        <v>309</v>
      </c>
      <c r="Q98" s="97" t="s">
        <v>309</v>
      </c>
      <c r="R98" s="97" t="s">
        <v>309</v>
      </c>
      <c r="S98" s="97" t="s">
        <v>309</v>
      </c>
      <c r="T98" s="97" t="s">
        <v>309</v>
      </c>
      <c r="U98" s="97" t="s">
        <v>309</v>
      </c>
      <c r="V98" s="97" t="s">
        <v>309</v>
      </c>
      <c r="W98" s="37">
        <f t="shared" si="53"/>
        <v>0</v>
      </c>
      <c r="X98" s="39">
        <f t="shared" si="54"/>
        <v>0</v>
      </c>
      <c r="Y98" s="94">
        <v>0</v>
      </c>
      <c r="Z98" s="91">
        <f t="shared" si="51"/>
        <v>0</v>
      </c>
      <c r="AA98" s="95">
        <v>0</v>
      </c>
      <c r="AB98" s="92">
        <f t="shared" si="52"/>
        <v>0</v>
      </c>
      <c r="AC98" s="84">
        <f t="shared" si="55"/>
        <v>0</v>
      </c>
      <c r="AD98" s="69"/>
      <c r="AE98" s="83"/>
      <c r="AF98" s="85"/>
      <c r="AH98" s="85"/>
      <c r="AJ98" s="86"/>
    </row>
    <row r="99" spans="1:36">
      <c r="B99" s="24"/>
      <c r="D99" s="69"/>
      <c r="E99" s="69"/>
      <c r="F99" s="69"/>
      <c r="G99" s="69"/>
      <c r="R99" s="69"/>
      <c r="S99" s="69"/>
      <c r="T99" s="69"/>
      <c r="U99" s="69"/>
      <c r="V99" s="69"/>
      <c r="W99" s="37"/>
    </row>
    <row r="100" spans="1:36" s="69" customFormat="1" hidden="1">
      <c r="A100" s="31"/>
      <c r="B100" s="202" t="s">
        <v>623</v>
      </c>
      <c r="C100" s="69">
        <f>SUMPRODUCT((C90:C98&lt;&gt;"NA")*$X90:$X98)</f>
        <v>131</v>
      </c>
      <c r="D100" s="69">
        <f t="shared" ref="D100:V100" si="57">SUMPRODUCT((D90:D98&lt;&gt;"NA")*$X90:$X98)</f>
        <v>131</v>
      </c>
      <c r="E100" s="69">
        <f t="shared" si="57"/>
        <v>131</v>
      </c>
      <c r="F100" s="69">
        <f t="shared" si="57"/>
        <v>131</v>
      </c>
      <c r="G100" s="69">
        <f t="shared" si="57"/>
        <v>131</v>
      </c>
      <c r="H100" s="69">
        <f t="shared" si="57"/>
        <v>131</v>
      </c>
      <c r="I100" s="69">
        <f t="shared" si="57"/>
        <v>131</v>
      </c>
      <c r="J100" s="69">
        <f t="shared" si="57"/>
        <v>131</v>
      </c>
      <c r="K100" s="69">
        <f t="shared" si="57"/>
        <v>131</v>
      </c>
      <c r="L100" s="69">
        <f t="shared" si="57"/>
        <v>131</v>
      </c>
      <c r="M100" s="69">
        <f t="shared" si="57"/>
        <v>131</v>
      </c>
      <c r="N100" s="69">
        <f t="shared" si="57"/>
        <v>131</v>
      </c>
      <c r="O100" s="69">
        <f t="shared" si="57"/>
        <v>131</v>
      </c>
      <c r="P100" s="69">
        <f t="shared" si="57"/>
        <v>131</v>
      </c>
      <c r="Q100" s="69">
        <f t="shared" si="57"/>
        <v>131</v>
      </c>
      <c r="R100" s="69">
        <f t="shared" si="57"/>
        <v>131</v>
      </c>
      <c r="S100" s="69">
        <f t="shared" si="57"/>
        <v>131</v>
      </c>
      <c r="T100" s="69">
        <f t="shared" si="57"/>
        <v>131</v>
      </c>
      <c r="U100" s="69">
        <f t="shared" si="57"/>
        <v>131</v>
      </c>
      <c r="V100" s="69">
        <f t="shared" si="57"/>
        <v>131</v>
      </c>
      <c r="W100" s="37"/>
      <c r="X100" s="39"/>
    </row>
    <row r="101" spans="1:36" hidden="1">
      <c r="B101" s="8" t="s">
        <v>14</v>
      </c>
      <c r="C101">
        <f t="shared" ref="C101:V101" ca="1" si="58">C89*$Y89</f>
        <v>0</v>
      </c>
      <c r="D101" s="69">
        <f t="shared" ca="1" si="58"/>
        <v>0</v>
      </c>
      <c r="E101" s="69">
        <f t="shared" ca="1" si="58"/>
        <v>0</v>
      </c>
      <c r="F101" s="69">
        <f t="shared" ca="1" si="58"/>
        <v>0</v>
      </c>
      <c r="G101" s="69">
        <f t="shared" ca="1" si="58"/>
        <v>0</v>
      </c>
      <c r="H101" s="69">
        <f t="shared" ca="1" si="58"/>
        <v>0</v>
      </c>
      <c r="I101" s="69">
        <f t="shared" ca="1" si="58"/>
        <v>0</v>
      </c>
      <c r="J101" s="69">
        <f t="shared" ca="1" si="58"/>
        <v>0</v>
      </c>
      <c r="K101" s="69">
        <f t="shared" ca="1" si="58"/>
        <v>0</v>
      </c>
      <c r="L101" s="69">
        <f t="shared" ca="1" si="58"/>
        <v>0</v>
      </c>
      <c r="M101" s="69">
        <f t="shared" ca="1" si="58"/>
        <v>0</v>
      </c>
      <c r="N101" s="69">
        <f t="shared" ca="1" si="58"/>
        <v>0</v>
      </c>
      <c r="O101" s="69">
        <f t="shared" ca="1" si="58"/>
        <v>0</v>
      </c>
      <c r="P101" s="69">
        <f t="shared" ca="1" si="58"/>
        <v>0</v>
      </c>
      <c r="Q101" s="69">
        <f t="shared" ca="1" si="58"/>
        <v>0</v>
      </c>
      <c r="R101" s="69">
        <f t="shared" ca="1" si="58"/>
        <v>0</v>
      </c>
      <c r="S101" s="69">
        <f t="shared" ca="1" si="58"/>
        <v>0</v>
      </c>
      <c r="T101" s="69">
        <f t="shared" ca="1" si="58"/>
        <v>0</v>
      </c>
      <c r="U101" s="69">
        <f t="shared" ca="1" si="58"/>
        <v>0</v>
      </c>
      <c r="V101" s="69">
        <f t="shared" ca="1" si="58"/>
        <v>0</v>
      </c>
      <c r="W101" s="37"/>
    </row>
    <row r="102" spans="1:36" hidden="1">
      <c r="B102" s="8" t="s">
        <v>15</v>
      </c>
      <c r="C102">
        <f t="shared" ref="C102:V102" ca="1" si="59">C89*$Z89</f>
        <v>0</v>
      </c>
      <c r="D102" s="69">
        <f t="shared" ca="1" si="59"/>
        <v>0</v>
      </c>
      <c r="E102" s="69">
        <f t="shared" ca="1" si="59"/>
        <v>0</v>
      </c>
      <c r="F102" s="69">
        <f t="shared" ca="1" si="59"/>
        <v>0</v>
      </c>
      <c r="G102" s="69">
        <f t="shared" ca="1" si="59"/>
        <v>0</v>
      </c>
      <c r="H102" s="69">
        <f t="shared" ca="1" si="59"/>
        <v>0</v>
      </c>
      <c r="I102" s="69">
        <f t="shared" ca="1" si="59"/>
        <v>0</v>
      </c>
      <c r="J102" s="69">
        <f t="shared" ca="1" si="59"/>
        <v>0</v>
      </c>
      <c r="K102" s="69">
        <f t="shared" ca="1" si="59"/>
        <v>0</v>
      </c>
      <c r="L102" s="69">
        <f t="shared" ca="1" si="59"/>
        <v>0</v>
      </c>
      <c r="M102" s="69">
        <f t="shared" ca="1" si="59"/>
        <v>0</v>
      </c>
      <c r="N102" s="69">
        <f t="shared" ca="1" si="59"/>
        <v>0</v>
      </c>
      <c r="O102" s="69">
        <f t="shared" ca="1" si="59"/>
        <v>0</v>
      </c>
      <c r="P102" s="69">
        <f t="shared" ca="1" si="59"/>
        <v>0</v>
      </c>
      <c r="Q102" s="69">
        <f t="shared" ca="1" si="59"/>
        <v>0</v>
      </c>
      <c r="R102" s="69">
        <f t="shared" ca="1" si="59"/>
        <v>0</v>
      </c>
      <c r="S102" s="69">
        <f t="shared" ca="1" si="59"/>
        <v>0</v>
      </c>
      <c r="T102" s="69">
        <f t="shared" ca="1" si="59"/>
        <v>0</v>
      </c>
      <c r="U102" s="69">
        <f t="shared" ca="1" si="59"/>
        <v>0</v>
      </c>
      <c r="V102" s="69">
        <f t="shared" ca="1" si="59"/>
        <v>0</v>
      </c>
      <c r="W102" s="37"/>
    </row>
    <row r="103" spans="1:36" hidden="1">
      <c r="B103" s="8" t="s">
        <v>16</v>
      </c>
      <c r="C103">
        <f t="shared" ref="C103:V103" ca="1" si="60">C89*$AA89</f>
        <v>0</v>
      </c>
      <c r="D103" s="69">
        <f t="shared" ca="1" si="60"/>
        <v>0</v>
      </c>
      <c r="E103" s="69">
        <f t="shared" ca="1" si="60"/>
        <v>0</v>
      </c>
      <c r="F103" s="69">
        <f t="shared" ca="1" si="60"/>
        <v>0</v>
      </c>
      <c r="G103" s="69">
        <f t="shared" ca="1" si="60"/>
        <v>0</v>
      </c>
      <c r="H103" s="69">
        <f t="shared" ca="1" si="60"/>
        <v>0</v>
      </c>
      <c r="I103" s="69">
        <f t="shared" ca="1" si="60"/>
        <v>0</v>
      </c>
      <c r="J103" s="69">
        <f t="shared" ca="1" si="60"/>
        <v>0</v>
      </c>
      <c r="K103" s="69">
        <f t="shared" ca="1" si="60"/>
        <v>0</v>
      </c>
      <c r="L103" s="69">
        <f t="shared" ca="1" si="60"/>
        <v>0</v>
      </c>
      <c r="M103" s="69">
        <f t="shared" ca="1" si="60"/>
        <v>0</v>
      </c>
      <c r="N103" s="69">
        <f t="shared" ca="1" si="60"/>
        <v>0</v>
      </c>
      <c r="O103" s="69">
        <f t="shared" ca="1" si="60"/>
        <v>0</v>
      </c>
      <c r="P103" s="69">
        <f t="shared" ca="1" si="60"/>
        <v>0</v>
      </c>
      <c r="Q103" s="69">
        <f t="shared" ca="1" si="60"/>
        <v>0</v>
      </c>
      <c r="R103" s="69">
        <f t="shared" ca="1" si="60"/>
        <v>0</v>
      </c>
      <c r="S103" s="69">
        <f t="shared" ca="1" si="60"/>
        <v>0</v>
      </c>
      <c r="T103" s="69">
        <f t="shared" ca="1" si="60"/>
        <v>0</v>
      </c>
      <c r="U103" s="69">
        <f t="shared" ca="1" si="60"/>
        <v>0</v>
      </c>
      <c r="V103" s="69">
        <f t="shared" ca="1" si="60"/>
        <v>0</v>
      </c>
      <c r="W103" s="37"/>
    </row>
    <row r="104" spans="1:36" hidden="1">
      <c r="B104" s="8" t="s">
        <v>17</v>
      </c>
      <c r="C104">
        <f t="shared" ref="C104:V104" ca="1" si="61">C89*$AB89</f>
        <v>0</v>
      </c>
      <c r="D104" s="69">
        <f t="shared" ca="1" si="61"/>
        <v>0</v>
      </c>
      <c r="E104" s="69">
        <f t="shared" ca="1" si="61"/>
        <v>0</v>
      </c>
      <c r="F104" s="69">
        <f t="shared" ca="1" si="61"/>
        <v>0</v>
      </c>
      <c r="G104" s="69">
        <f t="shared" ca="1" si="61"/>
        <v>0</v>
      </c>
      <c r="H104" s="69">
        <f t="shared" ca="1" si="61"/>
        <v>0</v>
      </c>
      <c r="I104" s="69">
        <f t="shared" ca="1" si="61"/>
        <v>0</v>
      </c>
      <c r="J104" s="69">
        <f t="shared" ca="1" si="61"/>
        <v>0</v>
      </c>
      <c r="K104" s="69">
        <f t="shared" ca="1" si="61"/>
        <v>0</v>
      </c>
      <c r="L104" s="69">
        <f t="shared" ca="1" si="61"/>
        <v>0</v>
      </c>
      <c r="M104" s="69">
        <f t="shared" ca="1" si="61"/>
        <v>0</v>
      </c>
      <c r="N104" s="69">
        <f t="shared" ca="1" si="61"/>
        <v>0</v>
      </c>
      <c r="O104" s="69">
        <f t="shared" ca="1" si="61"/>
        <v>0</v>
      </c>
      <c r="P104" s="69">
        <f t="shared" ca="1" si="61"/>
        <v>0</v>
      </c>
      <c r="Q104" s="69">
        <f t="shared" ca="1" si="61"/>
        <v>0</v>
      </c>
      <c r="R104" s="69">
        <f t="shared" ca="1" si="61"/>
        <v>0</v>
      </c>
      <c r="S104" s="69">
        <f t="shared" ca="1" si="61"/>
        <v>0</v>
      </c>
      <c r="T104" s="69">
        <f t="shared" ca="1" si="61"/>
        <v>0</v>
      </c>
      <c r="U104" s="69">
        <f t="shared" ca="1" si="61"/>
        <v>0</v>
      </c>
      <c r="V104" s="69">
        <f t="shared" ca="1" si="61"/>
        <v>0</v>
      </c>
      <c r="W104" s="37"/>
    </row>
    <row r="105" spans="1:36">
      <c r="B105" s="65"/>
      <c r="C105" s="64"/>
      <c r="D105" s="64"/>
      <c r="E105" s="64"/>
      <c r="F105" s="64"/>
      <c r="G105" s="64"/>
      <c r="H105" s="64"/>
      <c r="I105" s="64"/>
      <c r="J105" s="64"/>
      <c r="K105" s="64"/>
      <c r="L105" s="64"/>
      <c r="M105" s="64"/>
      <c r="N105" s="64"/>
      <c r="O105" s="64"/>
      <c r="P105" s="64"/>
      <c r="Q105" s="64"/>
      <c r="R105" s="64"/>
      <c r="S105" s="64"/>
      <c r="T105" s="64"/>
      <c r="U105" s="64"/>
      <c r="V105" s="64"/>
      <c r="W105" s="37"/>
    </row>
    <row r="106" spans="1:36">
      <c r="B106" s="23" t="s">
        <v>47</v>
      </c>
      <c r="C106" s="81">
        <f>SUMPRODUCT(C108:C119,$X$108:$X$119)/C121</f>
        <v>0</v>
      </c>
      <c r="D106" s="81">
        <f t="shared" ref="D106:V106" si="62">SUMPRODUCT(D108:D119,$X$108:$X$119)/D121</f>
        <v>0</v>
      </c>
      <c r="E106" s="81">
        <f t="shared" si="62"/>
        <v>0</v>
      </c>
      <c r="F106" s="81">
        <f t="shared" si="62"/>
        <v>0</v>
      </c>
      <c r="G106" s="81">
        <f t="shared" si="62"/>
        <v>0</v>
      </c>
      <c r="H106" s="81">
        <f t="shared" si="62"/>
        <v>0</v>
      </c>
      <c r="I106" s="81">
        <f t="shared" si="62"/>
        <v>0</v>
      </c>
      <c r="J106" s="81">
        <f t="shared" si="62"/>
        <v>0</v>
      </c>
      <c r="K106" s="81">
        <f t="shared" si="62"/>
        <v>0</v>
      </c>
      <c r="L106" s="81">
        <f t="shared" si="62"/>
        <v>0</v>
      </c>
      <c r="M106" s="81">
        <f t="shared" si="62"/>
        <v>0</v>
      </c>
      <c r="N106" s="81">
        <f t="shared" si="62"/>
        <v>0</v>
      </c>
      <c r="O106" s="81">
        <f t="shared" si="62"/>
        <v>0</v>
      </c>
      <c r="P106" s="81">
        <f t="shared" si="62"/>
        <v>0</v>
      </c>
      <c r="Q106" s="81">
        <f t="shared" si="62"/>
        <v>0</v>
      </c>
      <c r="R106" s="81">
        <f t="shared" si="62"/>
        <v>0</v>
      </c>
      <c r="S106" s="81">
        <f t="shared" si="62"/>
        <v>0</v>
      </c>
      <c r="T106" s="81">
        <f t="shared" si="62"/>
        <v>0</v>
      </c>
      <c r="U106" s="81">
        <f t="shared" si="62"/>
        <v>0</v>
      </c>
      <c r="V106" s="81">
        <f t="shared" si="62"/>
        <v>0</v>
      </c>
      <c r="W106" s="37"/>
      <c r="Y106" s="87" t="s">
        <v>305</v>
      </c>
      <c r="Z106" s="88"/>
      <c r="AA106" s="90" t="s">
        <v>12</v>
      </c>
    </row>
    <row r="107" spans="1:36" ht="14.65" customHeight="1">
      <c r="B107" s="35" t="s">
        <v>68</v>
      </c>
      <c r="C107" s="246">
        <f ca="1">INDIRECT("'TESTING v2'!AC"&amp;COLUMN())</f>
        <v>0</v>
      </c>
      <c r="D107" s="246">
        <f t="shared" ref="D107:V107" ca="1" si="63">INDIRECT("'TESTING v2'!AC"&amp;COLUMN())</f>
        <v>0</v>
      </c>
      <c r="E107" s="246">
        <f t="shared" ca="1" si="63"/>
        <v>0</v>
      </c>
      <c r="F107" s="246">
        <f t="shared" ca="1" si="63"/>
        <v>0</v>
      </c>
      <c r="G107" s="246">
        <f t="shared" ca="1" si="63"/>
        <v>0</v>
      </c>
      <c r="H107" s="246">
        <f t="shared" ca="1" si="63"/>
        <v>0</v>
      </c>
      <c r="I107" s="246">
        <f t="shared" ca="1" si="63"/>
        <v>0</v>
      </c>
      <c r="J107" s="246">
        <f t="shared" ca="1" si="63"/>
        <v>0</v>
      </c>
      <c r="K107" s="246">
        <f t="shared" ca="1" si="63"/>
        <v>0</v>
      </c>
      <c r="L107" s="246">
        <f t="shared" ca="1" si="63"/>
        <v>0</v>
      </c>
      <c r="M107" s="246">
        <f t="shared" ca="1" si="63"/>
        <v>0</v>
      </c>
      <c r="N107" s="246">
        <f t="shared" ca="1" si="63"/>
        <v>0</v>
      </c>
      <c r="O107" s="246">
        <f t="shared" ca="1" si="63"/>
        <v>0</v>
      </c>
      <c r="P107" s="246">
        <f t="shared" ca="1" si="63"/>
        <v>0</v>
      </c>
      <c r="Q107" s="246">
        <f t="shared" ca="1" si="63"/>
        <v>0</v>
      </c>
      <c r="R107" s="246">
        <f t="shared" ca="1" si="63"/>
        <v>0</v>
      </c>
      <c r="S107" s="246">
        <f t="shared" ca="1" si="63"/>
        <v>0</v>
      </c>
      <c r="T107" s="246">
        <f t="shared" ca="1" si="63"/>
        <v>0</v>
      </c>
      <c r="U107" s="246">
        <f t="shared" ca="1" si="63"/>
        <v>0</v>
      </c>
      <c r="V107" s="246">
        <f t="shared" ca="1" si="63"/>
        <v>0</v>
      </c>
      <c r="W107" s="67">
        <f ca="1">COUNTBLANK(C122:V125)</f>
        <v>0</v>
      </c>
      <c r="X107" s="39" t="s">
        <v>259</v>
      </c>
      <c r="Y107" s="93">
        <f>AD2*AD8</f>
        <v>0</v>
      </c>
      <c r="Z107" s="6">
        <f>AD3*AD8</f>
        <v>40</v>
      </c>
      <c r="AA107" s="93">
        <f>AD4*AD8</f>
        <v>0</v>
      </c>
      <c r="AB107" s="6">
        <f>AD5*AD8</f>
        <v>10</v>
      </c>
      <c r="AE107" s="10"/>
      <c r="AF107" s="10"/>
    </row>
    <row r="108" spans="1:36" s="69" customFormat="1" ht="14.65" customHeight="1">
      <c r="A108" s="31"/>
      <c r="B108" s="70" t="s">
        <v>338</v>
      </c>
      <c r="C108" s="77"/>
      <c r="D108" s="77"/>
      <c r="E108" s="77"/>
      <c r="F108" s="77"/>
      <c r="G108" s="77"/>
      <c r="H108" s="77"/>
      <c r="I108" s="77"/>
      <c r="J108" s="77"/>
      <c r="K108" s="77"/>
      <c r="L108" s="77"/>
      <c r="M108" s="77"/>
      <c r="N108" s="77"/>
      <c r="O108" s="77"/>
      <c r="P108" s="77"/>
      <c r="Q108" s="77"/>
      <c r="R108" s="77"/>
      <c r="S108" s="77"/>
      <c r="T108" s="77"/>
      <c r="U108" s="77"/>
      <c r="V108" s="77"/>
      <c r="W108" s="72">
        <f t="shared" ref="W108:W119" si="64">X108/SUM($X$108:$X$119)</f>
        <v>0.14150943396226415</v>
      </c>
      <c r="X108" s="39">
        <f t="shared" ref="X108:X119" si="65">IF($B$4="E-Commerce",AA108,Y108)</f>
        <v>15</v>
      </c>
      <c r="Y108" s="94">
        <v>15</v>
      </c>
      <c r="Z108" s="91">
        <f>Y108/SUM($Y$108:$Y$119)</f>
        <v>0.14423076923076922</v>
      </c>
      <c r="AA108" s="95">
        <v>15</v>
      </c>
      <c r="AB108" s="92">
        <f>AA108/SUM($AA$108:$AA$119)</f>
        <v>0.14150943396226415</v>
      </c>
      <c r="AC108" s="84">
        <f t="shared" ref="AC108:AC119" si="66">AB108-Z108</f>
        <v>-2.7213352685050707E-3</v>
      </c>
      <c r="AE108" s="10"/>
      <c r="AF108" s="10"/>
    </row>
    <row r="109" spans="1:36" s="69" customFormat="1" ht="14.65" customHeight="1">
      <c r="A109" s="31"/>
      <c r="B109" s="70" t="s">
        <v>339</v>
      </c>
      <c r="C109" s="77"/>
      <c r="D109" s="77"/>
      <c r="E109" s="77"/>
      <c r="F109" s="77"/>
      <c r="G109" s="77"/>
      <c r="H109" s="77"/>
      <c r="I109" s="77"/>
      <c r="J109" s="77"/>
      <c r="K109" s="77"/>
      <c r="L109" s="77"/>
      <c r="M109" s="77"/>
      <c r="N109" s="77"/>
      <c r="O109" s="77"/>
      <c r="P109" s="77"/>
      <c r="Q109" s="77"/>
      <c r="R109" s="77"/>
      <c r="S109" s="77"/>
      <c r="T109" s="77"/>
      <c r="U109" s="77"/>
      <c r="V109" s="77"/>
      <c r="W109" s="72">
        <f t="shared" si="64"/>
        <v>0.14150943396226415</v>
      </c>
      <c r="X109" s="39">
        <f t="shared" si="65"/>
        <v>15</v>
      </c>
      <c r="Y109" s="94">
        <v>15</v>
      </c>
      <c r="Z109" s="91">
        <f t="shared" ref="Z109:Z119" si="67">Y109/SUM($Y$108:$Y$119)</f>
        <v>0.14423076923076922</v>
      </c>
      <c r="AA109" s="95">
        <v>15</v>
      </c>
      <c r="AB109" s="92">
        <f t="shared" ref="AB109:AB119" si="68">AA109/SUM($AA$108:$AA$119)</f>
        <v>0.14150943396226415</v>
      </c>
      <c r="AC109" s="84">
        <f t="shared" si="66"/>
        <v>-2.7213352685050707E-3</v>
      </c>
      <c r="AE109" s="10"/>
      <c r="AF109" s="10"/>
    </row>
    <row r="110" spans="1:36" s="69" customFormat="1" ht="14.65" customHeight="1">
      <c r="A110" s="31"/>
      <c r="B110" s="70" t="s">
        <v>306</v>
      </c>
      <c r="C110" s="77"/>
      <c r="D110" s="77"/>
      <c r="E110" s="77"/>
      <c r="F110" s="77"/>
      <c r="G110" s="77"/>
      <c r="H110" s="77"/>
      <c r="I110" s="77"/>
      <c r="J110" s="77"/>
      <c r="K110" s="77"/>
      <c r="L110" s="77"/>
      <c r="M110" s="77"/>
      <c r="N110" s="77"/>
      <c r="O110" s="77"/>
      <c r="P110" s="77"/>
      <c r="Q110" s="77"/>
      <c r="R110" s="77"/>
      <c r="S110" s="77"/>
      <c r="T110" s="77"/>
      <c r="U110" s="77"/>
      <c r="V110" s="77"/>
      <c r="W110" s="72">
        <f t="shared" si="64"/>
        <v>0.14150943396226415</v>
      </c>
      <c r="X110" s="39">
        <f t="shared" si="65"/>
        <v>15</v>
      </c>
      <c r="Y110" s="94">
        <v>15</v>
      </c>
      <c r="Z110" s="91">
        <f t="shared" si="67"/>
        <v>0.14423076923076922</v>
      </c>
      <c r="AA110" s="95">
        <v>15</v>
      </c>
      <c r="AB110" s="92">
        <f t="shared" si="68"/>
        <v>0.14150943396226415</v>
      </c>
      <c r="AC110" s="84">
        <f t="shared" si="66"/>
        <v>-2.7213352685050707E-3</v>
      </c>
      <c r="AE110" s="10"/>
      <c r="AF110" s="10"/>
    </row>
    <row r="111" spans="1:36" s="69" customFormat="1" ht="14.65" customHeight="1">
      <c r="A111" s="31"/>
      <c r="B111" s="70" t="s">
        <v>307</v>
      </c>
      <c r="C111" s="77"/>
      <c r="D111" s="77"/>
      <c r="E111" s="77"/>
      <c r="F111" s="77"/>
      <c r="G111" s="77"/>
      <c r="H111" s="77"/>
      <c r="I111" s="77"/>
      <c r="J111" s="77"/>
      <c r="K111" s="77"/>
      <c r="L111" s="77"/>
      <c r="M111" s="77"/>
      <c r="N111" s="77"/>
      <c r="O111" s="77"/>
      <c r="P111" s="77"/>
      <c r="Q111" s="77"/>
      <c r="R111" s="77"/>
      <c r="S111" s="77"/>
      <c r="T111" s="77"/>
      <c r="U111" s="77"/>
      <c r="V111" s="77"/>
      <c r="W111" s="72">
        <f t="shared" si="64"/>
        <v>0.18867924528301888</v>
      </c>
      <c r="X111" s="39">
        <f t="shared" si="65"/>
        <v>20</v>
      </c>
      <c r="Y111" s="94">
        <v>20</v>
      </c>
      <c r="Z111" s="91">
        <f t="shared" si="67"/>
        <v>0.19230769230769232</v>
      </c>
      <c r="AA111" s="95">
        <v>20</v>
      </c>
      <c r="AB111" s="92">
        <f t="shared" si="68"/>
        <v>0.18867924528301888</v>
      </c>
      <c r="AC111" s="84">
        <f t="shared" si="66"/>
        <v>-3.6284470246734368E-3</v>
      </c>
    </row>
    <row r="112" spans="1:36" s="69" customFormat="1" ht="14.65" customHeight="1">
      <c r="A112" s="31"/>
      <c r="B112" s="71" t="s">
        <v>327</v>
      </c>
      <c r="C112" s="75">
        <f>C221</f>
        <v>0</v>
      </c>
      <c r="D112" s="75">
        <f t="shared" ref="D112:V112" si="69">D221</f>
        <v>0</v>
      </c>
      <c r="E112" s="75">
        <f t="shared" si="69"/>
        <v>0</v>
      </c>
      <c r="F112" s="75">
        <f t="shared" si="69"/>
        <v>0</v>
      </c>
      <c r="G112" s="75">
        <f t="shared" si="69"/>
        <v>0</v>
      </c>
      <c r="H112" s="75">
        <f t="shared" si="69"/>
        <v>0</v>
      </c>
      <c r="I112" s="75">
        <f t="shared" si="69"/>
        <v>0</v>
      </c>
      <c r="J112" s="75">
        <f t="shared" si="69"/>
        <v>0</v>
      </c>
      <c r="K112" s="75">
        <f t="shared" si="69"/>
        <v>0</v>
      </c>
      <c r="L112" s="75">
        <f t="shared" si="69"/>
        <v>0</v>
      </c>
      <c r="M112" s="75">
        <f t="shared" si="69"/>
        <v>0</v>
      </c>
      <c r="N112" s="75">
        <f t="shared" si="69"/>
        <v>0</v>
      </c>
      <c r="O112" s="75">
        <f t="shared" si="69"/>
        <v>0</v>
      </c>
      <c r="P112" s="75">
        <f t="shared" si="69"/>
        <v>0</v>
      </c>
      <c r="Q112" s="75">
        <f t="shared" si="69"/>
        <v>0</v>
      </c>
      <c r="R112" s="75">
        <f t="shared" si="69"/>
        <v>0</v>
      </c>
      <c r="S112" s="75">
        <f t="shared" si="69"/>
        <v>0</v>
      </c>
      <c r="T112" s="75">
        <f t="shared" si="69"/>
        <v>0</v>
      </c>
      <c r="U112" s="75">
        <f t="shared" si="69"/>
        <v>0</v>
      </c>
      <c r="V112" s="75">
        <f t="shared" si="69"/>
        <v>0</v>
      </c>
      <c r="W112" s="72">
        <f t="shared" si="64"/>
        <v>4.716981132075472E-2</v>
      </c>
      <c r="X112" s="39">
        <f t="shared" si="65"/>
        <v>5</v>
      </c>
      <c r="Y112" s="94">
        <v>5</v>
      </c>
      <c r="Z112" s="91">
        <f t="shared" si="67"/>
        <v>4.807692307692308E-2</v>
      </c>
      <c r="AA112" s="95">
        <v>5</v>
      </c>
      <c r="AB112" s="92">
        <f t="shared" si="68"/>
        <v>4.716981132075472E-2</v>
      </c>
      <c r="AC112" s="84">
        <f t="shared" si="66"/>
        <v>-9.0711175616835921E-4</v>
      </c>
    </row>
    <row r="113" spans="1:32" s="69" customFormat="1" ht="14.65" customHeight="1">
      <c r="A113" s="31"/>
      <c r="B113" s="71" t="s">
        <v>328</v>
      </c>
      <c r="C113" s="75">
        <f>C222</f>
        <v>0</v>
      </c>
      <c r="D113" s="75">
        <f t="shared" ref="D113:V113" si="70">D222</f>
        <v>0</v>
      </c>
      <c r="E113" s="75">
        <f t="shared" si="70"/>
        <v>0</v>
      </c>
      <c r="F113" s="75">
        <f t="shared" si="70"/>
        <v>0</v>
      </c>
      <c r="G113" s="75">
        <f t="shared" si="70"/>
        <v>0</v>
      </c>
      <c r="H113" s="75">
        <f t="shared" si="70"/>
        <v>0</v>
      </c>
      <c r="I113" s="75">
        <f t="shared" si="70"/>
        <v>0</v>
      </c>
      <c r="J113" s="75">
        <f t="shared" si="70"/>
        <v>0</v>
      </c>
      <c r="K113" s="75">
        <f t="shared" si="70"/>
        <v>0</v>
      </c>
      <c r="L113" s="75">
        <f t="shared" si="70"/>
        <v>0</v>
      </c>
      <c r="M113" s="75">
        <f t="shared" si="70"/>
        <v>0</v>
      </c>
      <c r="N113" s="75">
        <f t="shared" si="70"/>
        <v>0</v>
      </c>
      <c r="O113" s="75">
        <f t="shared" si="70"/>
        <v>0</v>
      </c>
      <c r="P113" s="75">
        <f t="shared" si="70"/>
        <v>0</v>
      </c>
      <c r="Q113" s="75">
        <f t="shared" si="70"/>
        <v>0</v>
      </c>
      <c r="R113" s="75">
        <f t="shared" si="70"/>
        <v>0</v>
      </c>
      <c r="S113" s="75">
        <f t="shared" si="70"/>
        <v>0</v>
      </c>
      <c r="T113" s="75">
        <f t="shared" si="70"/>
        <v>0</v>
      </c>
      <c r="U113" s="75">
        <f t="shared" si="70"/>
        <v>0</v>
      </c>
      <c r="V113" s="75">
        <f t="shared" si="70"/>
        <v>0</v>
      </c>
      <c r="W113" s="72">
        <f t="shared" si="64"/>
        <v>4.716981132075472E-2</v>
      </c>
      <c r="X113" s="39">
        <f t="shared" si="65"/>
        <v>5</v>
      </c>
      <c r="Y113" s="94">
        <v>5</v>
      </c>
      <c r="Z113" s="91">
        <f t="shared" si="67"/>
        <v>4.807692307692308E-2</v>
      </c>
      <c r="AA113" s="95">
        <v>5</v>
      </c>
      <c r="AB113" s="92">
        <f t="shared" si="68"/>
        <v>4.716981132075472E-2</v>
      </c>
      <c r="AC113" s="84">
        <f t="shared" si="66"/>
        <v>-9.0711175616835921E-4</v>
      </c>
    </row>
    <row r="114" spans="1:32" s="69" customFormat="1" ht="14.65" customHeight="1">
      <c r="A114" s="31"/>
      <c r="B114" s="70" t="s">
        <v>634</v>
      </c>
      <c r="C114" s="77"/>
      <c r="D114" s="77"/>
      <c r="E114" s="77"/>
      <c r="F114" s="77"/>
      <c r="G114" s="77"/>
      <c r="H114" s="77"/>
      <c r="I114" s="77"/>
      <c r="J114" s="77"/>
      <c r="K114" s="77"/>
      <c r="L114" s="77"/>
      <c r="M114" s="77"/>
      <c r="N114" s="77"/>
      <c r="O114" s="77"/>
      <c r="P114" s="77"/>
      <c r="Q114" s="77"/>
      <c r="R114" s="77"/>
      <c r="S114" s="77"/>
      <c r="T114" s="77"/>
      <c r="U114" s="77"/>
      <c r="V114" s="77"/>
      <c r="W114" s="72">
        <f t="shared" si="64"/>
        <v>1.8867924528301886E-2</v>
      </c>
      <c r="X114" s="39">
        <f t="shared" si="65"/>
        <v>2</v>
      </c>
      <c r="Y114" s="94">
        <v>2</v>
      </c>
      <c r="Z114" s="91">
        <f t="shared" si="67"/>
        <v>1.9230769230769232E-2</v>
      </c>
      <c r="AA114" s="95">
        <v>2</v>
      </c>
      <c r="AB114" s="92">
        <f t="shared" si="68"/>
        <v>1.8867924528301886E-2</v>
      </c>
      <c r="AC114" s="84">
        <f t="shared" si="66"/>
        <v>-3.6284470246734576E-4</v>
      </c>
    </row>
    <row r="115" spans="1:32" s="69" customFormat="1" ht="14.65" customHeight="1">
      <c r="A115" s="31"/>
      <c r="B115" s="70" t="s">
        <v>635</v>
      </c>
      <c r="C115" s="77"/>
      <c r="D115" s="77"/>
      <c r="E115" s="77"/>
      <c r="F115" s="77"/>
      <c r="G115" s="77"/>
      <c r="H115" s="77"/>
      <c r="I115" s="77"/>
      <c r="J115" s="77"/>
      <c r="K115" s="77"/>
      <c r="L115" s="77"/>
      <c r="M115" s="77"/>
      <c r="N115" s="77"/>
      <c r="O115" s="77"/>
      <c r="P115" s="77"/>
      <c r="Q115" s="77"/>
      <c r="R115" s="77"/>
      <c r="S115" s="77"/>
      <c r="T115" s="77"/>
      <c r="U115" s="77"/>
      <c r="V115" s="77"/>
      <c r="W115" s="72">
        <f t="shared" si="64"/>
        <v>4.716981132075472E-2</v>
      </c>
      <c r="X115" s="39">
        <f t="shared" si="65"/>
        <v>5</v>
      </c>
      <c r="Y115" s="94">
        <v>5</v>
      </c>
      <c r="Z115" s="91">
        <f t="shared" si="67"/>
        <v>4.807692307692308E-2</v>
      </c>
      <c r="AA115" s="95">
        <v>5</v>
      </c>
      <c r="AB115" s="92">
        <f t="shared" si="68"/>
        <v>4.716981132075472E-2</v>
      </c>
      <c r="AC115" s="84">
        <f t="shared" si="66"/>
        <v>-9.0711175616835921E-4</v>
      </c>
    </row>
    <row r="116" spans="1:32" s="69" customFormat="1" ht="14.65" customHeight="1">
      <c r="A116" s="31"/>
      <c r="B116" s="71" t="s">
        <v>292</v>
      </c>
      <c r="C116" s="75">
        <f>C132</f>
        <v>0</v>
      </c>
      <c r="D116" s="75">
        <f t="shared" ref="D116:V116" si="71">D132</f>
        <v>0</v>
      </c>
      <c r="E116" s="75">
        <f t="shared" si="71"/>
        <v>0</v>
      </c>
      <c r="F116" s="75">
        <f t="shared" si="71"/>
        <v>0</v>
      </c>
      <c r="G116" s="75">
        <f t="shared" si="71"/>
        <v>0</v>
      </c>
      <c r="H116" s="75">
        <f t="shared" si="71"/>
        <v>0</v>
      </c>
      <c r="I116" s="75">
        <f t="shared" si="71"/>
        <v>0</v>
      </c>
      <c r="J116" s="75">
        <f t="shared" si="71"/>
        <v>0</v>
      </c>
      <c r="K116" s="75">
        <f t="shared" si="71"/>
        <v>0</v>
      </c>
      <c r="L116" s="75">
        <f t="shared" si="71"/>
        <v>0</v>
      </c>
      <c r="M116" s="75">
        <f t="shared" si="71"/>
        <v>0</v>
      </c>
      <c r="N116" s="75">
        <f t="shared" si="71"/>
        <v>0</v>
      </c>
      <c r="O116" s="75">
        <f t="shared" si="71"/>
        <v>0</v>
      </c>
      <c r="P116" s="75">
        <f t="shared" si="71"/>
        <v>0</v>
      </c>
      <c r="Q116" s="75">
        <f t="shared" si="71"/>
        <v>0</v>
      </c>
      <c r="R116" s="75">
        <f t="shared" si="71"/>
        <v>0</v>
      </c>
      <c r="S116" s="75">
        <f t="shared" si="71"/>
        <v>0</v>
      </c>
      <c r="T116" s="75">
        <f t="shared" si="71"/>
        <v>0</v>
      </c>
      <c r="U116" s="75">
        <f t="shared" si="71"/>
        <v>0</v>
      </c>
      <c r="V116" s="75">
        <f t="shared" si="71"/>
        <v>0</v>
      </c>
      <c r="W116" s="72">
        <f t="shared" si="64"/>
        <v>1.8867924528301886E-2</v>
      </c>
      <c r="X116" s="39">
        <f t="shared" si="65"/>
        <v>2</v>
      </c>
      <c r="Y116" s="94">
        <v>0</v>
      </c>
      <c r="Z116" s="91">
        <f t="shared" si="67"/>
        <v>0</v>
      </c>
      <c r="AA116" s="95">
        <v>2</v>
      </c>
      <c r="AB116" s="92">
        <f t="shared" si="68"/>
        <v>1.8867924528301886E-2</v>
      </c>
      <c r="AC116" s="84">
        <f t="shared" si="66"/>
        <v>1.8867924528301886E-2</v>
      </c>
      <c r="AE116" s="10"/>
      <c r="AF116" s="10"/>
    </row>
    <row r="117" spans="1:32" s="69" customFormat="1" ht="14.65" customHeight="1">
      <c r="A117" s="31"/>
      <c r="B117" s="71" t="s">
        <v>499</v>
      </c>
      <c r="C117" s="75">
        <f>C133</f>
        <v>0</v>
      </c>
      <c r="D117" s="75">
        <f t="shared" ref="D117:V117" si="72">D133</f>
        <v>0</v>
      </c>
      <c r="E117" s="75">
        <f t="shared" si="72"/>
        <v>0</v>
      </c>
      <c r="F117" s="75">
        <f t="shared" si="72"/>
        <v>0</v>
      </c>
      <c r="G117" s="75">
        <f t="shared" si="72"/>
        <v>0</v>
      </c>
      <c r="H117" s="75">
        <f t="shared" si="72"/>
        <v>0</v>
      </c>
      <c r="I117" s="75">
        <f t="shared" si="72"/>
        <v>0</v>
      </c>
      <c r="J117" s="75">
        <f t="shared" si="72"/>
        <v>0</v>
      </c>
      <c r="K117" s="75">
        <f t="shared" si="72"/>
        <v>0</v>
      </c>
      <c r="L117" s="75">
        <f t="shared" si="72"/>
        <v>0</v>
      </c>
      <c r="M117" s="75">
        <f t="shared" si="72"/>
        <v>0</v>
      </c>
      <c r="N117" s="75">
        <f t="shared" si="72"/>
        <v>0</v>
      </c>
      <c r="O117" s="75">
        <f t="shared" si="72"/>
        <v>0</v>
      </c>
      <c r="P117" s="75">
        <f t="shared" si="72"/>
        <v>0</v>
      </c>
      <c r="Q117" s="75">
        <f t="shared" si="72"/>
        <v>0</v>
      </c>
      <c r="R117" s="75">
        <f t="shared" si="72"/>
        <v>0</v>
      </c>
      <c r="S117" s="75">
        <f t="shared" si="72"/>
        <v>0</v>
      </c>
      <c r="T117" s="75">
        <f t="shared" si="72"/>
        <v>0</v>
      </c>
      <c r="U117" s="75">
        <f t="shared" si="72"/>
        <v>0</v>
      </c>
      <c r="V117" s="75">
        <f t="shared" si="72"/>
        <v>0</v>
      </c>
      <c r="W117" s="72">
        <f t="shared" si="64"/>
        <v>1.8867924528301886E-2</v>
      </c>
      <c r="X117" s="39">
        <f t="shared" si="65"/>
        <v>2</v>
      </c>
      <c r="Y117" s="94">
        <v>2</v>
      </c>
      <c r="Z117" s="91">
        <f t="shared" si="67"/>
        <v>1.9230769230769232E-2</v>
      </c>
      <c r="AA117" s="95">
        <v>2</v>
      </c>
      <c r="AB117" s="92">
        <f t="shared" si="68"/>
        <v>1.8867924528301886E-2</v>
      </c>
      <c r="AC117" s="84">
        <f t="shared" si="66"/>
        <v>-3.6284470246734576E-4</v>
      </c>
      <c r="AE117" s="10"/>
      <c r="AF117" s="10"/>
    </row>
    <row r="118" spans="1:32" s="69" customFormat="1" ht="14.65" customHeight="1">
      <c r="A118" s="31"/>
      <c r="B118" s="71" t="s">
        <v>308</v>
      </c>
      <c r="C118" s="75">
        <f>C129</f>
        <v>0</v>
      </c>
      <c r="D118" s="75">
        <f t="shared" ref="D118:V118" si="73">D129</f>
        <v>0</v>
      </c>
      <c r="E118" s="75">
        <f t="shared" si="73"/>
        <v>0</v>
      </c>
      <c r="F118" s="75">
        <f t="shared" si="73"/>
        <v>0</v>
      </c>
      <c r="G118" s="75">
        <f t="shared" si="73"/>
        <v>0</v>
      </c>
      <c r="H118" s="75">
        <f t="shared" si="73"/>
        <v>0</v>
      </c>
      <c r="I118" s="75">
        <f t="shared" si="73"/>
        <v>0</v>
      </c>
      <c r="J118" s="75">
        <f t="shared" si="73"/>
        <v>0</v>
      </c>
      <c r="K118" s="75">
        <f t="shared" si="73"/>
        <v>0</v>
      </c>
      <c r="L118" s="75">
        <f t="shared" si="73"/>
        <v>0</v>
      </c>
      <c r="M118" s="75">
        <f t="shared" si="73"/>
        <v>0</v>
      </c>
      <c r="N118" s="75">
        <f t="shared" si="73"/>
        <v>0</v>
      </c>
      <c r="O118" s="75">
        <f t="shared" si="73"/>
        <v>0</v>
      </c>
      <c r="P118" s="75">
        <f t="shared" si="73"/>
        <v>0</v>
      </c>
      <c r="Q118" s="75">
        <f t="shared" si="73"/>
        <v>0</v>
      </c>
      <c r="R118" s="75">
        <f t="shared" si="73"/>
        <v>0</v>
      </c>
      <c r="S118" s="75">
        <f t="shared" si="73"/>
        <v>0</v>
      </c>
      <c r="T118" s="75">
        <f t="shared" si="73"/>
        <v>0</v>
      </c>
      <c r="U118" s="75">
        <f t="shared" si="73"/>
        <v>0</v>
      </c>
      <c r="V118" s="75">
        <f t="shared" si="73"/>
        <v>0</v>
      </c>
      <c r="W118" s="72">
        <f t="shared" si="64"/>
        <v>0.18867924528301888</v>
      </c>
      <c r="X118" s="39">
        <f t="shared" si="65"/>
        <v>20</v>
      </c>
      <c r="Y118" s="94">
        <v>20</v>
      </c>
      <c r="Z118" s="91">
        <f t="shared" si="67"/>
        <v>0.19230769230769232</v>
      </c>
      <c r="AA118" s="95">
        <v>20</v>
      </c>
      <c r="AB118" s="92">
        <f t="shared" si="68"/>
        <v>0.18867924528301888</v>
      </c>
      <c r="AC118" s="84">
        <f t="shared" si="66"/>
        <v>-3.6284470246734368E-3</v>
      </c>
      <c r="AE118" s="10"/>
      <c r="AF118" s="10"/>
    </row>
    <row r="119" spans="1:32" s="69" customFormat="1" ht="14.65" customHeight="1">
      <c r="A119" s="31"/>
      <c r="B119" s="96" t="s">
        <v>310</v>
      </c>
      <c r="C119" s="97" t="s">
        <v>309</v>
      </c>
      <c r="D119" s="97" t="s">
        <v>309</v>
      </c>
      <c r="E119" s="97" t="s">
        <v>309</v>
      </c>
      <c r="F119" s="97" t="s">
        <v>309</v>
      </c>
      <c r="G119" s="97" t="s">
        <v>309</v>
      </c>
      <c r="H119" s="97" t="s">
        <v>309</v>
      </c>
      <c r="I119" s="97" t="s">
        <v>309</v>
      </c>
      <c r="J119" s="97" t="s">
        <v>309</v>
      </c>
      <c r="K119" s="97" t="s">
        <v>309</v>
      </c>
      <c r="L119" s="97" t="s">
        <v>309</v>
      </c>
      <c r="M119" s="97" t="s">
        <v>309</v>
      </c>
      <c r="N119" s="97" t="s">
        <v>309</v>
      </c>
      <c r="O119" s="97" t="s">
        <v>309</v>
      </c>
      <c r="P119" s="97" t="s">
        <v>309</v>
      </c>
      <c r="Q119" s="97" t="s">
        <v>309</v>
      </c>
      <c r="R119" s="97" t="s">
        <v>309</v>
      </c>
      <c r="S119" s="97" t="s">
        <v>309</v>
      </c>
      <c r="T119" s="97" t="s">
        <v>309</v>
      </c>
      <c r="U119" s="97" t="s">
        <v>309</v>
      </c>
      <c r="V119" s="97" t="s">
        <v>309</v>
      </c>
      <c r="W119" s="72">
        <f t="shared" si="64"/>
        <v>0</v>
      </c>
      <c r="X119" s="39">
        <f t="shared" si="65"/>
        <v>0</v>
      </c>
      <c r="Y119" s="94">
        <v>0</v>
      </c>
      <c r="Z119" s="91">
        <f t="shared" si="67"/>
        <v>0</v>
      </c>
      <c r="AA119" s="95">
        <v>0</v>
      </c>
      <c r="AB119" s="92">
        <f t="shared" si="68"/>
        <v>0</v>
      </c>
      <c r="AC119" s="84">
        <f t="shared" si="66"/>
        <v>0</v>
      </c>
      <c r="AE119" s="10"/>
      <c r="AF119" s="10"/>
    </row>
    <row r="120" spans="1:32">
      <c r="D120" s="69"/>
      <c r="E120" s="69"/>
      <c r="F120" s="69"/>
      <c r="G120" s="69"/>
      <c r="R120" s="69"/>
      <c r="S120" s="69"/>
      <c r="T120" s="69"/>
      <c r="U120" s="69"/>
      <c r="V120" s="69"/>
      <c r="W120" s="37"/>
      <c r="AC120" s="83"/>
      <c r="AD120" s="69"/>
      <c r="AE120" s="10"/>
      <c r="AF120" s="10"/>
    </row>
    <row r="121" spans="1:32" s="69" customFormat="1" hidden="1">
      <c r="A121" s="31"/>
      <c r="B121" s="202" t="s">
        <v>623</v>
      </c>
      <c r="C121" s="69">
        <f>SUMPRODUCT((C108:C119&lt;&gt;"NA")*$X108:$X119)</f>
        <v>106</v>
      </c>
      <c r="D121" s="69">
        <f t="shared" ref="D121:V121" si="74">SUMPRODUCT((D108:D119&lt;&gt;"NA")*$X108:$X119)</f>
        <v>106</v>
      </c>
      <c r="E121" s="69">
        <f t="shared" si="74"/>
        <v>106</v>
      </c>
      <c r="F121" s="69">
        <f t="shared" si="74"/>
        <v>106</v>
      </c>
      <c r="G121" s="69">
        <f t="shared" si="74"/>
        <v>106</v>
      </c>
      <c r="H121" s="69">
        <f t="shared" si="74"/>
        <v>106</v>
      </c>
      <c r="I121" s="69">
        <f t="shared" si="74"/>
        <v>106</v>
      </c>
      <c r="J121" s="69">
        <f t="shared" si="74"/>
        <v>106</v>
      </c>
      <c r="K121" s="69">
        <f t="shared" si="74"/>
        <v>106</v>
      </c>
      <c r="L121" s="69">
        <f t="shared" si="74"/>
        <v>106</v>
      </c>
      <c r="M121" s="69">
        <f t="shared" si="74"/>
        <v>106</v>
      </c>
      <c r="N121" s="69">
        <f t="shared" si="74"/>
        <v>106</v>
      </c>
      <c r="O121" s="69">
        <f t="shared" si="74"/>
        <v>106</v>
      </c>
      <c r="P121" s="69">
        <f t="shared" si="74"/>
        <v>106</v>
      </c>
      <c r="Q121" s="69">
        <f t="shared" si="74"/>
        <v>106</v>
      </c>
      <c r="R121" s="69">
        <f t="shared" si="74"/>
        <v>106</v>
      </c>
      <c r="S121" s="69">
        <f t="shared" si="74"/>
        <v>106</v>
      </c>
      <c r="T121" s="69">
        <f t="shared" si="74"/>
        <v>106</v>
      </c>
      <c r="U121" s="69">
        <f t="shared" si="74"/>
        <v>106</v>
      </c>
      <c r="V121" s="69">
        <f t="shared" si="74"/>
        <v>106</v>
      </c>
      <c r="W121" s="37"/>
      <c r="X121" s="39"/>
      <c r="AC121" s="83"/>
      <c r="AE121" s="10"/>
      <c r="AF121" s="10"/>
    </row>
    <row r="122" spans="1:32" hidden="1">
      <c r="B122" s="8" t="s">
        <v>14</v>
      </c>
      <c r="C122">
        <f t="shared" ref="C122:V122" ca="1" si="75">C107*$Y107</f>
        <v>0</v>
      </c>
      <c r="D122" s="69">
        <f t="shared" ca="1" si="75"/>
        <v>0</v>
      </c>
      <c r="E122" s="69">
        <f t="shared" ca="1" si="75"/>
        <v>0</v>
      </c>
      <c r="F122" s="69">
        <f t="shared" ca="1" si="75"/>
        <v>0</v>
      </c>
      <c r="G122" s="69">
        <f t="shared" ca="1" si="75"/>
        <v>0</v>
      </c>
      <c r="H122" s="69">
        <f t="shared" ca="1" si="75"/>
        <v>0</v>
      </c>
      <c r="I122" s="69">
        <f t="shared" ca="1" si="75"/>
        <v>0</v>
      </c>
      <c r="J122" s="69">
        <f t="shared" ca="1" si="75"/>
        <v>0</v>
      </c>
      <c r="K122" s="69">
        <f t="shared" ca="1" si="75"/>
        <v>0</v>
      </c>
      <c r="L122" s="69">
        <f t="shared" ca="1" si="75"/>
        <v>0</v>
      </c>
      <c r="M122" s="69">
        <f t="shared" ca="1" si="75"/>
        <v>0</v>
      </c>
      <c r="N122" s="69">
        <f t="shared" ca="1" si="75"/>
        <v>0</v>
      </c>
      <c r="O122" s="69">
        <f t="shared" ca="1" si="75"/>
        <v>0</v>
      </c>
      <c r="P122" s="69">
        <f t="shared" ca="1" si="75"/>
        <v>0</v>
      </c>
      <c r="Q122" s="69">
        <f t="shared" ca="1" si="75"/>
        <v>0</v>
      </c>
      <c r="R122" s="69">
        <f t="shared" ca="1" si="75"/>
        <v>0</v>
      </c>
      <c r="S122" s="69">
        <f t="shared" ca="1" si="75"/>
        <v>0</v>
      </c>
      <c r="T122" s="69">
        <f t="shared" ca="1" si="75"/>
        <v>0</v>
      </c>
      <c r="U122" s="69">
        <f t="shared" ca="1" si="75"/>
        <v>0</v>
      </c>
      <c r="V122" s="69">
        <f t="shared" ca="1" si="75"/>
        <v>0</v>
      </c>
      <c r="W122" s="37"/>
      <c r="AC122" s="69"/>
      <c r="AD122" s="69"/>
      <c r="AE122" s="69"/>
      <c r="AF122" s="69"/>
    </row>
    <row r="123" spans="1:32" hidden="1">
      <c r="B123" s="8" t="s">
        <v>15</v>
      </c>
      <c r="C123">
        <f t="shared" ref="C123:V123" ca="1" si="76">C107*$Z107</f>
        <v>0</v>
      </c>
      <c r="D123" s="69">
        <f t="shared" ca="1" si="76"/>
        <v>0</v>
      </c>
      <c r="E123" s="69">
        <f t="shared" ca="1" si="76"/>
        <v>0</v>
      </c>
      <c r="F123" s="69">
        <f t="shared" ca="1" si="76"/>
        <v>0</v>
      </c>
      <c r="G123" s="69">
        <f t="shared" ca="1" si="76"/>
        <v>0</v>
      </c>
      <c r="H123" s="69">
        <f t="shared" ca="1" si="76"/>
        <v>0</v>
      </c>
      <c r="I123" s="69">
        <f t="shared" ca="1" si="76"/>
        <v>0</v>
      </c>
      <c r="J123" s="69">
        <f t="shared" ca="1" si="76"/>
        <v>0</v>
      </c>
      <c r="K123" s="69">
        <f t="shared" ca="1" si="76"/>
        <v>0</v>
      </c>
      <c r="L123" s="69">
        <f t="shared" ca="1" si="76"/>
        <v>0</v>
      </c>
      <c r="M123" s="69">
        <f t="shared" ca="1" si="76"/>
        <v>0</v>
      </c>
      <c r="N123" s="69">
        <f t="shared" ca="1" si="76"/>
        <v>0</v>
      </c>
      <c r="O123" s="69">
        <f t="shared" ca="1" si="76"/>
        <v>0</v>
      </c>
      <c r="P123" s="69">
        <f t="shared" ca="1" si="76"/>
        <v>0</v>
      </c>
      <c r="Q123" s="69">
        <f t="shared" ca="1" si="76"/>
        <v>0</v>
      </c>
      <c r="R123" s="69">
        <f t="shared" ca="1" si="76"/>
        <v>0</v>
      </c>
      <c r="S123" s="69">
        <f t="shared" ca="1" si="76"/>
        <v>0</v>
      </c>
      <c r="T123" s="69">
        <f t="shared" ca="1" si="76"/>
        <v>0</v>
      </c>
      <c r="U123" s="69">
        <f t="shared" ca="1" si="76"/>
        <v>0</v>
      </c>
      <c r="V123" s="69">
        <f t="shared" ca="1" si="76"/>
        <v>0</v>
      </c>
      <c r="W123" s="37"/>
      <c r="AC123" s="69"/>
      <c r="AD123" s="69"/>
      <c r="AE123" s="69"/>
      <c r="AF123" s="69"/>
    </row>
    <row r="124" spans="1:32" hidden="1">
      <c r="B124" s="8" t="s">
        <v>16</v>
      </c>
      <c r="C124">
        <f t="shared" ref="C124:V124" ca="1" si="77">C107*$AA107</f>
        <v>0</v>
      </c>
      <c r="D124" s="69">
        <f t="shared" ca="1" si="77"/>
        <v>0</v>
      </c>
      <c r="E124" s="69">
        <f t="shared" ca="1" si="77"/>
        <v>0</v>
      </c>
      <c r="F124" s="69">
        <f t="shared" ca="1" si="77"/>
        <v>0</v>
      </c>
      <c r="G124" s="69">
        <f t="shared" ca="1" si="77"/>
        <v>0</v>
      </c>
      <c r="H124" s="69">
        <f t="shared" ca="1" si="77"/>
        <v>0</v>
      </c>
      <c r="I124" s="69">
        <f t="shared" ca="1" si="77"/>
        <v>0</v>
      </c>
      <c r="J124" s="69">
        <f t="shared" ca="1" si="77"/>
        <v>0</v>
      </c>
      <c r="K124" s="69">
        <f t="shared" ca="1" si="77"/>
        <v>0</v>
      </c>
      <c r="L124" s="69">
        <f t="shared" ca="1" si="77"/>
        <v>0</v>
      </c>
      <c r="M124" s="69">
        <f t="shared" ca="1" si="77"/>
        <v>0</v>
      </c>
      <c r="N124" s="69">
        <f t="shared" ca="1" si="77"/>
        <v>0</v>
      </c>
      <c r="O124" s="69">
        <f t="shared" ca="1" si="77"/>
        <v>0</v>
      </c>
      <c r="P124" s="69">
        <f t="shared" ca="1" si="77"/>
        <v>0</v>
      </c>
      <c r="Q124" s="69">
        <f t="shared" ca="1" si="77"/>
        <v>0</v>
      </c>
      <c r="R124" s="69">
        <f t="shared" ca="1" si="77"/>
        <v>0</v>
      </c>
      <c r="S124" s="69">
        <f t="shared" ca="1" si="77"/>
        <v>0</v>
      </c>
      <c r="T124" s="69">
        <f t="shared" ca="1" si="77"/>
        <v>0</v>
      </c>
      <c r="U124" s="69">
        <f t="shared" ca="1" si="77"/>
        <v>0</v>
      </c>
      <c r="V124" s="69">
        <f t="shared" ca="1" si="77"/>
        <v>0</v>
      </c>
      <c r="W124" s="37"/>
    </row>
    <row r="125" spans="1:32" hidden="1">
      <c r="B125" s="8" t="s">
        <v>17</v>
      </c>
      <c r="C125">
        <f t="shared" ref="C125:V125" ca="1" si="78">C107*$AB107</f>
        <v>0</v>
      </c>
      <c r="D125" s="69">
        <f t="shared" ca="1" si="78"/>
        <v>0</v>
      </c>
      <c r="E125" s="69">
        <f t="shared" ca="1" si="78"/>
        <v>0</v>
      </c>
      <c r="F125" s="69">
        <f t="shared" ca="1" si="78"/>
        <v>0</v>
      </c>
      <c r="G125" s="69">
        <f t="shared" ca="1" si="78"/>
        <v>0</v>
      </c>
      <c r="H125" s="69">
        <f t="shared" ca="1" si="78"/>
        <v>0</v>
      </c>
      <c r="I125" s="69">
        <f t="shared" ca="1" si="78"/>
        <v>0</v>
      </c>
      <c r="J125" s="69">
        <f t="shared" ca="1" si="78"/>
        <v>0</v>
      </c>
      <c r="K125" s="69">
        <f t="shared" ca="1" si="78"/>
        <v>0</v>
      </c>
      <c r="L125" s="69">
        <f t="shared" ca="1" si="78"/>
        <v>0</v>
      </c>
      <c r="M125" s="69">
        <f t="shared" ca="1" si="78"/>
        <v>0</v>
      </c>
      <c r="N125" s="69">
        <f t="shared" ca="1" si="78"/>
        <v>0</v>
      </c>
      <c r="O125" s="69">
        <f t="shared" ca="1" si="78"/>
        <v>0</v>
      </c>
      <c r="P125" s="69">
        <f t="shared" ca="1" si="78"/>
        <v>0</v>
      </c>
      <c r="Q125" s="69">
        <f t="shared" ca="1" si="78"/>
        <v>0</v>
      </c>
      <c r="R125" s="69">
        <f t="shared" ca="1" si="78"/>
        <v>0</v>
      </c>
      <c r="S125" s="69">
        <f t="shared" ca="1" si="78"/>
        <v>0</v>
      </c>
      <c r="T125" s="69">
        <f t="shared" ca="1" si="78"/>
        <v>0</v>
      </c>
      <c r="U125" s="69">
        <f t="shared" ca="1" si="78"/>
        <v>0</v>
      </c>
      <c r="V125" s="69">
        <f t="shared" ca="1" si="78"/>
        <v>0</v>
      </c>
      <c r="W125" s="37"/>
    </row>
    <row r="126" spans="1:32">
      <c r="B126" s="65"/>
      <c r="C126" s="64"/>
      <c r="D126" s="64"/>
      <c r="E126" s="64"/>
      <c r="F126" s="64"/>
      <c r="G126" s="64"/>
      <c r="H126" s="64"/>
      <c r="I126" s="64"/>
      <c r="J126" s="64"/>
      <c r="K126" s="64"/>
      <c r="L126" s="64"/>
      <c r="M126" s="64"/>
      <c r="N126" s="64"/>
      <c r="O126" s="64"/>
      <c r="P126" s="64"/>
      <c r="Q126" s="64"/>
      <c r="R126" s="64"/>
      <c r="S126" s="64"/>
      <c r="T126" s="64"/>
      <c r="U126" s="64"/>
      <c r="V126" s="64"/>
      <c r="W126" s="37"/>
    </row>
    <row r="127" spans="1:32">
      <c r="B127" s="23" t="s">
        <v>48</v>
      </c>
      <c r="C127" s="81">
        <f>SUMPRODUCT(C129:C143,$X$129:$X$143)/C145</f>
        <v>0</v>
      </c>
      <c r="D127" s="81">
        <f t="shared" ref="D127:V127" si="79">SUMPRODUCT(D129:D143,$X$129:$X$143)/D145</f>
        <v>0</v>
      </c>
      <c r="E127" s="81">
        <f t="shared" si="79"/>
        <v>0</v>
      </c>
      <c r="F127" s="81">
        <f t="shared" si="79"/>
        <v>0</v>
      </c>
      <c r="G127" s="81">
        <f t="shared" si="79"/>
        <v>0</v>
      </c>
      <c r="H127" s="81">
        <f t="shared" si="79"/>
        <v>0</v>
      </c>
      <c r="I127" s="81">
        <f t="shared" si="79"/>
        <v>0</v>
      </c>
      <c r="J127" s="81">
        <f t="shared" si="79"/>
        <v>0</v>
      </c>
      <c r="K127" s="81">
        <f t="shared" si="79"/>
        <v>0</v>
      </c>
      <c r="L127" s="81">
        <f t="shared" si="79"/>
        <v>0</v>
      </c>
      <c r="M127" s="81">
        <f t="shared" si="79"/>
        <v>0</v>
      </c>
      <c r="N127" s="81">
        <f t="shared" si="79"/>
        <v>0</v>
      </c>
      <c r="O127" s="81">
        <f t="shared" si="79"/>
        <v>0</v>
      </c>
      <c r="P127" s="81">
        <f t="shared" si="79"/>
        <v>0</v>
      </c>
      <c r="Q127" s="81">
        <f t="shared" si="79"/>
        <v>0</v>
      </c>
      <c r="R127" s="81">
        <f t="shared" si="79"/>
        <v>0</v>
      </c>
      <c r="S127" s="81">
        <f t="shared" si="79"/>
        <v>0</v>
      </c>
      <c r="T127" s="81">
        <f t="shared" si="79"/>
        <v>0</v>
      </c>
      <c r="U127" s="81">
        <f t="shared" si="79"/>
        <v>0</v>
      </c>
      <c r="V127" s="81">
        <f t="shared" si="79"/>
        <v>0</v>
      </c>
      <c r="W127" s="37"/>
      <c r="Y127" s="87" t="s">
        <v>305</v>
      </c>
      <c r="Z127" s="88"/>
      <c r="AA127" s="90" t="s">
        <v>12</v>
      </c>
    </row>
    <row r="128" spans="1:32">
      <c r="B128" s="35" t="s">
        <v>69</v>
      </c>
      <c r="C128" s="246">
        <f ca="1">INDIRECT("'TESTING v2'!AE"&amp;COLUMN())</f>
        <v>0</v>
      </c>
      <c r="D128" s="246">
        <f t="shared" ref="D128:V128" ca="1" si="80">INDIRECT("'TESTING v2'!AE"&amp;COLUMN())</f>
        <v>0</v>
      </c>
      <c r="E128" s="246">
        <f t="shared" ca="1" si="80"/>
        <v>0</v>
      </c>
      <c r="F128" s="246">
        <f t="shared" ca="1" si="80"/>
        <v>0</v>
      </c>
      <c r="G128" s="246">
        <f t="shared" ca="1" si="80"/>
        <v>0</v>
      </c>
      <c r="H128" s="246">
        <f t="shared" ca="1" si="80"/>
        <v>0</v>
      </c>
      <c r="I128" s="246">
        <f t="shared" ca="1" si="80"/>
        <v>0</v>
      </c>
      <c r="J128" s="246">
        <f t="shared" ca="1" si="80"/>
        <v>0</v>
      </c>
      <c r="K128" s="246">
        <f t="shared" ca="1" si="80"/>
        <v>0</v>
      </c>
      <c r="L128" s="246">
        <f t="shared" ca="1" si="80"/>
        <v>0</v>
      </c>
      <c r="M128" s="246">
        <f t="shared" ca="1" si="80"/>
        <v>0</v>
      </c>
      <c r="N128" s="246">
        <f t="shared" ca="1" si="80"/>
        <v>0</v>
      </c>
      <c r="O128" s="246">
        <f t="shared" ca="1" si="80"/>
        <v>0</v>
      </c>
      <c r="P128" s="246">
        <f t="shared" ca="1" si="80"/>
        <v>0</v>
      </c>
      <c r="Q128" s="246">
        <f t="shared" ca="1" si="80"/>
        <v>0</v>
      </c>
      <c r="R128" s="246">
        <f t="shared" ca="1" si="80"/>
        <v>0</v>
      </c>
      <c r="S128" s="246">
        <f t="shared" ca="1" si="80"/>
        <v>0</v>
      </c>
      <c r="T128" s="246">
        <f t="shared" ca="1" si="80"/>
        <v>0</v>
      </c>
      <c r="U128" s="246">
        <f t="shared" ca="1" si="80"/>
        <v>0</v>
      </c>
      <c r="V128" s="246">
        <f t="shared" ca="1" si="80"/>
        <v>0</v>
      </c>
      <c r="W128" s="67">
        <f ca="1">COUNTBLANK(C146:V149)</f>
        <v>0</v>
      </c>
      <c r="X128" s="39" t="s">
        <v>259</v>
      </c>
      <c r="Y128" s="93">
        <f>AC2*AC8</f>
        <v>0</v>
      </c>
      <c r="Z128" s="6">
        <f>AC3*AC8</f>
        <v>50</v>
      </c>
      <c r="AA128" s="93">
        <f>AC4*AC8</f>
        <v>0</v>
      </c>
      <c r="AB128" s="6">
        <f>AC5*AC8</f>
        <v>0</v>
      </c>
      <c r="AE128" s="69"/>
      <c r="AF128" s="69"/>
    </row>
    <row r="129" spans="1:29" s="69" customFormat="1">
      <c r="A129" s="31"/>
      <c r="B129" s="70" t="s">
        <v>300</v>
      </c>
      <c r="C129" s="77"/>
      <c r="D129" s="77"/>
      <c r="E129" s="77"/>
      <c r="F129" s="77"/>
      <c r="G129" s="77"/>
      <c r="H129" s="77"/>
      <c r="I129" s="77"/>
      <c r="J129" s="77"/>
      <c r="K129" s="77"/>
      <c r="L129" s="77"/>
      <c r="M129" s="77"/>
      <c r="N129" s="77"/>
      <c r="O129" s="77"/>
      <c r="P129" s="77"/>
      <c r="Q129" s="77"/>
      <c r="R129" s="77"/>
      <c r="S129" s="77"/>
      <c r="T129" s="77"/>
      <c r="U129" s="77"/>
      <c r="V129" s="77"/>
      <c r="W129" s="72">
        <f t="shared" ref="W129:W143" si="81">X129/SUM($X$129:$X$143)</f>
        <v>0.24691358024691357</v>
      </c>
      <c r="X129" s="82">
        <f t="shared" ref="X129:X143" si="82">IF($B$4="E-Commerce",AA129,Y129)</f>
        <v>60</v>
      </c>
      <c r="Y129" s="94">
        <v>60</v>
      </c>
      <c r="Z129" s="91">
        <f t="shared" ref="Z129:Z143" si="83">Y129/SUM($Y$129:$Y$143)</f>
        <v>0.34482758620689657</v>
      </c>
      <c r="AA129" s="95">
        <v>60</v>
      </c>
      <c r="AB129" s="92">
        <f t="shared" ref="AB129:AB143" si="84">AA129/SUM($AA$129:$AA$143)</f>
        <v>0.24691358024691357</v>
      </c>
      <c r="AC129" s="84">
        <f t="shared" ref="AC129:AC143" si="85">AB129-Z129</f>
        <v>-9.7914005959983008E-2</v>
      </c>
    </row>
    <row r="130" spans="1:29" s="69" customFormat="1">
      <c r="A130" s="31"/>
      <c r="B130" s="70" t="s">
        <v>505</v>
      </c>
      <c r="C130" s="77"/>
      <c r="D130" s="77"/>
      <c r="E130" s="77"/>
      <c r="F130" s="77"/>
      <c r="G130" s="77"/>
      <c r="H130" s="77"/>
      <c r="I130" s="77"/>
      <c r="J130" s="77"/>
      <c r="K130" s="77"/>
      <c r="L130" s="77"/>
      <c r="M130" s="77"/>
      <c r="N130" s="77"/>
      <c r="O130" s="77"/>
      <c r="P130" s="77"/>
      <c r="Q130" s="77"/>
      <c r="R130" s="77"/>
      <c r="S130" s="77"/>
      <c r="T130" s="77"/>
      <c r="U130" s="77"/>
      <c r="V130" s="77"/>
      <c r="W130" s="72">
        <f t="shared" si="81"/>
        <v>8.2304526748971193E-2</v>
      </c>
      <c r="X130" s="82">
        <f t="shared" si="82"/>
        <v>20</v>
      </c>
      <c r="Y130" s="94">
        <v>20</v>
      </c>
      <c r="Z130" s="91">
        <f t="shared" si="83"/>
        <v>0.11494252873563218</v>
      </c>
      <c r="AA130" s="95">
        <v>20</v>
      </c>
      <c r="AB130" s="92">
        <f t="shared" si="84"/>
        <v>8.2304526748971193E-2</v>
      </c>
      <c r="AC130" s="84">
        <f t="shared" si="85"/>
        <v>-3.2638001986660989E-2</v>
      </c>
    </row>
    <row r="131" spans="1:29" s="69" customFormat="1">
      <c r="A131" s="31"/>
      <c r="B131" s="70" t="s">
        <v>281</v>
      </c>
      <c r="C131" s="77"/>
      <c r="D131" s="77"/>
      <c r="E131" s="77"/>
      <c r="F131" s="77"/>
      <c r="G131" s="77"/>
      <c r="H131" s="77"/>
      <c r="I131" s="77"/>
      <c r="J131" s="77"/>
      <c r="K131" s="77"/>
      <c r="L131" s="77"/>
      <c r="M131" s="77"/>
      <c r="N131" s="77"/>
      <c r="O131" s="77"/>
      <c r="P131" s="77"/>
      <c r="Q131" s="77"/>
      <c r="R131" s="77"/>
      <c r="S131" s="77"/>
      <c r="T131" s="77"/>
      <c r="U131" s="77"/>
      <c r="V131" s="77"/>
      <c r="W131" s="72">
        <f t="shared" si="81"/>
        <v>0.20576131687242799</v>
      </c>
      <c r="X131" s="82">
        <f t="shared" si="82"/>
        <v>50</v>
      </c>
      <c r="Y131" s="94">
        <v>30</v>
      </c>
      <c r="Z131" s="91">
        <f t="shared" si="83"/>
        <v>0.17241379310344829</v>
      </c>
      <c r="AA131" s="95">
        <v>50</v>
      </c>
      <c r="AB131" s="92">
        <f t="shared" si="84"/>
        <v>0.20576131687242799</v>
      </c>
      <c r="AC131" s="84">
        <f t="shared" si="85"/>
        <v>3.3347523768979703E-2</v>
      </c>
    </row>
    <row r="132" spans="1:29" s="69" customFormat="1">
      <c r="A132" s="31"/>
      <c r="B132" s="70" t="s">
        <v>500</v>
      </c>
      <c r="C132" s="77"/>
      <c r="D132" s="77"/>
      <c r="E132" s="77"/>
      <c r="F132" s="77"/>
      <c r="G132" s="77"/>
      <c r="H132" s="77"/>
      <c r="I132" s="77"/>
      <c r="J132" s="77"/>
      <c r="K132" s="77"/>
      <c r="L132" s="77"/>
      <c r="M132" s="77"/>
      <c r="N132" s="77"/>
      <c r="O132" s="77"/>
      <c r="P132" s="77"/>
      <c r="Q132" s="77"/>
      <c r="R132" s="77"/>
      <c r="S132" s="77"/>
      <c r="T132" s="77"/>
      <c r="U132" s="77"/>
      <c r="V132" s="77"/>
      <c r="W132" s="72">
        <f t="shared" si="81"/>
        <v>2.0576131687242798E-2</v>
      </c>
      <c r="X132" s="82">
        <f t="shared" si="82"/>
        <v>5</v>
      </c>
      <c r="Y132" s="94">
        <v>0</v>
      </c>
      <c r="Z132" s="91">
        <f t="shared" si="83"/>
        <v>0</v>
      </c>
      <c r="AA132" s="95">
        <v>5</v>
      </c>
      <c r="AB132" s="92">
        <f t="shared" si="84"/>
        <v>2.0576131687242798E-2</v>
      </c>
      <c r="AC132" s="84">
        <f t="shared" si="85"/>
        <v>2.0576131687242798E-2</v>
      </c>
    </row>
    <row r="133" spans="1:29" s="69" customFormat="1">
      <c r="A133" s="31"/>
      <c r="B133" s="70" t="s">
        <v>498</v>
      </c>
      <c r="C133" s="77"/>
      <c r="D133" s="77"/>
      <c r="E133" s="77"/>
      <c r="F133" s="77"/>
      <c r="G133" s="77"/>
      <c r="H133" s="77"/>
      <c r="I133" s="77"/>
      <c r="J133" s="77"/>
      <c r="K133" s="77"/>
      <c r="L133" s="77"/>
      <c r="M133" s="77"/>
      <c r="N133" s="77"/>
      <c r="O133" s="77"/>
      <c r="P133" s="77"/>
      <c r="Q133" s="77"/>
      <c r="R133" s="77"/>
      <c r="S133" s="77"/>
      <c r="T133" s="77"/>
      <c r="U133" s="77"/>
      <c r="V133" s="77"/>
      <c r="W133" s="72">
        <f t="shared" si="81"/>
        <v>1.2345679012345678E-2</v>
      </c>
      <c r="X133" s="82">
        <f t="shared" si="82"/>
        <v>3</v>
      </c>
      <c r="Y133" s="94">
        <v>0</v>
      </c>
      <c r="Z133" s="91">
        <f t="shared" si="83"/>
        <v>0</v>
      </c>
      <c r="AA133" s="95">
        <v>3</v>
      </c>
      <c r="AB133" s="92">
        <f t="shared" si="84"/>
        <v>1.2345679012345678E-2</v>
      </c>
      <c r="AC133" s="84">
        <f t="shared" si="85"/>
        <v>1.2345679012345678E-2</v>
      </c>
    </row>
    <row r="134" spans="1:29" s="69" customFormat="1">
      <c r="A134" s="31"/>
      <c r="B134" s="70" t="s">
        <v>282</v>
      </c>
      <c r="C134" s="77"/>
      <c r="D134" s="77"/>
      <c r="E134" s="77"/>
      <c r="F134" s="77"/>
      <c r="G134" s="77"/>
      <c r="H134" s="77"/>
      <c r="I134" s="77"/>
      <c r="J134" s="77"/>
      <c r="K134" s="77"/>
      <c r="L134" s="77"/>
      <c r="M134" s="77"/>
      <c r="N134" s="77"/>
      <c r="O134" s="77"/>
      <c r="P134" s="77"/>
      <c r="Q134" s="77"/>
      <c r="R134" s="77"/>
      <c r="S134" s="77"/>
      <c r="T134" s="77"/>
      <c r="U134" s="77"/>
      <c r="V134" s="77"/>
      <c r="W134" s="72">
        <f t="shared" si="81"/>
        <v>2.0576131687242798E-2</v>
      </c>
      <c r="X134" s="82">
        <f t="shared" si="82"/>
        <v>5</v>
      </c>
      <c r="Y134" s="94">
        <v>5</v>
      </c>
      <c r="Z134" s="91">
        <f t="shared" si="83"/>
        <v>2.8735632183908046E-2</v>
      </c>
      <c r="AA134" s="95">
        <v>5</v>
      </c>
      <c r="AB134" s="92">
        <f t="shared" si="84"/>
        <v>2.0576131687242798E-2</v>
      </c>
      <c r="AC134" s="84">
        <f t="shared" si="85"/>
        <v>-8.1595004966652472E-3</v>
      </c>
    </row>
    <row r="135" spans="1:29" s="69" customFormat="1">
      <c r="A135" s="31"/>
      <c r="B135" s="70" t="s">
        <v>283</v>
      </c>
      <c r="C135" s="77"/>
      <c r="D135" s="77"/>
      <c r="E135" s="77"/>
      <c r="F135" s="77"/>
      <c r="G135" s="77"/>
      <c r="H135" s="77"/>
      <c r="I135" s="77"/>
      <c r="J135" s="77"/>
      <c r="K135" s="77"/>
      <c r="L135" s="77"/>
      <c r="M135" s="77"/>
      <c r="N135" s="77"/>
      <c r="O135" s="77"/>
      <c r="P135" s="77"/>
      <c r="Q135" s="77"/>
      <c r="R135" s="77"/>
      <c r="S135" s="77"/>
      <c r="T135" s="77"/>
      <c r="U135" s="77"/>
      <c r="V135" s="77"/>
      <c r="W135" s="72">
        <f t="shared" si="81"/>
        <v>0.16460905349794239</v>
      </c>
      <c r="X135" s="82">
        <f t="shared" si="82"/>
        <v>40</v>
      </c>
      <c r="Y135" s="94">
        <v>10</v>
      </c>
      <c r="Z135" s="91">
        <f t="shared" si="83"/>
        <v>5.7471264367816091E-2</v>
      </c>
      <c r="AA135" s="95">
        <v>40</v>
      </c>
      <c r="AB135" s="92">
        <f t="shared" si="84"/>
        <v>0.16460905349794239</v>
      </c>
      <c r="AC135" s="84">
        <f t="shared" si="85"/>
        <v>0.1071377891301263</v>
      </c>
    </row>
    <row r="136" spans="1:29" s="69" customFormat="1">
      <c r="A136" s="31"/>
      <c r="B136" s="70" t="s">
        <v>289</v>
      </c>
      <c r="C136" s="77"/>
      <c r="D136" s="77"/>
      <c r="E136" s="77"/>
      <c r="F136" s="77"/>
      <c r="G136" s="77"/>
      <c r="H136" s="77"/>
      <c r="I136" s="77"/>
      <c r="J136" s="77"/>
      <c r="K136" s="77"/>
      <c r="L136" s="77"/>
      <c r="M136" s="77"/>
      <c r="N136" s="77"/>
      <c r="O136" s="77"/>
      <c r="P136" s="77"/>
      <c r="Q136" s="77"/>
      <c r="R136" s="77"/>
      <c r="S136" s="77"/>
      <c r="T136" s="77"/>
      <c r="U136" s="77"/>
      <c r="V136" s="77"/>
      <c r="W136" s="72">
        <f t="shared" si="81"/>
        <v>4.1152263374485597E-2</v>
      </c>
      <c r="X136" s="82">
        <f t="shared" si="82"/>
        <v>10</v>
      </c>
      <c r="Y136" s="94">
        <v>3</v>
      </c>
      <c r="Z136" s="91">
        <f t="shared" si="83"/>
        <v>1.7241379310344827E-2</v>
      </c>
      <c r="AA136" s="95">
        <v>10</v>
      </c>
      <c r="AB136" s="92">
        <f t="shared" si="84"/>
        <v>4.1152263374485597E-2</v>
      </c>
      <c r="AC136" s="84">
        <f t="shared" si="85"/>
        <v>2.3910884064140769E-2</v>
      </c>
    </row>
    <row r="137" spans="1:29" s="69" customFormat="1">
      <c r="A137" s="31"/>
      <c r="B137" s="70" t="s">
        <v>290</v>
      </c>
      <c r="C137" s="77"/>
      <c r="D137" s="77"/>
      <c r="E137" s="77"/>
      <c r="F137" s="77"/>
      <c r="G137" s="77"/>
      <c r="H137" s="77"/>
      <c r="I137" s="77"/>
      <c r="J137" s="77"/>
      <c r="K137" s="77"/>
      <c r="L137" s="77"/>
      <c r="M137" s="77"/>
      <c r="N137" s="77"/>
      <c r="O137" s="77"/>
      <c r="P137" s="77"/>
      <c r="Q137" s="77"/>
      <c r="R137" s="77"/>
      <c r="S137" s="77"/>
      <c r="T137" s="77"/>
      <c r="U137" s="77"/>
      <c r="V137" s="77"/>
      <c r="W137" s="72">
        <f t="shared" si="81"/>
        <v>2.0576131687242798E-2</v>
      </c>
      <c r="X137" s="82">
        <f t="shared" si="82"/>
        <v>5</v>
      </c>
      <c r="Y137" s="94">
        <v>5</v>
      </c>
      <c r="Z137" s="91">
        <f t="shared" si="83"/>
        <v>2.8735632183908046E-2</v>
      </c>
      <c r="AA137" s="95">
        <v>5</v>
      </c>
      <c r="AB137" s="92">
        <f t="shared" si="84"/>
        <v>2.0576131687242798E-2</v>
      </c>
      <c r="AC137" s="84">
        <f t="shared" si="85"/>
        <v>-8.1595004966652472E-3</v>
      </c>
    </row>
    <row r="138" spans="1:29" s="69" customFormat="1">
      <c r="A138" s="31"/>
      <c r="B138" s="71" t="s">
        <v>651</v>
      </c>
      <c r="C138" s="75">
        <f>C225</f>
        <v>0</v>
      </c>
      <c r="D138" s="75">
        <f t="shared" ref="D138:V138" si="86">D225</f>
        <v>0</v>
      </c>
      <c r="E138" s="75">
        <f t="shared" si="86"/>
        <v>0</v>
      </c>
      <c r="F138" s="75">
        <f t="shared" si="86"/>
        <v>0</v>
      </c>
      <c r="G138" s="75">
        <f t="shared" si="86"/>
        <v>0</v>
      </c>
      <c r="H138" s="75">
        <f t="shared" si="86"/>
        <v>0</v>
      </c>
      <c r="I138" s="75">
        <f t="shared" si="86"/>
        <v>0</v>
      </c>
      <c r="J138" s="75">
        <f t="shared" si="86"/>
        <v>0</v>
      </c>
      <c r="K138" s="75">
        <f t="shared" si="86"/>
        <v>0</v>
      </c>
      <c r="L138" s="75">
        <f t="shared" si="86"/>
        <v>0</v>
      </c>
      <c r="M138" s="75">
        <f t="shared" si="86"/>
        <v>0</v>
      </c>
      <c r="N138" s="75">
        <f t="shared" si="86"/>
        <v>0</v>
      </c>
      <c r="O138" s="75">
        <f t="shared" si="86"/>
        <v>0</v>
      </c>
      <c r="P138" s="75">
        <f t="shared" si="86"/>
        <v>0</v>
      </c>
      <c r="Q138" s="75">
        <f t="shared" si="86"/>
        <v>0</v>
      </c>
      <c r="R138" s="75">
        <f t="shared" si="86"/>
        <v>0</v>
      </c>
      <c r="S138" s="75">
        <f t="shared" si="86"/>
        <v>0</v>
      </c>
      <c r="T138" s="75">
        <f t="shared" si="86"/>
        <v>0</v>
      </c>
      <c r="U138" s="75">
        <f t="shared" si="86"/>
        <v>0</v>
      </c>
      <c r="V138" s="75">
        <f t="shared" si="86"/>
        <v>0</v>
      </c>
      <c r="W138" s="72">
        <f t="shared" si="81"/>
        <v>2.0576131687242798E-2</v>
      </c>
      <c r="X138" s="82">
        <f t="shared" si="82"/>
        <v>5</v>
      </c>
      <c r="Y138" s="94">
        <v>5</v>
      </c>
      <c r="Z138" s="91">
        <f t="shared" si="83"/>
        <v>2.8735632183908046E-2</v>
      </c>
      <c r="AA138" s="95">
        <v>5</v>
      </c>
      <c r="AB138" s="92">
        <f t="shared" si="84"/>
        <v>2.0576131687242798E-2</v>
      </c>
      <c r="AC138" s="84">
        <f t="shared" si="85"/>
        <v>-8.1595004966652472E-3</v>
      </c>
    </row>
    <row r="139" spans="1:29" s="69" customFormat="1">
      <c r="A139" s="31"/>
      <c r="B139" s="70" t="s">
        <v>284</v>
      </c>
      <c r="C139" s="77"/>
      <c r="D139" s="77"/>
      <c r="E139" s="77"/>
      <c r="F139" s="77"/>
      <c r="G139" s="77"/>
      <c r="H139" s="77"/>
      <c r="I139" s="77"/>
      <c r="J139" s="77"/>
      <c r="K139" s="77"/>
      <c r="L139" s="77"/>
      <c r="M139" s="77"/>
      <c r="N139" s="77"/>
      <c r="O139" s="77"/>
      <c r="P139" s="77"/>
      <c r="Q139" s="77"/>
      <c r="R139" s="77"/>
      <c r="S139" s="77"/>
      <c r="T139" s="77"/>
      <c r="U139" s="77"/>
      <c r="V139" s="77"/>
      <c r="W139" s="72">
        <f t="shared" si="81"/>
        <v>4.9382716049382713E-2</v>
      </c>
      <c r="X139" s="82">
        <f t="shared" si="82"/>
        <v>12</v>
      </c>
      <c r="Y139" s="94">
        <v>10</v>
      </c>
      <c r="Z139" s="91">
        <f t="shared" si="83"/>
        <v>5.7471264367816091E-2</v>
      </c>
      <c r="AA139" s="95">
        <v>12</v>
      </c>
      <c r="AB139" s="92">
        <f t="shared" si="84"/>
        <v>4.9382716049382713E-2</v>
      </c>
      <c r="AC139" s="84">
        <f t="shared" si="85"/>
        <v>-8.0885483184333778E-3</v>
      </c>
    </row>
    <row r="140" spans="1:29" s="69" customFormat="1">
      <c r="A140" s="31"/>
      <c r="B140" s="70" t="s">
        <v>285</v>
      </c>
      <c r="C140" s="77"/>
      <c r="D140" s="77"/>
      <c r="E140" s="77"/>
      <c r="F140" s="77"/>
      <c r="G140" s="77"/>
      <c r="H140" s="77"/>
      <c r="I140" s="77"/>
      <c r="J140" s="77"/>
      <c r="K140" s="77"/>
      <c r="L140" s="77"/>
      <c r="M140" s="77"/>
      <c r="N140" s="77"/>
      <c r="O140" s="77"/>
      <c r="P140" s="77"/>
      <c r="Q140" s="77"/>
      <c r="R140" s="77"/>
      <c r="S140" s="77"/>
      <c r="T140" s="77"/>
      <c r="U140" s="77"/>
      <c r="V140" s="77"/>
      <c r="W140" s="72">
        <f t="shared" si="81"/>
        <v>4.9382716049382713E-2</v>
      </c>
      <c r="X140" s="82">
        <f t="shared" si="82"/>
        <v>12</v>
      </c>
      <c r="Y140" s="94">
        <v>10</v>
      </c>
      <c r="Z140" s="91">
        <f t="shared" si="83"/>
        <v>5.7471264367816091E-2</v>
      </c>
      <c r="AA140" s="95">
        <v>12</v>
      </c>
      <c r="AB140" s="92">
        <f t="shared" si="84"/>
        <v>4.9382716049382713E-2</v>
      </c>
      <c r="AC140" s="84">
        <f t="shared" si="85"/>
        <v>-8.0885483184333778E-3</v>
      </c>
    </row>
    <row r="141" spans="1:29" s="69" customFormat="1">
      <c r="A141" s="31"/>
      <c r="B141" s="70" t="s">
        <v>286</v>
      </c>
      <c r="C141" s="77"/>
      <c r="D141" s="77"/>
      <c r="E141" s="77"/>
      <c r="F141" s="77"/>
      <c r="G141" s="77"/>
      <c r="H141" s="77"/>
      <c r="I141" s="77"/>
      <c r="J141" s="77"/>
      <c r="K141" s="77"/>
      <c r="L141" s="77"/>
      <c r="M141" s="77"/>
      <c r="N141" s="77"/>
      <c r="O141" s="77"/>
      <c r="P141" s="77"/>
      <c r="Q141" s="77"/>
      <c r="R141" s="77"/>
      <c r="S141" s="77"/>
      <c r="T141" s="77"/>
      <c r="U141" s="77"/>
      <c r="V141" s="77"/>
      <c r="W141" s="72">
        <f t="shared" si="81"/>
        <v>2.4691358024691357E-2</v>
      </c>
      <c r="X141" s="82">
        <f t="shared" si="82"/>
        <v>6</v>
      </c>
      <c r="Y141" s="94">
        <v>6</v>
      </c>
      <c r="Z141" s="91">
        <f t="shared" si="83"/>
        <v>3.4482758620689655E-2</v>
      </c>
      <c r="AA141" s="95">
        <v>6</v>
      </c>
      <c r="AB141" s="92">
        <f t="shared" si="84"/>
        <v>2.4691358024691357E-2</v>
      </c>
      <c r="AC141" s="84">
        <f t="shared" si="85"/>
        <v>-9.791400595998298E-3</v>
      </c>
    </row>
    <row r="142" spans="1:29" s="69" customFormat="1">
      <c r="A142" s="31"/>
      <c r="B142" s="70" t="s">
        <v>291</v>
      </c>
      <c r="C142" s="77"/>
      <c r="D142" s="77"/>
      <c r="E142" s="77"/>
      <c r="F142" s="77"/>
      <c r="G142" s="77"/>
      <c r="H142" s="77"/>
      <c r="I142" s="77"/>
      <c r="J142" s="77"/>
      <c r="K142" s="77"/>
      <c r="L142" s="77"/>
      <c r="M142" s="77"/>
      <c r="N142" s="77"/>
      <c r="O142" s="77"/>
      <c r="P142" s="77"/>
      <c r="Q142" s="77"/>
      <c r="R142" s="77"/>
      <c r="S142" s="77"/>
      <c r="T142" s="77"/>
      <c r="U142" s="77"/>
      <c r="V142" s="77"/>
      <c r="W142" s="72">
        <f t="shared" si="81"/>
        <v>4.1152263374485597E-2</v>
      </c>
      <c r="X142" s="82">
        <f t="shared" si="82"/>
        <v>10</v>
      </c>
      <c r="Y142" s="94">
        <v>10</v>
      </c>
      <c r="Z142" s="91">
        <f t="shared" si="83"/>
        <v>5.7471264367816091E-2</v>
      </c>
      <c r="AA142" s="95">
        <v>10</v>
      </c>
      <c r="AB142" s="92">
        <f t="shared" si="84"/>
        <v>4.1152263374485597E-2</v>
      </c>
      <c r="AC142" s="84">
        <f t="shared" si="85"/>
        <v>-1.6319000993330494E-2</v>
      </c>
    </row>
    <row r="143" spans="1:29" s="69" customFormat="1">
      <c r="A143" s="31"/>
      <c r="B143" s="96" t="s">
        <v>310</v>
      </c>
      <c r="C143" s="97" t="s">
        <v>309</v>
      </c>
      <c r="D143" s="97" t="s">
        <v>309</v>
      </c>
      <c r="E143" s="97" t="s">
        <v>309</v>
      </c>
      <c r="F143" s="97" t="s">
        <v>309</v>
      </c>
      <c r="G143" s="97" t="s">
        <v>309</v>
      </c>
      <c r="H143" s="97" t="s">
        <v>309</v>
      </c>
      <c r="I143" s="97" t="s">
        <v>309</v>
      </c>
      <c r="J143" s="97" t="s">
        <v>309</v>
      </c>
      <c r="K143" s="97" t="s">
        <v>309</v>
      </c>
      <c r="L143" s="97" t="s">
        <v>309</v>
      </c>
      <c r="M143" s="97" t="s">
        <v>309</v>
      </c>
      <c r="N143" s="97" t="s">
        <v>309</v>
      </c>
      <c r="O143" s="97" t="s">
        <v>309</v>
      </c>
      <c r="P143" s="97" t="s">
        <v>309</v>
      </c>
      <c r="Q143" s="97" t="s">
        <v>309</v>
      </c>
      <c r="R143" s="97" t="s">
        <v>309</v>
      </c>
      <c r="S143" s="97" t="s">
        <v>309</v>
      </c>
      <c r="T143" s="97" t="s">
        <v>309</v>
      </c>
      <c r="U143" s="97" t="s">
        <v>309</v>
      </c>
      <c r="V143" s="97" t="s">
        <v>309</v>
      </c>
      <c r="W143" s="72">
        <f t="shared" si="81"/>
        <v>0</v>
      </c>
      <c r="X143" s="82">
        <f t="shared" si="82"/>
        <v>0</v>
      </c>
      <c r="Y143" s="94">
        <v>0</v>
      </c>
      <c r="Z143" s="91">
        <f t="shared" si="83"/>
        <v>0</v>
      </c>
      <c r="AA143" s="95">
        <v>0</v>
      </c>
      <c r="AB143" s="92">
        <f t="shared" si="84"/>
        <v>0</v>
      </c>
      <c r="AC143" s="84">
        <f t="shared" si="85"/>
        <v>0</v>
      </c>
    </row>
    <row r="144" spans="1:29">
      <c r="D144" s="69"/>
      <c r="E144" s="69"/>
      <c r="F144" s="69"/>
      <c r="G144" s="69"/>
      <c r="R144" s="69"/>
      <c r="S144" s="69"/>
      <c r="T144" s="69"/>
      <c r="U144" s="69"/>
      <c r="V144" s="69"/>
      <c r="W144" s="37"/>
    </row>
    <row r="145" spans="1:28" s="69" customFormat="1" hidden="1">
      <c r="A145" s="31"/>
      <c r="B145" s="202" t="s">
        <v>623</v>
      </c>
      <c r="C145" s="69">
        <f t="shared" ref="C145:V145" si="87">SUMPRODUCT((C129:C143&lt;&gt;"NA")*$X129:$X143)</f>
        <v>243</v>
      </c>
      <c r="D145" s="69">
        <f t="shared" si="87"/>
        <v>243</v>
      </c>
      <c r="E145" s="69">
        <f t="shared" si="87"/>
        <v>243</v>
      </c>
      <c r="F145" s="69">
        <f t="shared" si="87"/>
        <v>243</v>
      </c>
      <c r="G145" s="69">
        <f t="shared" si="87"/>
        <v>243</v>
      </c>
      <c r="H145" s="69">
        <f t="shared" si="87"/>
        <v>243</v>
      </c>
      <c r="I145" s="69">
        <f t="shared" si="87"/>
        <v>243</v>
      </c>
      <c r="J145" s="69">
        <f t="shared" si="87"/>
        <v>243</v>
      </c>
      <c r="K145" s="69">
        <f t="shared" si="87"/>
        <v>243</v>
      </c>
      <c r="L145" s="69">
        <f t="shared" si="87"/>
        <v>243</v>
      </c>
      <c r="M145" s="69">
        <f t="shared" si="87"/>
        <v>243</v>
      </c>
      <c r="N145" s="69">
        <f t="shared" si="87"/>
        <v>243</v>
      </c>
      <c r="O145" s="69">
        <f t="shared" si="87"/>
        <v>243</v>
      </c>
      <c r="P145" s="69">
        <f t="shared" si="87"/>
        <v>243</v>
      </c>
      <c r="Q145" s="69">
        <f t="shared" si="87"/>
        <v>243</v>
      </c>
      <c r="R145" s="69">
        <f t="shared" si="87"/>
        <v>243</v>
      </c>
      <c r="S145" s="69">
        <f t="shared" si="87"/>
        <v>243</v>
      </c>
      <c r="T145" s="69">
        <f t="shared" si="87"/>
        <v>243</v>
      </c>
      <c r="U145" s="69">
        <f t="shared" si="87"/>
        <v>243</v>
      </c>
      <c r="V145" s="69">
        <f t="shared" si="87"/>
        <v>243</v>
      </c>
      <c r="W145" s="37"/>
      <c r="X145" s="39"/>
    </row>
    <row r="146" spans="1:28" hidden="1">
      <c r="B146" s="8" t="s">
        <v>14</v>
      </c>
      <c r="C146">
        <f t="shared" ref="C146:V146" ca="1" si="88">C128*$Y128</f>
        <v>0</v>
      </c>
      <c r="D146" s="69">
        <f t="shared" ca="1" si="88"/>
        <v>0</v>
      </c>
      <c r="E146" s="69">
        <f t="shared" ca="1" si="88"/>
        <v>0</v>
      </c>
      <c r="F146" s="69">
        <f t="shared" ca="1" si="88"/>
        <v>0</v>
      </c>
      <c r="G146" s="69">
        <f t="shared" ca="1" si="88"/>
        <v>0</v>
      </c>
      <c r="H146" s="69">
        <f t="shared" ca="1" si="88"/>
        <v>0</v>
      </c>
      <c r="I146" s="69">
        <f t="shared" ca="1" si="88"/>
        <v>0</v>
      </c>
      <c r="J146" s="69">
        <f t="shared" ca="1" si="88"/>
        <v>0</v>
      </c>
      <c r="K146" s="69">
        <f t="shared" ca="1" si="88"/>
        <v>0</v>
      </c>
      <c r="L146" s="69">
        <f t="shared" ca="1" si="88"/>
        <v>0</v>
      </c>
      <c r="M146" s="69">
        <f t="shared" ca="1" si="88"/>
        <v>0</v>
      </c>
      <c r="N146" s="69">
        <f t="shared" ca="1" si="88"/>
        <v>0</v>
      </c>
      <c r="O146" s="69">
        <f t="shared" ca="1" si="88"/>
        <v>0</v>
      </c>
      <c r="P146" s="69">
        <f t="shared" ca="1" si="88"/>
        <v>0</v>
      </c>
      <c r="Q146" s="69">
        <f t="shared" ca="1" si="88"/>
        <v>0</v>
      </c>
      <c r="R146" s="69">
        <f t="shared" ca="1" si="88"/>
        <v>0</v>
      </c>
      <c r="S146" s="69">
        <f t="shared" ca="1" si="88"/>
        <v>0</v>
      </c>
      <c r="T146" s="69">
        <f t="shared" ca="1" si="88"/>
        <v>0</v>
      </c>
      <c r="U146" s="69">
        <f t="shared" ca="1" si="88"/>
        <v>0</v>
      </c>
      <c r="V146" s="69">
        <f t="shared" ca="1" si="88"/>
        <v>0</v>
      </c>
      <c r="W146" s="37"/>
    </row>
    <row r="147" spans="1:28" hidden="1">
      <c r="B147" s="8" t="s">
        <v>15</v>
      </c>
      <c r="C147">
        <f t="shared" ref="C147:V147" ca="1" si="89">C128*$Z128</f>
        <v>0</v>
      </c>
      <c r="D147" s="69">
        <f t="shared" ca="1" si="89"/>
        <v>0</v>
      </c>
      <c r="E147" s="69">
        <f t="shared" ca="1" si="89"/>
        <v>0</v>
      </c>
      <c r="F147" s="69">
        <f t="shared" ca="1" si="89"/>
        <v>0</v>
      </c>
      <c r="G147" s="69">
        <f t="shared" ca="1" si="89"/>
        <v>0</v>
      </c>
      <c r="H147" s="69">
        <f t="shared" ca="1" si="89"/>
        <v>0</v>
      </c>
      <c r="I147" s="69">
        <f t="shared" ca="1" si="89"/>
        <v>0</v>
      </c>
      <c r="J147" s="69">
        <f t="shared" ca="1" si="89"/>
        <v>0</v>
      </c>
      <c r="K147" s="69">
        <f t="shared" ca="1" si="89"/>
        <v>0</v>
      </c>
      <c r="L147" s="69">
        <f t="shared" ca="1" si="89"/>
        <v>0</v>
      </c>
      <c r="M147" s="69">
        <f t="shared" ca="1" si="89"/>
        <v>0</v>
      </c>
      <c r="N147" s="69">
        <f t="shared" ca="1" si="89"/>
        <v>0</v>
      </c>
      <c r="O147" s="69">
        <f t="shared" ca="1" si="89"/>
        <v>0</v>
      </c>
      <c r="P147" s="69">
        <f t="shared" ca="1" si="89"/>
        <v>0</v>
      </c>
      <c r="Q147" s="69">
        <f t="shared" ca="1" si="89"/>
        <v>0</v>
      </c>
      <c r="R147" s="69">
        <f t="shared" ca="1" si="89"/>
        <v>0</v>
      </c>
      <c r="S147" s="69">
        <f t="shared" ca="1" si="89"/>
        <v>0</v>
      </c>
      <c r="T147" s="69">
        <f t="shared" ca="1" si="89"/>
        <v>0</v>
      </c>
      <c r="U147" s="69">
        <f t="shared" ca="1" si="89"/>
        <v>0</v>
      </c>
      <c r="V147" s="69">
        <f t="shared" ca="1" si="89"/>
        <v>0</v>
      </c>
      <c r="W147" s="37"/>
    </row>
    <row r="148" spans="1:28" hidden="1">
      <c r="B148" s="8" t="s">
        <v>16</v>
      </c>
      <c r="C148">
        <f t="shared" ref="C148:V148" ca="1" si="90">C128*$AA128</f>
        <v>0</v>
      </c>
      <c r="D148" s="69">
        <f t="shared" ca="1" si="90"/>
        <v>0</v>
      </c>
      <c r="E148" s="69">
        <f t="shared" ca="1" si="90"/>
        <v>0</v>
      </c>
      <c r="F148" s="69">
        <f t="shared" ca="1" si="90"/>
        <v>0</v>
      </c>
      <c r="G148" s="69">
        <f t="shared" ca="1" si="90"/>
        <v>0</v>
      </c>
      <c r="H148" s="69">
        <f t="shared" ca="1" si="90"/>
        <v>0</v>
      </c>
      <c r="I148" s="69">
        <f t="shared" ca="1" si="90"/>
        <v>0</v>
      </c>
      <c r="J148" s="69">
        <f t="shared" ca="1" si="90"/>
        <v>0</v>
      </c>
      <c r="K148" s="69">
        <f t="shared" ca="1" si="90"/>
        <v>0</v>
      </c>
      <c r="L148" s="69">
        <f t="shared" ca="1" si="90"/>
        <v>0</v>
      </c>
      <c r="M148" s="69">
        <f t="shared" ca="1" si="90"/>
        <v>0</v>
      </c>
      <c r="N148" s="69">
        <f t="shared" ca="1" si="90"/>
        <v>0</v>
      </c>
      <c r="O148" s="69">
        <f t="shared" ca="1" si="90"/>
        <v>0</v>
      </c>
      <c r="P148" s="69">
        <f t="shared" ca="1" si="90"/>
        <v>0</v>
      </c>
      <c r="Q148" s="69">
        <f t="shared" ca="1" si="90"/>
        <v>0</v>
      </c>
      <c r="R148" s="69">
        <f t="shared" ca="1" si="90"/>
        <v>0</v>
      </c>
      <c r="S148" s="69">
        <f t="shared" ca="1" si="90"/>
        <v>0</v>
      </c>
      <c r="T148" s="69">
        <f t="shared" ca="1" si="90"/>
        <v>0</v>
      </c>
      <c r="U148" s="69">
        <f t="shared" ca="1" si="90"/>
        <v>0</v>
      </c>
      <c r="V148" s="69">
        <f t="shared" ca="1" si="90"/>
        <v>0</v>
      </c>
      <c r="W148" s="37"/>
    </row>
    <row r="149" spans="1:28" hidden="1">
      <c r="B149" s="8" t="s">
        <v>17</v>
      </c>
      <c r="C149">
        <f t="shared" ref="C149:V149" ca="1" si="91">C128*$AB128</f>
        <v>0</v>
      </c>
      <c r="D149" s="69">
        <f t="shared" ca="1" si="91"/>
        <v>0</v>
      </c>
      <c r="E149" s="69">
        <f t="shared" ca="1" si="91"/>
        <v>0</v>
      </c>
      <c r="F149" s="69">
        <f t="shared" ca="1" si="91"/>
        <v>0</v>
      </c>
      <c r="G149" s="69">
        <f t="shared" ca="1" si="91"/>
        <v>0</v>
      </c>
      <c r="H149" s="69">
        <f t="shared" ca="1" si="91"/>
        <v>0</v>
      </c>
      <c r="I149" s="69">
        <f t="shared" ca="1" si="91"/>
        <v>0</v>
      </c>
      <c r="J149" s="69">
        <f t="shared" ca="1" si="91"/>
        <v>0</v>
      </c>
      <c r="K149" s="69">
        <f t="shared" ca="1" si="91"/>
        <v>0</v>
      </c>
      <c r="L149" s="69">
        <f t="shared" ca="1" si="91"/>
        <v>0</v>
      </c>
      <c r="M149" s="69">
        <f t="shared" ca="1" si="91"/>
        <v>0</v>
      </c>
      <c r="N149" s="69">
        <f t="shared" ca="1" si="91"/>
        <v>0</v>
      </c>
      <c r="O149" s="69">
        <f t="shared" ca="1" si="91"/>
        <v>0</v>
      </c>
      <c r="P149" s="69">
        <f t="shared" ca="1" si="91"/>
        <v>0</v>
      </c>
      <c r="Q149" s="69">
        <f t="shared" ca="1" si="91"/>
        <v>0</v>
      </c>
      <c r="R149" s="69">
        <f t="shared" ca="1" si="91"/>
        <v>0</v>
      </c>
      <c r="S149" s="69">
        <f t="shared" ca="1" si="91"/>
        <v>0</v>
      </c>
      <c r="T149" s="69">
        <f t="shared" ca="1" si="91"/>
        <v>0</v>
      </c>
      <c r="U149" s="69">
        <f t="shared" ca="1" si="91"/>
        <v>0</v>
      </c>
      <c r="V149" s="69">
        <f t="shared" ca="1" si="91"/>
        <v>0</v>
      </c>
      <c r="W149" s="37"/>
    </row>
    <row r="150" spans="1:28">
      <c r="B150" s="65"/>
      <c r="C150" s="64"/>
      <c r="D150" s="64"/>
      <c r="E150" s="64"/>
      <c r="F150" s="64"/>
      <c r="G150" s="64"/>
      <c r="H150" s="64"/>
      <c r="I150" s="64"/>
      <c r="J150" s="64"/>
      <c r="K150" s="64"/>
      <c r="L150" s="64"/>
      <c r="M150" s="64"/>
      <c r="N150" s="64"/>
      <c r="O150" s="64"/>
      <c r="P150" s="64"/>
      <c r="Q150" s="64"/>
      <c r="R150" s="64"/>
      <c r="S150" s="64"/>
      <c r="T150" s="64"/>
      <c r="U150" s="64"/>
      <c r="V150" s="64"/>
      <c r="W150" s="37"/>
    </row>
    <row r="151" spans="1:28">
      <c r="B151" s="23" t="s">
        <v>49</v>
      </c>
      <c r="C151" s="81">
        <f>SUMPRODUCT(C153:C171,$X$153:$X$171)/C173</f>
        <v>0</v>
      </c>
      <c r="D151" s="81">
        <f t="shared" ref="D151:V151" si="92">SUMPRODUCT(D153:D171,$X$153:$X$171)/D173</f>
        <v>0</v>
      </c>
      <c r="E151" s="81">
        <f t="shared" si="92"/>
        <v>0</v>
      </c>
      <c r="F151" s="81">
        <f t="shared" si="92"/>
        <v>0</v>
      </c>
      <c r="G151" s="81">
        <f t="shared" si="92"/>
        <v>0</v>
      </c>
      <c r="H151" s="81">
        <f t="shared" si="92"/>
        <v>0</v>
      </c>
      <c r="I151" s="81">
        <f t="shared" si="92"/>
        <v>0</v>
      </c>
      <c r="J151" s="81">
        <f t="shared" si="92"/>
        <v>0</v>
      </c>
      <c r="K151" s="81">
        <f t="shared" si="92"/>
        <v>0</v>
      </c>
      <c r="L151" s="81">
        <f t="shared" si="92"/>
        <v>0</v>
      </c>
      <c r="M151" s="81">
        <f t="shared" si="92"/>
        <v>0</v>
      </c>
      <c r="N151" s="81">
        <f t="shared" si="92"/>
        <v>0</v>
      </c>
      <c r="O151" s="81">
        <f t="shared" si="92"/>
        <v>0</v>
      </c>
      <c r="P151" s="81">
        <f t="shared" si="92"/>
        <v>0</v>
      </c>
      <c r="Q151" s="81">
        <f t="shared" si="92"/>
        <v>0</v>
      </c>
      <c r="R151" s="81">
        <f t="shared" si="92"/>
        <v>0</v>
      </c>
      <c r="S151" s="81">
        <f t="shared" si="92"/>
        <v>0</v>
      </c>
      <c r="T151" s="81">
        <f t="shared" si="92"/>
        <v>0</v>
      </c>
      <c r="U151" s="81">
        <f t="shared" si="92"/>
        <v>0</v>
      </c>
      <c r="V151" s="81">
        <f t="shared" si="92"/>
        <v>0</v>
      </c>
      <c r="W151" s="37"/>
      <c r="Y151" s="87" t="s">
        <v>305</v>
      </c>
      <c r="Z151" s="88"/>
      <c r="AA151" s="90" t="s">
        <v>12</v>
      </c>
    </row>
    <row r="152" spans="1:28">
      <c r="B152" s="35" t="s">
        <v>538</v>
      </c>
      <c r="C152" s="246">
        <f ca="1">INDIRECT("'TESTING v2'!AF"&amp;COLUMN())</f>
        <v>0</v>
      </c>
      <c r="D152" s="246">
        <f t="shared" ref="D152:V152" ca="1" si="93">INDIRECT("'TESTING v2'!AF"&amp;COLUMN())</f>
        <v>0</v>
      </c>
      <c r="E152" s="246">
        <f t="shared" ca="1" si="93"/>
        <v>0</v>
      </c>
      <c r="F152" s="246">
        <f t="shared" ca="1" si="93"/>
        <v>0</v>
      </c>
      <c r="G152" s="246">
        <f t="shared" ca="1" si="93"/>
        <v>0</v>
      </c>
      <c r="H152" s="246">
        <f t="shared" ca="1" si="93"/>
        <v>0</v>
      </c>
      <c r="I152" s="246">
        <f t="shared" ca="1" si="93"/>
        <v>0</v>
      </c>
      <c r="J152" s="246">
        <f t="shared" ca="1" si="93"/>
        <v>0</v>
      </c>
      <c r="K152" s="246">
        <f t="shared" ca="1" si="93"/>
        <v>0</v>
      </c>
      <c r="L152" s="246">
        <f t="shared" ca="1" si="93"/>
        <v>0</v>
      </c>
      <c r="M152" s="246">
        <f t="shared" ca="1" si="93"/>
        <v>0</v>
      </c>
      <c r="N152" s="246">
        <f t="shared" ca="1" si="93"/>
        <v>0</v>
      </c>
      <c r="O152" s="246">
        <f t="shared" ca="1" si="93"/>
        <v>0</v>
      </c>
      <c r="P152" s="246">
        <f t="shared" ca="1" si="93"/>
        <v>0</v>
      </c>
      <c r="Q152" s="246">
        <f t="shared" ca="1" si="93"/>
        <v>0</v>
      </c>
      <c r="R152" s="246">
        <f t="shared" ca="1" si="93"/>
        <v>0</v>
      </c>
      <c r="S152" s="246">
        <f t="shared" ca="1" si="93"/>
        <v>0</v>
      </c>
      <c r="T152" s="246">
        <f t="shared" ca="1" si="93"/>
        <v>0</v>
      </c>
      <c r="U152" s="246">
        <f t="shared" ca="1" si="93"/>
        <v>0</v>
      </c>
      <c r="V152" s="246">
        <f t="shared" ca="1" si="93"/>
        <v>0</v>
      </c>
      <c r="W152" s="67">
        <f ca="1">COUNTBLANK(C174:V177)</f>
        <v>0</v>
      </c>
      <c r="X152" s="39" t="s">
        <v>259</v>
      </c>
      <c r="Y152" s="6">
        <f>AH2*AH8</f>
        <v>0</v>
      </c>
      <c r="Z152" s="6">
        <f>AH3*AH8</f>
        <v>0</v>
      </c>
      <c r="AA152" s="6">
        <f>AH4*AH8</f>
        <v>100</v>
      </c>
      <c r="AB152" s="6">
        <f>AH5*AH8</f>
        <v>0</v>
      </c>
    </row>
    <row r="153" spans="1:28" s="69" customFormat="1">
      <c r="A153" s="31"/>
      <c r="B153" s="70" t="s">
        <v>268</v>
      </c>
      <c r="C153" s="77"/>
      <c r="D153" s="77"/>
      <c r="E153" s="77"/>
      <c r="F153" s="77"/>
      <c r="G153" s="77"/>
      <c r="H153" s="77"/>
      <c r="I153" s="77"/>
      <c r="J153" s="77"/>
      <c r="K153" s="77"/>
      <c r="L153" s="77"/>
      <c r="M153" s="77"/>
      <c r="N153" s="77"/>
      <c r="O153" s="77"/>
      <c r="P153" s="77"/>
      <c r="Q153" s="77"/>
      <c r="R153" s="77"/>
      <c r="S153" s="77"/>
      <c r="T153" s="77"/>
      <c r="U153" s="77"/>
      <c r="V153" s="77"/>
      <c r="W153" s="72">
        <f t="shared" ref="W153:W171" si="94">X153/SUM($X$153:$X$171)</f>
        <v>6.9767441860465115E-2</v>
      </c>
      <c r="X153" s="39">
        <v>15</v>
      </c>
    </row>
    <row r="154" spans="1:28" s="69" customFormat="1">
      <c r="A154" s="31"/>
      <c r="B154" s="70" t="s">
        <v>271</v>
      </c>
      <c r="C154" s="77"/>
      <c r="D154" s="77"/>
      <c r="E154" s="77"/>
      <c r="F154" s="77"/>
      <c r="G154" s="77"/>
      <c r="H154" s="77"/>
      <c r="I154" s="77"/>
      <c r="J154" s="77"/>
      <c r="K154" s="77"/>
      <c r="L154" s="77"/>
      <c r="M154" s="77"/>
      <c r="N154" s="77"/>
      <c r="O154" s="77"/>
      <c r="P154" s="77"/>
      <c r="Q154" s="77"/>
      <c r="R154" s="77"/>
      <c r="S154" s="77"/>
      <c r="T154" s="77"/>
      <c r="U154" s="77"/>
      <c r="V154" s="77"/>
      <c r="W154" s="72">
        <f t="shared" si="94"/>
        <v>6.9767441860465115E-2</v>
      </c>
      <c r="X154" s="39">
        <v>15</v>
      </c>
    </row>
    <row r="155" spans="1:28" s="69" customFormat="1">
      <c r="A155" s="31"/>
      <c r="B155" s="70" t="s">
        <v>272</v>
      </c>
      <c r="C155" s="77"/>
      <c r="D155" s="77"/>
      <c r="E155" s="77"/>
      <c r="F155" s="77"/>
      <c r="G155" s="77"/>
      <c r="H155" s="77"/>
      <c r="I155" s="77"/>
      <c r="J155" s="77"/>
      <c r="K155" s="77"/>
      <c r="L155" s="77"/>
      <c r="M155" s="77"/>
      <c r="N155" s="77"/>
      <c r="O155" s="77"/>
      <c r="P155" s="77"/>
      <c r="Q155" s="77"/>
      <c r="R155" s="77"/>
      <c r="S155" s="77"/>
      <c r="T155" s="77"/>
      <c r="U155" s="77"/>
      <c r="V155" s="77"/>
      <c r="W155" s="72">
        <f t="shared" si="94"/>
        <v>6.9767441860465115E-2</v>
      </c>
      <c r="X155" s="39">
        <v>15</v>
      </c>
    </row>
    <row r="156" spans="1:28" s="69" customFormat="1">
      <c r="A156" s="31"/>
      <c r="B156" s="70" t="s">
        <v>275</v>
      </c>
      <c r="C156" s="77"/>
      <c r="D156" s="77"/>
      <c r="E156" s="77"/>
      <c r="F156" s="77"/>
      <c r="G156" s="77"/>
      <c r="H156" s="77"/>
      <c r="I156" s="77"/>
      <c r="J156" s="77"/>
      <c r="K156" s="77"/>
      <c r="L156" s="77"/>
      <c r="M156" s="77"/>
      <c r="N156" s="77"/>
      <c r="O156" s="77"/>
      <c r="P156" s="77"/>
      <c r="Q156" s="77"/>
      <c r="R156" s="77"/>
      <c r="S156" s="77"/>
      <c r="T156" s="77"/>
      <c r="U156" s="77"/>
      <c r="V156" s="77"/>
      <c r="W156" s="72">
        <f t="shared" si="94"/>
        <v>4.6511627906976744E-2</v>
      </c>
      <c r="X156" s="39">
        <v>10</v>
      </c>
    </row>
    <row r="157" spans="1:28" s="69" customFormat="1">
      <c r="A157" s="31"/>
      <c r="B157" s="70" t="s">
        <v>317</v>
      </c>
      <c r="C157" s="77"/>
      <c r="D157" s="77"/>
      <c r="E157" s="77"/>
      <c r="F157" s="77"/>
      <c r="G157" s="77"/>
      <c r="H157" s="77"/>
      <c r="I157" s="77"/>
      <c r="J157" s="77"/>
      <c r="K157" s="77"/>
      <c r="L157" s="77"/>
      <c r="M157" s="77"/>
      <c r="N157" s="77"/>
      <c r="O157" s="77"/>
      <c r="P157" s="77"/>
      <c r="Q157" s="77"/>
      <c r="R157" s="77"/>
      <c r="S157" s="77"/>
      <c r="T157" s="77"/>
      <c r="U157" s="77"/>
      <c r="V157" s="77"/>
      <c r="W157" s="72">
        <f t="shared" si="94"/>
        <v>2.3255813953488372E-2</v>
      </c>
      <c r="X157" s="39">
        <v>5</v>
      </c>
    </row>
    <row r="158" spans="1:28" s="69" customFormat="1">
      <c r="A158" s="31"/>
      <c r="B158" s="70" t="s">
        <v>280</v>
      </c>
      <c r="C158" s="77"/>
      <c r="D158" s="77"/>
      <c r="E158" s="77"/>
      <c r="F158" s="77"/>
      <c r="G158" s="77"/>
      <c r="H158" s="77"/>
      <c r="I158" s="77"/>
      <c r="J158" s="77"/>
      <c r="K158" s="77"/>
      <c r="L158" s="77"/>
      <c r="M158" s="77"/>
      <c r="N158" s="77"/>
      <c r="O158" s="77"/>
      <c r="P158" s="77"/>
      <c r="Q158" s="77"/>
      <c r="R158" s="77"/>
      <c r="S158" s="77"/>
      <c r="T158" s="77"/>
      <c r="U158" s="77"/>
      <c r="V158" s="77"/>
      <c r="W158" s="72">
        <f t="shared" si="94"/>
        <v>4.6511627906976744E-2</v>
      </c>
      <c r="X158" s="39">
        <v>10</v>
      </c>
    </row>
    <row r="159" spans="1:28" s="69" customFormat="1">
      <c r="A159" s="31"/>
      <c r="B159" s="70" t="s">
        <v>277</v>
      </c>
      <c r="C159" s="77"/>
      <c r="D159" s="77"/>
      <c r="E159" s="77"/>
      <c r="F159" s="77"/>
      <c r="G159" s="77"/>
      <c r="H159" s="77"/>
      <c r="I159" s="77"/>
      <c r="J159" s="77"/>
      <c r="K159" s="77"/>
      <c r="L159" s="77"/>
      <c r="M159" s="77"/>
      <c r="N159" s="77"/>
      <c r="O159" s="77"/>
      <c r="P159" s="77"/>
      <c r="Q159" s="77"/>
      <c r="R159" s="77"/>
      <c r="S159" s="77"/>
      <c r="T159" s="77"/>
      <c r="U159" s="77"/>
      <c r="V159" s="77"/>
      <c r="W159" s="72">
        <f t="shared" si="94"/>
        <v>4.6511627906976744E-2</v>
      </c>
      <c r="X159" s="39">
        <v>10</v>
      </c>
    </row>
    <row r="160" spans="1:28" s="69" customFormat="1">
      <c r="A160" s="31"/>
      <c r="B160" s="70" t="s">
        <v>269</v>
      </c>
      <c r="C160" s="77"/>
      <c r="D160" s="77"/>
      <c r="E160" s="77"/>
      <c r="F160" s="77"/>
      <c r="G160" s="77"/>
      <c r="H160" s="77"/>
      <c r="I160" s="77"/>
      <c r="J160" s="77"/>
      <c r="K160" s="77"/>
      <c r="L160" s="77"/>
      <c r="M160" s="77"/>
      <c r="N160" s="77"/>
      <c r="O160" s="77"/>
      <c r="P160" s="77"/>
      <c r="Q160" s="77"/>
      <c r="R160" s="77"/>
      <c r="S160" s="77"/>
      <c r="T160" s="77"/>
      <c r="U160" s="77"/>
      <c r="V160" s="77"/>
      <c r="W160" s="72">
        <f t="shared" si="94"/>
        <v>4.6511627906976744E-2</v>
      </c>
      <c r="X160" s="39">
        <v>10</v>
      </c>
    </row>
    <row r="161" spans="1:24" s="69" customFormat="1">
      <c r="A161" s="31"/>
      <c r="B161" s="70" t="s">
        <v>279</v>
      </c>
      <c r="C161" s="77"/>
      <c r="D161" s="77"/>
      <c r="E161" s="77"/>
      <c r="F161" s="77"/>
      <c r="G161" s="77"/>
      <c r="H161" s="77"/>
      <c r="I161" s="77"/>
      <c r="J161" s="77"/>
      <c r="K161" s="77"/>
      <c r="L161" s="77"/>
      <c r="M161" s="77"/>
      <c r="N161" s="77"/>
      <c r="O161" s="77"/>
      <c r="P161" s="77"/>
      <c r="Q161" s="77"/>
      <c r="R161" s="77"/>
      <c r="S161" s="77"/>
      <c r="T161" s="77"/>
      <c r="U161" s="77"/>
      <c r="V161" s="77"/>
      <c r="W161" s="72">
        <f t="shared" si="94"/>
        <v>4.6511627906976744E-2</v>
      </c>
      <c r="X161" s="39">
        <v>10</v>
      </c>
    </row>
    <row r="162" spans="1:24" s="69" customFormat="1">
      <c r="A162" s="31"/>
      <c r="B162" s="70" t="s">
        <v>633</v>
      </c>
      <c r="C162" s="77"/>
      <c r="D162" s="77"/>
      <c r="E162" s="77"/>
      <c r="F162" s="77"/>
      <c r="G162" s="77"/>
      <c r="H162" s="77"/>
      <c r="I162" s="77"/>
      <c r="J162" s="77"/>
      <c r="K162" s="77"/>
      <c r="L162" s="77"/>
      <c r="M162" s="77"/>
      <c r="N162" s="77"/>
      <c r="O162" s="77"/>
      <c r="P162" s="77"/>
      <c r="Q162" s="77"/>
      <c r="R162" s="77"/>
      <c r="S162" s="77"/>
      <c r="T162" s="77"/>
      <c r="U162" s="77"/>
      <c r="V162" s="77"/>
      <c r="W162" s="72">
        <f t="shared" si="94"/>
        <v>3.255813953488372E-2</v>
      </c>
      <c r="X162" s="39">
        <v>7</v>
      </c>
    </row>
    <row r="163" spans="1:24" s="69" customFormat="1">
      <c r="A163" s="31"/>
      <c r="B163" s="70" t="s">
        <v>270</v>
      </c>
      <c r="C163" s="77"/>
      <c r="D163" s="77"/>
      <c r="E163" s="77"/>
      <c r="F163" s="77"/>
      <c r="G163" s="77"/>
      <c r="H163" s="77"/>
      <c r="I163" s="77"/>
      <c r="J163" s="77"/>
      <c r="K163" s="77"/>
      <c r="L163" s="77"/>
      <c r="M163" s="77"/>
      <c r="N163" s="77"/>
      <c r="O163" s="77"/>
      <c r="P163" s="77"/>
      <c r="Q163" s="77"/>
      <c r="R163" s="77"/>
      <c r="S163" s="77"/>
      <c r="T163" s="77"/>
      <c r="U163" s="77"/>
      <c r="V163" s="77"/>
      <c r="W163" s="72">
        <f t="shared" si="94"/>
        <v>4.6511627906976744E-2</v>
      </c>
      <c r="X163" s="39">
        <v>10</v>
      </c>
    </row>
    <row r="164" spans="1:24" s="69" customFormat="1">
      <c r="A164" s="31"/>
      <c r="B164" s="70" t="s">
        <v>644</v>
      </c>
      <c r="C164" s="77"/>
      <c r="D164" s="77"/>
      <c r="E164" s="77"/>
      <c r="F164" s="77"/>
      <c r="G164" s="77"/>
      <c r="H164" s="77"/>
      <c r="I164" s="77"/>
      <c r="J164" s="77"/>
      <c r="K164" s="77"/>
      <c r="L164" s="77"/>
      <c r="M164" s="77"/>
      <c r="N164" s="77"/>
      <c r="O164" s="77"/>
      <c r="P164" s="77"/>
      <c r="Q164" s="77"/>
      <c r="R164" s="77"/>
      <c r="S164" s="77"/>
      <c r="T164" s="77"/>
      <c r="U164" s="77"/>
      <c r="V164" s="77"/>
      <c r="W164" s="72">
        <f t="shared" si="94"/>
        <v>4.6511627906976744E-2</v>
      </c>
      <c r="X164" s="39">
        <v>10</v>
      </c>
    </row>
    <row r="165" spans="1:24" s="69" customFormat="1">
      <c r="A165" s="31"/>
      <c r="B165" s="70" t="s">
        <v>278</v>
      </c>
      <c r="C165" s="77"/>
      <c r="D165" s="77"/>
      <c r="E165" s="77"/>
      <c r="F165" s="77"/>
      <c r="G165" s="77"/>
      <c r="H165" s="77"/>
      <c r="I165" s="77"/>
      <c r="J165" s="77"/>
      <c r="K165" s="77"/>
      <c r="L165" s="77"/>
      <c r="M165" s="77"/>
      <c r="N165" s="77"/>
      <c r="O165" s="77"/>
      <c r="P165" s="77"/>
      <c r="Q165" s="77"/>
      <c r="R165" s="77"/>
      <c r="S165" s="77"/>
      <c r="T165" s="77"/>
      <c r="U165" s="77"/>
      <c r="V165" s="77"/>
      <c r="W165" s="72">
        <f t="shared" si="94"/>
        <v>0.11627906976744186</v>
      </c>
      <c r="X165" s="39">
        <v>25</v>
      </c>
    </row>
    <row r="166" spans="1:24" s="69" customFormat="1">
      <c r="A166" s="31"/>
      <c r="B166" s="70" t="s">
        <v>276</v>
      </c>
      <c r="C166" s="77"/>
      <c r="D166" s="77"/>
      <c r="E166" s="77"/>
      <c r="F166" s="77"/>
      <c r="G166" s="77"/>
      <c r="H166" s="77"/>
      <c r="I166" s="77"/>
      <c r="J166" s="77"/>
      <c r="K166" s="77"/>
      <c r="L166" s="77"/>
      <c r="M166" s="77"/>
      <c r="N166" s="77"/>
      <c r="O166" s="77"/>
      <c r="P166" s="77"/>
      <c r="Q166" s="77"/>
      <c r="R166" s="77"/>
      <c r="S166" s="77"/>
      <c r="T166" s="77"/>
      <c r="U166" s="77"/>
      <c r="V166" s="77"/>
      <c r="W166" s="72">
        <f t="shared" si="94"/>
        <v>4.6511627906976744E-2</v>
      </c>
      <c r="X166" s="39">
        <v>10</v>
      </c>
    </row>
    <row r="167" spans="1:24" s="69" customFormat="1">
      <c r="A167" s="31"/>
      <c r="B167" s="71" t="s">
        <v>334</v>
      </c>
      <c r="C167" s="75">
        <f t="shared" ref="C167:V167" si="95">C42</f>
        <v>0</v>
      </c>
      <c r="D167" s="75">
        <f t="shared" si="95"/>
        <v>0</v>
      </c>
      <c r="E167" s="75">
        <f t="shared" si="95"/>
        <v>0</v>
      </c>
      <c r="F167" s="75">
        <f t="shared" si="95"/>
        <v>0</v>
      </c>
      <c r="G167" s="75">
        <f t="shared" si="95"/>
        <v>0</v>
      </c>
      <c r="H167" s="75">
        <f t="shared" si="95"/>
        <v>0</v>
      </c>
      <c r="I167" s="75">
        <f t="shared" si="95"/>
        <v>0</v>
      </c>
      <c r="J167" s="75">
        <f t="shared" si="95"/>
        <v>0</v>
      </c>
      <c r="K167" s="75">
        <f t="shared" si="95"/>
        <v>0</v>
      </c>
      <c r="L167" s="75">
        <f t="shared" si="95"/>
        <v>0</v>
      </c>
      <c r="M167" s="75">
        <f t="shared" si="95"/>
        <v>0</v>
      </c>
      <c r="N167" s="75">
        <f t="shared" si="95"/>
        <v>0</v>
      </c>
      <c r="O167" s="75">
        <f t="shared" si="95"/>
        <v>0</v>
      </c>
      <c r="P167" s="75">
        <f t="shared" si="95"/>
        <v>0</v>
      </c>
      <c r="Q167" s="75">
        <f t="shared" si="95"/>
        <v>0</v>
      </c>
      <c r="R167" s="75">
        <f t="shared" si="95"/>
        <v>0</v>
      </c>
      <c r="S167" s="75">
        <f t="shared" si="95"/>
        <v>0</v>
      </c>
      <c r="T167" s="75">
        <f t="shared" si="95"/>
        <v>0</v>
      </c>
      <c r="U167" s="75">
        <f t="shared" si="95"/>
        <v>0</v>
      </c>
      <c r="V167" s="75">
        <f t="shared" si="95"/>
        <v>0</v>
      </c>
      <c r="W167" s="72">
        <f t="shared" si="94"/>
        <v>0.13953488372093023</v>
      </c>
      <c r="X167" s="39">
        <v>30</v>
      </c>
    </row>
    <row r="168" spans="1:24" s="69" customFormat="1">
      <c r="A168" s="31"/>
      <c r="B168" s="76" t="s">
        <v>287</v>
      </c>
      <c r="C168" s="75">
        <f t="shared" ref="C168:V168" si="96">C136</f>
        <v>0</v>
      </c>
      <c r="D168" s="75">
        <f t="shared" si="96"/>
        <v>0</v>
      </c>
      <c r="E168" s="75">
        <f t="shared" si="96"/>
        <v>0</v>
      </c>
      <c r="F168" s="75">
        <f t="shared" si="96"/>
        <v>0</v>
      </c>
      <c r="G168" s="75">
        <f t="shared" si="96"/>
        <v>0</v>
      </c>
      <c r="H168" s="75">
        <f t="shared" si="96"/>
        <v>0</v>
      </c>
      <c r="I168" s="75">
        <f t="shared" si="96"/>
        <v>0</v>
      </c>
      <c r="J168" s="75">
        <f t="shared" si="96"/>
        <v>0</v>
      </c>
      <c r="K168" s="75">
        <f t="shared" si="96"/>
        <v>0</v>
      </c>
      <c r="L168" s="75">
        <f t="shared" si="96"/>
        <v>0</v>
      </c>
      <c r="M168" s="75">
        <f t="shared" si="96"/>
        <v>0</v>
      </c>
      <c r="N168" s="75">
        <f t="shared" si="96"/>
        <v>0</v>
      </c>
      <c r="O168" s="75">
        <f t="shared" si="96"/>
        <v>0</v>
      </c>
      <c r="P168" s="75">
        <f t="shared" si="96"/>
        <v>0</v>
      </c>
      <c r="Q168" s="75">
        <f t="shared" si="96"/>
        <v>0</v>
      </c>
      <c r="R168" s="75">
        <f t="shared" si="96"/>
        <v>0</v>
      </c>
      <c r="S168" s="75">
        <f t="shared" si="96"/>
        <v>0</v>
      </c>
      <c r="T168" s="75">
        <f t="shared" si="96"/>
        <v>0</v>
      </c>
      <c r="U168" s="75">
        <f t="shared" si="96"/>
        <v>0</v>
      </c>
      <c r="V168" s="75">
        <f t="shared" si="96"/>
        <v>0</v>
      </c>
      <c r="W168" s="72">
        <f t="shared" si="94"/>
        <v>4.6511627906976744E-2</v>
      </c>
      <c r="X168" s="39">
        <v>10</v>
      </c>
    </row>
    <row r="169" spans="1:24" s="69" customFormat="1">
      <c r="A169" s="31"/>
      <c r="B169" s="76" t="s">
        <v>288</v>
      </c>
      <c r="C169" s="75">
        <f t="shared" ref="C169:V169" si="97">C137</f>
        <v>0</v>
      </c>
      <c r="D169" s="75">
        <f t="shared" si="97"/>
        <v>0</v>
      </c>
      <c r="E169" s="75">
        <f t="shared" si="97"/>
        <v>0</v>
      </c>
      <c r="F169" s="75">
        <f t="shared" si="97"/>
        <v>0</v>
      </c>
      <c r="G169" s="75">
        <f t="shared" si="97"/>
        <v>0</v>
      </c>
      <c r="H169" s="75">
        <f t="shared" si="97"/>
        <v>0</v>
      </c>
      <c r="I169" s="75">
        <f t="shared" si="97"/>
        <v>0</v>
      </c>
      <c r="J169" s="75">
        <f t="shared" si="97"/>
        <v>0</v>
      </c>
      <c r="K169" s="75">
        <f t="shared" si="97"/>
        <v>0</v>
      </c>
      <c r="L169" s="75">
        <f t="shared" si="97"/>
        <v>0</v>
      </c>
      <c r="M169" s="75">
        <f t="shared" si="97"/>
        <v>0</v>
      </c>
      <c r="N169" s="75">
        <f t="shared" si="97"/>
        <v>0</v>
      </c>
      <c r="O169" s="75">
        <f t="shared" si="97"/>
        <v>0</v>
      </c>
      <c r="P169" s="75">
        <f t="shared" si="97"/>
        <v>0</v>
      </c>
      <c r="Q169" s="75">
        <f t="shared" si="97"/>
        <v>0</v>
      </c>
      <c r="R169" s="75">
        <f t="shared" si="97"/>
        <v>0</v>
      </c>
      <c r="S169" s="75">
        <f t="shared" si="97"/>
        <v>0</v>
      </c>
      <c r="T169" s="75">
        <f t="shared" si="97"/>
        <v>0</v>
      </c>
      <c r="U169" s="75">
        <f t="shared" si="97"/>
        <v>0</v>
      </c>
      <c r="V169" s="75">
        <f t="shared" si="97"/>
        <v>0</v>
      </c>
      <c r="W169" s="72">
        <f t="shared" si="94"/>
        <v>4.6511627906976744E-2</v>
      </c>
      <c r="X169" s="39">
        <v>10</v>
      </c>
    </row>
    <row r="170" spans="1:24" s="69" customFormat="1">
      <c r="A170" s="31"/>
      <c r="B170" s="70" t="s">
        <v>632</v>
      </c>
      <c r="C170" s="77"/>
      <c r="D170" s="77"/>
      <c r="E170" s="77"/>
      <c r="F170" s="77"/>
      <c r="G170" s="77"/>
      <c r="H170" s="77"/>
      <c r="I170" s="77"/>
      <c r="J170" s="77"/>
      <c r="K170" s="77"/>
      <c r="L170" s="77"/>
      <c r="M170" s="77"/>
      <c r="N170" s="77"/>
      <c r="O170" s="77"/>
      <c r="P170" s="77"/>
      <c r="Q170" s="77"/>
      <c r="R170" s="77"/>
      <c r="S170" s="77"/>
      <c r="T170" s="77"/>
      <c r="U170" s="77"/>
      <c r="V170" s="77"/>
      <c r="W170" s="72">
        <f t="shared" si="94"/>
        <v>1.3953488372093023E-2</v>
      </c>
      <c r="X170" s="39">
        <v>3</v>
      </c>
    </row>
    <row r="171" spans="1:24" s="69" customFormat="1">
      <c r="A171" s="31"/>
      <c r="B171" s="96" t="s">
        <v>310</v>
      </c>
      <c r="C171" s="97" t="s">
        <v>309</v>
      </c>
      <c r="D171" s="97" t="s">
        <v>309</v>
      </c>
      <c r="E171" s="97" t="s">
        <v>309</v>
      </c>
      <c r="F171" s="97" t="s">
        <v>309</v>
      </c>
      <c r="G171" s="97" t="s">
        <v>309</v>
      </c>
      <c r="H171" s="97" t="s">
        <v>309</v>
      </c>
      <c r="I171" s="97" t="s">
        <v>309</v>
      </c>
      <c r="J171" s="97" t="s">
        <v>309</v>
      </c>
      <c r="K171" s="97" t="s">
        <v>309</v>
      </c>
      <c r="L171" s="97" t="s">
        <v>309</v>
      </c>
      <c r="M171" s="97" t="s">
        <v>309</v>
      </c>
      <c r="N171" s="97" t="s">
        <v>309</v>
      </c>
      <c r="O171" s="97" t="s">
        <v>309</v>
      </c>
      <c r="P171" s="97" t="s">
        <v>309</v>
      </c>
      <c r="Q171" s="97" t="s">
        <v>309</v>
      </c>
      <c r="R171" s="97" t="s">
        <v>309</v>
      </c>
      <c r="S171" s="97" t="s">
        <v>309</v>
      </c>
      <c r="T171" s="97" t="s">
        <v>309</v>
      </c>
      <c r="U171" s="97" t="s">
        <v>309</v>
      </c>
      <c r="V171" s="97" t="s">
        <v>309</v>
      </c>
      <c r="W171" s="72">
        <f t="shared" si="94"/>
        <v>0</v>
      </c>
      <c r="X171" s="39">
        <v>0</v>
      </c>
    </row>
    <row r="172" spans="1:24">
      <c r="D172" s="69"/>
      <c r="E172" s="69"/>
      <c r="F172" s="69"/>
      <c r="G172" s="69"/>
      <c r="R172" s="69"/>
      <c r="S172" s="69"/>
      <c r="T172" s="69"/>
      <c r="U172" s="69"/>
      <c r="V172" s="69"/>
      <c r="W172" s="37"/>
    </row>
    <row r="173" spans="1:24" s="69" customFormat="1" hidden="1">
      <c r="A173" s="31"/>
      <c r="B173" s="202" t="s">
        <v>623</v>
      </c>
      <c r="C173" s="69">
        <f>SUMPRODUCT((C153:C171&lt;&gt;"NA")*$X153:$X171)</f>
        <v>215</v>
      </c>
      <c r="D173" s="69">
        <f t="shared" ref="D173:V173" si="98">SUMPRODUCT((D153:D171&lt;&gt;"NA")*$X153:$X171)</f>
        <v>215</v>
      </c>
      <c r="E173" s="69">
        <f t="shared" si="98"/>
        <v>215</v>
      </c>
      <c r="F173" s="69">
        <f t="shared" si="98"/>
        <v>215</v>
      </c>
      <c r="G173" s="69">
        <f t="shared" si="98"/>
        <v>215</v>
      </c>
      <c r="H173" s="69">
        <f t="shared" si="98"/>
        <v>215</v>
      </c>
      <c r="I173" s="69">
        <f t="shared" si="98"/>
        <v>215</v>
      </c>
      <c r="J173" s="69">
        <f t="shared" si="98"/>
        <v>215</v>
      </c>
      <c r="K173" s="69">
        <f t="shared" si="98"/>
        <v>215</v>
      </c>
      <c r="L173" s="69">
        <f t="shared" si="98"/>
        <v>215</v>
      </c>
      <c r="M173" s="69">
        <f t="shared" si="98"/>
        <v>215</v>
      </c>
      <c r="N173" s="69">
        <f t="shared" si="98"/>
        <v>215</v>
      </c>
      <c r="O173" s="69">
        <f t="shared" si="98"/>
        <v>215</v>
      </c>
      <c r="P173" s="69">
        <f t="shared" si="98"/>
        <v>215</v>
      </c>
      <c r="Q173" s="69">
        <f t="shared" si="98"/>
        <v>215</v>
      </c>
      <c r="R173" s="69">
        <f t="shared" si="98"/>
        <v>215</v>
      </c>
      <c r="S173" s="69">
        <f t="shared" si="98"/>
        <v>215</v>
      </c>
      <c r="T173" s="69">
        <f t="shared" si="98"/>
        <v>215</v>
      </c>
      <c r="U173" s="69">
        <f t="shared" si="98"/>
        <v>215</v>
      </c>
      <c r="V173" s="69">
        <f t="shared" si="98"/>
        <v>215</v>
      </c>
      <c r="W173" s="37"/>
      <c r="X173" s="39"/>
    </row>
    <row r="174" spans="1:24" hidden="1">
      <c r="B174" s="8" t="s">
        <v>14</v>
      </c>
      <c r="C174">
        <f t="shared" ref="C174:V174" ca="1" si="99">C152*$Y152</f>
        <v>0</v>
      </c>
      <c r="D174" s="69">
        <f t="shared" ca="1" si="99"/>
        <v>0</v>
      </c>
      <c r="E174" s="69">
        <f t="shared" ca="1" si="99"/>
        <v>0</v>
      </c>
      <c r="F174" s="69">
        <f t="shared" ca="1" si="99"/>
        <v>0</v>
      </c>
      <c r="G174" s="69">
        <f t="shared" ca="1" si="99"/>
        <v>0</v>
      </c>
      <c r="H174" s="69">
        <f t="shared" ca="1" si="99"/>
        <v>0</v>
      </c>
      <c r="I174" s="69">
        <f t="shared" ca="1" si="99"/>
        <v>0</v>
      </c>
      <c r="J174" s="69">
        <f t="shared" ca="1" si="99"/>
        <v>0</v>
      </c>
      <c r="K174" s="69">
        <f t="shared" ca="1" si="99"/>
        <v>0</v>
      </c>
      <c r="L174" s="69">
        <f t="shared" ca="1" si="99"/>
        <v>0</v>
      </c>
      <c r="M174" s="69">
        <f t="shared" ca="1" si="99"/>
        <v>0</v>
      </c>
      <c r="N174" s="69">
        <f t="shared" ca="1" si="99"/>
        <v>0</v>
      </c>
      <c r="O174" s="69">
        <f t="shared" ca="1" si="99"/>
        <v>0</v>
      </c>
      <c r="P174" s="69">
        <f t="shared" ca="1" si="99"/>
        <v>0</v>
      </c>
      <c r="Q174" s="69">
        <f t="shared" ca="1" si="99"/>
        <v>0</v>
      </c>
      <c r="R174" s="69">
        <f t="shared" ca="1" si="99"/>
        <v>0</v>
      </c>
      <c r="S174" s="69">
        <f t="shared" ca="1" si="99"/>
        <v>0</v>
      </c>
      <c r="T174" s="69">
        <f t="shared" ca="1" si="99"/>
        <v>0</v>
      </c>
      <c r="U174" s="69">
        <f t="shared" ca="1" si="99"/>
        <v>0</v>
      </c>
      <c r="V174" s="69">
        <f t="shared" ca="1" si="99"/>
        <v>0</v>
      </c>
      <c r="W174" s="37"/>
    </row>
    <row r="175" spans="1:24" hidden="1">
      <c r="B175" s="8" t="s">
        <v>15</v>
      </c>
      <c r="C175">
        <f t="shared" ref="C175:V175" ca="1" si="100">C152*$Z152</f>
        <v>0</v>
      </c>
      <c r="D175" s="69">
        <f t="shared" ca="1" si="100"/>
        <v>0</v>
      </c>
      <c r="E175" s="69">
        <f t="shared" ca="1" si="100"/>
        <v>0</v>
      </c>
      <c r="F175" s="69">
        <f t="shared" ca="1" si="100"/>
        <v>0</v>
      </c>
      <c r="G175" s="69">
        <f t="shared" ca="1" si="100"/>
        <v>0</v>
      </c>
      <c r="H175" s="69">
        <f t="shared" ca="1" si="100"/>
        <v>0</v>
      </c>
      <c r="I175" s="69">
        <f t="shared" ca="1" si="100"/>
        <v>0</v>
      </c>
      <c r="J175" s="69">
        <f t="shared" ca="1" si="100"/>
        <v>0</v>
      </c>
      <c r="K175" s="69">
        <f t="shared" ca="1" si="100"/>
        <v>0</v>
      </c>
      <c r="L175" s="69">
        <f t="shared" ca="1" si="100"/>
        <v>0</v>
      </c>
      <c r="M175" s="69">
        <f t="shared" ca="1" si="100"/>
        <v>0</v>
      </c>
      <c r="N175" s="69">
        <f t="shared" ca="1" si="100"/>
        <v>0</v>
      </c>
      <c r="O175" s="69">
        <f t="shared" ca="1" si="100"/>
        <v>0</v>
      </c>
      <c r="P175" s="69">
        <f t="shared" ca="1" si="100"/>
        <v>0</v>
      </c>
      <c r="Q175" s="69">
        <f t="shared" ca="1" si="100"/>
        <v>0</v>
      </c>
      <c r="R175" s="69">
        <f t="shared" ca="1" si="100"/>
        <v>0</v>
      </c>
      <c r="S175" s="69">
        <f t="shared" ca="1" si="100"/>
        <v>0</v>
      </c>
      <c r="T175" s="69">
        <f t="shared" ca="1" si="100"/>
        <v>0</v>
      </c>
      <c r="U175" s="69">
        <f t="shared" ca="1" si="100"/>
        <v>0</v>
      </c>
      <c r="V175" s="69">
        <f t="shared" ca="1" si="100"/>
        <v>0</v>
      </c>
      <c r="W175" s="37"/>
    </row>
    <row r="176" spans="1:24" hidden="1">
      <c r="B176" s="8" t="s">
        <v>16</v>
      </c>
      <c r="C176">
        <f t="shared" ref="C176:V176" ca="1" si="101">C152*$AA152</f>
        <v>0</v>
      </c>
      <c r="D176" s="69">
        <f t="shared" ca="1" si="101"/>
        <v>0</v>
      </c>
      <c r="E176" s="69">
        <f t="shared" ca="1" si="101"/>
        <v>0</v>
      </c>
      <c r="F176" s="69">
        <f t="shared" ca="1" si="101"/>
        <v>0</v>
      </c>
      <c r="G176" s="69">
        <f t="shared" ca="1" si="101"/>
        <v>0</v>
      </c>
      <c r="H176" s="69">
        <f t="shared" ca="1" si="101"/>
        <v>0</v>
      </c>
      <c r="I176" s="69">
        <f t="shared" ca="1" si="101"/>
        <v>0</v>
      </c>
      <c r="J176" s="69">
        <f t="shared" ca="1" si="101"/>
        <v>0</v>
      </c>
      <c r="K176" s="69">
        <f t="shared" ca="1" si="101"/>
        <v>0</v>
      </c>
      <c r="L176" s="69">
        <f t="shared" ca="1" si="101"/>
        <v>0</v>
      </c>
      <c r="M176" s="69">
        <f t="shared" ca="1" si="101"/>
        <v>0</v>
      </c>
      <c r="N176" s="69">
        <f t="shared" ca="1" si="101"/>
        <v>0</v>
      </c>
      <c r="O176" s="69">
        <f t="shared" ca="1" si="101"/>
        <v>0</v>
      </c>
      <c r="P176" s="69">
        <f t="shared" ca="1" si="101"/>
        <v>0</v>
      </c>
      <c r="Q176" s="69">
        <f t="shared" ca="1" si="101"/>
        <v>0</v>
      </c>
      <c r="R176" s="69">
        <f t="shared" ca="1" si="101"/>
        <v>0</v>
      </c>
      <c r="S176" s="69">
        <f t="shared" ca="1" si="101"/>
        <v>0</v>
      </c>
      <c r="T176" s="69">
        <f t="shared" ca="1" si="101"/>
        <v>0</v>
      </c>
      <c r="U176" s="69">
        <f t="shared" ca="1" si="101"/>
        <v>0</v>
      </c>
      <c r="V176" s="69">
        <f t="shared" ca="1" si="101"/>
        <v>0</v>
      </c>
      <c r="W176" s="37"/>
    </row>
    <row r="177" spans="1:28" hidden="1">
      <c r="B177" s="8" t="s">
        <v>17</v>
      </c>
      <c r="C177">
        <f t="shared" ref="C177:V177" ca="1" si="102">C152*$AB152</f>
        <v>0</v>
      </c>
      <c r="D177" s="69">
        <f t="shared" ca="1" si="102"/>
        <v>0</v>
      </c>
      <c r="E177" s="69">
        <f t="shared" ca="1" si="102"/>
        <v>0</v>
      </c>
      <c r="F177" s="69">
        <f t="shared" ca="1" si="102"/>
        <v>0</v>
      </c>
      <c r="G177" s="69">
        <f t="shared" ca="1" si="102"/>
        <v>0</v>
      </c>
      <c r="H177" s="69">
        <f t="shared" ca="1" si="102"/>
        <v>0</v>
      </c>
      <c r="I177" s="69">
        <f t="shared" ca="1" si="102"/>
        <v>0</v>
      </c>
      <c r="J177" s="69">
        <f t="shared" ca="1" si="102"/>
        <v>0</v>
      </c>
      <c r="K177" s="69">
        <f t="shared" ca="1" si="102"/>
        <v>0</v>
      </c>
      <c r="L177" s="69">
        <f t="shared" ca="1" si="102"/>
        <v>0</v>
      </c>
      <c r="M177" s="69">
        <f t="shared" ca="1" si="102"/>
        <v>0</v>
      </c>
      <c r="N177" s="69">
        <f t="shared" ca="1" si="102"/>
        <v>0</v>
      </c>
      <c r="O177" s="69">
        <f t="shared" ca="1" si="102"/>
        <v>0</v>
      </c>
      <c r="P177" s="69">
        <f t="shared" ca="1" si="102"/>
        <v>0</v>
      </c>
      <c r="Q177" s="69">
        <f t="shared" ca="1" si="102"/>
        <v>0</v>
      </c>
      <c r="R177" s="69">
        <f t="shared" ca="1" si="102"/>
        <v>0</v>
      </c>
      <c r="S177" s="69">
        <f t="shared" ca="1" si="102"/>
        <v>0</v>
      </c>
      <c r="T177" s="69">
        <f t="shared" ca="1" si="102"/>
        <v>0</v>
      </c>
      <c r="U177" s="69">
        <f t="shared" ca="1" si="102"/>
        <v>0</v>
      </c>
      <c r="V177" s="69">
        <f t="shared" ca="1" si="102"/>
        <v>0</v>
      </c>
      <c r="W177" s="37"/>
    </row>
    <row r="178" spans="1:28">
      <c r="B178" s="65"/>
      <c r="C178" s="64"/>
      <c r="D178" s="64"/>
      <c r="E178" s="64"/>
      <c r="F178" s="64"/>
      <c r="G178" s="64"/>
      <c r="H178" s="64"/>
      <c r="I178" s="64"/>
      <c r="J178" s="64"/>
      <c r="K178" s="64"/>
      <c r="L178" s="64"/>
      <c r="M178" s="64"/>
      <c r="N178" s="64"/>
      <c r="O178" s="64"/>
      <c r="P178" s="64"/>
      <c r="Q178" s="64"/>
      <c r="R178" s="64"/>
      <c r="S178" s="64"/>
      <c r="T178" s="64"/>
      <c r="U178" s="64"/>
      <c r="V178" s="64"/>
      <c r="W178" s="37"/>
    </row>
    <row r="179" spans="1:28">
      <c r="B179" s="23" t="s">
        <v>50</v>
      </c>
      <c r="C179" s="81">
        <f>SUMPRODUCT(C181:C194,$X$181:$X$194)/C196</f>
        <v>0</v>
      </c>
      <c r="D179" s="81">
        <f t="shared" ref="D179:V179" si="103">SUMPRODUCT(D181:D194,$X$181:$X$194)/D196</f>
        <v>0</v>
      </c>
      <c r="E179" s="81">
        <f t="shared" si="103"/>
        <v>0</v>
      </c>
      <c r="F179" s="81">
        <f t="shared" si="103"/>
        <v>0</v>
      </c>
      <c r="G179" s="81">
        <f t="shared" si="103"/>
        <v>0</v>
      </c>
      <c r="H179" s="81">
        <f t="shared" si="103"/>
        <v>0</v>
      </c>
      <c r="I179" s="81">
        <f t="shared" si="103"/>
        <v>0</v>
      </c>
      <c r="J179" s="81">
        <f t="shared" si="103"/>
        <v>0</v>
      </c>
      <c r="K179" s="81">
        <f t="shared" si="103"/>
        <v>0</v>
      </c>
      <c r="L179" s="81">
        <f t="shared" si="103"/>
        <v>0</v>
      </c>
      <c r="M179" s="81">
        <f t="shared" si="103"/>
        <v>0</v>
      </c>
      <c r="N179" s="81">
        <f t="shared" si="103"/>
        <v>0</v>
      </c>
      <c r="O179" s="81">
        <f t="shared" si="103"/>
        <v>0</v>
      </c>
      <c r="P179" s="81">
        <f t="shared" si="103"/>
        <v>0</v>
      </c>
      <c r="Q179" s="81">
        <f t="shared" si="103"/>
        <v>0</v>
      </c>
      <c r="R179" s="81">
        <f t="shared" si="103"/>
        <v>0</v>
      </c>
      <c r="S179" s="81">
        <f t="shared" si="103"/>
        <v>0</v>
      </c>
      <c r="T179" s="81">
        <f t="shared" si="103"/>
        <v>0</v>
      </c>
      <c r="U179" s="81">
        <f t="shared" si="103"/>
        <v>0</v>
      </c>
      <c r="V179" s="81">
        <f t="shared" si="103"/>
        <v>0</v>
      </c>
      <c r="W179" s="37"/>
      <c r="Y179" s="87"/>
      <c r="Z179" s="88"/>
      <c r="AA179" s="90"/>
    </row>
    <row r="180" spans="1:28">
      <c r="B180" s="35" t="str">
        <f>AE7</f>
        <v>User Registration</v>
      </c>
      <c r="C180" s="246">
        <f ca="1">INDIRECT("'TESTING v2'!AG"&amp;COLUMN())</f>
        <v>0</v>
      </c>
      <c r="D180" s="246">
        <f t="shared" ref="D180:V180" ca="1" si="104">INDIRECT("'TESTING v2'!AG"&amp;COLUMN())</f>
        <v>0</v>
      </c>
      <c r="E180" s="246">
        <f t="shared" ca="1" si="104"/>
        <v>0</v>
      </c>
      <c r="F180" s="246">
        <f t="shared" ca="1" si="104"/>
        <v>0</v>
      </c>
      <c r="G180" s="246">
        <f t="shared" ca="1" si="104"/>
        <v>0</v>
      </c>
      <c r="H180" s="246">
        <f t="shared" ca="1" si="104"/>
        <v>0</v>
      </c>
      <c r="I180" s="246">
        <f t="shared" ca="1" si="104"/>
        <v>0</v>
      </c>
      <c r="J180" s="246">
        <f t="shared" ca="1" si="104"/>
        <v>0</v>
      </c>
      <c r="K180" s="246">
        <f t="shared" ca="1" si="104"/>
        <v>0</v>
      </c>
      <c r="L180" s="246">
        <f t="shared" ca="1" si="104"/>
        <v>0</v>
      </c>
      <c r="M180" s="246">
        <f t="shared" ca="1" si="104"/>
        <v>0</v>
      </c>
      <c r="N180" s="246">
        <f t="shared" ca="1" si="104"/>
        <v>0</v>
      </c>
      <c r="O180" s="246">
        <f t="shared" ca="1" si="104"/>
        <v>0</v>
      </c>
      <c r="P180" s="246">
        <f t="shared" ca="1" si="104"/>
        <v>0</v>
      </c>
      <c r="Q180" s="246">
        <f t="shared" ca="1" si="104"/>
        <v>0</v>
      </c>
      <c r="R180" s="246">
        <f t="shared" ca="1" si="104"/>
        <v>0</v>
      </c>
      <c r="S180" s="246">
        <f t="shared" ca="1" si="104"/>
        <v>0</v>
      </c>
      <c r="T180" s="246">
        <f t="shared" ca="1" si="104"/>
        <v>0</v>
      </c>
      <c r="U180" s="246">
        <f t="shared" ca="1" si="104"/>
        <v>0</v>
      </c>
      <c r="V180" s="246">
        <f t="shared" ca="1" si="104"/>
        <v>0</v>
      </c>
      <c r="W180" s="67">
        <f ca="1">COUNTBLANK(C197:V200)</f>
        <v>0</v>
      </c>
      <c r="X180" s="39" t="s">
        <v>259</v>
      </c>
      <c r="Y180" s="6">
        <f>AE2*AE8</f>
        <v>0</v>
      </c>
      <c r="Z180" s="6">
        <f>AE3*AE8</f>
        <v>0</v>
      </c>
      <c r="AA180" s="6">
        <f>AE4*AE8</f>
        <v>0</v>
      </c>
      <c r="AB180" s="6">
        <f>AE5*AE8</f>
        <v>0</v>
      </c>
    </row>
    <row r="181" spans="1:28" s="69" customFormat="1">
      <c r="A181" s="31"/>
      <c r="B181" s="70" t="s">
        <v>311</v>
      </c>
      <c r="C181" s="77"/>
      <c r="D181" s="77"/>
      <c r="E181" s="77"/>
      <c r="F181" s="77"/>
      <c r="G181" s="77"/>
      <c r="H181" s="77"/>
      <c r="I181" s="77"/>
      <c r="J181" s="77"/>
      <c r="K181" s="77"/>
      <c r="L181" s="77"/>
      <c r="M181" s="77"/>
      <c r="N181" s="77"/>
      <c r="O181" s="77"/>
      <c r="P181" s="77"/>
      <c r="Q181" s="77"/>
      <c r="R181" s="77"/>
      <c r="S181" s="77"/>
      <c r="T181" s="77"/>
      <c r="U181" s="77"/>
      <c r="V181" s="77"/>
      <c r="W181" s="72">
        <f t="shared" ref="W181:W194" si="105">X181/SUM($X$181:$X$194)</f>
        <v>6.25E-2</v>
      </c>
      <c r="X181" s="39">
        <v>20</v>
      </c>
    </row>
    <row r="182" spans="1:28" s="69" customFormat="1">
      <c r="A182" s="31"/>
      <c r="B182" s="70" t="s">
        <v>316</v>
      </c>
      <c r="C182" s="77"/>
      <c r="D182" s="77"/>
      <c r="E182" s="77"/>
      <c r="F182" s="77"/>
      <c r="G182" s="77"/>
      <c r="H182" s="77"/>
      <c r="I182" s="77"/>
      <c r="J182" s="77"/>
      <c r="K182" s="77"/>
      <c r="L182" s="77"/>
      <c r="M182" s="77"/>
      <c r="N182" s="77"/>
      <c r="O182" s="77"/>
      <c r="P182" s="77"/>
      <c r="Q182" s="77"/>
      <c r="R182" s="77"/>
      <c r="S182" s="77"/>
      <c r="T182" s="77"/>
      <c r="U182" s="77"/>
      <c r="V182" s="77"/>
      <c r="W182" s="72">
        <f t="shared" si="105"/>
        <v>6.25E-2</v>
      </c>
      <c r="X182" s="39">
        <v>20</v>
      </c>
    </row>
    <row r="183" spans="1:28" s="69" customFormat="1">
      <c r="A183" s="31"/>
      <c r="B183" s="70" t="s">
        <v>323</v>
      </c>
      <c r="C183" s="77"/>
      <c r="D183" s="77"/>
      <c r="E183" s="77"/>
      <c r="F183" s="77"/>
      <c r="G183" s="77"/>
      <c r="H183" s="77"/>
      <c r="I183" s="77"/>
      <c r="J183" s="77"/>
      <c r="K183" s="77"/>
      <c r="L183" s="77"/>
      <c r="M183" s="77"/>
      <c r="N183" s="77"/>
      <c r="O183" s="77"/>
      <c r="P183" s="77"/>
      <c r="Q183" s="77"/>
      <c r="R183" s="77"/>
      <c r="S183" s="77"/>
      <c r="T183" s="77"/>
      <c r="U183" s="77"/>
      <c r="V183" s="77"/>
      <c r="W183" s="72">
        <f t="shared" si="105"/>
        <v>9.375E-2</v>
      </c>
      <c r="X183" s="39">
        <v>30</v>
      </c>
    </row>
    <row r="184" spans="1:28" s="69" customFormat="1">
      <c r="A184" s="31"/>
      <c r="B184" s="70" t="s">
        <v>315</v>
      </c>
      <c r="C184" s="77"/>
      <c r="D184" s="77"/>
      <c r="E184" s="77"/>
      <c r="F184" s="77"/>
      <c r="G184" s="77"/>
      <c r="H184" s="77"/>
      <c r="I184" s="77"/>
      <c r="J184" s="77"/>
      <c r="K184" s="77"/>
      <c r="L184" s="77"/>
      <c r="M184" s="77"/>
      <c r="N184" s="77"/>
      <c r="O184" s="77"/>
      <c r="P184" s="77"/>
      <c r="Q184" s="77"/>
      <c r="R184" s="77"/>
      <c r="S184" s="77"/>
      <c r="T184" s="77"/>
      <c r="U184" s="77"/>
      <c r="V184" s="77"/>
      <c r="W184" s="72">
        <f t="shared" si="105"/>
        <v>3.125E-2</v>
      </c>
      <c r="X184" s="39">
        <v>10</v>
      </c>
    </row>
    <row r="185" spans="1:28" s="69" customFormat="1">
      <c r="A185" s="31"/>
      <c r="B185" s="70" t="s">
        <v>320</v>
      </c>
      <c r="C185" s="77"/>
      <c r="D185" s="77"/>
      <c r="E185" s="77"/>
      <c r="F185" s="77"/>
      <c r="G185" s="77"/>
      <c r="H185" s="77"/>
      <c r="I185" s="77"/>
      <c r="J185" s="77"/>
      <c r="K185" s="77"/>
      <c r="L185" s="77"/>
      <c r="M185" s="77"/>
      <c r="N185" s="77"/>
      <c r="O185" s="77"/>
      <c r="P185" s="77"/>
      <c r="Q185" s="77"/>
      <c r="R185" s="77"/>
      <c r="S185" s="77"/>
      <c r="T185" s="77"/>
      <c r="U185" s="77"/>
      <c r="V185" s="77"/>
      <c r="W185" s="72">
        <f t="shared" si="105"/>
        <v>9.375E-2</v>
      </c>
      <c r="X185" s="39">
        <v>30</v>
      </c>
    </row>
    <row r="186" spans="1:28" s="69" customFormat="1">
      <c r="A186" s="31"/>
      <c r="B186" s="70" t="s">
        <v>322</v>
      </c>
      <c r="C186" s="77"/>
      <c r="D186" s="77"/>
      <c r="E186" s="77"/>
      <c r="F186" s="77"/>
      <c r="G186" s="77"/>
      <c r="H186" s="77"/>
      <c r="I186" s="77"/>
      <c r="J186" s="77"/>
      <c r="K186" s="77"/>
      <c r="L186" s="77"/>
      <c r="M186" s="77"/>
      <c r="N186" s="77"/>
      <c r="O186" s="77"/>
      <c r="P186" s="77"/>
      <c r="Q186" s="77"/>
      <c r="R186" s="77"/>
      <c r="S186" s="77"/>
      <c r="T186" s="77"/>
      <c r="U186" s="77"/>
      <c r="V186" s="77"/>
      <c r="W186" s="72">
        <f t="shared" si="105"/>
        <v>6.25E-2</v>
      </c>
      <c r="X186" s="39">
        <v>20</v>
      </c>
    </row>
    <row r="187" spans="1:28" s="69" customFormat="1">
      <c r="A187" s="31"/>
      <c r="B187" s="70" t="s">
        <v>313</v>
      </c>
      <c r="C187" s="77"/>
      <c r="D187" s="77"/>
      <c r="E187" s="77"/>
      <c r="F187" s="77"/>
      <c r="G187" s="77"/>
      <c r="H187" s="77"/>
      <c r="I187" s="77"/>
      <c r="J187" s="77"/>
      <c r="K187" s="77"/>
      <c r="L187" s="77"/>
      <c r="M187" s="77"/>
      <c r="N187" s="77"/>
      <c r="O187" s="77"/>
      <c r="P187" s="77"/>
      <c r="Q187" s="77"/>
      <c r="R187" s="77"/>
      <c r="S187" s="77"/>
      <c r="T187" s="77"/>
      <c r="U187" s="77"/>
      <c r="V187" s="77"/>
      <c r="W187" s="72">
        <f t="shared" si="105"/>
        <v>0.125</v>
      </c>
      <c r="X187" s="39">
        <v>40</v>
      </c>
    </row>
    <row r="188" spans="1:28" s="69" customFormat="1">
      <c r="A188" s="31"/>
      <c r="B188" s="70" t="s">
        <v>312</v>
      </c>
      <c r="C188" s="77"/>
      <c r="D188" s="77"/>
      <c r="E188" s="77"/>
      <c r="F188" s="77"/>
      <c r="G188" s="77"/>
      <c r="H188" s="77"/>
      <c r="I188" s="77"/>
      <c r="J188" s="77"/>
      <c r="K188" s="77"/>
      <c r="L188" s="77"/>
      <c r="M188" s="77"/>
      <c r="N188" s="77"/>
      <c r="O188" s="77"/>
      <c r="P188" s="77"/>
      <c r="Q188" s="77"/>
      <c r="R188" s="77"/>
      <c r="S188" s="77"/>
      <c r="T188" s="77"/>
      <c r="U188" s="77"/>
      <c r="V188" s="77"/>
      <c r="W188" s="72">
        <f t="shared" si="105"/>
        <v>6.25E-2</v>
      </c>
      <c r="X188" s="39">
        <v>20</v>
      </c>
    </row>
    <row r="189" spans="1:28" s="69" customFormat="1">
      <c r="A189" s="31"/>
      <c r="B189" s="70" t="s">
        <v>321</v>
      </c>
      <c r="C189" s="77"/>
      <c r="D189" s="77"/>
      <c r="E189" s="77"/>
      <c r="F189" s="77"/>
      <c r="G189" s="77"/>
      <c r="H189" s="77"/>
      <c r="I189" s="77"/>
      <c r="J189" s="77"/>
      <c r="K189" s="77"/>
      <c r="L189" s="77"/>
      <c r="M189" s="77"/>
      <c r="N189" s="77"/>
      <c r="O189" s="77"/>
      <c r="P189" s="77"/>
      <c r="Q189" s="77"/>
      <c r="R189" s="77"/>
      <c r="S189" s="77"/>
      <c r="T189" s="77"/>
      <c r="U189" s="77"/>
      <c r="V189" s="77"/>
      <c r="W189" s="72">
        <f t="shared" si="105"/>
        <v>6.25E-2</v>
      </c>
      <c r="X189" s="39">
        <v>20</v>
      </c>
    </row>
    <row r="190" spans="1:28" s="69" customFormat="1">
      <c r="A190" s="31"/>
      <c r="B190" s="70" t="s">
        <v>314</v>
      </c>
      <c r="C190" s="77"/>
      <c r="D190" s="77"/>
      <c r="E190" s="77"/>
      <c r="F190" s="77"/>
      <c r="G190" s="77"/>
      <c r="H190" s="77"/>
      <c r="I190" s="77"/>
      <c r="J190" s="77"/>
      <c r="K190" s="77"/>
      <c r="L190" s="77"/>
      <c r="M190" s="77"/>
      <c r="N190" s="77"/>
      <c r="O190" s="77"/>
      <c r="P190" s="77"/>
      <c r="Q190" s="77"/>
      <c r="R190" s="77"/>
      <c r="S190" s="77"/>
      <c r="T190" s="77"/>
      <c r="U190" s="77"/>
      <c r="V190" s="77"/>
      <c r="W190" s="72">
        <f t="shared" si="105"/>
        <v>3.125E-2</v>
      </c>
      <c r="X190" s="39">
        <v>10</v>
      </c>
    </row>
    <row r="191" spans="1:28" s="69" customFormat="1">
      <c r="A191" s="31"/>
      <c r="B191" s="70" t="s">
        <v>319</v>
      </c>
      <c r="C191" s="77"/>
      <c r="D191" s="77"/>
      <c r="E191" s="77"/>
      <c r="F191" s="77"/>
      <c r="G191" s="77"/>
      <c r="H191" s="77"/>
      <c r="I191" s="77"/>
      <c r="J191" s="77"/>
      <c r="K191" s="77"/>
      <c r="L191" s="77"/>
      <c r="M191" s="77"/>
      <c r="N191" s="77"/>
      <c r="O191" s="77"/>
      <c r="P191" s="77"/>
      <c r="Q191" s="77"/>
      <c r="R191" s="77"/>
      <c r="S191" s="77"/>
      <c r="T191" s="77"/>
      <c r="U191" s="77"/>
      <c r="V191" s="77"/>
      <c r="W191" s="72">
        <f t="shared" si="105"/>
        <v>6.25E-2</v>
      </c>
      <c r="X191" s="39">
        <v>20</v>
      </c>
    </row>
    <row r="192" spans="1:28" s="69" customFormat="1">
      <c r="A192" s="31"/>
      <c r="B192" s="70" t="s">
        <v>318</v>
      </c>
      <c r="C192" s="77"/>
      <c r="D192" s="77"/>
      <c r="E192" s="77"/>
      <c r="F192" s="77"/>
      <c r="G192" s="77"/>
      <c r="H192" s="77"/>
      <c r="I192" s="77"/>
      <c r="J192" s="77"/>
      <c r="K192" s="77"/>
      <c r="L192" s="77"/>
      <c r="M192" s="77"/>
      <c r="N192" s="77"/>
      <c r="O192" s="77"/>
      <c r="P192" s="77"/>
      <c r="Q192" s="77"/>
      <c r="R192" s="77"/>
      <c r="S192" s="77"/>
      <c r="T192" s="77"/>
      <c r="U192" s="77"/>
      <c r="V192" s="77"/>
      <c r="W192" s="72">
        <f t="shared" si="105"/>
        <v>9.375E-2</v>
      </c>
      <c r="X192" s="39">
        <v>30</v>
      </c>
    </row>
    <row r="193" spans="1:29" s="69" customFormat="1">
      <c r="A193" s="31"/>
      <c r="B193" s="71" t="s">
        <v>334</v>
      </c>
      <c r="C193" s="75">
        <f t="shared" ref="C193:V193" si="106">C42</f>
        <v>0</v>
      </c>
      <c r="D193" s="75">
        <f t="shared" si="106"/>
        <v>0</v>
      </c>
      <c r="E193" s="75">
        <f t="shared" si="106"/>
        <v>0</v>
      </c>
      <c r="F193" s="75">
        <f t="shared" si="106"/>
        <v>0</v>
      </c>
      <c r="G193" s="75">
        <f t="shared" si="106"/>
        <v>0</v>
      </c>
      <c r="H193" s="75">
        <f t="shared" si="106"/>
        <v>0</v>
      </c>
      <c r="I193" s="75">
        <f t="shared" si="106"/>
        <v>0</v>
      </c>
      <c r="J193" s="75">
        <f t="shared" si="106"/>
        <v>0</v>
      </c>
      <c r="K193" s="75">
        <f t="shared" si="106"/>
        <v>0</v>
      </c>
      <c r="L193" s="75">
        <f t="shared" si="106"/>
        <v>0</v>
      </c>
      <c r="M193" s="75">
        <f t="shared" si="106"/>
        <v>0</v>
      </c>
      <c r="N193" s="75">
        <f t="shared" si="106"/>
        <v>0</v>
      </c>
      <c r="O193" s="75">
        <f t="shared" si="106"/>
        <v>0</v>
      </c>
      <c r="P193" s="75">
        <f t="shared" si="106"/>
        <v>0</v>
      </c>
      <c r="Q193" s="75">
        <f t="shared" si="106"/>
        <v>0</v>
      </c>
      <c r="R193" s="75">
        <f t="shared" si="106"/>
        <v>0</v>
      </c>
      <c r="S193" s="75">
        <f t="shared" si="106"/>
        <v>0</v>
      </c>
      <c r="T193" s="75">
        <f t="shared" si="106"/>
        <v>0</v>
      </c>
      <c r="U193" s="75">
        <f t="shared" si="106"/>
        <v>0</v>
      </c>
      <c r="V193" s="75">
        <f t="shared" si="106"/>
        <v>0</v>
      </c>
      <c r="W193" s="72">
        <f t="shared" si="105"/>
        <v>0.15625</v>
      </c>
      <c r="X193" s="39">
        <v>50</v>
      </c>
    </row>
    <row r="194" spans="1:29" s="69" customFormat="1">
      <c r="A194" s="31"/>
      <c r="B194" s="96" t="s">
        <v>310</v>
      </c>
      <c r="C194" s="97" t="s">
        <v>309</v>
      </c>
      <c r="D194" s="97" t="s">
        <v>309</v>
      </c>
      <c r="E194" s="97" t="s">
        <v>309</v>
      </c>
      <c r="F194" s="97" t="s">
        <v>309</v>
      </c>
      <c r="G194" s="97" t="s">
        <v>309</v>
      </c>
      <c r="H194" s="97" t="s">
        <v>309</v>
      </c>
      <c r="I194" s="97" t="s">
        <v>309</v>
      </c>
      <c r="J194" s="97" t="s">
        <v>309</v>
      </c>
      <c r="K194" s="97" t="s">
        <v>309</v>
      </c>
      <c r="L194" s="97" t="s">
        <v>309</v>
      </c>
      <c r="M194" s="97" t="s">
        <v>309</v>
      </c>
      <c r="N194" s="97" t="s">
        <v>309</v>
      </c>
      <c r="O194" s="97" t="s">
        <v>309</v>
      </c>
      <c r="P194" s="97" t="s">
        <v>309</v>
      </c>
      <c r="Q194" s="97" t="s">
        <v>309</v>
      </c>
      <c r="R194" s="97" t="s">
        <v>309</v>
      </c>
      <c r="S194" s="97" t="s">
        <v>309</v>
      </c>
      <c r="T194" s="97" t="s">
        <v>309</v>
      </c>
      <c r="U194" s="97" t="s">
        <v>309</v>
      </c>
      <c r="V194" s="97" t="s">
        <v>309</v>
      </c>
      <c r="W194" s="72">
        <f t="shared" si="105"/>
        <v>0</v>
      </c>
      <c r="X194" s="39">
        <v>0</v>
      </c>
    </row>
    <row r="195" spans="1:29">
      <c r="D195" s="69"/>
      <c r="E195" s="69"/>
      <c r="F195" s="69"/>
      <c r="G195" s="69"/>
      <c r="R195" s="69"/>
      <c r="S195" s="69"/>
      <c r="T195" s="69"/>
      <c r="U195" s="69"/>
      <c r="V195" s="69"/>
      <c r="W195" s="37"/>
    </row>
    <row r="196" spans="1:29" s="69" customFormat="1" hidden="1">
      <c r="A196" s="31"/>
      <c r="B196" s="202" t="s">
        <v>623</v>
      </c>
      <c r="C196" s="69">
        <f>SUMPRODUCT((C181:C194&lt;&gt;"NA")*$X181:$X194)</f>
        <v>320</v>
      </c>
      <c r="D196" s="69">
        <f t="shared" ref="D196:V196" si="107">SUMPRODUCT((D181:D194&lt;&gt;"NA")*$X181:$X194)</f>
        <v>320</v>
      </c>
      <c r="E196" s="69">
        <f t="shared" si="107"/>
        <v>320</v>
      </c>
      <c r="F196" s="69">
        <f t="shared" si="107"/>
        <v>320</v>
      </c>
      <c r="G196" s="69">
        <f t="shared" si="107"/>
        <v>320</v>
      </c>
      <c r="H196" s="69">
        <f t="shared" si="107"/>
        <v>320</v>
      </c>
      <c r="I196" s="69">
        <f t="shared" si="107"/>
        <v>320</v>
      </c>
      <c r="J196" s="69">
        <f t="shared" si="107"/>
        <v>320</v>
      </c>
      <c r="K196" s="69">
        <f t="shared" si="107"/>
        <v>320</v>
      </c>
      <c r="L196" s="69">
        <f t="shared" si="107"/>
        <v>320</v>
      </c>
      <c r="M196" s="69">
        <f t="shared" si="107"/>
        <v>320</v>
      </c>
      <c r="N196" s="69">
        <f t="shared" si="107"/>
        <v>320</v>
      </c>
      <c r="O196" s="69">
        <f t="shared" si="107"/>
        <v>320</v>
      </c>
      <c r="P196" s="69">
        <f t="shared" si="107"/>
        <v>320</v>
      </c>
      <c r="Q196" s="69">
        <f t="shared" si="107"/>
        <v>320</v>
      </c>
      <c r="R196" s="69">
        <f t="shared" si="107"/>
        <v>320</v>
      </c>
      <c r="S196" s="69">
        <f t="shared" si="107"/>
        <v>320</v>
      </c>
      <c r="T196" s="69">
        <f t="shared" si="107"/>
        <v>320</v>
      </c>
      <c r="U196" s="69">
        <f t="shared" si="107"/>
        <v>320</v>
      </c>
      <c r="V196" s="69">
        <f t="shared" si="107"/>
        <v>320</v>
      </c>
      <c r="W196" s="37"/>
      <c r="X196" s="39"/>
    </row>
    <row r="197" spans="1:29" hidden="1">
      <c r="B197" s="8" t="s">
        <v>14</v>
      </c>
      <c r="C197">
        <f t="shared" ref="C197:V197" ca="1" si="108">C180*$Y180</f>
        <v>0</v>
      </c>
      <c r="D197" s="69">
        <f t="shared" ca="1" si="108"/>
        <v>0</v>
      </c>
      <c r="E197" s="69">
        <f t="shared" ca="1" si="108"/>
        <v>0</v>
      </c>
      <c r="F197" s="69">
        <f t="shared" ca="1" si="108"/>
        <v>0</v>
      </c>
      <c r="G197" s="69">
        <f t="shared" ca="1" si="108"/>
        <v>0</v>
      </c>
      <c r="H197" s="69">
        <f t="shared" ca="1" si="108"/>
        <v>0</v>
      </c>
      <c r="I197" s="69">
        <f t="shared" ca="1" si="108"/>
        <v>0</v>
      </c>
      <c r="J197" s="69">
        <f t="shared" ca="1" si="108"/>
        <v>0</v>
      </c>
      <c r="K197" s="69">
        <f t="shared" ca="1" si="108"/>
        <v>0</v>
      </c>
      <c r="L197" s="69">
        <f t="shared" ca="1" si="108"/>
        <v>0</v>
      </c>
      <c r="M197" s="69">
        <f t="shared" ca="1" si="108"/>
        <v>0</v>
      </c>
      <c r="N197" s="69">
        <f t="shared" ca="1" si="108"/>
        <v>0</v>
      </c>
      <c r="O197" s="69">
        <f t="shared" ca="1" si="108"/>
        <v>0</v>
      </c>
      <c r="P197" s="69">
        <f t="shared" ca="1" si="108"/>
        <v>0</v>
      </c>
      <c r="Q197" s="69">
        <f t="shared" ca="1" si="108"/>
        <v>0</v>
      </c>
      <c r="R197" s="69">
        <f t="shared" ca="1" si="108"/>
        <v>0</v>
      </c>
      <c r="S197" s="69">
        <f t="shared" ca="1" si="108"/>
        <v>0</v>
      </c>
      <c r="T197" s="69">
        <f t="shared" ca="1" si="108"/>
        <v>0</v>
      </c>
      <c r="U197" s="69">
        <f t="shared" ca="1" si="108"/>
        <v>0</v>
      </c>
      <c r="V197" s="69">
        <f t="shared" ca="1" si="108"/>
        <v>0</v>
      </c>
      <c r="W197" s="37"/>
    </row>
    <row r="198" spans="1:29" hidden="1">
      <c r="B198" s="8" t="s">
        <v>15</v>
      </c>
      <c r="C198">
        <f t="shared" ref="C198:V198" ca="1" si="109">C180*$Z180</f>
        <v>0</v>
      </c>
      <c r="D198" s="69">
        <f t="shared" ca="1" si="109"/>
        <v>0</v>
      </c>
      <c r="E198" s="69">
        <f t="shared" ca="1" si="109"/>
        <v>0</v>
      </c>
      <c r="F198" s="69">
        <f t="shared" ca="1" si="109"/>
        <v>0</v>
      </c>
      <c r="G198" s="69">
        <f t="shared" ca="1" si="109"/>
        <v>0</v>
      </c>
      <c r="H198" s="69">
        <f t="shared" ca="1" si="109"/>
        <v>0</v>
      </c>
      <c r="I198" s="69">
        <f t="shared" ca="1" si="109"/>
        <v>0</v>
      </c>
      <c r="J198" s="69">
        <f t="shared" ca="1" si="109"/>
        <v>0</v>
      </c>
      <c r="K198" s="69">
        <f t="shared" ca="1" si="109"/>
        <v>0</v>
      </c>
      <c r="L198" s="69">
        <f t="shared" ca="1" si="109"/>
        <v>0</v>
      </c>
      <c r="M198" s="69">
        <f t="shared" ca="1" si="109"/>
        <v>0</v>
      </c>
      <c r="N198" s="69">
        <f t="shared" ca="1" si="109"/>
        <v>0</v>
      </c>
      <c r="O198" s="69">
        <f t="shared" ca="1" si="109"/>
        <v>0</v>
      </c>
      <c r="P198" s="69">
        <f t="shared" ca="1" si="109"/>
        <v>0</v>
      </c>
      <c r="Q198" s="69">
        <f t="shared" ca="1" si="109"/>
        <v>0</v>
      </c>
      <c r="R198" s="69">
        <f t="shared" ca="1" si="109"/>
        <v>0</v>
      </c>
      <c r="S198" s="69">
        <f t="shared" ca="1" si="109"/>
        <v>0</v>
      </c>
      <c r="T198" s="69">
        <f t="shared" ca="1" si="109"/>
        <v>0</v>
      </c>
      <c r="U198" s="69">
        <f t="shared" ca="1" si="109"/>
        <v>0</v>
      </c>
      <c r="V198" s="69">
        <f t="shared" ca="1" si="109"/>
        <v>0</v>
      </c>
      <c r="W198" s="37"/>
    </row>
    <row r="199" spans="1:29" hidden="1">
      <c r="B199" s="8" t="s">
        <v>16</v>
      </c>
      <c r="C199">
        <f t="shared" ref="C199:V199" ca="1" si="110">C180*$AA180</f>
        <v>0</v>
      </c>
      <c r="D199" s="69">
        <f t="shared" ca="1" si="110"/>
        <v>0</v>
      </c>
      <c r="E199" s="69">
        <f t="shared" ca="1" si="110"/>
        <v>0</v>
      </c>
      <c r="F199" s="69">
        <f t="shared" ca="1" si="110"/>
        <v>0</v>
      </c>
      <c r="G199" s="69">
        <f t="shared" ca="1" si="110"/>
        <v>0</v>
      </c>
      <c r="H199" s="69">
        <f t="shared" ca="1" si="110"/>
        <v>0</v>
      </c>
      <c r="I199" s="69">
        <f t="shared" ca="1" si="110"/>
        <v>0</v>
      </c>
      <c r="J199" s="69">
        <f t="shared" ca="1" si="110"/>
        <v>0</v>
      </c>
      <c r="K199" s="69">
        <f t="shared" ca="1" si="110"/>
        <v>0</v>
      </c>
      <c r="L199" s="69">
        <f t="shared" ca="1" si="110"/>
        <v>0</v>
      </c>
      <c r="M199" s="69">
        <f t="shared" ca="1" si="110"/>
        <v>0</v>
      </c>
      <c r="N199" s="69">
        <f t="shared" ca="1" si="110"/>
        <v>0</v>
      </c>
      <c r="O199" s="69">
        <f t="shared" ca="1" si="110"/>
        <v>0</v>
      </c>
      <c r="P199" s="69">
        <f t="shared" ca="1" si="110"/>
        <v>0</v>
      </c>
      <c r="Q199" s="69">
        <f t="shared" ca="1" si="110"/>
        <v>0</v>
      </c>
      <c r="R199" s="69">
        <f t="shared" ca="1" si="110"/>
        <v>0</v>
      </c>
      <c r="S199" s="69">
        <f t="shared" ca="1" si="110"/>
        <v>0</v>
      </c>
      <c r="T199" s="69">
        <f t="shared" ca="1" si="110"/>
        <v>0</v>
      </c>
      <c r="U199" s="69">
        <f t="shared" ca="1" si="110"/>
        <v>0</v>
      </c>
      <c r="V199" s="69">
        <f t="shared" ca="1" si="110"/>
        <v>0</v>
      </c>
      <c r="W199" s="37"/>
    </row>
    <row r="200" spans="1:29" hidden="1">
      <c r="B200" s="8" t="s">
        <v>17</v>
      </c>
      <c r="C200">
        <f t="shared" ref="C200:V200" ca="1" si="111">C180*$AB180</f>
        <v>0</v>
      </c>
      <c r="D200" s="69">
        <f t="shared" ca="1" si="111"/>
        <v>0</v>
      </c>
      <c r="E200" s="69">
        <f t="shared" ca="1" si="111"/>
        <v>0</v>
      </c>
      <c r="F200" s="69">
        <f t="shared" ca="1" si="111"/>
        <v>0</v>
      </c>
      <c r="G200" s="69">
        <f t="shared" ca="1" si="111"/>
        <v>0</v>
      </c>
      <c r="H200" s="69">
        <f t="shared" ca="1" si="111"/>
        <v>0</v>
      </c>
      <c r="I200" s="69">
        <f t="shared" ca="1" si="111"/>
        <v>0</v>
      </c>
      <c r="J200" s="69">
        <f t="shared" ca="1" si="111"/>
        <v>0</v>
      </c>
      <c r="K200" s="69">
        <f t="shared" ca="1" si="111"/>
        <v>0</v>
      </c>
      <c r="L200" s="69">
        <f t="shared" ca="1" si="111"/>
        <v>0</v>
      </c>
      <c r="M200" s="69">
        <f t="shared" ca="1" si="111"/>
        <v>0</v>
      </c>
      <c r="N200" s="69">
        <f t="shared" ca="1" si="111"/>
        <v>0</v>
      </c>
      <c r="O200" s="69">
        <f t="shared" ca="1" si="111"/>
        <v>0</v>
      </c>
      <c r="P200" s="69">
        <f t="shared" ca="1" si="111"/>
        <v>0</v>
      </c>
      <c r="Q200" s="69">
        <f t="shared" ca="1" si="111"/>
        <v>0</v>
      </c>
      <c r="R200" s="69">
        <f t="shared" ca="1" si="111"/>
        <v>0</v>
      </c>
      <c r="S200" s="69">
        <f t="shared" ca="1" si="111"/>
        <v>0</v>
      </c>
      <c r="T200" s="69">
        <f t="shared" ca="1" si="111"/>
        <v>0</v>
      </c>
      <c r="U200" s="69">
        <f t="shared" ca="1" si="111"/>
        <v>0</v>
      </c>
      <c r="V200" s="69">
        <f t="shared" ca="1" si="111"/>
        <v>0</v>
      </c>
      <c r="W200" s="37"/>
    </row>
    <row r="201" spans="1:29">
      <c r="B201" s="65"/>
      <c r="C201" s="64"/>
      <c r="D201" s="64"/>
      <c r="E201" s="64"/>
      <c r="F201" s="64"/>
      <c r="G201" s="64"/>
      <c r="H201" s="64"/>
      <c r="I201" s="64"/>
      <c r="J201" s="64"/>
      <c r="K201" s="64"/>
      <c r="L201" s="64"/>
      <c r="M201" s="64"/>
      <c r="N201" s="64"/>
      <c r="O201" s="64"/>
      <c r="P201" s="64"/>
      <c r="Q201" s="64"/>
      <c r="R201" s="64"/>
      <c r="S201" s="64"/>
      <c r="T201" s="64"/>
      <c r="U201" s="64"/>
      <c r="V201" s="64"/>
      <c r="W201" s="37"/>
    </row>
    <row r="202" spans="1:29">
      <c r="B202" s="23" t="s">
        <v>52</v>
      </c>
      <c r="C202" s="81">
        <f>SUMPRODUCT(C204:C210,$X204:$X210)/C212</f>
        <v>0</v>
      </c>
      <c r="D202" s="81">
        <f t="shared" ref="D202:V202" si="112">SUMPRODUCT(D204:D210,$X204:$X210)/D212</f>
        <v>0</v>
      </c>
      <c r="E202" s="81">
        <f t="shared" si="112"/>
        <v>0</v>
      </c>
      <c r="F202" s="81">
        <f t="shared" si="112"/>
        <v>0</v>
      </c>
      <c r="G202" s="81">
        <f t="shared" si="112"/>
        <v>0</v>
      </c>
      <c r="H202" s="81">
        <f t="shared" si="112"/>
        <v>0</v>
      </c>
      <c r="I202" s="81">
        <f t="shared" si="112"/>
        <v>0</v>
      </c>
      <c r="J202" s="81">
        <f t="shared" si="112"/>
        <v>0</v>
      </c>
      <c r="K202" s="81">
        <f t="shared" si="112"/>
        <v>0</v>
      </c>
      <c r="L202" s="81">
        <f t="shared" si="112"/>
        <v>0</v>
      </c>
      <c r="M202" s="81">
        <f t="shared" si="112"/>
        <v>0</v>
      </c>
      <c r="N202" s="81">
        <f t="shared" si="112"/>
        <v>0</v>
      </c>
      <c r="O202" s="81">
        <f t="shared" si="112"/>
        <v>0</v>
      </c>
      <c r="P202" s="81">
        <f t="shared" si="112"/>
        <v>0</v>
      </c>
      <c r="Q202" s="81">
        <f t="shared" si="112"/>
        <v>0</v>
      </c>
      <c r="R202" s="81">
        <f t="shared" si="112"/>
        <v>0</v>
      </c>
      <c r="S202" s="81">
        <f t="shared" si="112"/>
        <v>0</v>
      </c>
      <c r="T202" s="81">
        <f t="shared" si="112"/>
        <v>0</v>
      </c>
      <c r="U202" s="81">
        <f t="shared" si="112"/>
        <v>0</v>
      </c>
      <c r="V202" s="81">
        <f t="shared" si="112"/>
        <v>0</v>
      </c>
      <c r="W202" s="37"/>
      <c r="Y202" s="87"/>
      <c r="Z202" s="88"/>
      <c r="AA202" s="90"/>
    </row>
    <row r="203" spans="1:29">
      <c r="B203" s="35" t="s">
        <v>70</v>
      </c>
      <c r="C203" s="246">
        <f ca="1">INDIRECT("'TESTING v2'!AH"&amp;COLUMN())</f>
        <v>0</v>
      </c>
      <c r="D203" s="246">
        <f t="shared" ref="D203:V203" ca="1" si="113">INDIRECT("'TESTING v2'!AH"&amp;COLUMN())</f>
        <v>0</v>
      </c>
      <c r="E203" s="246">
        <f t="shared" ca="1" si="113"/>
        <v>0</v>
      </c>
      <c r="F203" s="246">
        <f t="shared" ca="1" si="113"/>
        <v>0</v>
      </c>
      <c r="G203" s="246">
        <f t="shared" ca="1" si="113"/>
        <v>0</v>
      </c>
      <c r="H203" s="246">
        <f t="shared" ca="1" si="113"/>
        <v>0</v>
      </c>
      <c r="I203" s="246">
        <f t="shared" ca="1" si="113"/>
        <v>0</v>
      </c>
      <c r="J203" s="246">
        <f t="shared" ca="1" si="113"/>
        <v>0</v>
      </c>
      <c r="K203" s="246">
        <f t="shared" ca="1" si="113"/>
        <v>0</v>
      </c>
      <c r="L203" s="246">
        <f t="shared" ca="1" si="113"/>
        <v>0</v>
      </c>
      <c r="M203" s="246">
        <f t="shared" ca="1" si="113"/>
        <v>0</v>
      </c>
      <c r="N203" s="246">
        <f t="shared" ca="1" si="113"/>
        <v>0</v>
      </c>
      <c r="O203" s="246">
        <f t="shared" ca="1" si="113"/>
        <v>0</v>
      </c>
      <c r="P203" s="246">
        <f t="shared" ca="1" si="113"/>
        <v>0</v>
      </c>
      <c r="Q203" s="246">
        <f t="shared" ca="1" si="113"/>
        <v>0</v>
      </c>
      <c r="R203" s="246">
        <f t="shared" ca="1" si="113"/>
        <v>0</v>
      </c>
      <c r="S203" s="246">
        <f t="shared" ca="1" si="113"/>
        <v>0</v>
      </c>
      <c r="T203" s="246">
        <f t="shared" ca="1" si="113"/>
        <v>0</v>
      </c>
      <c r="U203" s="246">
        <f t="shared" ca="1" si="113"/>
        <v>0</v>
      </c>
      <c r="V203" s="246">
        <f t="shared" ca="1" si="113"/>
        <v>0</v>
      </c>
      <c r="W203" s="67">
        <f ca="1">COUNTBLANK(C213:V216)</f>
        <v>0</v>
      </c>
      <c r="X203" s="39" t="s">
        <v>259</v>
      </c>
      <c r="Y203" s="6">
        <f>AJ2*AJ8</f>
        <v>0</v>
      </c>
      <c r="Z203" s="6">
        <f>AJ3*AJ8</f>
        <v>0</v>
      </c>
      <c r="AA203" s="6">
        <f>AJ4*AJ8</f>
        <v>30</v>
      </c>
      <c r="AB203" s="6">
        <f>AJ5*AJ8</f>
        <v>0</v>
      </c>
    </row>
    <row r="204" spans="1:29">
      <c r="B204" s="70" t="s">
        <v>298</v>
      </c>
      <c r="C204" s="77"/>
      <c r="D204" s="77"/>
      <c r="E204" s="77"/>
      <c r="F204" s="77"/>
      <c r="G204" s="77"/>
      <c r="H204" s="78"/>
      <c r="I204" s="78"/>
      <c r="J204" s="78"/>
      <c r="K204" s="78"/>
      <c r="L204" s="78"/>
      <c r="M204" s="78"/>
      <c r="N204" s="78"/>
      <c r="O204" s="78"/>
      <c r="P204" s="78"/>
      <c r="Q204" s="78"/>
      <c r="R204" s="78"/>
      <c r="S204" s="78"/>
      <c r="T204" s="78"/>
      <c r="U204" s="78"/>
      <c r="V204" s="78"/>
      <c r="W204" s="37">
        <f t="shared" ref="W204:W210" si="114">X204/SUM(X$204:X$210)</f>
        <v>0.23529411764705882</v>
      </c>
      <c r="X204" s="39">
        <v>20</v>
      </c>
      <c r="Y204" s="69"/>
      <c r="Z204" s="69"/>
      <c r="AA204" s="69"/>
      <c r="AB204" s="69"/>
      <c r="AC204" s="69"/>
    </row>
    <row r="205" spans="1:29">
      <c r="B205" s="70" t="s">
        <v>335</v>
      </c>
      <c r="C205" s="77"/>
      <c r="D205" s="77"/>
      <c r="E205" s="77"/>
      <c r="F205" s="77"/>
      <c r="G205" s="77"/>
      <c r="H205" s="78"/>
      <c r="I205" s="78"/>
      <c r="J205" s="78"/>
      <c r="K205" s="78"/>
      <c r="L205" s="78"/>
      <c r="M205" s="78"/>
      <c r="N205" s="78"/>
      <c r="O205" s="78"/>
      <c r="P205" s="78"/>
      <c r="Q205" s="78"/>
      <c r="R205" s="78"/>
      <c r="S205" s="78"/>
      <c r="T205" s="78"/>
      <c r="U205" s="78"/>
      <c r="V205" s="78"/>
      <c r="W205" s="37">
        <f t="shared" si="114"/>
        <v>0.17647058823529413</v>
      </c>
      <c r="X205" s="39">
        <v>15</v>
      </c>
      <c r="Y205" s="69"/>
      <c r="Z205" s="69"/>
      <c r="AA205" s="69"/>
      <c r="AB205" s="69"/>
      <c r="AC205" s="69"/>
    </row>
    <row r="206" spans="1:29" s="69" customFormat="1">
      <c r="A206" s="31"/>
      <c r="B206" s="70" t="s">
        <v>179</v>
      </c>
      <c r="C206" s="77"/>
      <c r="D206" s="77"/>
      <c r="E206" s="77"/>
      <c r="F206" s="77"/>
      <c r="G206" s="77"/>
      <c r="H206" s="78"/>
      <c r="I206" s="78"/>
      <c r="J206" s="78"/>
      <c r="K206" s="78"/>
      <c r="L206" s="78"/>
      <c r="M206" s="78"/>
      <c r="N206" s="78"/>
      <c r="O206" s="78"/>
      <c r="P206" s="78"/>
      <c r="Q206" s="78"/>
      <c r="R206" s="78"/>
      <c r="S206" s="78"/>
      <c r="T206" s="78"/>
      <c r="U206" s="78"/>
      <c r="V206" s="78"/>
      <c r="W206" s="37">
        <f t="shared" si="114"/>
        <v>0.17647058823529413</v>
      </c>
      <c r="X206" s="39">
        <v>15</v>
      </c>
    </row>
    <row r="207" spans="1:29">
      <c r="B207" s="70" t="s">
        <v>297</v>
      </c>
      <c r="C207" s="77"/>
      <c r="D207" s="77"/>
      <c r="E207" s="77"/>
      <c r="F207" s="77"/>
      <c r="G207" s="77"/>
      <c r="H207" s="78"/>
      <c r="I207" s="78"/>
      <c r="J207" s="78"/>
      <c r="K207" s="78"/>
      <c r="L207" s="78"/>
      <c r="M207" s="78"/>
      <c r="N207" s="78"/>
      <c r="O207" s="78"/>
      <c r="P207" s="78"/>
      <c r="Q207" s="78"/>
      <c r="R207" s="78"/>
      <c r="S207" s="78"/>
      <c r="T207" s="78"/>
      <c r="U207" s="78"/>
      <c r="V207" s="78"/>
      <c r="W207" s="37">
        <f t="shared" si="114"/>
        <v>0.11764705882352941</v>
      </c>
      <c r="X207" s="39">
        <v>10</v>
      </c>
      <c r="Y207" s="69"/>
      <c r="Z207" s="69"/>
      <c r="AA207" s="69"/>
      <c r="AB207" s="69"/>
      <c r="AC207" s="69"/>
    </row>
    <row r="208" spans="1:29">
      <c r="B208" s="70" t="s">
        <v>296</v>
      </c>
      <c r="C208" s="77"/>
      <c r="D208" s="77"/>
      <c r="E208" s="77"/>
      <c r="F208" s="77"/>
      <c r="G208" s="77"/>
      <c r="H208" s="78"/>
      <c r="I208" s="78"/>
      <c r="J208" s="78"/>
      <c r="K208" s="78"/>
      <c r="L208" s="78"/>
      <c r="M208" s="78"/>
      <c r="N208" s="78"/>
      <c r="O208" s="78"/>
      <c r="P208" s="78"/>
      <c r="Q208" s="78"/>
      <c r="R208" s="78"/>
      <c r="S208" s="78"/>
      <c r="T208" s="78"/>
      <c r="U208" s="78"/>
      <c r="V208" s="78"/>
      <c r="W208" s="37">
        <f t="shared" si="114"/>
        <v>0.23529411764705882</v>
      </c>
      <c r="X208" s="39">
        <v>20</v>
      </c>
      <c r="Y208" s="69"/>
      <c r="Z208" s="69"/>
      <c r="AA208" s="69"/>
      <c r="AB208" s="69"/>
      <c r="AC208" s="69"/>
    </row>
    <row r="209" spans="1:29" s="69" customFormat="1">
      <c r="A209" s="31"/>
      <c r="B209" s="70" t="s">
        <v>299</v>
      </c>
      <c r="C209" s="77"/>
      <c r="D209" s="77"/>
      <c r="E209" s="77"/>
      <c r="F209" s="77"/>
      <c r="G209" s="77"/>
      <c r="H209" s="78"/>
      <c r="I209" s="78"/>
      <c r="J209" s="78"/>
      <c r="K209" s="78"/>
      <c r="L209" s="78"/>
      <c r="M209" s="78"/>
      <c r="N209" s="78"/>
      <c r="O209" s="78"/>
      <c r="P209" s="78"/>
      <c r="Q209" s="78"/>
      <c r="R209" s="78"/>
      <c r="S209" s="78"/>
      <c r="T209" s="78"/>
      <c r="U209" s="78"/>
      <c r="V209" s="78"/>
      <c r="W209" s="37">
        <f t="shared" si="114"/>
        <v>5.8823529411764705E-2</v>
      </c>
      <c r="X209" s="39">
        <v>5</v>
      </c>
    </row>
    <row r="210" spans="1:29">
      <c r="B210" s="96" t="s">
        <v>310</v>
      </c>
      <c r="C210" s="97" t="s">
        <v>309</v>
      </c>
      <c r="D210" s="97" t="s">
        <v>309</v>
      </c>
      <c r="E210" s="97" t="s">
        <v>309</v>
      </c>
      <c r="F210" s="97" t="s">
        <v>309</v>
      </c>
      <c r="G210" s="97" t="s">
        <v>309</v>
      </c>
      <c r="H210" s="97" t="s">
        <v>309</v>
      </c>
      <c r="I210" s="97" t="s">
        <v>309</v>
      </c>
      <c r="J210" s="97" t="s">
        <v>309</v>
      </c>
      <c r="K210" s="97" t="s">
        <v>309</v>
      </c>
      <c r="L210" s="97" t="s">
        <v>309</v>
      </c>
      <c r="M210" s="97" t="s">
        <v>309</v>
      </c>
      <c r="N210" s="97" t="s">
        <v>309</v>
      </c>
      <c r="O210" s="97" t="s">
        <v>309</v>
      </c>
      <c r="P210" s="97" t="s">
        <v>309</v>
      </c>
      <c r="Q210" s="97" t="s">
        <v>309</v>
      </c>
      <c r="R210" s="97" t="s">
        <v>309</v>
      </c>
      <c r="S210" s="97" t="s">
        <v>309</v>
      </c>
      <c r="T210" s="97" t="s">
        <v>309</v>
      </c>
      <c r="U210" s="97" t="s">
        <v>309</v>
      </c>
      <c r="V210" s="97" t="s">
        <v>309</v>
      </c>
      <c r="W210" s="37">
        <f t="shared" si="114"/>
        <v>0</v>
      </c>
      <c r="X210" s="39">
        <v>0</v>
      </c>
      <c r="Y210" s="69"/>
      <c r="Z210" s="69"/>
      <c r="AA210" s="69"/>
      <c r="AB210" s="69"/>
      <c r="AC210" s="69"/>
    </row>
    <row r="211" spans="1:29">
      <c r="D211" s="69"/>
      <c r="E211" s="69"/>
      <c r="F211" s="69"/>
      <c r="G211" s="69"/>
      <c r="R211" s="69"/>
      <c r="S211" s="69"/>
      <c r="T211" s="69"/>
      <c r="U211" s="69"/>
      <c r="V211" s="69"/>
      <c r="W211" s="37"/>
    </row>
    <row r="212" spans="1:29" s="69" customFormat="1" hidden="1">
      <c r="A212" s="31"/>
      <c r="B212" s="202" t="s">
        <v>623</v>
      </c>
      <c r="C212" s="69">
        <f>SUMPRODUCT((C204:C210&lt;&gt;"NA")*$X204:$X210)</f>
        <v>85</v>
      </c>
      <c r="D212" s="69">
        <f t="shared" ref="D212:V212" si="115">SUMPRODUCT((D204:D210&lt;&gt;"NA")*$X204:$X210)</f>
        <v>85</v>
      </c>
      <c r="E212" s="69">
        <f t="shared" si="115"/>
        <v>85</v>
      </c>
      <c r="F212" s="69">
        <f t="shared" si="115"/>
        <v>85</v>
      </c>
      <c r="G212" s="69">
        <f t="shared" si="115"/>
        <v>85</v>
      </c>
      <c r="H212" s="69">
        <f t="shared" si="115"/>
        <v>85</v>
      </c>
      <c r="I212" s="69">
        <f t="shared" si="115"/>
        <v>85</v>
      </c>
      <c r="J212" s="69">
        <f t="shared" si="115"/>
        <v>85</v>
      </c>
      <c r="K212" s="69">
        <f t="shared" si="115"/>
        <v>85</v>
      </c>
      <c r="L212" s="69">
        <f t="shared" si="115"/>
        <v>85</v>
      </c>
      <c r="M212" s="69">
        <f t="shared" si="115"/>
        <v>85</v>
      </c>
      <c r="N212" s="69">
        <f t="shared" si="115"/>
        <v>85</v>
      </c>
      <c r="O212" s="69">
        <f t="shared" si="115"/>
        <v>85</v>
      </c>
      <c r="P212" s="69">
        <f t="shared" si="115"/>
        <v>85</v>
      </c>
      <c r="Q212" s="69">
        <f t="shared" si="115"/>
        <v>85</v>
      </c>
      <c r="R212" s="69">
        <f t="shared" si="115"/>
        <v>85</v>
      </c>
      <c r="S212" s="69">
        <f t="shared" si="115"/>
        <v>85</v>
      </c>
      <c r="T212" s="69">
        <f t="shared" si="115"/>
        <v>85</v>
      </c>
      <c r="U212" s="69">
        <f t="shared" si="115"/>
        <v>85</v>
      </c>
      <c r="V212" s="69">
        <f t="shared" si="115"/>
        <v>85</v>
      </c>
      <c r="W212" s="37"/>
      <c r="X212" s="39"/>
    </row>
    <row r="213" spans="1:29" hidden="1">
      <c r="B213" s="8" t="s">
        <v>14</v>
      </c>
      <c r="C213">
        <f t="shared" ref="C213:V213" ca="1" si="116">C203*$Y203</f>
        <v>0</v>
      </c>
      <c r="D213" s="69">
        <f t="shared" ca="1" si="116"/>
        <v>0</v>
      </c>
      <c r="E213" s="69">
        <f t="shared" ca="1" si="116"/>
        <v>0</v>
      </c>
      <c r="F213" s="69">
        <f t="shared" ca="1" si="116"/>
        <v>0</v>
      </c>
      <c r="G213" s="69">
        <f t="shared" ca="1" si="116"/>
        <v>0</v>
      </c>
      <c r="H213" s="69">
        <f t="shared" ca="1" si="116"/>
        <v>0</v>
      </c>
      <c r="I213" s="69">
        <f t="shared" ca="1" si="116"/>
        <v>0</v>
      </c>
      <c r="J213" s="69">
        <f t="shared" ca="1" si="116"/>
        <v>0</v>
      </c>
      <c r="K213" s="69">
        <f t="shared" ca="1" si="116"/>
        <v>0</v>
      </c>
      <c r="L213" s="69">
        <f t="shared" ca="1" si="116"/>
        <v>0</v>
      </c>
      <c r="M213" s="69">
        <f t="shared" ca="1" si="116"/>
        <v>0</v>
      </c>
      <c r="N213" s="69">
        <f t="shared" ca="1" si="116"/>
        <v>0</v>
      </c>
      <c r="O213" s="69">
        <f t="shared" ca="1" si="116"/>
        <v>0</v>
      </c>
      <c r="P213" s="69">
        <f t="shared" ca="1" si="116"/>
        <v>0</v>
      </c>
      <c r="Q213" s="69">
        <f t="shared" ca="1" si="116"/>
        <v>0</v>
      </c>
      <c r="R213" s="69">
        <f t="shared" ca="1" si="116"/>
        <v>0</v>
      </c>
      <c r="S213" s="69">
        <f t="shared" ca="1" si="116"/>
        <v>0</v>
      </c>
      <c r="T213" s="69">
        <f t="shared" ca="1" si="116"/>
        <v>0</v>
      </c>
      <c r="U213" s="69">
        <f t="shared" ca="1" si="116"/>
        <v>0</v>
      </c>
      <c r="V213" s="69">
        <f t="shared" ca="1" si="116"/>
        <v>0</v>
      </c>
      <c r="W213" s="37"/>
    </row>
    <row r="214" spans="1:29" hidden="1">
      <c r="B214" s="8" t="s">
        <v>15</v>
      </c>
      <c r="C214">
        <f t="shared" ref="C214:V214" ca="1" si="117">C203*$Z203</f>
        <v>0</v>
      </c>
      <c r="D214" s="69">
        <f t="shared" ca="1" si="117"/>
        <v>0</v>
      </c>
      <c r="E214" s="69">
        <f t="shared" ca="1" si="117"/>
        <v>0</v>
      </c>
      <c r="F214" s="69">
        <f t="shared" ca="1" si="117"/>
        <v>0</v>
      </c>
      <c r="G214" s="69">
        <f t="shared" ca="1" si="117"/>
        <v>0</v>
      </c>
      <c r="H214" s="69">
        <f t="shared" ca="1" si="117"/>
        <v>0</v>
      </c>
      <c r="I214" s="69">
        <f t="shared" ca="1" si="117"/>
        <v>0</v>
      </c>
      <c r="J214" s="69">
        <f t="shared" ca="1" si="117"/>
        <v>0</v>
      </c>
      <c r="K214" s="69">
        <f t="shared" ca="1" si="117"/>
        <v>0</v>
      </c>
      <c r="L214" s="69">
        <f t="shared" ca="1" si="117"/>
        <v>0</v>
      </c>
      <c r="M214" s="69">
        <f t="shared" ca="1" si="117"/>
        <v>0</v>
      </c>
      <c r="N214" s="69">
        <f t="shared" ca="1" si="117"/>
        <v>0</v>
      </c>
      <c r="O214" s="69">
        <f t="shared" ca="1" si="117"/>
        <v>0</v>
      </c>
      <c r="P214" s="69">
        <f t="shared" ca="1" si="117"/>
        <v>0</v>
      </c>
      <c r="Q214" s="69">
        <f t="shared" ca="1" si="117"/>
        <v>0</v>
      </c>
      <c r="R214" s="69">
        <f t="shared" ca="1" si="117"/>
        <v>0</v>
      </c>
      <c r="S214" s="69">
        <f t="shared" ca="1" si="117"/>
        <v>0</v>
      </c>
      <c r="T214" s="69">
        <f t="shared" ca="1" si="117"/>
        <v>0</v>
      </c>
      <c r="U214" s="69">
        <f t="shared" ca="1" si="117"/>
        <v>0</v>
      </c>
      <c r="V214" s="69">
        <f t="shared" ca="1" si="117"/>
        <v>0</v>
      </c>
      <c r="W214" s="37"/>
    </row>
    <row r="215" spans="1:29" hidden="1">
      <c r="B215" s="8" t="s">
        <v>16</v>
      </c>
      <c r="C215">
        <f t="shared" ref="C215:V215" ca="1" si="118">C203*$AA203</f>
        <v>0</v>
      </c>
      <c r="D215" s="69">
        <f t="shared" ca="1" si="118"/>
        <v>0</v>
      </c>
      <c r="E215" s="69">
        <f t="shared" ca="1" si="118"/>
        <v>0</v>
      </c>
      <c r="F215" s="69">
        <f t="shared" ca="1" si="118"/>
        <v>0</v>
      </c>
      <c r="G215" s="69">
        <f t="shared" ca="1" si="118"/>
        <v>0</v>
      </c>
      <c r="H215" s="69">
        <f t="shared" ca="1" si="118"/>
        <v>0</v>
      </c>
      <c r="I215" s="69">
        <f t="shared" ca="1" si="118"/>
        <v>0</v>
      </c>
      <c r="J215" s="69">
        <f t="shared" ca="1" si="118"/>
        <v>0</v>
      </c>
      <c r="K215" s="69">
        <f t="shared" ca="1" si="118"/>
        <v>0</v>
      </c>
      <c r="L215" s="69">
        <f t="shared" ca="1" si="118"/>
        <v>0</v>
      </c>
      <c r="M215" s="69">
        <f t="shared" ca="1" si="118"/>
        <v>0</v>
      </c>
      <c r="N215" s="69">
        <f t="shared" ca="1" si="118"/>
        <v>0</v>
      </c>
      <c r="O215" s="69">
        <f t="shared" ca="1" si="118"/>
        <v>0</v>
      </c>
      <c r="P215" s="69">
        <f t="shared" ca="1" si="118"/>
        <v>0</v>
      </c>
      <c r="Q215" s="69">
        <f t="shared" ca="1" si="118"/>
        <v>0</v>
      </c>
      <c r="R215" s="69">
        <f t="shared" ca="1" si="118"/>
        <v>0</v>
      </c>
      <c r="S215" s="69">
        <f t="shared" ca="1" si="118"/>
        <v>0</v>
      </c>
      <c r="T215" s="69">
        <f t="shared" ca="1" si="118"/>
        <v>0</v>
      </c>
      <c r="U215" s="69">
        <f t="shared" ca="1" si="118"/>
        <v>0</v>
      </c>
      <c r="V215" s="69">
        <f t="shared" ca="1" si="118"/>
        <v>0</v>
      </c>
      <c r="W215" s="37"/>
    </row>
    <row r="216" spans="1:29" hidden="1">
      <c r="B216" s="8" t="s">
        <v>17</v>
      </c>
      <c r="C216">
        <f t="shared" ref="C216:V216" ca="1" si="119">C203*$AB203</f>
        <v>0</v>
      </c>
      <c r="D216" s="69">
        <f t="shared" ca="1" si="119"/>
        <v>0</v>
      </c>
      <c r="E216" s="69">
        <f t="shared" ca="1" si="119"/>
        <v>0</v>
      </c>
      <c r="F216" s="69">
        <f t="shared" ca="1" si="119"/>
        <v>0</v>
      </c>
      <c r="G216" s="69">
        <f t="shared" ca="1" si="119"/>
        <v>0</v>
      </c>
      <c r="H216" s="69">
        <f t="shared" ca="1" si="119"/>
        <v>0</v>
      </c>
      <c r="I216" s="69">
        <f t="shared" ca="1" si="119"/>
        <v>0</v>
      </c>
      <c r="J216" s="69">
        <f t="shared" ca="1" si="119"/>
        <v>0</v>
      </c>
      <c r="K216" s="69">
        <f t="shared" ca="1" si="119"/>
        <v>0</v>
      </c>
      <c r="L216" s="69">
        <f t="shared" ca="1" si="119"/>
        <v>0</v>
      </c>
      <c r="M216" s="69">
        <f t="shared" ca="1" si="119"/>
        <v>0</v>
      </c>
      <c r="N216" s="69">
        <f t="shared" ca="1" si="119"/>
        <v>0</v>
      </c>
      <c r="O216" s="69">
        <f t="shared" ca="1" si="119"/>
        <v>0</v>
      </c>
      <c r="P216" s="69">
        <f t="shared" ca="1" si="119"/>
        <v>0</v>
      </c>
      <c r="Q216" s="69">
        <f t="shared" ca="1" si="119"/>
        <v>0</v>
      </c>
      <c r="R216" s="69">
        <f t="shared" ca="1" si="119"/>
        <v>0</v>
      </c>
      <c r="S216" s="69">
        <f t="shared" ca="1" si="119"/>
        <v>0</v>
      </c>
      <c r="T216" s="69">
        <f t="shared" ca="1" si="119"/>
        <v>0</v>
      </c>
      <c r="U216" s="69">
        <f t="shared" ca="1" si="119"/>
        <v>0</v>
      </c>
      <c r="V216" s="69">
        <f t="shared" ca="1" si="119"/>
        <v>0</v>
      </c>
      <c r="W216" s="37"/>
    </row>
    <row r="217" spans="1:29">
      <c r="B217" s="65"/>
      <c r="C217" s="64"/>
      <c r="D217" s="64"/>
      <c r="E217" s="64"/>
      <c r="F217" s="64"/>
      <c r="G217" s="64"/>
      <c r="H217" s="64"/>
      <c r="I217" s="64"/>
      <c r="J217" s="64"/>
      <c r="K217" s="64"/>
      <c r="L217" s="64"/>
      <c r="M217" s="64"/>
      <c r="N217" s="64"/>
      <c r="O217" s="64"/>
      <c r="P217" s="64"/>
      <c r="Q217" s="64"/>
      <c r="R217" s="64"/>
      <c r="S217" s="64"/>
      <c r="T217" s="64"/>
      <c r="U217" s="64"/>
      <c r="V217" s="64"/>
      <c r="W217" s="37"/>
    </row>
    <row r="218" spans="1:29">
      <c r="B218" s="23" t="s">
        <v>51</v>
      </c>
      <c r="C218" s="81">
        <f>SUMPRODUCT(C220:C230,$X$220:$X$230)/C232</f>
        <v>0</v>
      </c>
      <c r="D218" s="81">
        <f t="shared" ref="D218:V218" si="120">SUMPRODUCT(D220:D230,$X$220:$X$230)/D232</f>
        <v>0</v>
      </c>
      <c r="E218" s="81">
        <f t="shared" si="120"/>
        <v>0</v>
      </c>
      <c r="F218" s="81">
        <f t="shared" si="120"/>
        <v>0</v>
      </c>
      <c r="G218" s="81">
        <f t="shared" si="120"/>
        <v>0</v>
      </c>
      <c r="H218" s="81">
        <f t="shared" si="120"/>
        <v>0</v>
      </c>
      <c r="I218" s="81">
        <f t="shared" si="120"/>
        <v>0</v>
      </c>
      <c r="J218" s="81">
        <f t="shared" si="120"/>
        <v>0</v>
      </c>
      <c r="K218" s="81">
        <f t="shared" si="120"/>
        <v>0</v>
      </c>
      <c r="L218" s="81">
        <f t="shared" si="120"/>
        <v>0</v>
      </c>
      <c r="M218" s="81">
        <f t="shared" si="120"/>
        <v>0</v>
      </c>
      <c r="N218" s="81">
        <f t="shared" si="120"/>
        <v>0</v>
      </c>
      <c r="O218" s="81">
        <f t="shared" si="120"/>
        <v>0</v>
      </c>
      <c r="P218" s="81">
        <f t="shared" si="120"/>
        <v>0</v>
      </c>
      <c r="Q218" s="81">
        <f t="shared" si="120"/>
        <v>0</v>
      </c>
      <c r="R218" s="81">
        <f t="shared" si="120"/>
        <v>0</v>
      </c>
      <c r="S218" s="81">
        <f t="shared" si="120"/>
        <v>0</v>
      </c>
      <c r="T218" s="81">
        <f t="shared" si="120"/>
        <v>0</v>
      </c>
      <c r="U218" s="81">
        <f t="shared" si="120"/>
        <v>0</v>
      </c>
      <c r="V218" s="81">
        <f t="shared" si="120"/>
        <v>0</v>
      </c>
      <c r="W218" s="37"/>
      <c r="Y218" s="87"/>
      <c r="Z218" s="88"/>
      <c r="AA218" s="90"/>
    </row>
    <row r="219" spans="1:29">
      <c r="B219" s="35" t="s">
        <v>71</v>
      </c>
      <c r="C219" s="246">
        <f ca="1">INDIRECT("'TESTING v2'!AI"&amp;COLUMN())</f>
        <v>0</v>
      </c>
      <c r="D219" s="246">
        <f t="shared" ref="D219:V219" ca="1" si="121">INDIRECT("'TESTING v2'!AI"&amp;COLUMN())</f>
        <v>0</v>
      </c>
      <c r="E219" s="246">
        <f t="shared" ca="1" si="121"/>
        <v>0</v>
      </c>
      <c r="F219" s="246">
        <f t="shared" ca="1" si="121"/>
        <v>0</v>
      </c>
      <c r="G219" s="246">
        <f t="shared" ca="1" si="121"/>
        <v>0</v>
      </c>
      <c r="H219" s="246">
        <f t="shared" ca="1" si="121"/>
        <v>0</v>
      </c>
      <c r="I219" s="246">
        <f t="shared" ca="1" si="121"/>
        <v>0</v>
      </c>
      <c r="J219" s="246">
        <f t="shared" ca="1" si="121"/>
        <v>0</v>
      </c>
      <c r="K219" s="246">
        <f t="shared" ca="1" si="121"/>
        <v>0</v>
      </c>
      <c r="L219" s="246">
        <f t="shared" ca="1" si="121"/>
        <v>0</v>
      </c>
      <c r="M219" s="246">
        <f t="shared" ca="1" si="121"/>
        <v>0</v>
      </c>
      <c r="N219" s="246">
        <f t="shared" ca="1" si="121"/>
        <v>0</v>
      </c>
      <c r="O219" s="246">
        <f t="shared" ca="1" si="121"/>
        <v>0</v>
      </c>
      <c r="P219" s="246">
        <f t="shared" ca="1" si="121"/>
        <v>0</v>
      </c>
      <c r="Q219" s="246">
        <f t="shared" ca="1" si="121"/>
        <v>0</v>
      </c>
      <c r="R219" s="246">
        <f t="shared" ca="1" si="121"/>
        <v>0</v>
      </c>
      <c r="S219" s="246">
        <f t="shared" ca="1" si="121"/>
        <v>0</v>
      </c>
      <c r="T219" s="246">
        <f t="shared" ca="1" si="121"/>
        <v>0</v>
      </c>
      <c r="U219" s="246">
        <f t="shared" ca="1" si="121"/>
        <v>0</v>
      </c>
      <c r="V219" s="246">
        <f t="shared" ca="1" si="121"/>
        <v>0</v>
      </c>
      <c r="W219" s="67">
        <f ca="1">COUNTBLANK(C233:V236)</f>
        <v>0</v>
      </c>
      <c r="X219" s="39" t="s">
        <v>259</v>
      </c>
      <c r="Y219" s="6">
        <f>AF2*AF8</f>
        <v>0</v>
      </c>
      <c r="Z219" s="6">
        <f>AF3*AF8</f>
        <v>0</v>
      </c>
      <c r="AA219" s="6">
        <f>AF4*AF8</f>
        <v>0</v>
      </c>
      <c r="AB219" s="6">
        <f>AF5*AF8</f>
        <v>100</v>
      </c>
    </row>
    <row r="220" spans="1:29" s="69" customFormat="1">
      <c r="A220" s="31"/>
      <c r="B220" s="70" t="s">
        <v>324</v>
      </c>
      <c r="C220" s="77"/>
      <c r="D220" s="77"/>
      <c r="E220" s="77"/>
      <c r="F220" s="77"/>
      <c r="G220" s="77"/>
      <c r="H220" s="77"/>
      <c r="I220" s="77"/>
      <c r="J220" s="77"/>
      <c r="K220" s="77"/>
      <c r="L220" s="77"/>
      <c r="M220" s="77"/>
      <c r="N220" s="77"/>
      <c r="O220" s="77"/>
      <c r="P220" s="77"/>
      <c r="Q220" s="77"/>
      <c r="R220" s="77"/>
      <c r="S220" s="77"/>
      <c r="T220" s="77"/>
      <c r="U220" s="77"/>
      <c r="V220" s="77"/>
      <c r="W220" s="72">
        <f t="shared" ref="W220:W230" si="122">X220/SUM($X$220:$X$230)</f>
        <v>0.16666666666666666</v>
      </c>
      <c r="X220" s="39">
        <v>20</v>
      </c>
    </row>
    <row r="221" spans="1:29" s="69" customFormat="1">
      <c r="A221" s="31"/>
      <c r="B221" s="70" t="s">
        <v>326</v>
      </c>
      <c r="C221" s="77"/>
      <c r="D221" s="77"/>
      <c r="E221" s="77"/>
      <c r="F221" s="77"/>
      <c r="G221" s="77"/>
      <c r="H221" s="77"/>
      <c r="I221" s="77"/>
      <c r="J221" s="77"/>
      <c r="K221" s="77"/>
      <c r="L221" s="77"/>
      <c r="M221" s="77"/>
      <c r="N221" s="77"/>
      <c r="O221" s="77"/>
      <c r="P221" s="77"/>
      <c r="Q221" s="77"/>
      <c r="R221" s="77"/>
      <c r="S221" s="77"/>
      <c r="T221" s="77"/>
      <c r="U221" s="77"/>
      <c r="V221" s="77"/>
      <c r="W221" s="72">
        <f t="shared" si="122"/>
        <v>0.16666666666666666</v>
      </c>
      <c r="X221" s="39">
        <v>20</v>
      </c>
    </row>
    <row r="222" spans="1:29" s="69" customFormat="1">
      <c r="A222" s="31"/>
      <c r="B222" s="70" t="s">
        <v>330</v>
      </c>
      <c r="C222" s="77"/>
      <c r="D222" s="77"/>
      <c r="E222" s="77"/>
      <c r="F222" s="77"/>
      <c r="G222" s="77"/>
      <c r="H222" s="77"/>
      <c r="I222" s="77"/>
      <c r="J222" s="77"/>
      <c r="K222" s="77"/>
      <c r="L222" s="77"/>
      <c r="M222" s="77"/>
      <c r="N222" s="77"/>
      <c r="O222" s="77"/>
      <c r="P222" s="77"/>
      <c r="Q222" s="77"/>
      <c r="R222" s="77"/>
      <c r="S222" s="77"/>
      <c r="T222" s="77"/>
      <c r="U222" s="77"/>
      <c r="V222" s="77"/>
      <c r="W222" s="72">
        <f t="shared" si="122"/>
        <v>0.16666666666666666</v>
      </c>
      <c r="X222" s="39">
        <v>20</v>
      </c>
    </row>
    <row r="223" spans="1:29" s="69" customFormat="1">
      <c r="A223" s="31"/>
      <c r="B223" s="70" t="s">
        <v>329</v>
      </c>
      <c r="C223" s="77"/>
      <c r="D223" s="77"/>
      <c r="E223" s="77"/>
      <c r="F223" s="77"/>
      <c r="G223" s="77"/>
      <c r="H223" s="77"/>
      <c r="I223" s="77"/>
      <c r="J223" s="77"/>
      <c r="K223" s="77"/>
      <c r="L223" s="77"/>
      <c r="M223" s="77"/>
      <c r="N223" s="77"/>
      <c r="O223" s="77"/>
      <c r="P223" s="77"/>
      <c r="Q223" s="77"/>
      <c r="R223" s="77"/>
      <c r="S223" s="77"/>
      <c r="T223" s="77"/>
      <c r="U223" s="77"/>
      <c r="V223" s="77"/>
      <c r="W223" s="72">
        <f t="shared" si="122"/>
        <v>0.16666666666666666</v>
      </c>
      <c r="X223" s="39">
        <v>20</v>
      </c>
    </row>
    <row r="224" spans="1:29" s="69" customFormat="1">
      <c r="A224" s="31"/>
      <c r="B224" s="70" t="s">
        <v>331</v>
      </c>
      <c r="C224" s="77"/>
      <c r="D224" s="77"/>
      <c r="E224" s="77"/>
      <c r="F224" s="77"/>
      <c r="G224" s="77"/>
      <c r="H224" s="77"/>
      <c r="I224" s="77"/>
      <c r="J224" s="77"/>
      <c r="K224" s="77"/>
      <c r="L224" s="77"/>
      <c r="M224" s="77"/>
      <c r="N224" s="77"/>
      <c r="O224" s="77"/>
      <c r="P224" s="77"/>
      <c r="Q224" s="77"/>
      <c r="R224" s="77"/>
      <c r="S224" s="77"/>
      <c r="T224" s="77"/>
      <c r="U224" s="77"/>
      <c r="V224" s="77"/>
      <c r="W224" s="72">
        <f t="shared" si="122"/>
        <v>0.16666666666666666</v>
      </c>
      <c r="X224" s="39">
        <v>20</v>
      </c>
    </row>
    <row r="225" spans="1:28" s="69" customFormat="1">
      <c r="A225" s="31"/>
      <c r="B225" s="70" t="s">
        <v>325</v>
      </c>
      <c r="C225" s="77"/>
      <c r="D225" s="77"/>
      <c r="E225" s="77"/>
      <c r="F225" s="77"/>
      <c r="G225" s="77"/>
      <c r="H225" s="77"/>
      <c r="I225" s="77"/>
      <c r="J225" s="77"/>
      <c r="K225" s="77"/>
      <c r="L225" s="77"/>
      <c r="M225" s="77"/>
      <c r="N225" s="77"/>
      <c r="O225" s="77"/>
      <c r="P225" s="77"/>
      <c r="Q225" s="77"/>
      <c r="R225" s="77"/>
      <c r="S225" s="77"/>
      <c r="T225" s="77"/>
      <c r="U225" s="77"/>
      <c r="V225" s="77"/>
      <c r="W225" s="72">
        <f t="shared" si="122"/>
        <v>0.05</v>
      </c>
      <c r="X225" s="39">
        <v>6</v>
      </c>
    </row>
    <row r="226" spans="1:28" s="69" customFormat="1">
      <c r="A226" s="31"/>
      <c r="B226" s="71" t="s">
        <v>645</v>
      </c>
      <c r="C226" s="75">
        <f>C164</f>
        <v>0</v>
      </c>
      <c r="D226" s="75">
        <f t="shared" ref="D226:V226" si="123">D164</f>
        <v>0</v>
      </c>
      <c r="E226" s="75">
        <f t="shared" si="123"/>
        <v>0</v>
      </c>
      <c r="F226" s="75">
        <f t="shared" si="123"/>
        <v>0</v>
      </c>
      <c r="G226" s="75">
        <f t="shared" si="123"/>
        <v>0</v>
      </c>
      <c r="H226" s="75">
        <f t="shared" si="123"/>
        <v>0</v>
      </c>
      <c r="I226" s="75">
        <f t="shared" si="123"/>
        <v>0</v>
      </c>
      <c r="J226" s="75">
        <f t="shared" si="123"/>
        <v>0</v>
      </c>
      <c r="K226" s="75">
        <f t="shared" si="123"/>
        <v>0</v>
      </c>
      <c r="L226" s="75">
        <f t="shared" si="123"/>
        <v>0</v>
      </c>
      <c r="M226" s="75">
        <f t="shared" si="123"/>
        <v>0</v>
      </c>
      <c r="N226" s="75">
        <f t="shared" si="123"/>
        <v>0</v>
      </c>
      <c r="O226" s="75">
        <f t="shared" si="123"/>
        <v>0</v>
      </c>
      <c r="P226" s="75">
        <f t="shared" si="123"/>
        <v>0</v>
      </c>
      <c r="Q226" s="75">
        <f t="shared" si="123"/>
        <v>0</v>
      </c>
      <c r="R226" s="75">
        <f t="shared" si="123"/>
        <v>0</v>
      </c>
      <c r="S226" s="75">
        <f t="shared" si="123"/>
        <v>0</v>
      </c>
      <c r="T226" s="75">
        <f t="shared" si="123"/>
        <v>0</v>
      </c>
      <c r="U226" s="75">
        <f t="shared" si="123"/>
        <v>0</v>
      </c>
      <c r="V226" s="75">
        <f t="shared" si="123"/>
        <v>0</v>
      </c>
      <c r="W226" s="72">
        <f t="shared" si="122"/>
        <v>4.1666666666666664E-2</v>
      </c>
      <c r="X226" s="39">
        <v>5</v>
      </c>
    </row>
    <row r="227" spans="1:28" s="69" customFormat="1">
      <c r="A227" s="31"/>
      <c r="B227" s="71" t="s">
        <v>643</v>
      </c>
      <c r="C227" s="75">
        <f>IFERROR(AVERAGE(C108:C111),0)</f>
        <v>0</v>
      </c>
      <c r="D227" s="75">
        <f t="shared" ref="D227:V227" si="124">IFERROR(AVERAGE(D108:D111),0)</f>
        <v>0</v>
      </c>
      <c r="E227" s="75">
        <f t="shared" si="124"/>
        <v>0</v>
      </c>
      <c r="F227" s="75">
        <f t="shared" si="124"/>
        <v>0</v>
      </c>
      <c r="G227" s="75">
        <f t="shared" si="124"/>
        <v>0</v>
      </c>
      <c r="H227" s="75">
        <f t="shared" si="124"/>
        <v>0</v>
      </c>
      <c r="I227" s="75">
        <f t="shared" si="124"/>
        <v>0</v>
      </c>
      <c r="J227" s="75">
        <f t="shared" si="124"/>
        <v>0</v>
      </c>
      <c r="K227" s="75">
        <f t="shared" si="124"/>
        <v>0</v>
      </c>
      <c r="L227" s="75">
        <f t="shared" si="124"/>
        <v>0</v>
      </c>
      <c r="M227" s="75">
        <f t="shared" si="124"/>
        <v>0</v>
      </c>
      <c r="N227" s="75">
        <f t="shared" si="124"/>
        <v>0</v>
      </c>
      <c r="O227" s="75">
        <f t="shared" si="124"/>
        <v>0</v>
      </c>
      <c r="P227" s="75">
        <f t="shared" si="124"/>
        <v>0</v>
      </c>
      <c r="Q227" s="75">
        <f t="shared" si="124"/>
        <v>0</v>
      </c>
      <c r="R227" s="75">
        <f t="shared" si="124"/>
        <v>0</v>
      </c>
      <c r="S227" s="75">
        <f t="shared" si="124"/>
        <v>0</v>
      </c>
      <c r="T227" s="75">
        <f t="shared" si="124"/>
        <v>0</v>
      </c>
      <c r="U227" s="75">
        <f t="shared" si="124"/>
        <v>0</v>
      </c>
      <c r="V227" s="75">
        <f t="shared" si="124"/>
        <v>0</v>
      </c>
      <c r="W227" s="72">
        <f t="shared" si="122"/>
        <v>4.1666666666666664E-2</v>
      </c>
      <c r="X227" s="39">
        <v>5</v>
      </c>
    </row>
    <row r="228" spans="1:28" s="69" customFormat="1">
      <c r="A228" s="31"/>
      <c r="B228" s="71" t="s">
        <v>499</v>
      </c>
      <c r="C228" s="75">
        <f>C133</f>
        <v>0</v>
      </c>
      <c r="D228" s="75">
        <f t="shared" ref="D228:V228" si="125">D133</f>
        <v>0</v>
      </c>
      <c r="E228" s="75">
        <f t="shared" si="125"/>
        <v>0</v>
      </c>
      <c r="F228" s="75">
        <f t="shared" si="125"/>
        <v>0</v>
      </c>
      <c r="G228" s="75">
        <f t="shared" si="125"/>
        <v>0</v>
      </c>
      <c r="H228" s="75">
        <f t="shared" si="125"/>
        <v>0</v>
      </c>
      <c r="I228" s="75">
        <f t="shared" si="125"/>
        <v>0</v>
      </c>
      <c r="J228" s="75">
        <f t="shared" si="125"/>
        <v>0</v>
      </c>
      <c r="K228" s="75">
        <f t="shared" si="125"/>
        <v>0</v>
      </c>
      <c r="L228" s="75">
        <f t="shared" si="125"/>
        <v>0</v>
      </c>
      <c r="M228" s="75">
        <f t="shared" si="125"/>
        <v>0</v>
      </c>
      <c r="N228" s="75">
        <f t="shared" si="125"/>
        <v>0</v>
      </c>
      <c r="O228" s="75">
        <f t="shared" si="125"/>
        <v>0</v>
      </c>
      <c r="P228" s="75">
        <f t="shared" si="125"/>
        <v>0</v>
      </c>
      <c r="Q228" s="75">
        <f t="shared" si="125"/>
        <v>0</v>
      </c>
      <c r="R228" s="75">
        <f t="shared" si="125"/>
        <v>0</v>
      </c>
      <c r="S228" s="75">
        <f t="shared" si="125"/>
        <v>0</v>
      </c>
      <c r="T228" s="75">
        <f t="shared" si="125"/>
        <v>0</v>
      </c>
      <c r="U228" s="75">
        <f t="shared" si="125"/>
        <v>0</v>
      </c>
      <c r="V228" s="75">
        <f t="shared" si="125"/>
        <v>0</v>
      </c>
      <c r="W228" s="72">
        <f t="shared" si="122"/>
        <v>1.6666666666666666E-2</v>
      </c>
      <c r="X228" s="39">
        <v>2</v>
      </c>
    </row>
    <row r="229" spans="1:28" s="69" customFormat="1">
      <c r="A229" s="31"/>
      <c r="B229" s="71" t="s">
        <v>635</v>
      </c>
      <c r="C229" s="75">
        <f>C115</f>
        <v>0</v>
      </c>
      <c r="D229" s="75">
        <f t="shared" ref="D229:V229" si="126">D115</f>
        <v>0</v>
      </c>
      <c r="E229" s="75">
        <f t="shared" si="126"/>
        <v>0</v>
      </c>
      <c r="F229" s="75">
        <f t="shared" si="126"/>
        <v>0</v>
      </c>
      <c r="G229" s="75">
        <f t="shared" si="126"/>
        <v>0</v>
      </c>
      <c r="H229" s="75">
        <f t="shared" si="126"/>
        <v>0</v>
      </c>
      <c r="I229" s="75">
        <f t="shared" si="126"/>
        <v>0</v>
      </c>
      <c r="J229" s="75">
        <f t="shared" si="126"/>
        <v>0</v>
      </c>
      <c r="K229" s="75">
        <f t="shared" si="126"/>
        <v>0</v>
      </c>
      <c r="L229" s="75">
        <f t="shared" si="126"/>
        <v>0</v>
      </c>
      <c r="M229" s="75">
        <f t="shared" si="126"/>
        <v>0</v>
      </c>
      <c r="N229" s="75">
        <f t="shared" si="126"/>
        <v>0</v>
      </c>
      <c r="O229" s="75">
        <f t="shared" si="126"/>
        <v>0</v>
      </c>
      <c r="P229" s="75">
        <f t="shared" si="126"/>
        <v>0</v>
      </c>
      <c r="Q229" s="75">
        <f t="shared" si="126"/>
        <v>0</v>
      </c>
      <c r="R229" s="75">
        <f t="shared" si="126"/>
        <v>0</v>
      </c>
      <c r="S229" s="75">
        <f t="shared" si="126"/>
        <v>0</v>
      </c>
      <c r="T229" s="75">
        <f t="shared" si="126"/>
        <v>0</v>
      </c>
      <c r="U229" s="75">
        <f t="shared" si="126"/>
        <v>0</v>
      </c>
      <c r="V229" s="75">
        <f t="shared" si="126"/>
        <v>0</v>
      </c>
      <c r="W229" s="72">
        <f t="shared" si="122"/>
        <v>1.6666666666666666E-2</v>
      </c>
      <c r="X229" s="39">
        <v>2</v>
      </c>
    </row>
    <row r="230" spans="1:28" s="69" customFormat="1">
      <c r="A230" s="31"/>
      <c r="B230" s="96" t="s">
        <v>310</v>
      </c>
      <c r="C230" s="97" t="s">
        <v>309</v>
      </c>
      <c r="D230" s="97" t="s">
        <v>309</v>
      </c>
      <c r="E230" s="97" t="s">
        <v>309</v>
      </c>
      <c r="F230" s="97" t="s">
        <v>309</v>
      </c>
      <c r="G230" s="97" t="s">
        <v>309</v>
      </c>
      <c r="H230" s="97" t="s">
        <v>309</v>
      </c>
      <c r="I230" s="97" t="s">
        <v>309</v>
      </c>
      <c r="J230" s="97" t="s">
        <v>309</v>
      </c>
      <c r="K230" s="97" t="s">
        <v>309</v>
      </c>
      <c r="L230" s="97" t="s">
        <v>309</v>
      </c>
      <c r="M230" s="97" t="s">
        <v>309</v>
      </c>
      <c r="N230" s="97" t="s">
        <v>309</v>
      </c>
      <c r="O230" s="97" t="s">
        <v>309</v>
      </c>
      <c r="P230" s="97" t="s">
        <v>309</v>
      </c>
      <c r="Q230" s="97" t="s">
        <v>309</v>
      </c>
      <c r="R230" s="97" t="s">
        <v>309</v>
      </c>
      <c r="S230" s="97" t="s">
        <v>309</v>
      </c>
      <c r="T230" s="97" t="s">
        <v>309</v>
      </c>
      <c r="U230" s="97" t="s">
        <v>309</v>
      </c>
      <c r="V230" s="97" t="s">
        <v>309</v>
      </c>
      <c r="W230" s="72">
        <f t="shared" si="122"/>
        <v>0</v>
      </c>
      <c r="X230" s="39">
        <v>0</v>
      </c>
    </row>
    <row r="231" spans="1:28">
      <c r="D231" s="69"/>
      <c r="E231" s="69"/>
      <c r="F231" s="69"/>
      <c r="G231" s="69"/>
      <c r="R231" s="69"/>
      <c r="S231" s="69"/>
      <c r="T231" s="69"/>
      <c r="U231" s="69"/>
      <c r="V231" s="69"/>
      <c r="W231" s="37"/>
    </row>
    <row r="232" spans="1:28" s="69" customFormat="1" hidden="1">
      <c r="A232" s="31"/>
      <c r="B232" s="202" t="s">
        <v>623</v>
      </c>
      <c r="C232" s="69">
        <f>SUMPRODUCT((C220:C230&lt;&gt;"NA")*$X220:$X230)</f>
        <v>120</v>
      </c>
      <c r="D232" s="69">
        <f t="shared" ref="D232:V232" si="127">SUMPRODUCT((D220:D230&lt;&gt;"NA")*$X220:$X230)</f>
        <v>120</v>
      </c>
      <c r="E232" s="69">
        <f t="shared" si="127"/>
        <v>120</v>
      </c>
      <c r="F232" s="69">
        <f t="shared" si="127"/>
        <v>120</v>
      </c>
      <c r="G232" s="69">
        <f t="shared" si="127"/>
        <v>120</v>
      </c>
      <c r="H232" s="69">
        <f t="shared" si="127"/>
        <v>120</v>
      </c>
      <c r="I232" s="69">
        <f t="shared" si="127"/>
        <v>120</v>
      </c>
      <c r="J232" s="69">
        <f t="shared" si="127"/>
        <v>120</v>
      </c>
      <c r="K232" s="69">
        <f t="shared" si="127"/>
        <v>120</v>
      </c>
      <c r="L232" s="69">
        <f t="shared" si="127"/>
        <v>120</v>
      </c>
      <c r="M232" s="69">
        <f t="shared" si="127"/>
        <v>120</v>
      </c>
      <c r="N232" s="69">
        <f t="shared" si="127"/>
        <v>120</v>
      </c>
      <c r="O232" s="69">
        <f t="shared" si="127"/>
        <v>120</v>
      </c>
      <c r="P232" s="69">
        <f t="shared" si="127"/>
        <v>120</v>
      </c>
      <c r="Q232" s="69">
        <f t="shared" si="127"/>
        <v>120</v>
      </c>
      <c r="R232" s="69">
        <f t="shared" si="127"/>
        <v>120</v>
      </c>
      <c r="S232" s="69">
        <f t="shared" si="127"/>
        <v>120</v>
      </c>
      <c r="T232" s="69">
        <f t="shared" si="127"/>
        <v>120</v>
      </c>
      <c r="U232" s="69">
        <f t="shared" si="127"/>
        <v>120</v>
      </c>
      <c r="V232" s="69">
        <f t="shared" si="127"/>
        <v>120</v>
      </c>
      <c r="W232" s="37"/>
      <c r="X232" s="39"/>
    </row>
    <row r="233" spans="1:28" hidden="1">
      <c r="B233" s="8" t="s">
        <v>14</v>
      </c>
      <c r="C233">
        <f t="shared" ref="C233:V233" ca="1" si="128">C219*$Y219</f>
        <v>0</v>
      </c>
      <c r="D233" s="69">
        <f t="shared" ca="1" si="128"/>
        <v>0</v>
      </c>
      <c r="E233" s="69">
        <f t="shared" ca="1" si="128"/>
        <v>0</v>
      </c>
      <c r="F233" s="69">
        <f t="shared" ca="1" si="128"/>
        <v>0</v>
      </c>
      <c r="G233" s="69">
        <f t="shared" ca="1" si="128"/>
        <v>0</v>
      </c>
      <c r="H233" s="69">
        <f t="shared" ca="1" si="128"/>
        <v>0</v>
      </c>
      <c r="I233" s="69">
        <f t="shared" ca="1" si="128"/>
        <v>0</v>
      </c>
      <c r="J233" s="69">
        <f t="shared" ca="1" si="128"/>
        <v>0</v>
      </c>
      <c r="K233" s="69">
        <f t="shared" ca="1" si="128"/>
        <v>0</v>
      </c>
      <c r="L233" s="69">
        <f t="shared" ca="1" si="128"/>
        <v>0</v>
      </c>
      <c r="M233" s="69">
        <f t="shared" ca="1" si="128"/>
        <v>0</v>
      </c>
      <c r="N233" s="69">
        <f t="shared" ca="1" si="128"/>
        <v>0</v>
      </c>
      <c r="O233" s="69">
        <f t="shared" ca="1" si="128"/>
        <v>0</v>
      </c>
      <c r="P233" s="69">
        <f t="shared" ca="1" si="128"/>
        <v>0</v>
      </c>
      <c r="Q233" s="69">
        <f t="shared" ca="1" si="128"/>
        <v>0</v>
      </c>
      <c r="R233" s="69">
        <f t="shared" ca="1" si="128"/>
        <v>0</v>
      </c>
      <c r="S233" s="69">
        <f t="shared" ca="1" si="128"/>
        <v>0</v>
      </c>
      <c r="T233" s="69">
        <f t="shared" ca="1" si="128"/>
        <v>0</v>
      </c>
      <c r="U233" s="69">
        <f t="shared" ca="1" si="128"/>
        <v>0</v>
      </c>
      <c r="V233" s="69">
        <f t="shared" ca="1" si="128"/>
        <v>0</v>
      </c>
      <c r="W233" s="37"/>
    </row>
    <row r="234" spans="1:28" hidden="1">
      <c r="B234" s="8" t="s">
        <v>15</v>
      </c>
      <c r="C234">
        <f t="shared" ref="C234:V234" ca="1" si="129">C219*$Z219</f>
        <v>0</v>
      </c>
      <c r="D234" s="69">
        <f t="shared" ca="1" si="129"/>
        <v>0</v>
      </c>
      <c r="E234" s="69">
        <f t="shared" ca="1" si="129"/>
        <v>0</v>
      </c>
      <c r="F234" s="69">
        <f t="shared" ca="1" si="129"/>
        <v>0</v>
      </c>
      <c r="G234" s="69">
        <f t="shared" ca="1" si="129"/>
        <v>0</v>
      </c>
      <c r="H234" s="69">
        <f t="shared" ca="1" si="129"/>
        <v>0</v>
      </c>
      <c r="I234" s="69">
        <f t="shared" ca="1" si="129"/>
        <v>0</v>
      </c>
      <c r="J234" s="69">
        <f t="shared" ca="1" si="129"/>
        <v>0</v>
      </c>
      <c r="K234" s="69">
        <f t="shared" ca="1" si="129"/>
        <v>0</v>
      </c>
      <c r="L234" s="69">
        <f t="shared" ca="1" si="129"/>
        <v>0</v>
      </c>
      <c r="M234" s="69">
        <f t="shared" ca="1" si="129"/>
        <v>0</v>
      </c>
      <c r="N234" s="69">
        <f t="shared" ca="1" si="129"/>
        <v>0</v>
      </c>
      <c r="O234" s="69">
        <f t="shared" ca="1" si="129"/>
        <v>0</v>
      </c>
      <c r="P234" s="69">
        <f t="shared" ca="1" si="129"/>
        <v>0</v>
      </c>
      <c r="Q234" s="69">
        <f t="shared" ca="1" si="129"/>
        <v>0</v>
      </c>
      <c r="R234" s="69">
        <f t="shared" ca="1" si="129"/>
        <v>0</v>
      </c>
      <c r="S234" s="69">
        <f t="shared" ca="1" si="129"/>
        <v>0</v>
      </c>
      <c r="T234" s="69">
        <f t="shared" ca="1" si="129"/>
        <v>0</v>
      </c>
      <c r="U234" s="69">
        <f t="shared" ca="1" si="129"/>
        <v>0</v>
      </c>
      <c r="V234" s="69">
        <f t="shared" ca="1" si="129"/>
        <v>0</v>
      </c>
      <c r="W234" s="37"/>
    </row>
    <row r="235" spans="1:28" hidden="1">
      <c r="B235" s="8" t="s">
        <v>16</v>
      </c>
      <c r="C235">
        <f t="shared" ref="C235:V235" ca="1" si="130">C219*$AA219</f>
        <v>0</v>
      </c>
      <c r="D235" s="69">
        <f t="shared" ca="1" si="130"/>
        <v>0</v>
      </c>
      <c r="E235" s="69">
        <f t="shared" ca="1" si="130"/>
        <v>0</v>
      </c>
      <c r="F235" s="69">
        <f t="shared" ca="1" si="130"/>
        <v>0</v>
      </c>
      <c r="G235" s="69">
        <f t="shared" ca="1" si="130"/>
        <v>0</v>
      </c>
      <c r="H235" s="69">
        <f t="shared" ca="1" si="130"/>
        <v>0</v>
      </c>
      <c r="I235" s="69">
        <f t="shared" ca="1" si="130"/>
        <v>0</v>
      </c>
      <c r="J235" s="69">
        <f t="shared" ca="1" si="130"/>
        <v>0</v>
      </c>
      <c r="K235" s="69">
        <f t="shared" ca="1" si="130"/>
        <v>0</v>
      </c>
      <c r="L235" s="69">
        <f t="shared" ca="1" si="130"/>
        <v>0</v>
      </c>
      <c r="M235" s="69">
        <f t="shared" ca="1" si="130"/>
        <v>0</v>
      </c>
      <c r="N235" s="69">
        <f t="shared" ca="1" si="130"/>
        <v>0</v>
      </c>
      <c r="O235" s="69">
        <f t="shared" ca="1" si="130"/>
        <v>0</v>
      </c>
      <c r="P235" s="69">
        <f t="shared" ca="1" si="130"/>
        <v>0</v>
      </c>
      <c r="Q235" s="69">
        <f t="shared" ca="1" si="130"/>
        <v>0</v>
      </c>
      <c r="R235" s="69">
        <f t="shared" ca="1" si="130"/>
        <v>0</v>
      </c>
      <c r="S235" s="69">
        <f t="shared" ca="1" si="130"/>
        <v>0</v>
      </c>
      <c r="T235" s="69">
        <f t="shared" ca="1" si="130"/>
        <v>0</v>
      </c>
      <c r="U235" s="69">
        <f t="shared" ca="1" si="130"/>
        <v>0</v>
      </c>
      <c r="V235" s="69">
        <f t="shared" ca="1" si="130"/>
        <v>0</v>
      </c>
      <c r="W235" s="37"/>
    </row>
    <row r="236" spans="1:28" hidden="1">
      <c r="B236" s="8" t="s">
        <v>17</v>
      </c>
      <c r="C236">
        <f t="shared" ref="C236:V236" ca="1" si="131">C219*$AB219</f>
        <v>0</v>
      </c>
      <c r="D236" s="69">
        <f t="shared" ca="1" si="131"/>
        <v>0</v>
      </c>
      <c r="E236" s="69">
        <f t="shared" ca="1" si="131"/>
        <v>0</v>
      </c>
      <c r="F236" s="69">
        <f t="shared" ca="1" si="131"/>
        <v>0</v>
      </c>
      <c r="G236" s="69">
        <f t="shared" ca="1" si="131"/>
        <v>0</v>
      </c>
      <c r="H236" s="69">
        <f t="shared" ca="1" si="131"/>
        <v>0</v>
      </c>
      <c r="I236" s="69">
        <f t="shared" ca="1" si="131"/>
        <v>0</v>
      </c>
      <c r="J236" s="69">
        <f t="shared" ca="1" si="131"/>
        <v>0</v>
      </c>
      <c r="K236" s="69">
        <f t="shared" ca="1" si="131"/>
        <v>0</v>
      </c>
      <c r="L236" s="69">
        <f t="shared" ca="1" si="131"/>
        <v>0</v>
      </c>
      <c r="M236" s="69">
        <f t="shared" ca="1" si="131"/>
        <v>0</v>
      </c>
      <c r="N236" s="69">
        <f t="shared" ca="1" si="131"/>
        <v>0</v>
      </c>
      <c r="O236" s="69">
        <f t="shared" ca="1" si="131"/>
        <v>0</v>
      </c>
      <c r="P236" s="69">
        <f t="shared" ca="1" si="131"/>
        <v>0</v>
      </c>
      <c r="Q236" s="69">
        <f t="shared" ca="1" si="131"/>
        <v>0</v>
      </c>
      <c r="R236" s="69">
        <f t="shared" ca="1" si="131"/>
        <v>0</v>
      </c>
      <c r="S236" s="69">
        <f t="shared" ca="1" si="131"/>
        <v>0</v>
      </c>
      <c r="T236" s="69">
        <f t="shared" ca="1" si="131"/>
        <v>0</v>
      </c>
      <c r="U236" s="69">
        <f t="shared" ca="1" si="131"/>
        <v>0</v>
      </c>
      <c r="V236" s="69">
        <f t="shared" ca="1" si="131"/>
        <v>0</v>
      </c>
      <c r="W236" s="37"/>
    </row>
    <row r="237" spans="1:28">
      <c r="B237" s="65"/>
      <c r="C237" s="64"/>
      <c r="D237" s="64"/>
      <c r="E237" s="64"/>
      <c r="F237" s="64"/>
      <c r="G237" s="64"/>
      <c r="H237" s="64"/>
      <c r="I237" s="64"/>
      <c r="J237" s="64"/>
      <c r="K237" s="64"/>
      <c r="L237" s="64"/>
      <c r="M237" s="64"/>
      <c r="N237" s="64"/>
      <c r="O237" s="64"/>
      <c r="P237" s="64"/>
      <c r="Q237" s="64"/>
      <c r="R237" s="64"/>
      <c r="S237" s="64"/>
      <c r="T237" s="64"/>
      <c r="U237" s="64"/>
      <c r="V237" s="64"/>
      <c r="W237" s="37"/>
    </row>
    <row r="238" spans="1:28">
      <c r="B238" s="23" t="s">
        <v>497</v>
      </c>
      <c r="C238" s="81"/>
      <c r="D238" s="81"/>
      <c r="E238" s="81"/>
      <c r="F238" s="81"/>
      <c r="G238" s="81"/>
      <c r="H238" s="81"/>
      <c r="I238" s="81"/>
      <c r="J238" s="81"/>
      <c r="K238" s="81"/>
      <c r="L238" s="81"/>
      <c r="M238" s="81"/>
      <c r="N238" s="81"/>
      <c r="O238" s="81"/>
      <c r="P238" s="81"/>
      <c r="Q238" s="81"/>
      <c r="R238" s="81"/>
      <c r="S238" s="81"/>
      <c r="T238" s="81"/>
      <c r="U238" s="81"/>
      <c r="V238" s="81"/>
      <c r="W238" s="37"/>
      <c r="Y238" s="87"/>
      <c r="Z238" s="88"/>
      <c r="AA238" s="90"/>
    </row>
    <row r="239" spans="1:28">
      <c r="B239" s="35" t="s">
        <v>332</v>
      </c>
      <c r="C239" s="80">
        <f>SUMPRODUCT(C240:C241,$X240:$X241)/C243</f>
        <v>0</v>
      </c>
      <c r="D239" s="80">
        <f t="shared" ref="D239:V239" si="132">SUMPRODUCT(D240:D241,$X240:$X241)/D243</f>
        <v>0</v>
      </c>
      <c r="E239" s="80">
        <f t="shared" si="132"/>
        <v>0</v>
      </c>
      <c r="F239" s="80">
        <f t="shared" si="132"/>
        <v>0</v>
      </c>
      <c r="G239" s="80">
        <f t="shared" si="132"/>
        <v>0</v>
      </c>
      <c r="H239" s="80">
        <f t="shared" si="132"/>
        <v>0</v>
      </c>
      <c r="I239" s="80">
        <f t="shared" si="132"/>
        <v>0</v>
      </c>
      <c r="J239" s="80">
        <f t="shared" si="132"/>
        <v>0</v>
      </c>
      <c r="K239" s="80">
        <f t="shared" si="132"/>
        <v>0</v>
      </c>
      <c r="L239" s="80">
        <f t="shared" si="132"/>
        <v>0</v>
      </c>
      <c r="M239" s="80">
        <f t="shared" si="132"/>
        <v>0</v>
      </c>
      <c r="N239" s="80">
        <f t="shared" si="132"/>
        <v>0</v>
      </c>
      <c r="O239" s="80">
        <f t="shared" si="132"/>
        <v>0</v>
      </c>
      <c r="P239" s="80">
        <f t="shared" si="132"/>
        <v>0</v>
      </c>
      <c r="Q239" s="80">
        <f t="shared" si="132"/>
        <v>0</v>
      </c>
      <c r="R239" s="80">
        <f t="shared" si="132"/>
        <v>0</v>
      </c>
      <c r="S239" s="80">
        <f t="shared" si="132"/>
        <v>0</v>
      </c>
      <c r="T239" s="80">
        <f t="shared" si="132"/>
        <v>0</v>
      </c>
      <c r="U239" s="80">
        <f t="shared" si="132"/>
        <v>0</v>
      </c>
      <c r="V239" s="80">
        <f t="shared" si="132"/>
        <v>0</v>
      </c>
      <c r="W239" s="67">
        <f>COUNTBLANK(C244:V247)</f>
        <v>0</v>
      </c>
      <c r="X239" s="39" t="s">
        <v>259</v>
      </c>
      <c r="Y239" s="6">
        <f>AI2*AI8</f>
        <v>0</v>
      </c>
      <c r="Z239" s="6">
        <f>AI3*AI8</f>
        <v>0</v>
      </c>
      <c r="AA239" s="6">
        <f>AI4*AI8</f>
        <v>0</v>
      </c>
      <c r="AB239" s="6">
        <f>AI5*AI8</f>
        <v>0</v>
      </c>
    </row>
    <row r="240" spans="1:28">
      <c r="B240" s="96" t="s">
        <v>310</v>
      </c>
      <c r="C240" s="97" t="s">
        <v>309</v>
      </c>
      <c r="D240" s="97" t="s">
        <v>309</v>
      </c>
      <c r="E240" s="97" t="s">
        <v>309</v>
      </c>
      <c r="F240" s="97" t="s">
        <v>309</v>
      </c>
      <c r="G240" s="97" t="s">
        <v>309</v>
      </c>
      <c r="H240" s="97" t="s">
        <v>309</v>
      </c>
      <c r="I240" s="97" t="s">
        <v>309</v>
      </c>
      <c r="J240" s="97" t="s">
        <v>309</v>
      </c>
      <c r="K240" s="97" t="s">
        <v>309</v>
      </c>
      <c r="L240" s="97" t="s">
        <v>309</v>
      </c>
      <c r="M240" s="97" t="s">
        <v>309</v>
      </c>
      <c r="N240" s="97" t="s">
        <v>309</v>
      </c>
      <c r="O240" s="97" t="s">
        <v>309</v>
      </c>
      <c r="P240" s="97" t="s">
        <v>309</v>
      </c>
      <c r="Q240" s="97" t="s">
        <v>309</v>
      </c>
      <c r="R240" s="97" t="s">
        <v>309</v>
      </c>
      <c r="S240" s="97" t="s">
        <v>309</v>
      </c>
      <c r="T240" s="97" t="s">
        <v>309</v>
      </c>
      <c r="U240" s="97" t="s">
        <v>309</v>
      </c>
      <c r="V240" s="97" t="s">
        <v>309</v>
      </c>
      <c r="W240" s="37">
        <f>X240/SUM(X$240:X$241)</f>
        <v>0</v>
      </c>
      <c r="X240" s="39">
        <v>0</v>
      </c>
      <c r="Y240" s="69"/>
      <c r="Z240" s="69"/>
      <c r="AA240" s="69"/>
    </row>
    <row r="241" spans="1:28">
      <c r="B241" s="96" t="s">
        <v>310</v>
      </c>
      <c r="C241" s="97" t="s">
        <v>309</v>
      </c>
      <c r="D241" s="97" t="s">
        <v>309</v>
      </c>
      <c r="E241" s="97" t="s">
        <v>309</v>
      </c>
      <c r="F241" s="97" t="s">
        <v>309</v>
      </c>
      <c r="G241" s="97" t="s">
        <v>309</v>
      </c>
      <c r="H241" s="97" t="s">
        <v>309</v>
      </c>
      <c r="I241" s="97" t="s">
        <v>309</v>
      </c>
      <c r="J241" s="97" t="s">
        <v>309</v>
      </c>
      <c r="K241" s="97" t="s">
        <v>309</v>
      </c>
      <c r="L241" s="97" t="s">
        <v>309</v>
      </c>
      <c r="M241" s="97" t="s">
        <v>309</v>
      </c>
      <c r="N241" s="97" t="s">
        <v>309</v>
      </c>
      <c r="O241" s="97" t="s">
        <v>309</v>
      </c>
      <c r="P241" s="97" t="s">
        <v>309</v>
      </c>
      <c r="Q241" s="97" t="s">
        <v>309</v>
      </c>
      <c r="R241" s="97" t="s">
        <v>309</v>
      </c>
      <c r="S241" s="97" t="s">
        <v>309</v>
      </c>
      <c r="T241" s="97" t="s">
        <v>309</v>
      </c>
      <c r="U241" s="97" t="s">
        <v>309</v>
      </c>
      <c r="V241" s="97" t="s">
        <v>309</v>
      </c>
      <c r="W241" s="37">
        <f>X241/SUM(X$240:X$241)</f>
        <v>1</v>
      </c>
      <c r="X241" s="39">
        <v>1</v>
      </c>
      <c r="Y241" s="69"/>
      <c r="Z241" s="69"/>
      <c r="AA241" s="69"/>
    </row>
    <row r="242" spans="1:28">
      <c r="D242" s="69"/>
      <c r="E242" s="69"/>
      <c r="F242" s="69"/>
      <c r="G242" s="69"/>
      <c r="R242" s="69"/>
      <c r="S242" s="69"/>
      <c r="T242" s="69"/>
      <c r="U242" s="69"/>
      <c r="V242" s="69"/>
      <c r="W242" s="37"/>
    </row>
    <row r="243" spans="1:28" s="69" customFormat="1" hidden="1">
      <c r="A243" s="31"/>
      <c r="B243" s="202" t="s">
        <v>623</v>
      </c>
      <c r="C243" s="69">
        <f>SUMPRODUCT((C240:C241&lt;&gt;"NA")*$X240:$X241)</f>
        <v>1</v>
      </c>
      <c r="D243" s="69">
        <f t="shared" ref="D243:V243" si="133">SUMPRODUCT((D240:D241&lt;&gt;"NA")*$X240:$X241)</f>
        <v>1</v>
      </c>
      <c r="E243" s="69">
        <f t="shared" si="133"/>
        <v>1</v>
      </c>
      <c r="F243" s="69">
        <f t="shared" si="133"/>
        <v>1</v>
      </c>
      <c r="G243" s="69">
        <f t="shared" si="133"/>
        <v>1</v>
      </c>
      <c r="H243" s="69">
        <f t="shared" si="133"/>
        <v>1</v>
      </c>
      <c r="I243" s="69">
        <f t="shared" si="133"/>
        <v>1</v>
      </c>
      <c r="J243" s="69">
        <f t="shared" si="133"/>
        <v>1</v>
      </c>
      <c r="K243" s="69">
        <f t="shared" si="133"/>
        <v>1</v>
      </c>
      <c r="L243" s="69">
        <f t="shared" si="133"/>
        <v>1</v>
      </c>
      <c r="M243" s="69">
        <f t="shared" si="133"/>
        <v>1</v>
      </c>
      <c r="N243" s="69">
        <f t="shared" si="133"/>
        <v>1</v>
      </c>
      <c r="O243" s="69">
        <f t="shared" si="133"/>
        <v>1</v>
      </c>
      <c r="P243" s="69">
        <f t="shared" si="133"/>
        <v>1</v>
      </c>
      <c r="Q243" s="69">
        <f t="shared" si="133"/>
        <v>1</v>
      </c>
      <c r="R243" s="69">
        <f t="shared" si="133"/>
        <v>1</v>
      </c>
      <c r="S243" s="69">
        <f t="shared" si="133"/>
        <v>1</v>
      </c>
      <c r="T243" s="69">
        <f t="shared" si="133"/>
        <v>1</v>
      </c>
      <c r="U243" s="69">
        <f t="shared" si="133"/>
        <v>1</v>
      </c>
      <c r="V243" s="69">
        <f t="shared" si="133"/>
        <v>1</v>
      </c>
      <c r="W243" s="37"/>
      <c r="X243" s="39"/>
    </row>
    <row r="244" spans="1:28" hidden="1">
      <c r="B244" s="8" t="s">
        <v>14</v>
      </c>
      <c r="C244">
        <f t="shared" ref="C244:V244" si="134">C239*$Y239</f>
        <v>0</v>
      </c>
      <c r="D244" s="69">
        <f t="shared" si="134"/>
        <v>0</v>
      </c>
      <c r="E244" s="69">
        <f t="shared" si="134"/>
        <v>0</v>
      </c>
      <c r="F244" s="69">
        <f t="shared" si="134"/>
        <v>0</v>
      </c>
      <c r="G244" s="69">
        <f t="shared" si="134"/>
        <v>0</v>
      </c>
      <c r="H244" s="69">
        <f t="shared" si="134"/>
        <v>0</v>
      </c>
      <c r="I244" s="69">
        <f t="shared" si="134"/>
        <v>0</v>
      </c>
      <c r="J244" s="69">
        <f t="shared" si="134"/>
        <v>0</v>
      </c>
      <c r="K244" s="69">
        <f t="shared" si="134"/>
        <v>0</v>
      </c>
      <c r="L244" s="69">
        <f t="shared" si="134"/>
        <v>0</v>
      </c>
      <c r="M244" s="69">
        <f t="shared" si="134"/>
        <v>0</v>
      </c>
      <c r="N244" s="69">
        <f t="shared" si="134"/>
        <v>0</v>
      </c>
      <c r="O244" s="69">
        <f t="shared" si="134"/>
        <v>0</v>
      </c>
      <c r="P244" s="69">
        <f t="shared" si="134"/>
        <v>0</v>
      </c>
      <c r="Q244" s="69">
        <f t="shared" si="134"/>
        <v>0</v>
      </c>
      <c r="R244" s="69">
        <f t="shared" si="134"/>
        <v>0</v>
      </c>
      <c r="S244" s="69">
        <f t="shared" si="134"/>
        <v>0</v>
      </c>
      <c r="T244" s="69">
        <f t="shared" si="134"/>
        <v>0</v>
      </c>
      <c r="U244" s="69">
        <f t="shared" si="134"/>
        <v>0</v>
      </c>
      <c r="V244" s="69">
        <f t="shared" si="134"/>
        <v>0</v>
      </c>
      <c r="W244" s="37"/>
    </row>
    <row r="245" spans="1:28" hidden="1">
      <c r="B245" s="8" t="s">
        <v>15</v>
      </c>
      <c r="C245">
        <f t="shared" ref="C245:V245" si="135">C239*$Z239</f>
        <v>0</v>
      </c>
      <c r="D245" s="69">
        <f t="shared" si="135"/>
        <v>0</v>
      </c>
      <c r="E245" s="69">
        <f t="shared" si="135"/>
        <v>0</v>
      </c>
      <c r="F245" s="69">
        <f t="shared" si="135"/>
        <v>0</v>
      </c>
      <c r="G245" s="69">
        <f t="shared" si="135"/>
        <v>0</v>
      </c>
      <c r="H245" s="69">
        <f t="shared" si="135"/>
        <v>0</v>
      </c>
      <c r="I245" s="69">
        <f t="shared" si="135"/>
        <v>0</v>
      </c>
      <c r="J245" s="69">
        <f t="shared" si="135"/>
        <v>0</v>
      </c>
      <c r="K245" s="69">
        <f t="shared" si="135"/>
        <v>0</v>
      </c>
      <c r="L245" s="69">
        <f t="shared" si="135"/>
        <v>0</v>
      </c>
      <c r="M245" s="69">
        <f t="shared" si="135"/>
        <v>0</v>
      </c>
      <c r="N245" s="69">
        <f t="shared" si="135"/>
        <v>0</v>
      </c>
      <c r="O245" s="69">
        <f t="shared" si="135"/>
        <v>0</v>
      </c>
      <c r="P245" s="69">
        <f t="shared" si="135"/>
        <v>0</v>
      </c>
      <c r="Q245" s="69">
        <f t="shared" si="135"/>
        <v>0</v>
      </c>
      <c r="R245" s="69">
        <f t="shared" si="135"/>
        <v>0</v>
      </c>
      <c r="S245" s="69">
        <f t="shared" si="135"/>
        <v>0</v>
      </c>
      <c r="T245" s="69">
        <f t="shared" si="135"/>
        <v>0</v>
      </c>
      <c r="U245" s="69">
        <f t="shared" si="135"/>
        <v>0</v>
      </c>
      <c r="V245" s="69">
        <f t="shared" si="135"/>
        <v>0</v>
      </c>
      <c r="W245" s="37"/>
    </row>
    <row r="246" spans="1:28" hidden="1">
      <c r="B246" s="8" t="s">
        <v>16</v>
      </c>
      <c r="C246">
        <f t="shared" ref="C246:V246" si="136">C239*$AA239</f>
        <v>0</v>
      </c>
      <c r="D246" s="69">
        <f t="shared" si="136"/>
        <v>0</v>
      </c>
      <c r="E246" s="69">
        <f t="shared" si="136"/>
        <v>0</v>
      </c>
      <c r="F246" s="69">
        <f t="shared" si="136"/>
        <v>0</v>
      </c>
      <c r="G246" s="69">
        <f t="shared" si="136"/>
        <v>0</v>
      </c>
      <c r="H246" s="69">
        <f t="shared" si="136"/>
        <v>0</v>
      </c>
      <c r="I246" s="69">
        <f t="shared" si="136"/>
        <v>0</v>
      </c>
      <c r="J246" s="69">
        <f t="shared" si="136"/>
        <v>0</v>
      </c>
      <c r="K246" s="69">
        <f t="shared" si="136"/>
        <v>0</v>
      </c>
      <c r="L246" s="69">
        <f t="shared" si="136"/>
        <v>0</v>
      </c>
      <c r="M246" s="69">
        <f t="shared" si="136"/>
        <v>0</v>
      </c>
      <c r="N246" s="69">
        <f t="shared" si="136"/>
        <v>0</v>
      </c>
      <c r="O246" s="69">
        <f t="shared" si="136"/>
        <v>0</v>
      </c>
      <c r="P246" s="69">
        <f t="shared" si="136"/>
        <v>0</v>
      </c>
      <c r="Q246" s="69">
        <f t="shared" si="136"/>
        <v>0</v>
      </c>
      <c r="R246" s="69">
        <f t="shared" si="136"/>
        <v>0</v>
      </c>
      <c r="S246" s="69">
        <f t="shared" si="136"/>
        <v>0</v>
      </c>
      <c r="T246" s="69">
        <f t="shared" si="136"/>
        <v>0</v>
      </c>
      <c r="U246" s="69">
        <f t="shared" si="136"/>
        <v>0</v>
      </c>
      <c r="V246" s="69">
        <f t="shared" si="136"/>
        <v>0</v>
      </c>
      <c r="W246" s="37"/>
    </row>
    <row r="247" spans="1:28" hidden="1">
      <c r="B247" s="8" t="s">
        <v>17</v>
      </c>
      <c r="C247">
        <f t="shared" ref="C247:V247" si="137">C239*$AB239</f>
        <v>0</v>
      </c>
      <c r="D247" s="69">
        <f t="shared" si="137"/>
        <v>0</v>
      </c>
      <c r="E247" s="69">
        <f t="shared" si="137"/>
        <v>0</v>
      </c>
      <c r="F247" s="69">
        <f t="shared" si="137"/>
        <v>0</v>
      </c>
      <c r="G247" s="69">
        <f t="shared" si="137"/>
        <v>0</v>
      </c>
      <c r="H247" s="69">
        <f t="shared" si="137"/>
        <v>0</v>
      </c>
      <c r="I247" s="69">
        <f t="shared" si="137"/>
        <v>0</v>
      </c>
      <c r="J247" s="69">
        <f t="shared" si="137"/>
        <v>0</v>
      </c>
      <c r="K247" s="69">
        <f t="shared" si="137"/>
        <v>0</v>
      </c>
      <c r="L247" s="69">
        <f t="shared" si="137"/>
        <v>0</v>
      </c>
      <c r="M247" s="69">
        <f t="shared" si="137"/>
        <v>0</v>
      </c>
      <c r="N247" s="69">
        <f t="shared" si="137"/>
        <v>0</v>
      </c>
      <c r="O247" s="69">
        <f t="shared" si="137"/>
        <v>0</v>
      </c>
      <c r="P247" s="69">
        <f t="shared" si="137"/>
        <v>0</v>
      </c>
      <c r="Q247" s="69">
        <f t="shared" si="137"/>
        <v>0</v>
      </c>
      <c r="R247" s="69">
        <f t="shared" si="137"/>
        <v>0</v>
      </c>
      <c r="S247" s="69">
        <f t="shared" si="137"/>
        <v>0</v>
      </c>
      <c r="T247" s="69">
        <f t="shared" si="137"/>
        <v>0</v>
      </c>
      <c r="U247" s="69">
        <f t="shared" si="137"/>
        <v>0</v>
      </c>
      <c r="V247" s="69">
        <f t="shared" si="137"/>
        <v>0</v>
      </c>
      <c r="W247" s="37"/>
    </row>
    <row r="248" spans="1:28">
      <c r="B248" s="65"/>
      <c r="C248" s="64"/>
      <c r="D248" s="64"/>
      <c r="E248" s="64"/>
      <c r="F248" s="64"/>
      <c r="G248" s="64"/>
      <c r="H248" s="64"/>
      <c r="I248" s="64"/>
      <c r="J248" s="64"/>
      <c r="K248" s="64"/>
      <c r="L248" s="64"/>
      <c r="M248" s="64"/>
      <c r="N248" s="64"/>
      <c r="O248" s="64"/>
      <c r="P248" s="64"/>
      <c r="Q248" s="64"/>
      <c r="R248" s="64"/>
      <c r="S248" s="64"/>
      <c r="T248" s="64"/>
      <c r="U248" s="64"/>
      <c r="V248" s="64"/>
      <c r="W248" s="37"/>
    </row>
    <row r="249" spans="1:28">
      <c r="D249" s="69"/>
      <c r="E249" s="69"/>
      <c r="F249" s="69"/>
      <c r="G249" s="69"/>
      <c r="R249" s="69"/>
      <c r="S249" s="69"/>
      <c r="T249" s="69"/>
      <c r="U249" s="69"/>
      <c r="V249" s="69"/>
      <c r="W249" s="37"/>
    </row>
    <row r="250" spans="1:28" s="9" customFormat="1">
      <c r="A250" s="31"/>
      <c r="W250" s="38"/>
      <c r="X250" s="39"/>
    </row>
    <row r="251" spans="1:28">
      <c r="B251" s="8" t="s">
        <v>18</v>
      </c>
      <c r="C251" s="8"/>
      <c r="D251" s="8"/>
      <c r="E251" s="8"/>
      <c r="F251" s="8"/>
      <c r="G251" s="8"/>
      <c r="H251" s="8"/>
      <c r="I251" s="8"/>
      <c r="J251" s="8"/>
      <c r="K251" s="8"/>
      <c r="L251" s="8"/>
      <c r="M251" s="8"/>
      <c r="N251" s="8"/>
      <c r="O251" s="8"/>
      <c r="P251" s="8"/>
      <c r="Q251" s="8"/>
      <c r="R251" s="8"/>
      <c r="S251" s="8"/>
      <c r="T251" s="8"/>
      <c r="U251" s="8"/>
      <c r="V251" s="8"/>
      <c r="Y251" s="12" t="s">
        <v>0</v>
      </c>
      <c r="Z251" s="12" t="s">
        <v>1</v>
      </c>
      <c r="AA251" s="12" t="s">
        <v>2</v>
      </c>
      <c r="AB251" s="12" t="s">
        <v>3</v>
      </c>
    </row>
    <row r="252" spans="1:28">
      <c r="B252" s="11" t="s">
        <v>19</v>
      </c>
      <c r="C252" s="8">
        <f t="shared" ref="C252:V252" ca="1" si="138">SUM(C32,C52,C66,C84,C101,C122,C146,C174,C197,C213,C233,C244)</f>
        <v>0</v>
      </c>
      <c r="D252" s="8">
        <f t="shared" ca="1" si="138"/>
        <v>0</v>
      </c>
      <c r="E252" s="8">
        <f t="shared" ca="1" si="138"/>
        <v>0</v>
      </c>
      <c r="F252" s="8">
        <f t="shared" ca="1" si="138"/>
        <v>0</v>
      </c>
      <c r="G252" s="8">
        <f t="shared" ca="1" si="138"/>
        <v>0</v>
      </c>
      <c r="H252" s="8">
        <f t="shared" ca="1" si="138"/>
        <v>0</v>
      </c>
      <c r="I252" s="8">
        <f t="shared" ca="1" si="138"/>
        <v>0</v>
      </c>
      <c r="J252" s="8">
        <f t="shared" ca="1" si="138"/>
        <v>0</v>
      </c>
      <c r="K252" s="8">
        <f t="shared" ca="1" si="138"/>
        <v>0</v>
      </c>
      <c r="L252" s="8">
        <f t="shared" ca="1" si="138"/>
        <v>0</v>
      </c>
      <c r="M252" s="8">
        <f t="shared" ca="1" si="138"/>
        <v>0</v>
      </c>
      <c r="N252" s="8">
        <f t="shared" ca="1" si="138"/>
        <v>0</v>
      </c>
      <c r="O252" s="8">
        <f t="shared" ca="1" si="138"/>
        <v>0</v>
      </c>
      <c r="P252" s="8">
        <f t="shared" ca="1" si="138"/>
        <v>0</v>
      </c>
      <c r="Q252" s="8">
        <f t="shared" ca="1" si="138"/>
        <v>0</v>
      </c>
      <c r="R252" s="8">
        <f t="shared" ca="1" si="138"/>
        <v>0</v>
      </c>
      <c r="S252" s="8">
        <f t="shared" ca="1" si="138"/>
        <v>0</v>
      </c>
      <c r="T252" s="8">
        <f t="shared" ca="1" si="138"/>
        <v>0</v>
      </c>
      <c r="U252" s="8">
        <f t="shared" ca="1" si="138"/>
        <v>0</v>
      </c>
      <c r="V252" s="8">
        <f t="shared" ca="1" si="138"/>
        <v>0</v>
      </c>
      <c r="Y252" s="12">
        <f>SUM(Y11,Y38,Y58,Y72,Y89,Y107,Y128,Y152,Y180,Y203,Y219,Y239)</f>
        <v>100</v>
      </c>
      <c r="Z252" s="12">
        <f>SUM(Z11,Z38,Z58,Z72,Z89,Z107,Z128,Z152,Z180,Z203,Z219,Z239)</f>
        <v>230</v>
      </c>
      <c r="AA252" s="12">
        <f>SUM(AA11,AA38,AA58,AA72,AA89,AA107,AA128,AA152,AA180,AA203,AA219,AA239)</f>
        <v>130</v>
      </c>
      <c r="AB252" s="12">
        <f>SUM(AB11,AB38,AB58,AB72,AB89,AB107,AB128,AB152,AB180,AB203,AB219,AB239)</f>
        <v>170</v>
      </c>
    </row>
    <row r="253" spans="1:28">
      <c r="B253" s="11" t="s">
        <v>20</v>
      </c>
      <c r="C253" s="8">
        <f t="shared" ref="C253:V253" ca="1" si="139">SUM(C33,C53,C67,C85,C102,C123,C147,C175,C198,C214,C234,C245)</f>
        <v>10.24</v>
      </c>
      <c r="D253" s="8">
        <f t="shared" ca="1" si="139"/>
        <v>0</v>
      </c>
      <c r="E253" s="8">
        <f t="shared" ca="1" si="139"/>
        <v>0</v>
      </c>
      <c r="F253" s="8">
        <f t="shared" ca="1" si="139"/>
        <v>0</v>
      </c>
      <c r="G253" s="8">
        <f t="shared" ca="1" si="139"/>
        <v>0</v>
      </c>
      <c r="H253" s="8">
        <f t="shared" ca="1" si="139"/>
        <v>0</v>
      </c>
      <c r="I253" s="8">
        <f t="shared" ca="1" si="139"/>
        <v>0</v>
      </c>
      <c r="J253" s="8">
        <f t="shared" ca="1" si="139"/>
        <v>0</v>
      </c>
      <c r="K253" s="8">
        <f t="shared" ca="1" si="139"/>
        <v>0</v>
      </c>
      <c r="L253" s="8">
        <f t="shared" ca="1" si="139"/>
        <v>0</v>
      </c>
      <c r="M253" s="8">
        <f t="shared" ca="1" si="139"/>
        <v>0</v>
      </c>
      <c r="N253" s="8">
        <f t="shared" ca="1" si="139"/>
        <v>0</v>
      </c>
      <c r="O253" s="8">
        <f t="shared" ca="1" si="139"/>
        <v>0</v>
      </c>
      <c r="P253" s="8">
        <f t="shared" ca="1" si="139"/>
        <v>0</v>
      </c>
      <c r="Q253" s="8">
        <f t="shared" ca="1" si="139"/>
        <v>0</v>
      </c>
      <c r="R253" s="8">
        <f t="shared" ca="1" si="139"/>
        <v>0</v>
      </c>
      <c r="S253" s="8">
        <f t="shared" ca="1" si="139"/>
        <v>0</v>
      </c>
      <c r="T253" s="8">
        <f t="shared" ca="1" si="139"/>
        <v>0</v>
      </c>
      <c r="U253" s="8">
        <f t="shared" ca="1" si="139"/>
        <v>0</v>
      </c>
      <c r="V253" s="8">
        <f t="shared" ca="1" si="139"/>
        <v>0</v>
      </c>
    </row>
    <row r="254" spans="1:28">
      <c r="B254" s="11" t="s">
        <v>21</v>
      </c>
      <c r="C254" s="8">
        <f t="shared" ref="C254:V254" ca="1" si="140">SUM(C34,C54,C68,C86,C103,C124,C148,C176,C199,C215,C235,C246)</f>
        <v>0</v>
      </c>
      <c r="D254" s="8">
        <f t="shared" ca="1" si="140"/>
        <v>0</v>
      </c>
      <c r="E254" s="8">
        <f t="shared" ca="1" si="140"/>
        <v>0</v>
      </c>
      <c r="F254" s="8">
        <f t="shared" ca="1" si="140"/>
        <v>0</v>
      </c>
      <c r="G254" s="8">
        <f t="shared" ca="1" si="140"/>
        <v>0</v>
      </c>
      <c r="H254" s="8">
        <f t="shared" ca="1" si="140"/>
        <v>0</v>
      </c>
      <c r="I254" s="8">
        <f t="shared" ca="1" si="140"/>
        <v>0</v>
      </c>
      <c r="J254" s="8">
        <f t="shared" ca="1" si="140"/>
        <v>0</v>
      </c>
      <c r="K254" s="8">
        <f t="shared" ca="1" si="140"/>
        <v>0</v>
      </c>
      <c r="L254" s="8">
        <f t="shared" ca="1" si="140"/>
        <v>0</v>
      </c>
      <c r="M254" s="8">
        <f t="shared" ca="1" si="140"/>
        <v>0</v>
      </c>
      <c r="N254" s="8">
        <f t="shared" ca="1" si="140"/>
        <v>0</v>
      </c>
      <c r="O254" s="8">
        <f t="shared" ca="1" si="140"/>
        <v>0</v>
      </c>
      <c r="P254" s="8">
        <f t="shared" ca="1" si="140"/>
        <v>0</v>
      </c>
      <c r="Q254" s="8">
        <f t="shared" ca="1" si="140"/>
        <v>0</v>
      </c>
      <c r="R254" s="8">
        <f t="shared" ca="1" si="140"/>
        <v>0</v>
      </c>
      <c r="S254" s="8">
        <f t="shared" ca="1" si="140"/>
        <v>0</v>
      </c>
      <c r="T254" s="8">
        <f t="shared" ca="1" si="140"/>
        <v>0</v>
      </c>
      <c r="U254" s="8">
        <f t="shared" ca="1" si="140"/>
        <v>0</v>
      </c>
      <c r="V254" s="8">
        <f t="shared" ca="1" si="140"/>
        <v>0</v>
      </c>
    </row>
    <row r="255" spans="1:28">
      <c r="B255" s="11" t="s">
        <v>22</v>
      </c>
      <c r="C255" s="8">
        <f t="shared" ref="C255:V255" ca="1" si="141">SUM(C35,C55,C69,C87,C104,C125,C149,C177,C200,C216,C236,C247)</f>
        <v>2.56</v>
      </c>
      <c r="D255" s="8">
        <f t="shared" ca="1" si="141"/>
        <v>0</v>
      </c>
      <c r="E255" s="8">
        <f t="shared" ca="1" si="141"/>
        <v>0</v>
      </c>
      <c r="F255" s="8">
        <f t="shared" ca="1" si="141"/>
        <v>0</v>
      </c>
      <c r="G255" s="8">
        <f t="shared" ca="1" si="141"/>
        <v>0</v>
      </c>
      <c r="H255" s="8">
        <f t="shared" ca="1" si="141"/>
        <v>0</v>
      </c>
      <c r="I255" s="8">
        <f t="shared" ca="1" si="141"/>
        <v>0</v>
      </c>
      <c r="J255" s="8">
        <f t="shared" ca="1" si="141"/>
        <v>0</v>
      </c>
      <c r="K255" s="8">
        <f t="shared" ca="1" si="141"/>
        <v>0</v>
      </c>
      <c r="L255" s="8">
        <f t="shared" ca="1" si="141"/>
        <v>0</v>
      </c>
      <c r="M255" s="8">
        <f t="shared" ca="1" si="141"/>
        <v>0</v>
      </c>
      <c r="N255" s="8">
        <f t="shared" ca="1" si="141"/>
        <v>0</v>
      </c>
      <c r="O255" s="8">
        <f t="shared" ca="1" si="141"/>
        <v>0</v>
      </c>
      <c r="P255" s="8">
        <f t="shared" ca="1" si="141"/>
        <v>0</v>
      </c>
      <c r="Q255" s="8">
        <f t="shared" ca="1" si="141"/>
        <v>0</v>
      </c>
      <c r="R255" s="8">
        <f t="shared" ca="1" si="141"/>
        <v>0</v>
      </c>
      <c r="S255" s="8">
        <f t="shared" ca="1" si="141"/>
        <v>0</v>
      </c>
      <c r="T255" s="8">
        <f t="shared" ca="1" si="141"/>
        <v>0</v>
      </c>
      <c r="U255" s="8">
        <f t="shared" ca="1" si="141"/>
        <v>0</v>
      </c>
      <c r="V255" s="8">
        <f t="shared" ca="1" si="141"/>
        <v>0</v>
      </c>
    </row>
    <row r="258" spans="2:2">
      <c r="B258" s="11"/>
    </row>
  </sheetData>
  <mergeCells count="5">
    <mergeCell ref="Y1:AK1"/>
    <mergeCell ref="W2:Y2"/>
    <mergeCell ref="W3:Y3"/>
    <mergeCell ref="W4:Y4"/>
    <mergeCell ref="W5:Y5"/>
  </mergeCells>
  <conditionalFormatting sqref="A1:A5 A10:A1048576">
    <cfRule type="colorScale" priority="17">
      <colorScale>
        <cfvo type="num" val="0"/>
        <cfvo type="num" val="1"/>
        <color theme="0"/>
        <color rgb="FFFF0000"/>
      </colorScale>
    </cfRule>
  </conditionalFormatting>
  <conditionalFormatting sqref="W38 W89 W203 W239 W11 W58 W72 W128 W152 W107 W219 W180 W194">
    <cfRule type="cellIs" dxfId="30" priority="15" operator="greaterThan">
      <formula>0</formula>
    </cfRule>
  </conditionalFormatting>
  <conditionalFormatting sqref="AJ90:AJ98">
    <cfRule type="colorScale" priority="14">
      <colorScale>
        <cfvo type="min"/>
        <cfvo type="percentile" val="50"/>
        <cfvo type="max"/>
        <color rgb="FFF8696B"/>
        <color rgb="FFFFEB84"/>
        <color rgb="FF63BE7B"/>
      </colorScale>
    </cfRule>
  </conditionalFormatting>
  <conditionalFormatting sqref="AC90:AC92 AC94:AC98">
    <cfRule type="colorScale" priority="13">
      <colorScale>
        <cfvo type="min"/>
        <cfvo type="percentile" val="50"/>
        <cfvo type="max"/>
        <color rgb="FFF8696B"/>
        <color rgb="FFFCFCFF"/>
        <color rgb="FF63BE7B"/>
      </colorScale>
    </cfRule>
  </conditionalFormatting>
  <conditionalFormatting sqref="AC108:AC119">
    <cfRule type="colorScale" priority="12">
      <colorScale>
        <cfvo type="min"/>
        <cfvo type="percentile" val="50"/>
        <cfvo type="max"/>
        <color rgb="FFF8696B"/>
        <color rgb="FFFCFCFF"/>
        <color rgb="FF63BE7B"/>
      </colorScale>
    </cfRule>
  </conditionalFormatting>
  <conditionalFormatting sqref="B2">
    <cfRule type="cellIs" dxfId="29" priority="9" operator="equal">
      <formula>"&lt;Source&gt;"</formula>
    </cfRule>
  </conditionalFormatting>
  <conditionalFormatting sqref="B3">
    <cfRule type="cellIs" dxfId="28" priority="8" operator="equal">
      <formula>"&lt;Industry Sector&gt;"</formula>
    </cfRule>
  </conditionalFormatting>
  <conditionalFormatting sqref="B5">
    <cfRule type="cellIs" dxfId="27" priority="7" operator="equal">
      <formula>"&lt;Type&gt;"</formula>
    </cfRule>
  </conditionalFormatting>
  <conditionalFormatting sqref="C2:V5">
    <cfRule type="cellIs" dxfId="26" priority="3" operator="greaterThan">
      <formula>0.75</formula>
    </cfRule>
    <cfRule type="cellIs" dxfId="25" priority="4" operator="between">
      <formula>0.6</formula>
      <formula>0.4</formula>
    </cfRule>
    <cfRule type="cellIs" dxfId="24" priority="5" operator="lessThan">
      <formula>0.4</formula>
    </cfRule>
  </conditionalFormatting>
  <conditionalFormatting sqref="AC93">
    <cfRule type="colorScale" priority="1">
      <colorScale>
        <cfvo type="min"/>
        <cfvo type="percentile" val="50"/>
        <cfvo type="max"/>
        <color rgb="FFF8696B"/>
        <color rgb="FFFCFCFF"/>
        <color rgb="FF63BE7B"/>
      </colorScale>
    </cfRule>
  </conditionalFormatting>
  <conditionalFormatting sqref="AC129:AC143">
    <cfRule type="colorScale" priority="105">
      <colorScale>
        <cfvo type="min"/>
        <cfvo type="percentile" val="50"/>
        <cfvo type="max"/>
        <color rgb="FFF8696B"/>
        <color rgb="FFFCFCFF"/>
        <color rgb="FF63BE7B"/>
      </colorScale>
    </cfRule>
  </conditionalFormatting>
  <dataValidations count="3">
    <dataValidation type="list" allowBlank="1" showInputMessage="1" showErrorMessage="1" sqref="B2">
      <formula1>Source</formula1>
    </dataValidation>
    <dataValidation type="list" allowBlank="1" showInputMessage="1" showErrorMessage="1" sqref="B3">
      <formula1>Industry</formula1>
    </dataValidation>
    <dataValidation type="list" allowBlank="1" showInputMessage="1" showErrorMessage="1" sqref="B5:B6">
      <formula1>Type</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1"/>
  <sheetViews>
    <sheetView zoomScale="115" zoomScaleNormal="115" workbookViewId="0">
      <selection activeCell="B14" sqref="B14"/>
    </sheetView>
  </sheetViews>
  <sheetFormatPr defaultRowHeight="15"/>
  <cols>
    <col min="1" max="1" width="9.140625" style="58" collapsed="1"/>
  </cols>
  <sheetData>
    <row r="1" spans="1:2">
      <c r="A1" s="58">
        <v>1</v>
      </c>
      <c r="B1" t="s">
        <v>105</v>
      </c>
    </row>
    <row r="2" spans="1:2">
      <c r="A2" s="58">
        <v>2</v>
      </c>
      <c r="B2" t="s">
        <v>118</v>
      </c>
    </row>
    <row r="3" spans="1:2">
      <c r="A3" s="58">
        <v>3</v>
      </c>
      <c r="B3" t="s">
        <v>106</v>
      </c>
    </row>
    <row r="4" spans="1:2">
      <c r="A4" s="58">
        <v>4</v>
      </c>
      <c r="B4" t="s">
        <v>107</v>
      </c>
    </row>
    <row r="5" spans="1:2">
      <c r="A5" s="58">
        <v>5</v>
      </c>
      <c r="B5" t="s">
        <v>113</v>
      </c>
    </row>
    <row r="6" spans="1:2">
      <c r="A6" s="58">
        <v>6</v>
      </c>
      <c r="B6" t="s">
        <v>114</v>
      </c>
    </row>
    <row r="7" spans="1:2">
      <c r="A7" s="58">
        <v>7</v>
      </c>
      <c r="B7" t="s">
        <v>108</v>
      </c>
    </row>
    <row r="8" spans="1:2">
      <c r="A8" s="58">
        <v>8</v>
      </c>
      <c r="B8" t="s">
        <v>111</v>
      </c>
    </row>
    <row r="9" spans="1:2">
      <c r="A9" s="58">
        <v>9</v>
      </c>
      <c r="B9" t="s">
        <v>116</v>
      </c>
    </row>
    <row r="10" spans="1:2">
      <c r="A10" s="58">
        <v>10</v>
      </c>
      <c r="B10" t="s">
        <v>109</v>
      </c>
    </row>
    <row r="11" spans="1:2">
      <c r="A11" s="58">
        <v>11</v>
      </c>
      <c r="B11" t="s">
        <v>255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739"/>
  <sheetViews>
    <sheetView workbookViewId="0">
      <selection activeCell="E34" sqref="E34"/>
    </sheetView>
  </sheetViews>
  <sheetFormatPr defaultColWidth="9.140625" defaultRowHeight="12"/>
  <cols>
    <col min="1" max="1" width="9.28515625" style="49" bestFit="1" customWidth="1" collapsed="1"/>
    <col min="2" max="2" width="9.140625" style="49" collapsed="1"/>
    <col min="3" max="3" width="9.28515625" style="49" bestFit="1" customWidth="1" collapsed="1"/>
    <col min="4" max="4" width="9.140625" style="49" collapsed="1"/>
    <col min="5" max="5" width="12.7109375" style="49" bestFit="1" customWidth="1" collapsed="1"/>
    <col min="6" max="8" width="9.140625" style="49" collapsed="1"/>
    <col min="9" max="9" width="9.28515625" style="49" bestFit="1" customWidth="1" collapsed="1"/>
    <col min="10" max="10" width="9.140625" style="49" collapsed="1"/>
    <col min="11" max="11" width="9.28515625" style="49" bestFit="1" customWidth="1" collapsed="1"/>
    <col min="12" max="12" width="10.42578125" style="50" bestFit="1" customWidth="1" collapsed="1"/>
    <col min="13" max="13" width="23" style="50" bestFit="1" customWidth="1" collapsed="1"/>
    <col min="14" max="16384" width="9.140625" style="51" collapsed="1"/>
  </cols>
  <sheetData>
    <row r="1" spans="1:13" ht="15">
      <c r="A1" t="s">
        <v>87</v>
      </c>
      <c r="B1" t="s">
        <v>88</v>
      </c>
      <c r="C1" t="s">
        <v>89</v>
      </c>
      <c r="D1" t="s">
        <v>90</v>
      </c>
      <c r="E1" t="s">
        <v>91</v>
      </c>
      <c r="F1" t="s">
        <v>92</v>
      </c>
      <c r="G1" t="s">
        <v>248</v>
      </c>
      <c r="H1" t="s">
        <v>249</v>
      </c>
      <c r="I1" t="s">
        <v>93</v>
      </c>
      <c r="J1" t="s">
        <v>94</v>
      </c>
      <c r="K1" t="s">
        <v>95</v>
      </c>
      <c r="L1" s="50" t="s">
        <v>96</v>
      </c>
      <c r="M1" s="50" t="s">
        <v>97</v>
      </c>
    </row>
    <row r="2" spans="1:13" ht="15">
      <c r="A2">
        <v>944</v>
      </c>
      <c r="B2" t="s">
        <v>250</v>
      </c>
      <c r="C2" s="56">
        <v>42272</v>
      </c>
      <c r="D2"/>
      <c r="E2" s="57">
        <v>42276.799421296295</v>
      </c>
      <c r="F2" t="s">
        <v>119</v>
      </c>
      <c r="G2"/>
      <c r="H2" t="s">
        <v>120</v>
      </c>
      <c r="I2">
        <v>150</v>
      </c>
      <c r="J2" t="s">
        <v>120</v>
      </c>
      <c r="K2">
        <v>58.321636699999999</v>
      </c>
      <c r="L2" s="50">
        <f>K2/100</f>
        <v>0.58321636700000001</v>
      </c>
      <c r="M2" s="50" t="str">
        <f t="shared" ref="M2:M65" si="0">CONCATENATE(J2," ",I2)</f>
        <v>Abandonment 150</v>
      </c>
    </row>
    <row r="3" spans="1:13" ht="15">
      <c r="A3">
        <v>944</v>
      </c>
      <c r="B3" t="s">
        <v>250</v>
      </c>
      <c r="C3" s="56">
        <v>42272</v>
      </c>
      <c r="D3"/>
      <c r="E3" s="57">
        <v>42276.799421296295</v>
      </c>
      <c r="F3" t="s">
        <v>119</v>
      </c>
      <c r="G3"/>
      <c r="H3" t="s">
        <v>121</v>
      </c>
      <c r="I3">
        <v>154</v>
      </c>
      <c r="J3" t="s">
        <v>121</v>
      </c>
      <c r="K3">
        <v>65</v>
      </c>
      <c r="L3" s="50">
        <f t="shared" ref="L3:L66" si="1">K3/100</f>
        <v>0.65</v>
      </c>
      <c r="M3" s="50" t="str">
        <f t="shared" si="0"/>
        <v>Average Order Value 154</v>
      </c>
    </row>
    <row r="4" spans="1:13" ht="15">
      <c r="A4">
        <v>944</v>
      </c>
      <c r="B4" t="s">
        <v>250</v>
      </c>
      <c r="C4" s="56">
        <v>42272</v>
      </c>
      <c r="D4"/>
      <c r="E4" s="57">
        <v>42276.799421296295</v>
      </c>
      <c r="F4" t="s">
        <v>119</v>
      </c>
      <c r="G4"/>
      <c r="H4" t="s">
        <v>24</v>
      </c>
      <c r="I4">
        <v>72</v>
      </c>
      <c r="J4" t="s">
        <v>24</v>
      </c>
      <c r="K4">
        <v>69.000990099999996</v>
      </c>
      <c r="L4" s="50">
        <f t="shared" si="1"/>
        <v>0.69000990099999993</v>
      </c>
      <c r="M4" s="50" t="str">
        <f t="shared" si="0"/>
        <v>Awareness Creation 72</v>
      </c>
    </row>
    <row r="5" spans="1:13" ht="15">
      <c r="A5">
        <v>944</v>
      </c>
      <c r="B5" t="s">
        <v>250</v>
      </c>
      <c r="C5" s="56">
        <v>42272</v>
      </c>
      <c r="D5"/>
      <c r="E5" s="57">
        <v>42276.799421296295</v>
      </c>
      <c r="F5" t="s">
        <v>119</v>
      </c>
      <c r="G5"/>
      <c r="H5" t="s">
        <v>8</v>
      </c>
      <c r="I5">
        <v>1</v>
      </c>
      <c r="J5" t="s">
        <v>8</v>
      </c>
      <c r="K5">
        <v>63.371621619999999</v>
      </c>
      <c r="L5" s="50">
        <f t="shared" si="1"/>
        <v>0.63371621619999996</v>
      </c>
      <c r="M5" s="50" t="str">
        <f t="shared" si="0"/>
        <v>Content 1</v>
      </c>
    </row>
    <row r="6" spans="1:13" ht="15">
      <c r="A6">
        <v>944</v>
      </c>
      <c r="B6" t="s">
        <v>250</v>
      </c>
      <c r="C6" s="56">
        <v>42272</v>
      </c>
      <c r="D6"/>
      <c r="E6" s="57">
        <v>42276.799421296295</v>
      </c>
      <c r="F6" t="s">
        <v>119</v>
      </c>
      <c r="G6"/>
      <c r="H6" t="s">
        <v>122</v>
      </c>
      <c r="I6">
        <v>2</v>
      </c>
      <c r="J6" t="s">
        <v>123</v>
      </c>
      <c r="K6"/>
      <c r="L6" s="50">
        <f t="shared" si="1"/>
        <v>0</v>
      </c>
      <c r="M6" s="50" t="str">
        <f t="shared" si="0"/>
        <v>Access 2</v>
      </c>
    </row>
    <row r="7" spans="1:13" ht="15">
      <c r="A7">
        <v>944</v>
      </c>
      <c r="B7" t="s">
        <v>250</v>
      </c>
      <c r="C7" s="56">
        <v>42272</v>
      </c>
      <c r="D7"/>
      <c r="E7" s="57">
        <v>42276.799421296295</v>
      </c>
      <c r="F7" t="s">
        <v>119</v>
      </c>
      <c r="G7"/>
      <c r="H7" t="s">
        <v>124</v>
      </c>
      <c r="I7">
        <v>8</v>
      </c>
      <c r="J7" t="s">
        <v>125</v>
      </c>
      <c r="K7">
        <v>53.030303029999999</v>
      </c>
      <c r="L7" s="50">
        <f t="shared" si="1"/>
        <v>0.53030303030000003</v>
      </c>
      <c r="M7" s="50" t="str">
        <f t="shared" si="0"/>
        <v>Content/Unassigned 8</v>
      </c>
    </row>
    <row r="8" spans="1:13" ht="15">
      <c r="A8">
        <v>944</v>
      </c>
      <c r="B8" t="s">
        <v>250</v>
      </c>
      <c r="C8" s="56">
        <v>42272</v>
      </c>
      <c r="D8"/>
      <c r="E8" s="57">
        <v>42276.799421296295</v>
      </c>
      <c r="F8" t="s">
        <v>119</v>
      </c>
      <c r="G8"/>
      <c r="H8" t="s">
        <v>126</v>
      </c>
      <c r="I8">
        <v>6</v>
      </c>
      <c r="J8" t="s">
        <v>127</v>
      </c>
      <c r="K8">
        <v>62.847432019999999</v>
      </c>
      <c r="L8" s="50">
        <f t="shared" si="1"/>
        <v>0.62847432020000005</v>
      </c>
      <c r="M8" s="50" t="str">
        <f t="shared" si="0"/>
        <v>Core Content 6</v>
      </c>
    </row>
    <row r="9" spans="1:13" ht="15">
      <c r="A9">
        <v>944</v>
      </c>
      <c r="B9" t="s">
        <v>250</v>
      </c>
      <c r="C9" s="56">
        <v>42272</v>
      </c>
      <c r="D9"/>
      <c r="E9" s="57">
        <v>42276.799421296295</v>
      </c>
      <c r="F9" t="s">
        <v>119</v>
      </c>
      <c r="G9"/>
      <c r="H9" t="s">
        <v>128</v>
      </c>
      <c r="I9">
        <v>7</v>
      </c>
      <c r="J9" t="s">
        <v>129</v>
      </c>
      <c r="K9"/>
      <c r="L9" s="50">
        <f t="shared" si="1"/>
        <v>0</v>
      </c>
      <c r="M9" s="50" t="str">
        <f t="shared" si="0"/>
        <v>User Generated Content 7</v>
      </c>
    </row>
    <row r="10" spans="1:13" ht="15">
      <c r="A10">
        <v>944</v>
      </c>
      <c r="B10" t="s">
        <v>250</v>
      </c>
      <c r="C10" s="56">
        <v>42272</v>
      </c>
      <c r="D10"/>
      <c r="E10" s="57">
        <v>42276.799421296295</v>
      </c>
      <c r="F10" t="s">
        <v>119</v>
      </c>
      <c r="G10"/>
      <c r="H10" t="s">
        <v>130</v>
      </c>
      <c r="I10">
        <v>4</v>
      </c>
      <c r="J10" t="s">
        <v>131</v>
      </c>
      <c r="K10">
        <v>75</v>
      </c>
      <c r="L10" s="50">
        <f t="shared" si="1"/>
        <v>0.75</v>
      </c>
      <c r="M10" s="50" t="str">
        <f t="shared" si="0"/>
        <v>Content/Infrastructure 4</v>
      </c>
    </row>
    <row r="11" spans="1:13" ht="15">
      <c r="A11">
        <v>944</v>
      </c>
      <c r="B11" t="s">
        <v>250</v>
      </c>
      <c r="C11" s="56">
        <v>42272</v>
      </c>
      <c r="D11"/>
      <c r="E11" s="57">
        <v>42276.799421296295</v>
      </c>
      <c r="F11" t="s">
        <v>119</v>
      </c>
      <c r="G11"/>
      <c r="H11" t="s">
        <v>132</v>
      </c>
      <c r="I11">
        <v>5</v>
      </c>
      <c r="J11" t="s">
        <v>133</v>
      </c>
      <c r="K11">
        <v>79.166666669999998</v>
      </c>
      <c r="L11" s="50">
        <f t="shared" si="1"/>
        <v>0.79166666669999997</v>
      </c>
      <c r="M11" s="50" t="str">
        <f t="shared" si="0"/>
        <v>Content/Promotion 5</v>
      </c>
    </row>
    <row r="12" spans="1:13" ht="15">
      <c r="A12">
        <v>944</v>
      </c>
      <c r="B12" t="s">
        <v>250</v>
      </c>
      <c r="C12" s="56">
        <v>42272</v>
      </c>
      <c r="D12"/>
      <c r="E12" s="57">
        <v>42276.799421296295</v>
      </c>
      <c r="F12" t="s">
        <v>119</v>
      </c>
      <c r="G12"/>
      <c r="H12" t="s">
        <v>134</v>
      </c>
      <c r="I12">
        <v>3</v>
      </c>
      <c r="J12" t="s">
        <v>135</v>
      </c>
      <c r="K12">
        <v>78</v>
      </c>
      <c r="L12" s="50">
        <f t="shared" si="1"/>
        <v>0.78</v>
      </c>
      <c r="M12" s="50" t="str">
        <f t="shared" si="0"/>
        <v>Content/Appeal 3</v>
      </c>
    </row>
    <row r="13" spans="1:13" ht="15">
      <c r="A13">
        <v>944</v>
      </c>
      <c r="B13" t="s">
        <v>250</v>
      </c>
      <c r="C13" s="56">
        <v>42272</v>
      </c>
      <c r="D13"/>
      <c r="E13" s="57">
        <v>42276.799421296295</v>
      </c>
      <c r="F13" t="s">
        <v>119</v>
      </c>
      <c r="G13"/>
      <c r="H13" t="s">
        <v>136</v>
      </c>
      <c r="I13">
        <v>153</v>
      </c>
      <c r="J13" t="s">
        <v>136</v>
      </c>
      <c r="K13">
        <v>50.222077919999997</v>
      </c>
      <c r="L13" s="50">
        <f t="shared" si="1"/>
        <v>0.50222077919999997</v>
      </c>
      <c r="M13" s="50" t="str">
        <f t="shared" si="0"/>
        <v>Conversion 153</v>
      </c>
    </row>
    <row r="14" spans="1:13" ht="15">
      <c r="A14">
        <v>944</v>
      </c>
      <c r="B14" t="s">
        <v>250</v>
      </c>
      <c r="C14" s="56">
        <v>42272</v>
      </c>
      <c r="D14"/>
      <c r="E14" s="57">
        <v>42276.799421296295</v>
      </c>
      <c r="F14" t="s">
        <v>119</v>
      </c>
      <c r="G14"/>
      <c r="H14" t="s">
        <v>27</v>
      </c>
      <c r="I14">
        <v>73</v>
      </c>
      <c r="J14" t="s">
        <v>27</v>
      </c>
      <c r="K14">
        <v>61.212380250000002</v>
      </c>
      <c r="L14" s="50">
        <f t="shared" si="1"/>
        <v>0.61212380249999998</v>
      </c>
      <c r="M14" s="50" t="str">
        <f t="shared" si="0"/>
        <v>Customer Engagement 73</v>
      </c>
    </row>
    <row r="15" spans="1:13" ht="15">
      <c r="A15">
        <v>944</v>
      </c>
      <c r="B15" t="s">
        <v>250</v>
      </c>
      <c r="C15" s="56">
        <v>42272</v>
      </c>
      <c r="D15"/>
      <c r="E15" s="57">
        <v>42276.799421296295</v>
      </c>
      <c r="F15" t="s">
        <v>119</v>
      </c>
      <c r="G15"/>
      <c r="H15" t="s">
        <v>25</v>
      </c>
      <c r="I15">
        <v>74</v>
      </c>
      <c r="J15" t="s">
        <v>25</v>
      </c>
      <c r="K15">
        <v>63.477477479999997</v>
      </c>
      <c r="L15" s="50">
        <f t="shared" si="1"/>
        <v>0.6347747748</v>
      </c>
      <c r="M15" s="50" t="str">
        <f t="shared" si="0"/>
        <v>Demand Generation 74</v>
      </c>
    </row>
    <row r="16" spans="1:13" ht="15">
      <c r="A16">
        <v>944</v>
      </c>
      <c r="B16" t="s">
        <v>250</v>
      </c>
      <c r="C16" s="56">
        <v>42272</v>
      </c>
      <c r="D16"/>
      <c r="E16" s="57">
        <v>42276.799421296295</v>
      </c>
      <c r="F16" t="s">
        <v>119</v>
      </c>
      <c r="G16"/>
      <c r="H16" t="s">
        <v>66</v>
      </c>
      <c r="I16">
        <v>9</v>
      </c>
      <c r="J16" t="s">
        <v>66</v>
      </c>
      <c r="K16">
        <v>66.080332409999997</v>
      </c>
      <c r="L16" s="50">
        <f t="shared" si="1"/>
        <v>0.66080332409999998</v>
      </c>
      <c r="M16" s="50" t="str">
        <f t="shared" si="0"/>
        <v>E-Commerce 9</v>
      </c>
    </row>
    <row r="17" spans="1:13" ht="15">
      <c r="A17">
        <v>944</v>
      </c>
      <c r="B17" t="s">
        <v>250</v>
      </c>
      <c r="C17" s="56">
        <v>42272</v>
      </c>
      <c r="D17"/>
      <c r="E17" s="57">
        <v>42276.799421296295</v>
      </c>
      <c r="F17" t="s">
        <v>119</v>
      </c>
      <c r="G17"/>
      <c r="H17" t="s">
        <v>137</v>
      </c>
      <c r="I17">
        <v>10</v>
      </c>
      <c r="J17" t="s">
        <v>138</v>
      </c>
      <c r="K17"/>
      <c r="L17" s="50">
        <f t="shared" si="1"/>
        <v>0</v>
      </c>
      <c r="M17" s="50" t="str">
        <f t="shared" si="0"/>
        <v>Checkout 10</v>
      </c>
    </row>
    <row r="18" spans="1:13" ht="15">
      <c r="A18">
        <v>944</v>
      </c>
      <c r="B18" t="s">
        <v>250</v>
      </c>
      <c r="C18" s="56">
        <v>42272</v>
      </c>
      <c r="D18"/>
      <c r="E18" s="57">
        <v>42276.799421296295</v>
      </c>
      <c r="F18" t="s">
        <v>119</v>
      </c>
      <c r="G18"/>
      <c r="H18" t="s">
        <v>139</v>
      </c>
      <c r="I18">
        <v>11</v>
      </c>
      <c r="J18" t="s">
        <v>140</v>
      </c>
      <c r="K18"/>
      <c r="L18" s="50">
        <f t="shared" si="1"/>
        <v>0</v>
      </c>
      <c r="M18" s="50" t="str">
        <f t="shared" si="0"/>
        <v>E-Commerce/Infrastructure 11</v>
      </c>
    </row>
    <row r="19" spans="1:13" ht="15">
      <c r="A19">
        <v>944</v>
      </c>
      <c r="B19" t="s">
        <v>250</v>
      </c>
      <c r="C19" s="56">
        <v>42272</v>
      </c>
      <c r="D19"/>
      <c r="E19" s="57">
        <v>42276.799421296295</v>
      </c>
      <c r="F19" t="s">
        <v>119</v>
      </c>
      <c r="G19"/>
      <c r="H19" t="s">
        <v>141</v>
      </c>
      <c r="I19">
        <v>12</v>
      </c>
      <c r="J19" t="s">
        <v>142</v>
      </c>
      <c r="K19"/>
      <c r="L19" s="50">
        <f t="shared" si="1"/>
        <v>0</v>
      </c>
      <c r="M19" s="50" t="str">
        <f t="shared" si="0"/>
        <v>E-Commerce/Latency 12</v>
      </c>
    </row>
    <row r="20" spans="1:13" ht="15">
      <c r="A20">
        <v>944</v>
      </c>
      <c r="B20" t="s">
        <v>250</v>
      </c>
      <c r="C20" s="56">
        <v>42272</v>
      </c>
      <c r="D20"/>
      <c r="E20" s="57">
        <v>42276.799421296295</v>
      </c>
      <c r="F20" t="s">
        <v>119</v>
      </c>
      <c r="G20"/>
      <c r="H20" t="s">
        <v>143</v>
      </c>
      <c r="I20">
        <v>13</v>
      </c>
      <c r="J20" t="s">
        <v>144</v>
      </c>
      <c r="K20">
        <v>71.630434780000002</v>
      </c>
      <c r="L20" s="50">
        <f t="shared" si="1"/>
        <v>0.71630434779999996</v>
      </c>
      <c r="M20" s="50" t="str">
        <f t="shared" si="0"/>
        <v>Product Listings 13</v>
      </c>
    </row>
    <row r="21" spans="1:13" ht="15">
      <c r="A21">
        <v>944</v>
      </c>
      <c r="B21" t="s">
        <v>250</v>
      </c>
      <c r="C21" s="56">
        <v>42272</v>
      </c>
      <c r="D21"/>
      <c r="E21" s="57">
        <v>42276.799421296295</v>
      </c>
      <c r="F21" t="s">
        <v>119</v>
      </c>
      <c r="G21"/>
      <c r="H21" t="s">
        <v>145</v>
      </c>
      <c r="I21">
        <v>26</v>
      </c>
      <c r="J21" t="s">
        <v>146</v>
      </c>
      <c r="K21"/>
      <c r="L21" s="50">
        <f t="shared" si="1"/>
        <v>0</v>
      </c>
      <c r="M21" s="50" t="str">
        <f t="shared" si="0"/>
        <v>Site Functionality 26</v>
      </c>
    </row>
    <row r="22" spans="1:13" ht="15">
      <c r="A22">
        <v>944</v>
      </c>
      <c r="B22" t="s">
        <v>250</v>
      </c>
      <c r="C22" s="56">
        <v>42272</v>
      </c>
      <c r="D22"/>
      <c r="E22" s="57">
        <v>42276.799421296295</v>
      </c>
      <c r="F22" t="s">
        <v>119</v>
      </c>
      <c r="G22"/>
      <c r="H22" t="s">
        <v>147</v>
      </c>
      <c r="I22">
        <v>25</v>
      </c>
      <c r="J22" t="s">
        <v>148</v>
      </c>
      <c r="K22"/>
      <c r="L22" s="50">
        <f t="shared" si="1"/>
        <v>0</v>
      </c>
      <c r="M22" s="50" t="str">
        <f t="shared" si="0"/>
        <v>Product Listings/Reviews 25</v>
      </c>
    </row>
    <row r="23" spans="1:13" ht="15">
      <c r="A23">
        <v>944</v>
      </c>
      <c r="B23" t="s">
        <v>250</v>
      </c>
      <c r="C23" s="56">
        <v>42272</v>
      </c>
      <c r="D23"/>
      <c r="E23" s="57">
        <v>42276.799421296295</v>
      </c>
      <c r="F23" t="s">
        <v>119</v>
      </c>
      <c r="G23"/>
      <c r="H23" t="s">
        <v>149</v>
      </c>
      <c r="I23">
        <v>24</v>
      </c>
      <c r="J23" t="s">
        <v>150</v>
      </c>
      <c r="K23">
        <v>72.222222220000006</v>
      </c>
      <c r="L23" s="50">
        <f t="shared" si="1"/>
        <v>0.7222222222000001</v>
      </c>
      <c r="M23" s="50" t="str">
        <f t="shared" si="0"/>
        <v>PLP Usability 24</v>
      </c>
    </row>
    <row r="24" spans="1:13" ht="15">
      <c r="A24">
        <v>944</v>
      </c>
      <c r="B24" t="s">
        <v>250</v>
      </c>
      <c r="C24" s="56">
        <v>42272</v>
      </c>
      <c r="D24"/>
      <c r="E24" s="57">
        <v>42276.799421296295</v>
      </c>
      <c r="F24" t="s">
        <v>119</v>
      </c>
      <c r="G24"/>
      <c r="H24" t="s">
        <v>151</v>
      </c>
      <c r="I24">
        <v>23</v>
      </c>
      <c r="J24" t="s">
        <v>152</v>
      </c>
      <c r="K24">
        <v>66.690140850000006</v>
      </c>
      <c r="L24" s="50">
        <f t="shared" si="1"/>
        <v>0.66690140850000001</v>
      </c>
      <c r="M24" s="50" t="str">
        <f t="shared" si="0"/>
        <v>PLP Merchandising 23</v>
      </c>
    </row>
    <row r="25" spans="1:13" ht="15">
      <c r="A25">
        <v>944</v>
      </c>
      <c r="B25" t="s">
        <v>250</v>
      </c>
      <c r="C25" s="56">
        <v>42272</v>
      </c>
      <c r="D25"/>
      <c r="E25" s="57">
        <v>42276.799421296295</v>
      </c>
      <c r="F25" t="s">
        <v>119</v>
      </c>
      <c r="G25"/>
      <c r="H25" t="s">
        <v>153</v>
      </c>
      <c r="I25">
        <v>20</v>
      </c>
      <c r="J25" t="s">
        <v>154</v>
      </c>
      <c r="K25">
        <v>80</v>
      </c>
      <c r="L25" s="50">
        <f t="shared" si="1"/>
        <v>0.8</v>
      </c>
      <c r="M25" s="50" t="str">
        <f t="shared" si="0"/>
        <v>Non-Product Site Content 20</v>
      </c>
    </row>
    <row r="26" spans="1:13" ht="15">
      <c r="A26">
        <v>944</v>
      </c>
      <c r="B26" t="s">
        <v>250</v>
      </c>
      <c r="C26" s="56">
        <v>42272</v>
      </c>
      <c r="D26"/>
      <c r="E26" s="57">
        <v>42276.799421296295</v>
      </c>
      <c r="F26" t="s">
        <v>119</v>
      </c>
      <c r="G26"/>
      <c r="H26" t="s">
        <v>155</v>
      </c>
      <c r="I26">
        <v>21</v>
      </c>
      <c r="J26" t="s">
        <v>156</v>
      </c>
      <c r="K26"/>
      <c r="L26" s="50">
        <f t="shared" si="1"/>
        <v>0</v>
      </c>
      <c r="M26" s="50" t="str">
        <f t="shared" si="0"/>
        <v>PLP Content 21</v>
      </c>
    </row>
    <row r="27" spans="1:13" ht="15">
      <c r="A27">
        <v>944</v>
      </c>
      <c r="B27" t="s">
        <v>250</v>
      </c>
      <c r="C27" s="56">
        <v>42272</v>
      </c>
      <c r="D27"/>
      <c r="E27" s="57">
        <v>42276.799421296295</v>
      </c>
      <c r="F27" t="s">
        <v>119</v>
      </c>
      <c r="G27"/>
      <c r="H27" t="s">
        <v>157</v>
      </c>
      <c r="I27">
        <v>22</v>
      </c>
      <c r="J27" t="s">
        <v>158</v>
      </c>
      <c r="K27"/>
      <c r="L27" s="50">
        <f t="shared" si="1"/>
        <v>0</v>
      </c>
      <c r="M27" s="50" t="str">
        <f t="shared" si="0"/>
        <v>PLP Functionality 22</v>
      </c>
    </row>
    <row r="28" spans="1:13" ht="15">
      <c r="A28">
        <v>944</v>
      </c>
      <c r="B28" t="s">
        <v>250</v>
      </c>
      <c r="C28" s="56">
        <v>42272</v>
      </c>
      <c r="D28"/>
      <c r="E28" s="57">
        <v>42276.799421296295</v>
      </c>
      <c r="F28" t="s">
        <v>119</v>
      </c>
      <c r="G28"/>
      <c r="H28" t="s">
        <v>159</v>
      </c>
      <c r="I28">
        <v>17</v>
      </c>
      <c r="J28" t="s">
        <v>160</v>
      </c>
      <c r="K28"/>
      <c r="L28" s="50">
        <f t="shared" si="1"/>
        <v>0</v>
      </c>
      <c r="M28" s="50" t="str">
        <f t="shared" si="0"/>
        <v>User Engagement 17</v>
      </c>
    </row>
    <row r="29" spans="1:13" ht="15">
      <c r="A29">
        <v>944</v>
      </c>
      <c r="B29" t="s">
        <v>250</v>
      </c>
      <c r="C29" s="56">
        <v>42272</v>
      </c>
      <c r="D29"/>
      <c r="E29" s="57">
        <v>42276.799421296295</v>
      </c>
      <c r="F29" t="s">
        <v>119</v>
      </c>
      <c r="G29"/>
      <c r="H29" t="s">
        <v>161</v>
      </c>
      <c r="I29">
        <v>16</v>
      </c>
      <c r="J29" t="s">
        <v>162</v>
      </c>
      <c r="K29"/>
      <c r="L29" s="50">
        <f t="shared" si="1"/>
        <v>0</v>
      </c>
      <c r="M29" s="50" t="str">
        <f t="shared" si="0"/>
        <v>Site Content 16</v>
      </c>
    </row>
    <row r="30" spans="1:13" ht="15">
      <c r="A30">
        <v>944</v>
      </c>
      <c r="B30" t="s">
        <v>250</v>
      </c>
      <c r="C30" s="56">
        <v>42272</v>
      </c>
      <c r="D30"/>
      <c r="E30" s="57">
        <v>42276.799421296295</v>
      </c>
      <c r="F30" t="s">
        <v>119</v>
      </c>
      <c r="G30"/>
      <c r="H30" t="s">
        <v>163</v>
      </c>
      <c r="I30">
        <v>144</v>
      </c>
      <c r="J30" t="s">
        <v>98</v>
      </c>
      <c r="K30">
        <v>62.645739910000003</v>
      </c>
      <c r="L30" s="50">
        <f t="shared" si="1"/>
        <v>0.62645739909999998</v>
      </c>
      <c r="M30" s="50" t="str">
        <f t="shared" si="0"/>
        <v>E-Commerce/Product Merchandising 144</v>
      </c>
    </row>
    <row r="31" spans="1:13" ht="15">
      <c r="A31">
        <v>944</v>
      </c>
      <c r="B31" t="s">
        <v>250</v>
      </c>
      <c r="C31" s="56">
        <v>42272</v>
      </c>
      <c r="D31"/>
      <c r="E31" s="57">
        <v>42276.799421296295</v>
      </c>
      <c r="F31" t="s">
        <v>119</v>
      </c>
      <c r="G31"/>
      <c r="H31" t="s">
        <v>164</v>
      </c>
      <c r="I31">
        <v>15</v>
      </c>
      <c r="J31" t="s">
        <v>165</v>
      </c>
      <c r="K31"/>
      <c r="L31" s="50">
        <f t="shared" si="1"/>
        <v>0</v>
      </c>
      <c r="M31" s="50" t="str">
        <f t="shared" si="0"/>
        <v>E-Commerce/Reviews 15</v>
      </c>
    </row>
    <row r="32" spans="1:13" ht="15">
      <c r="A32">
        <v>944</v>
      </c>
      <c r="B32" t="s">
        <v>250</v>
      </c>
      <c r="C32" s="56">
        <v>42272</v>
      </c>
      <c r="D32"/>
      <c r="E32" s="57">
        <v>42276.799421296295</v>
      </c>
      <c r="F32" t="s">
        <v>119</v>
      </c>
      <c r="G32"/>
      <c r="H32" t="s">
        <v>166</v>
      </c>
      <c r="I32">
        <v>14</v>
      </c>
      <c r="J32" t="s">
        <v>167</v>
      </c>
      <c r="K32"/>
      <c r="L32" s="50">
        <f t="shared" si="1"/>
        <v>0</v>
      </c>
      <c r="M32" s="50" t="str">
        <f t="shared" si="0"/>
        <v>Product Search 14</v>
      </c>
    </row>
    <row r="33" spans="1:13" ht="15">
      <c r="A33">
        <v>944</v>
      </c>
      <c r="B33" t="s">
        <v>250</v>
      </c>
      <c r="C33" s="56">
        <v>42272</v>
      </c>
      <c r="D33"/>
      <c r="E33" s="57">
        <v>42276.799421296295</v>
      </c>
      <c r="F33" t="s">
        <v>119</v>
      </c>
      <c r="G33"/>
      <c r="H33" t="s">
        <v>168</v>
      </c>
      <c r="I33">
        <v>19</v>
      </c>
      <c r="J33" t="s">
        <v>169</v>
      </c>
      <c r="K33"/>
      <c r="L33" s="50">
        <f t="shared" si="1"/>
        <v>0</v>
      </c>
      <c r="M33" s="50" t="str">
        <f t="shared" si="0"/>
        <v>E-Commerce/Unassigned 19</v>
      </c>
    </row>
    <row r="34" spans="1:13" ht="15">
      <c r="A34">
        <v>944</v>
      </c>
      <c r="B34" t="s">
        <v>250</v>
      </c>
      <c r="C34" s="56">
        <v>42272</v>
      </c>
      <c r="D34"/>
      <c r="E34" s="57">
        <v>42276.799421296295</v>
      </c>
      <c r="F34" t="s">
        <v>119</v>
      </c>
      <c r="G34"/>
      <c r="H34" t="s">
        <v>170</v>
      </c>
      <c r="I34">
        <v>18</v>
      </c>
      <c r="J34" t="s">
        <v>171</v>
      </c>
      <c r="K34"/>
      <c r="L34" s="50">
        <f t="shared" si="1"/>
        <v>0</v>
      </c>
      <c r="M34" s="50" t="str">
        <f t="shared" si="0"/>
        <v>Section Pages 18</v>
      </c>
    </row>
    <row r="35" spans="1:13" ht="15">
      <c r="A35">
        <v>944</v>
      </c>
      <c r="B35" t="s">
        <v>250</v>
      </c>
      <c r="C35" s="56">
        <v>42272</v>
      </c>
      <c r="D35"/>
      <c r="E35" s="57">
        <v>42276.799421296295</v>
      </c>
      <c r="F35" t="s">
        <v>119</v>
      </c>
      <c r="G35"/>
      <c r="H35" t="s">
        <v>5</v>
      </c>
      <c r="I35">
        <v>27</v>
      </c>
      <c r="J35" t="s">
        <v>5</v>
      </c>
      <c r="K35">
        <v>49.857142860000003</v>
      </c>
      <c r="L35" s="50">
        <f t="shared" si="1"/>
        <v>0.49857142860000003</v>
      </c>
      <c r="M35" s="50" t="str">
        <f t="shared" si="0"/>
        <v>Mobile 27</v>
      </c>
    </row>
    <row r="36" spans="1:13" ht="15">
      <c r="A36">
        <v>944</v>
      </c>
      <c r="B36" t="s">
        <v>250</v>
      </c>
      <c r="C36" s="56">
        <v>42272</v>
      </c>
      <c r="D36"/>
      <c r="E36" s="57">
        <v>42276.799421296295</v>
      </c>
      <c r="F36" t="s">
        <v>119</v>
      </c>
      <c r="G36"/>
      <c r="H36" t="s">
        <v>172</v>
      </c>
      <c r="I36">
        <v>29</v>
      </c>
      <c r="J36" t="s">
        <v>173</v>
      </c>
      <c r="K36"/>
      <c r="L36" s="50">
        <f t="shared" si="1"/>
        <v>0</v>
      </c>
      <c r="M36" s="50" t="str">
        <f t="shared" si="0"/>
        <v>Mobile/Content 29</v>
      </c>
    </row>
    <row r="37" spans="1:13" ht="15">
      <c r="A37">
        <v>944</v>
      </c>
      <c r="B37" t="s">
        <v>250</v>
      </c>
      <c r="C37" s="56">
        <v>42272</v>
      </c>
      <c r="D37"/>
      <c r="E37" s="57">
        <v>42276.799421296295</v>
      </c>
      <c r="F37" t="s">
        <v>119</v>
      </c>
      <c r="G37"/>
      <c r="H37" t="s">
        <v>174</v>
      </c>
      <c r="I37">
        <v>28</v>
      </c>
      <c r="J37" t="s">
        <v>175</v>
      </c>
      <c r="K37">
        <v>47.9375</v>
      </c>
      <c r="L37" s="50">
        <f t="shared" si="1"/>
        <v>0.479375</v>
      </c>
      <c r="M37" s="50" t="str">
        <f t="shared" si="0"/>
        <v>Compatibility 28</v>
      </c>
    </row>
    <row r="38" spans="1:13" ht="15">
      <c r="A38">
        <v>944</v>
      </c>
      <c r="B38" t="s">
        <v>250</v>
      </c>
      <c r="C38" s="56">
        <v>42272</v>
      </c>
      <c r="D38"/>
      <c r="E38" s="57">
        <v>42276.799421296295</v>
      </c>
      <c r="F38" t="s">
        <v>119</v>
      </c>
      <c r="G38"/>
      <c r="H38" t="s">
        <v>176</v>
      </c>
      <c r="I38">
        <v>31</v>
      </c>
      <c r="J38" t="s">
        <v>177</v>
      </c>
      <c r="K38"/>
      <c r="L38" s="50">
        <f t="shared" si="1"/>
        <v>0</v>
      </c>
      <c r="M38" s="50" t="str">
        <f t="shared" si="0"/>
        <v>Mobile/Infrastructure 31</v>
      </c>
    </row>
    <row r="39" spans="1:13" ht="15">
      <c r="A39">
        <v>944</v>
      </c>
      <c r="B39" t="s">
        <v>250</v>
      </c>
      <c r="C39" s="56">
        <v>42272</v>
      </c>
      <c r="D39"/>
      <c r="E39" s="57">
        <v>42276.799421296295</v>
      </c>
      <c r="F39" t="s">
        <v>119</v>
      </c>
      <c r="G39"/>
      <c r="H39" t="s">
        <v>178</v>
      </c>
      <c r="I39">
        <v>30</v>
      </c>
      <c r="J39" t="s">
        <v>179</v>
      </c>
      <c r="K39">
        <v>56</v>
      </c>
      <c r="L39" s="50">
        <f t="shared" si="1"/>
        <v>0.56000000000000005</v>
      </c>
      <c r="M39" s="50" t="str">
        <f t="shared" si="0"/>
        <v>Functionality 30</v>
      </c>
    </row>
    <row r="40" spans="1:13" ht="15">
      <c r="A40">
        <v>944</v>
      </c>
      <c r="B40" t="s">
        <v>250</v>
      </c>
      <c r="C40" s="56">
        <v>42272</v>
      </c>
      <c r="D40"/>
      <c r="E40" s="57">
        <v>42276.799421296295</v>
      </c>
      <c r="F40" t="s">
        <v>119</v>
      </c>
      <c r="G40"/>
      <c r="H40" t="s">
        <v>180</v>
      </c>
      <c r="I40">
        <v>32</v>
      </c>
      <c r="J40" t="s">
        <v>181</v>
      </c>
      <c r="K40"/>
      <c r="L40" s="50">
        <f t="shared" si="1"/>
        <v>0</v>
      </c>
      <c r="M40" s="50" t="str">
        <f t="shared" si="0"/>
        <v>Mobile/Latency 32</v>
      </c>
    </row>
    <row r="41" spans="1:13" ht="15">
      <c r="A41">
        <v>944</v>
      </c>
      <c r="B41" t="s">
        <v>250</v>
      </c>
      <c r="C41" s="56">
        <v>42272</v>
      </c>
      <c r="D41"/>
      <c r="E41" s="57">
        <v>42276.799421296295</v>
      </c>
      <c r="F41" t="s">
        <v>119</v>
      </c>
      <c r="G41"/>
      <c r="H41" t="s">
        <v>182</v>
      </c>
      <c r="I41">
        <v>33</v>
      </c>
      <c r="J41" t="s">
        <v>183</v>
      </c>
      <c r="K41"/>
      <c r="L41" s="50">
        <f t="shared" si="1"/>
        <v>0</v>
      </c>
      <c r="M41" s="50" t="str">
        <f t="shared" si="0"/>
        <v>Mobile/Promotion 33</v>
      </c>
    </row>
    <row r="42" spans="1:13" ht="15">
      <c r="A42">
        <v>944</v>
      </c>
      <c r="B42" t="s">
        <v>250</v>
      </c>
      <c r="C42" s="56">
        <v>42272</v>
      </c>
      <c r="D42"/>
      <c r="E42" s="57">
        <v>42276.799421296295</v>
      </c>
      <c r="F42" t="s">
        <v>119</v>
      </c>
      <c r="G42"/>
      <c r="H42" t="s">
        <v>184</v>
      </c>
      <c r="I42">
        <v>68</v>
      </c>
      <c r="J42" t="s">
        <v>184</v>
      </c>
      <c r="K42"/>
      <c r="L42" s="50">
        <f t="shared" si="1"/>
        <v>0</v>
      </c>
      <c r="M42" s="50" t="str">
        <f t="shared" si="0"/>
        <v>Online Channel 68</v>
      </c>
    </row>
    <row r="43" spans="1:13" ht="15">
      <c r="A43">
        <v>944</v>
      </c>
      <c r="B43" t="s">
        <v>250</v>
      </c>
      <c r="C43" s="56">
        <v>42272</v>
      </c>
      <c r="D43"/>
      <c r="E43" s="57">
        <v>42276.799421296295</v>
      </c>
      <c r="F43" t="s">
        <v>119</v>
      </c>
      <c r="G43"/>
      <c r="H43" t="s">
        <v>185</v>
      </c>
      <c r="I43">
        <v>69</v>
      </c>
      <c r="J43" t="s">
        <v>13</v>
      </c>
      <c r="K43"/>
      <c r="L43" s="50">
        <f t="shared" si="1"/>
        <v>0</v>
      </c>
      <c r="M43" s="50" t="str">
        <f t="shared" si="0"/>
        <v>E-Referral 69</v>
      </c>
    </row>
    <row r="44" spans="1:13" ht="15">
      <c r="A44">
        <v>944</v>
      </c>
      <c r="B44" t="s">
        <v>250</v>
      </c>
      <c r="C44" s="56">
        <v>42272</v>
      </c>
      <c r="D44"/>
      <c r="E44" s="57">
        <v>42276.799421296295</v>
      </c>
      <c r="F44" t="s">
        <v>119</v>
      </c>
      <c r="G44"/>
      <c r="H44" t="s">
        <v>186</v>
      </c>
      <c r="I44">
        <v>71</v>
      </c>
      <c r="J44" t="s">
        <v>187</v>
      </c>
      <c r="K44"/>
      <c r="L44" s="50">
        <f t="shared" si="1"/>
        <v>0</v>
      </c>
      <c r="M44" s="50" t="str">
        <f t="shared" si="0"/>
        <v>Online Channel/Product Merchandising 71</v>
      </c>
    </row>
    <row r="45" spans="1:13" ht="15">
      <c r="A45">
        <v>944</v>
      </c>
      <c r="B45" t="s">
        <v>250</v>
      </c>
      <c r="C45" s="56">
        <v>42272</v>
      </c>
      <c r="D45"/>
      <c r="E45" s="57">
        <v>42276.799421296295</v>
      </c>
      <c r="F45" t="s">
        <v>119</v>
      </c>
      <c r="G45"/>
      <c r="H45" t="s">
        <v>188</v>
      </c>
      <c r="I45">
        <v>70</v>
      </c>
      <c r="J45" t="s">
        <v>189</v>
      </c>
      <c r="K45"/>
      <c r="L45" s="50">
        <f t="shared" si="1"/>
        <v>0</v>
      </c>
      <c r="M45" s="50" t="str">
        <f t="shared" si="0"/>
        <v>Brand Merchandising 70</v>
      </c>
    </row>
    <row r="46" spans="1:13" ht="15">
      <c r="A46">
        <v>944</v>
      </c>
      <c r="B46" t="s">
        <v>250</v>
      </c>
      <c r="C46" s="56">
        <v>42272</v>
      </c>
      <c r="D46"/>
      <c r="E46" s="57">
        <v>42276.799421296295</v>
      </c>
      <c r="F46" t="s">
        <v>119</v>
      </c>
      <c r="G46"/>
      <c r="H46" t="s">
        <v>26</v>
      </c>
      <c r="I46">
        <v>75</v>
      </c>
      <c r="J46" t="s">
        <v>26</v>
      </c>
      <c r="K46">
        <v>56.562352939999997</v>
      </c>
      <c r="L46" s="50">
        <f t="shared" si="1"/>
        <v>0.56562352939999994</v>
      </c>
      <c r="M46" s="50" t="str">
        <f t="shared" si="0"/>
        <v>Opportunity Conversion 75</v>
      </c>
    </row>
    <row r="47" spans="1:13" ht="15">
      <c r="A47">
        <v>944</v>
      </c>
      <c r="B47" t="s">
        <v>250</v>
      </c>
      <c r="C47" s="56">
        <v>42272</v>
      </c>
      <c r="D47"/>
      <c r="E47" s="57">
        <v>42276.799421296295</v>
      </c>
      <c r="F47" t="s">
        <v>119</v>
      </c>
      <c r="G47"/>
      <c r="H47" t="s">
        <v>11</v>
      </c>
      <c r="I47">
        <v>34</v>
      </c>
      <c r="J47" t="s">
        <v>11</v>
      </c>
      <c r="K47">
        <v>60.372361810000001</v>
      </c>
      <c r="L47" s="50">
        <f t="shared" si="1"/>
        <v>0.60372361809999997</v>
      </c>
      <c r="M47" s="50" t="str">
        <f t="shared" si="0"/>
        <v>SEM 34</v>
      </c>
    </row>
    <row r="48" spans="1:13" ht="15">
      <c r="A48">
        <v>944</v>
      </c>
      <c r="B48" t="s">
        <v>250</v>
      </c>
      <c r="C48" s="56">
        <v>42272</v>
      </c>
      <c r="D48"/>
      <c r="E48" s="57">
        <v>42276.799421296295</v>
      </c>
      <c r="F48" t="s">
        <v>119</v>
      </c>
      <c r="G48"/>
      <c r="H48" t="s">
        <v>190</v>
      </c>
      <c r="I48">
        <v>37</v>
      </c>
      <c r="J48" t="s">
        <v>191</v>
      </c>
      <c r="K48">
        <v>62.833333330000002</v>
      </c>
      <c r="L48" s="50">
        <f t="shared" si="1"/>
        <v>0.62833333330000007</v>
      </c>
      <c r="M48" s="50" t="str">
        <f t="shared" si="0"/>
        <v>SEM/Content 37</v>
      </c>
    </row>
    <row r="49" spans="1:13" ht="15">
      <c r="A49">
        <v>944</v>
      </c>
      <c r="B49" t="s">
        <v>250</v>
      </c>
      <c r="C49" s="56">
        <v>42272</v>
      </c>
      <c r="D49"/>
      <c r="E49" s="57">
        <v>42276.799421296295</v>
      </c>
      <c r="F49" t="s">
        <v>119</v>
      </c>
      <c r="G49"/>
      <c r="H49" t="s">
        <v>192</v>
      </c>
      <c r="I49">
        <v>38</v>
      </c>
      <c r="J49" t="s">
        <v>193</v>
      </c>
      <c r="K49"/>
      <c r="L49" s="50">
        <f t="shared" si="1"/>
        <v>0</v>
      </c>
      <c r="M49" s="50" t="str">
        <f t="shared" si="0"/>
        <v>Inclusion 38</v>
      </c>
    </row>
    <row r="50" spans="1:13" ht="15">
      <c r="A50">
        <v>944</v>
      </c>
      <c r="B50" t="s">
        <v>250</v>
      </c>
      <c r="C50" s="56">
        <v>42272</v>
      </c>
      <c r="D50"/>
      <c r="E50" s="57">
        <v>42276.799421296295</v>
      </c>
      <c r="F50" t="s">
        <v>119</v>
      </c>
      <c r="G50"/>
      <c r="H50" t="s">
        <v>194</v>
      </c>
      <c r="I50">
        <v>35</v>
      </c>
      <c r="J50" t="s">
        <v>195</v>
      </c>
      <c r="K50"/>
      <c r="L50" s="50">
        <f t="shared" si="1"/>
        <v>0</v>
      </c>
      <c r="M50" s="50" t="str">
        <f t="shared" si="0"/>
        <v>Advertising 35</v>
      </c>
    </row>
    <row r="51" spans="1:13" ht="15">
      <c r="A51">
        <v>944</v>
      </c>
      <c r="B51" t="s">
        <v>250</v>
      </c>
      <c r="C51" s="56">
        <v>42272</v>
      </c>
      <c r="D51"/>
      <c r="E51" s="57">
        <v>42276.799421296295</v>
      </c>
      <c r="F51" t="s">
        <v>119</v>
      </c>
      <c r="G51"/>
      <c r="H51" t="s">
        <v>196</v>
      </c>
      <c r="I51">
        <v>36</v>
      </c>
      <c r="J51" t="s">
        <v>197</v>
      </c>
      <c r="K51">
        <v>56.932394369999997</v>
      </c>
      <c r="L51" s="50">
        <f t="shared" si="1"/>
        <v>0.56932394369999995</v>
      </c>
      <c r="M51" s="50" t="str">
        <f t="shared" si="0"/>
        <v>Constructs 36</v>
      </c>
    </row>
    <row r="52" spans="1:13" ht="15">
      <c r="A52">
        <v>944</v>
      </c>
      <c r="B52" t="s">
        <v>250</v>
      </c>
      <c r="C52" s="56">
        <v>42272</v>
      </c>
      <c r="D52"/>
      <c r="E52" s="57">
        <v>42276.799421296295</v>
      </c>
      <c r="F52" t="s">
        <v>119</v>
      </c>
      <c r="G52"/>
      <c r="H52" t="s">
        <v>198</v>
      </c>
      <c r="I52">
        <v>41</v>
      </c>
      <c r="J52" t="s">
        <v>199</v>
      </c>
      <c r="K52"/>
      <c r="L52" s="50">
        <f t="shared" si="1"/>
        <v>0</v>
      </c>
      <c r="M52" s="50" t="str">
        <f t="shared" si="0"/>
        <v>SEM/Unassigned 41</v>
      </c>
    </row>
    <row r="53" spans="1:13" ht="15">
      <c r="A53">
        <v>944</v>
      </c>
      <c r="B53" t="s">
        <v>250</v>
      </c>
      <c r="C53" s="56">
        <v>42272</v>
      </c>
      <c r="D53"/>
      <c r="E53" s="57">
        <v>42276.799421296295</v>
      </c>
      <c r="F53" t="s">
        <v>119</v>
      </c>
      <c r="G53"/>
      <c r="H53" t="s">
        <v>200</v>
      </c>
      <c r="I53">
        <v>39</v>
      </c>
      <c r="J53" t="s">
        <v>201</v>
      </c>
      <c r="K53">
        <v>48.68</v>
      </c>
      <c r="L53" s="50">
        <f t="shared" si="1"/>
        <v>0.48680000000000001</v>
      </c>
      <c r="M53" s="50" t="str">
        <f t="shared" si="0"/>
        <v>SEM/Infrastructure 39</v>
      </c>
    </row>
    <row r="54" spans="1:13" ht="15">
      <c r="A54">
        <v>944</v>
      </c>
      <c r="B54" t="s">
        <v>250</v>
      </c>
      <c r="C54" s="56">
        <v>42272</v>
      </c>
      <c r="D54"/>
      <c r="E54" s="57">
        <v>42276.799421296295</v>
      </c>
      <c r="F54" t="s">
        <v>119</v>
      </c>
      <c r="G54"/>
      <c r="H54" t="s">
        <v>202</v>
      </c>
      <c r="I54">
        <v>40</v>
      </c>
      <c r="J54" t="s">
        <v>203</v>
      </c>
      <c r="K54"/>
      <c r="L54" s="50">
        <f t="shared" si="1"/>
        <v>0</v>
      </c>
      <c r="M54" s="50" t="str">
        <f t="shared" si="0"/>
        <v>Ranking 40</v>
      </c>
    </row>
    <row r="55" spans="1:13" ht="15">
      <c r="A55">
        <v>944</v>
      </c>
      <c r="B55" t="s">
        <v>250</v>
      </c>
      <c r="C55" s="56">
        <v>42272</v>
      </c>
      <c r="D55"/>
      <c r="E55" s="57">
        <v>42276.799421296295</v>
      </c>
      <c r="F55" t="s">
        <v>119</v>
      </c>
      <c r="G55"/>
      <c r="H55" t="s">
        <v>99</v>
      </c>
      <c r="I55">
        <v>42</v>
      </c>
      <c r="J55" t="s">
        <v>99</v>
      </c>
      <c r="K55">
        <v>63.633333329999999</v>
      </c>
      <c r="L55" s="50">
        <f t="shared" si="1"/>
        <v>0.63633333329999997</v>
      </c>
      <c r="M55" s="50" t="str">
        <f t="shared" si="0"/>
        <v>Social Media 42</v>
      </c>
    </row>
    <row r="56" spans="1:13" ht="15">
      <c r="A56">
        <v>944</v>
      </c>
      <c r="B56" t="s">
        <v>250</v>
      </c>
      <c r="C56" s="56">
        <v>42272</v>
      </c>
      <c r="D56"/>
      <c r="E56" s="57">
        <v>42276.799421296295</v>
      </c>
      <c r="F56" t="s">
        <v>119</v>
      </c>
      <c r="G56"/>
      <c r="H56" t="s">
        <v>204</v>
      </c>
      <c r="I56">
        <v>52</v>
      </c>
      <c r="J56" t="s">
        <v>205</v>
      </c>
      <c r="K56"/>
      <c r="L56" s="50">
        <f t="shared" si="1"/>
        <v>0</v>
      </c>
      <c r="M56" s="50" t="str">
        <f t="shared" si="0"/>
        <v>Social Media/Unassigned 52</v>
      </c>
    </row>
    <row r="57" spans="1:13" ht="15">
      <c r="A57">
        <v>944</v>
      </c>
      <c r="B57" t="s">
        <v>250</v>
      </c>
      <c r="C57" s="56">
        <v>42272</v>
      </c>
      <c r="D57"/>
      <c r="E57" s="57">
        <v>42276.799421296295</v>
      </c>
      <c r="F57" t="s">
        <v>119</v>
      </c>
      <c r="G57"/>
      <c r="H57" t="s">
        <v>206</v>
      </c>
      <c r="I57">
        <v>51</v>
      </c>
      <c r="J57" t="s">
        <v>75</v>
      </c>
      <c r="K57">
        <v>87.5</v>
      </c>
      <c r="L57" s="50">
        <f t="shared" si="1"/>
        <v>0.875</v>
      </c>
      <c r="M57" s="50" t="str">
        <f t="shared" si="0"/>
        <v>YouTube 51</v>
      </c>
    </row>
    <row r="58" spans="1:13" ht="15">
      <c r="A58">
        <v>944</v>
      </c>
      <c r="B58" t="s">
        <v>250</v>
      </c>
      <c r="C58" s="56">
        <v>42272</v>
      </c>
      <c r="D58"/>
      <c r="E58" s="57">
        <v>42276.799421296295</v>
      </c>
      <c r="F58" t="s">
        <v>119</v>
      </c>
      <c r="G58"/>
      <c r="H58" t="s">
        <v>207</v>
      </c>
      <c r="I58">
        <v>50</v>
      </c>
      <c r="J58" t="s">
        <v>77</v>
      </c>
      <c r="K58">
        <v>100</v>
      </c>
      <c r="L58" s="50">
        <f t="shared" si="1"/>
        <v>1</v>
      </c>
      <c r="M58" s="50" t="str">
        <f t="shared" si="0"/>
        <v>Twitter 50</v>
      </c>
    </row>
    <row r="59" spans="1:13" ht="15">
      <c r="A59">
        <v>944</v>
      </c>
      <c r="B59" t="s">
        <v>250</v>
      </c>
      <c r="C59" s="56">
        <v>42272</v>
      </c>
      <c r="D59"/>
      <c r="E59" s="57">
        <v>42276.799421296295</v>
      </c>
      <c r="F59" t="s">
        <v>119</v>
      </c>
      <c r="G59"/>
      <c r="H59" t="s">
        <v>208</v>
      </c>
      <c r="I59">
        <v>49</v>
      </c>
      <c r="J59" t="s">
        <v>209</v>
      </c>
      <c r="K59">
        <v>65</v>
      </c>
      <c r="L59" s="50">
        <f t="shared" si="1"/>
        <v>0.65</v>
      </c>
      <c r="M59" s="50" t="str">
        <f t="shared" si="0"/>
        <v>Social Media/Promotion 49</v>
      </c>
    </row>
    <row r="60" spans="1:13" ht="15">
      <c r="A60">
        <v>944</v>
      </c>
      <c r="B60" t="s">
        <v>250</v>
      </c>
      <c r="C60" s="56">
        <v>42272</v>
      </c>
      <c r="D60"/>
      <c r="E60" s="57">
        <v>42276.799421296295</v>
      </c>
      <c r="F60" t="s">
        <v>119</v>
      </c>
      <c r="G60"/>
      <c r="H60" t="s">
        <v>210</v>
      </c>
      <c r="I60">
        <v>48</v>
      </c>
      <c r="J60" t="s">
        <v>211</v>
      </c>
      <c r="K60"/>
      <c r="L60" s="50">
        <f t="shared" si="1"/>
        <v>0</v>
      </c>
      <c r="M60" s="50" t="str">
        <f t="shared" si="0"/>
        <v>Other Social Networks 48</v>
      </c>
    </row>
    <row r="61" spans="1:13" ht="15">
      <c r="A61">
        <v>944</v>
      </c>
      <c r="B61" t="s">
        <v>250</v>
      </c>
      <c r="C61" s="56">
        <v>42272</v>
      </c>
      <c r="D61"/>
      <c r="E61" s="57">
        <v>42276.799421296295</v>
      </c>
      <c r="F61" t="s">
        <v>119</v>
      </c>
      <c r="G61"/>
      <c r="H61" t="s">
        <v>212</v>
      </c>
      <c r="I61">
        <v>47</v>
      </c>
      <c r="J61" t="s">
        <v>213</v>
      </c>
      <c r="K61"/>
      <c r="L61" s="50">
        <f t="shared" si="1"/>
        <v>0</v>
      </c>
      <c r="M61" s="50" t="str">
        <f t="shared" si="0"/>
        <v>LinkedIn 47</v>
      </c>
    </row>
    <row r="62" spans="1:13" ht="15">
      <c r="A62">
        <v>944</v>
      </c>
      <c r="B62" t="s">
        <v>250</v>
      </c>
      <c r="C62" s="56">
        <v>42272</v>
      </c>
      <c r="D62"/>
      <c r="E62" s="57">
        <v>42276.799421296295</v>
      </c>
      <c r="F62" t="s">
        <v>119</v>
      </c>
      <c r="G62"/>
      <c r="H62" t="s">
        <v>214</v>
      </c>
      <c r="I62">
        <v>44</v>
      </c>
      <c r="J62" t="s">
        <v>215</v>
      </c>
      <c r="K62"/>
      <c r="L62" s="50">
        <f t="shared" si="1"/>
        <v>0</v>
      </c>
      <c r="M62" s="50" t="str">
        <f t="shared" si="0"/>
        <v>Social Media/Content 44</v>
      </c>
    </row>
    <row r="63" spans="1:13" ht="15">
      <c r="A63">
        <v>944</v>
      </c>
      <c r="B63" t="s">
        <v>250</v>
      </c>
      <c r="C63" s="56">
        <v>42272</v>
      </c>
      <c r="D63"/>
      <c r="E63" s="57">
        <v>42276.799421296295</v>
      </c>
      <c r="F63" t="s">
        <v>119</v>
      </c>
      <c r="G63"/>
      <c r="H63" t="s">
        <v>216</v>
      </c>
      <c r="I63">
        <v>46</v>
      </c>
      <c r="J63" t="s">
        <v>217</v>
      </c>
      <c r="K63">
        <v>46.190476189999998</v>
      </c>
      <c r="L63" s="50">
        <f t="shared" si="1"/>
        <v>0.46190476189999996</v>
      </c>
      <c r="M63" s="50" t="str">
        <f t="shared" si="0"/>
        <v>Social Media/Infrastructure 46</v>
      </c>
    </row>
    <row r="64" spans="1:13" ht="15">
      <c r="A64">
        <v>944</v>
      </c>
      <c r="B64" t="s">
        <v>250</v>
      </c>
      <c r="C64" s="56">
        <v>42272</v>
      </c>
      <c r="D64"/>
      <c r="E64" s="57">
        <v>42276.799421296295</v>
      </c>
      <c r="F64" t="s">
        <v>119</v>
      </c>
      <c r="G64"/>
      <c r="H64" t="s">
        <v>218</v>
      </c>
      <c r="I64">
        <v>45</v>
      </c>
      <c r="J64" t="s">
        <v>76</v>
      </c>
      <c r="K64">
        <v>39.655172409999999</v>
      </c>
      <c r="L64" s="50">
        <f t="shared" si="1"/>
        <v>0.3965517241</v>
      </c>
      <c r="M64" s="50" t="str">
        <f t="shared" si="0"/>
        <v>Facebook 45</v>
      </c>
    </row>
    <row r="65" spans="1:13" ht="15">
      <c r="A65">
        <v>944</v>
      </c>
      <c r="B65" t="s">
        <v>250</v>
      </c>
      <c r="C65" s="56">
        <v>42272</v>
      </c>
      <c r="D65"/>
      <c r="E65" s="57">
        <v>42276.799421296295</v>
      </c>
      <c r="F65" t="s">
        <v>119</v>
      </c>
      <c r="G65"/>
      <c r="H65" t="s">
        <v>219</v>
      </c>
      <c r="I65">
        <v>43</v>
      </c>
      <c r="J65" t="s">
        <v>220</v>
      </c>
      <c r="K65"/>
      <c r="L65" s="50">
        <f t="shared" si="1"/>
        <v>0</v>
      </c>
      <c r="M65" s="50" t="str">
        <f t="shared" si="0"/>
        <v>Social Media/Appeal 43</v>
      </c>
    </row>
    <row r="66" spans="1:13" ht="15">
      <c r="A66">
        <v>944</v>
      </c>
      <c r="B66" t="s">
        <v>250</v>
      </c>
      <c r="C66" s="56">
        <v>42272</v>
      </c>
      <c r="D66"/>
      <c r="E66" s="57">
        <v>42276.799421296295</v>
      </c>
      <c r="F66" t="s">
        <v>119</v>
      </c>
      <c r="G66"/>
      <c r="H66" t="s">
        <v>10</v>
      </c>
      <c r="I66">
        <v>53</v>
      </c>
      <c r="J66" t="s">
        <v>10</v>
      </c>
      <c r="K66">
        <v>54.785373610000001</v>
      </c>
      <c r="L66" s="50">
        <f t="shared" si="1"/>
        <v>0.54785373609999999</v>
      </c>
      <c r="M66" s="50" t="str">
        <f t="shared" ref="M66:M129" si="2">CONCATENATE(J66," ",I66)</f>
        <v>Support 53</v>
      </c>
    </row>
    <row r="67" spans="1:13" ht="15">
      <c r="A67">
        <v>944</v>
      </c>
      <c r="B67" t="s">
        <v>250</v>
      </c>
      <c r="C67" s="56">
        <v>42272</v>
      </c>
      <c r="D67"/>
      <c r="E67" s="57">
        <v>42276.799421296295</v>
      </c>
      <c r="F67" t="s">
        <v>119</v>
      </c>
      <c r="G67"/>
      <c r="H67" t="s">
        <v>221</v>
      </c>
      <c r="I67">
        <v>151</v>
      </c>
      <c r="J67" t="s">
        <v>221</v>
      </c>
      <c r="K67">
        <v>56.875873640000002</v>
      </c>
      <c r="L67" s="50">
        <f t="shared" ref="L67:L130" si="3">K67/100</f>
        <v>0.56875873639999996</v>
      </c>
      <c r="M67" s="50" t="str">
        <f t="shared" si="2"/>
        <v>Task Completion 151</v>
      </c>
    </row>
    <row r="68" spans="1:13" ht="15">
      <c r="A68">
        <v>944</v>
      </c>
      <c r="B68" t="s">
        <v>250</v>
      </c>
      <c r="C68" s="56">
        <v>42272</v>
      </c>
      <c r="D68"/>
      <c r="E68" s="57">
        <v>42276.799421296295</v>
      </c>
      <c r="F68" t="s">
        <v>119</v>
      </c>
      <c r="G68"/>
      <c r="H68" t="s">
        <v>222</v>
      </c>
      <c r="I68">
        <v>152</v>
      </c>
      <c r="J68" t="s">
        <v>222</v>
      </c>
      <c r="K68">
        <v>57.321187340000002</v>
      </c>
      <c r="L68" s="50">
        <f t="shared" si="3"/>
        <v>0.57321187340000002</v>
      </c>
      <c r="M68" s="50" t="str">
        <f t="shared" si="2"/>
        <v>Time Spent on Site 152</v>
      </c>
    </row>
    <row r="69" spans="1:13" ht="15">
      <c r="A69">
        <v>944</v>
      </c>
      <c r="B69" t="s">
        <v>250</v>
      </c>
      <c r="C69" s="56">
        <v>42272</v>
      </c>
      <c r="D69"/>
      <c r="E69" s="57">
        <v>42276.799421296295</v>
      </c>
      <c r="F69" t="s">
        <v>119</v>
      </c>
      <c r="G69"/>
      <c r="H69" t="s">
        <v>223</v>
      </c>
      <c r="I69">
        <v>149</v>
      </c>
      <c r="J69" t="s">
        <v>223</v>
      </c>
      <c r="K69">
        <v>65.6342772</v>
      </c>
      <c r="L69" s="50">
        <f t="shared" si="3"/>
        <v>0.65634277200000002</v>
      </c>
      <c r="M69" s="50" t="str">
        <f t="shared" si="2"/>
        <v>Traffic 149</v>
      </c>
    </row>
    <row r="70" spans="1:13" ht="15">
      <c r="A70">
        <v>944</v>
      </c>
      <c r="B70" t="s">
        <v>250</v>
      </c>
      <c r="C70" s="56">
        <v>42272</v>
      </c>
      <c r="D70"/>
      <c r="E70" s="57">
        <v>42276.799421296295</v>
      </c>
      <c r="F70" t="s">
        <v>119</v>
      </c>
      <c r="G70"/>
      <c r="H70" t="s">
        <v>4</v>
      </c>
      <c r="I70">
        <v>54</v>
      </c>
      <c r="J70" t="s">
        <v>4</v>
      </c>
      <c r="K70">
        <v>61.820646770000003</v>
      </c>
      <c r="L70" s="50">
        <f t="shared" si="3"/>
        <v>0.61820646769999998</v>
      </c>
      <c r="M70" s="50" t="str">
        <f t="shared" si="2"/>
        <v>Website 54</v>
      </c>
    </row>
    <row r="71" spans="1:13" ht="15">
      <c r="A71">
        <v>944</v>
      </c>
      <c r="B71" t="s">
        <v>250</v>
      </c>
      <c r="C71" s="56">
        <v>42272</v>
      </c>
      <c r="D71"/>
      <c r="E71" s="57">
        <v>42276.799421296295</v>
      </c>
      <c r="F71" t="s">
        <v>119</v>
      </c>
      <c r="G71"/>
      <c r="H71" t="s">
        <v>224</v>
      </c>
      <c r="I71">
        <v>57</v>
      </c>
      <c r="J71" t="s">
        <v>225</v>
      </c>
      <c r="K71"/>
      <c r="L71" s="50">
        <f t="shared" si="3"/>
        <v>0</v>
      </c>
      <c r="M71" s="50" t="str">
        <f t="shared" si="2"/>
        <v>E-Retail 57</v>
      </c>
    </row>
    <row r="72" spans="1:13" ht="15">
      <c r="A72">
        <v>944</v>
      </c>
      <c r="B72" t="s">
        <v>250</v>
      </c>
      <c r="C72" s="56">
        <v>42272</v>
      </c>
      <c r="D72"/>
      <c r="E72" s="57">
        <v>42276.799421296295</v>
      </c>
      <c r="F72" t="s">
        <v>119</v>
      </c>
      <c r="G72"/>
      <c r="H72" t="s">
        <v>226</v>
      </c>
      <c r="I72">
        <v>58</v>
      </c>
      <c r="J72" t="s">
        <v>227</v>
      </c>
      <c r="K72">
        <v>54.75</v>
      </c>
      <c r="L72" s="50">
        <f t="shared" si="3"/>
        <v>0.54749999999999999</v>
      </c>
      <c r="M72" s="50" t="str">
        <f t="shared" si="2"/>
        <v>Website/Infrastructure 58</v>
      </c>
    </row>
    <row r="73" spans="1:13" ht="15">
      <c r="A73">
        <v>944</v>
      </c>
      <c r="B73" t="s">
        <v>250</v>
      </c>
      <c r="C73" s="56">
        <v>42272</v>
      </c>
      <c r="D73"/>
      <c r="E73" s="57">
        <v>42276.799421296295</v>
      </c>
      <c r="F73" t="s">
        <v>119</v>
      </c>
      <c r="G73"/>
      <c r="H73" t="s">
        <v>228</v>
      </c>
      <c r="I73">
        <v>59</v>
      </c>
      <c r="J73" t="s">
        <v>229</v>
      </c>
      <c r="K73">
        <v>51.533333329999998</v>
      </c>
      <c r="L73" s="50">
        <f t="shared" si="3"/>
        <v>0.51533333329999997</v>
      </c>
      <c r="M73" s="50" t="str">
        <f t="shared" si="2"/>
        <v>Website/Latency 59</v>
      </c>
    </row>
    <row r="74" spans="1:13" ht="15">
      <c r="A74">
        <v>944</v>
      </c>
      <c r="B74" t="s">
        <v>250</v>
      </c>
      <c r="C74" s="56">
        <v>42272</v>
      </c>
      <c r="D74"/>
      <c r="E74" s="57">
        <v>42276.799421296295</v>
      </c>
      <c r="F74" t="s">
        <v>119</v>
      </c>
      <c r="G74"/>
      <c r="H74" t="s">
        <v>230</v>
      </c>
      <c r="I74">
        <v>60</v>
      </c>
      <c r="J74" t="s">
        <v>231</v>
      </c>
      <c r="K74">
        <v>65</v>
      </c>
      <c r="L74" s="50">
        <f t="shared" si="3"/>
        <v>0.65</v>
      </c>
      <c r="M74" s="50" t="str">
        <f t="shared" si="2"/>
        <v>Website/Promotion 60</v>
      </c>
    </row>
    <row r="75" spans="1:13" ht="15">
      <c r="A75">
        <v>944</v>
      </c>
      <c r="B75" t="s">
        <v>250</v>
      </c>
      <c r="C75" s="56">
        <v>42272</v>
      </c>
      <c r="D75"/>
      <c r="E75" s="57">
        <v>42276.799421296295</v>
      </c>
      <c r="F75" t="s">
        <v>119</v>
      </c>
      <c r="G75"/>
      <c r="H75" t="s">
        <v>232</v>
      </c>
      <c r="I75">
        <v>55</v>
      </c>
      <c r="J75" t="s">
        <v>233</v>
      </c>
      <c r="K75"/>
      <c r="L75" s="50">
        <f t="shared" si="3"/>
        <v>0</v>
      </c>
      <c r="M75" s="50" t="str">
        <f t="shared" si="2"/>
        <v>Website/Appeal 55</v>
      </c>
    </row>
    <row r="76" spans="1:13" ht="15">
      <c r="A76">
        <v>944</v>
      </c>
      <c r="B76" t="s">
        <v>250</v>
      </c>
      <c r="C76" s="56">
        <v>42272</v>
      </c>
      <c r="D76"/>
      <c r="E76" s="57">
        <v>42276.799421296295</v>
      </c>
      <c r="F76" t="s">
        <v>119</v>
      </c>
      <c r="G76"/>
      <c r="H76" t="s">
        <v>234</v>
      </c>
      <c r="I76">
        <v>56</v>
      </c>
      <c r="J76" t="s">
        <v>235</v>
      </c>
      <c r="K76">
        <v>66.208980999999994</v>
      </c>
      <c r="L76" s="50">
        <f t="shared" si="3"/>
        <v>0.66208980999999989</v>
      </c>
      <c r="M76" s="50" t="str">
        <f t="shared" si="2"/>
        <v>Website/Content 56</v>
      </c>
    </row>
    <row r="77" spans="1:13" ht="15">
      <c r="A77">
        <v>944</v>
      </c>
      <c r="B77" t="s">
        <v>250</v>
      </c>
      <c r="C77" s="56">
        <v>42272</v>
      </c>
      <c r="D77"/>
      <c r="E77" s="57">
        <v>42276.799421296295</v>
      </c>
      <c r="F77" t="s">
        <v>119</v>
      </c>
      <c r="G77"/>
      <c r="H77" t="s">
        <v>236</v>
      </c>
      <c r="I77">
        <v>61</v>
      </c>
      <c r="J77" t="s">
        <v>237</v>
      </c>
      <c r="K77"/>
      <c r="L77" s="50">
        <f t="shared" si="3"/>
        <v>0</v>
      </c>
      <c r="M77" s="50" t="str">
        <f t="shared" si="2"/>
        <v>Website/Reviews 61</v>
      </c>
    </row>
    <row r="78" spans="1:13" ht="15">
      <c r="A78">
        <v>944</v>
      </c>
      <c r="B78" t="s">
        <v>250</v>
      </c>
      <c r="C78" s="56">
        <v>42272</v>
      </c>
      <c r="D78"/>
      <c r="E78" s="57">
        <v>42276.799421296295</v>
      </c>
      <c r="F78" t="s">
        <v>119</v>
      </c>
      <c r="G78"/>
      <c r="H78" t="s">
        <v>238</v>
      </c>
      <c r="I78">
        <v>66</v>
      </c>
      <c r="J78" t="s">
        <v>9</v>
      </c>
      <c r="K78">
        <v>60</v>
      </c>
      <c r="L78" s="50">
        <f t="shared" si="3"/>
        <v>0.6</v>
      </c>
      <c r="M78" s="50" t="str">
        <f t="shared" si="2"/>
        <v>User Registration 66</v>
      </c>
    </row>
    <row r="79" spans="1:13" ht="15">
      <c r="A79">
        <v>944</v>
      </c>
      <c r="B79" t="s">
        <v>250</v>
      </c>
      <c r="C79" s="56">
        <v>42272</v>
      </c>
      <c r="D79"/>
      <c r="E79" s="57">
        <v>42276.799421296295</v>
      </c>
      <c r="F79" t="s">
        <v>119</v>
      </c>
      <c r="G79"/>
      <c r="H79" t="s">
        <v>239</v>
      </c>
      <c r="I79">
        <v>67</v>
      </c>
      <c r="J79" t="s">
        <v>240</v>
      </c>
      <c r="K79"/>
      <c r="L79" s="50">
        <f t="shared" si="3"/>
        <v>0</v>
      </c>
      <c r="M79" s="50" t="str">
        <f t="shared" si="2"/>
        <v>Website/Unassigned 67</v>
      </c>
    </row>
    <row r="80" spans="1:13" ht="15">
      <c r="A80">
        <v>944</v>
      </c>
      <c r="B80" t="s">
        <v>250</v>
      </c>
      <c r="C80" s="56">
        <v>42272</v>
      </c>
      <c r="D80"/>
      <c r="E80" s="57">
        <v>42276.799421296295</v>
      </c>
      <c r="F80" t="s">
        <v>119</v>
      </c>
      <c r="G80"/>
      <c r="H80" t="s">
        <v>241</v>
      </c>
      <c r="I80">
        <v>64</v>
      </c>
      <c r="J80" t="s">
        <v>242</v>
      </c>
      <c r="K80"/>
      <c r="L80" s="50">
        <f t="shared" si="3"/>
        <v>0</v>
      </c>
      <c r="M80" s="50" t="str">
        <f t="shared" si="2"/>
        <v>Website/Traffic 64</v>
      </c>
    </row>
    <row r="81" spans="1:13" ht="15">
      <c r="A81">
        <v>944</v>
      </c>
      <c r="B81" t="s">
        <v>250</v>
      </c>
      <c r="C81" s="56">
        <v>42272</v>
      </c>
      <c r="D81"/>
      <c r="E81" s="57">
        <v>42276.799421296295</v>
      </c>
      <c r="F81" t="s">
        <v>119</v>
      </c>
      <c r="G81"/>
      <c r="H81" t="s">
        <v>243</v>
      </c>
      <c r="I81">
        <v>65</v>
      </c>
      <c r="J81" t="s">
        <v>80</v>
      </c>
      <c r="K81">
        <v>66.409411759999998</v>
      </c>
      <c r="L81" s="50">
        <f t="shared" si="3"/>
        <v>0.66409411759999992</v>
      </c>
      <c r="M81" s="50" t="str">
        <f t="shared" si="2"/>
        <v>Usability 65</v>
      </c>
    </row>
    <row r="82" spans="1:13" ht="15">
      <c r="A82">
        <v>944</v>
      </c>
      <c r="B82" t="s">
        <v>250</v>
      </c>
      <c r="C82" s="56">
        <v>42272</v>
      </c>
      <c r="D82"/>
      <c r="E82" s="57">
        <v>42276.799421296295</v>
      </c>
      <c r="F82" t="s">
        <v>119</v>
      </c>
      <c r="G82"/>
      <c r="H82" t="s">
        <v>244</v>
      </c>
      <c r="I82">
        <v>63</v>
      </c>
      <c r="J82" t="s">
        <v>245</v>
      </c>
      <c r="K82">
        <v>47.163934429999998</v>
      </c>
      <c r="L82" s="50">
        <f t="shared" si="3"/>
        <v>0.47163934429999999</v>
      </c>
      <c r="M82" s="50" t="str">
        <f t="shared" si="2"/>
        <v>Site Search 63</v>
      </c>
    </row>
    <row r="83" spans="1:13" ht="15">
      <c r="A83">
        <v>944</v>
      </c>
      <c r="B83" t="s">
        <v>250</v>
      </c>
      <c r="C83" s="56">
        <v>42272</v>
      </c>
      <c r="D83"/>
      <c r="E83" s="57">
        <v>42276.799421296295</v>
      </c>
      <c r="F83" t="s">
        <v>119</v>
      </c>
      <c r="G83"/>
      <c r="H83" t="s">
        <v>246</v>
      </c>
      <c r="I83">
        <v>62</v>
      </c>
      <c r="J83" t="s">
        <v>247</v>
      </c>
      <c r="K83">
        <v>0</v>
      </c>
      <c r="L83" s="50">
        <f t="shared" si="3"/>
        <v>0</v>
      </c>
      <c r="M83" s="50" t="str">
        <f t="shared" si="2"/>
        <v>Search Engine Constructs 62</v>
      </c>
    </row>
    <row r="84" spans="1:13" ht="15">
      <c r="A84">
        <v>945</v>
      </c>
      <c r="B84" t="s">
        <v>251</v>
      </c>
      <c r="C84" s="56">
        <v>42272</v>
      </c>
      <c r="D84"/>
      <c r="E84" s="57">
        <v>42276.799502314818</v>
      </c>
      <c r="F84" t="s">
        <v>119</v>
      </c>
      <c r="G84"/>
      <c r="H84" t="s">
        <v>120</v>
      </c>
      <c r="I84">
        <v>150</v>
      </c>
      <c r="J84" t="s">
        <v>120</v>
      </c>
      <c r="K84">
        <v>64.738735980000001</v>
      </c>
      <c r="L84" s="50">
        <f t="shared" si="3"/>
        <v>0.64738735980000006</v>
      </c>
      <c r="M84" s="50" t="str">
        <f t="shared" si="2"/>
        <v>Abandonment 150</v>
      </c>
    </row>
    <row r="85" spans="1:13" ht="15">
      <c r="A85">
        <v>945</v>
      </c>
      <c r="B85" t="s">
        <v>251</v>
      </c>
      <c r="C85" s="56">
        <v>42272</v>
      </c>
      <c r="D85"/>
      <c r="E85" s="57">
        <v>42276.799502314818</v>
      </c>
      <c r="F85" t="s">
        <v>119</v>
      </c>
      <c r="G85"/>
      <c r="H85" t="s">
        <v>121</v>
      </c>
      <c r="I85">
        <v>154</v>
      </c>
      <c r="J85" t="s">
        <v>121</v>
      </c>
      <c r="K85">
        <v>65</v>
      </c>
      <c r="L85" s="50">
        <f t="shared" si="3"/>
        <v>0.65</v>
      </c>
      <c r="M85" s="50" t="str">
        <f t="shared" si="2"/>
        <v>Average Order Value 154</v>
      </c>
    </row>
    <row r="86" spans="1:13" ht="15">
      <c r="A86">
        <v>945</v>
      </c>
      <c r="B86" t="s">
        <v>251</v>
      </c>
      <c r="C86" s="56">
        <v>42272</v>
      </c>
      <c r="D86"/>
      <c r="E86" s="57">
        <v>42276.799502314818</v>
      </c>
      <c r="F86" t="s">
        <v>119</v>
      </c>
      <c r="G86"/>
      <c r="H86" t="s">
        <v>24</v>
      </c>
      <c r="I86">
        <v>72</v>
      </c>
      <c r="J86" t="s">
        <v>24</v>
      </c>
      <c r="K86">
        <v>67.341503270000004</v>
      </c>
      <c r="L86" s="50">
        <f t="shared" si="3"/>
        <v>0.67341503270000003</v>
      </c>
      <c r="M86" s="50" t="str">
        <f t="shared" si="2"/>
        <v>Awareness Creation 72</v>
      </c>
    </row>
    <row r="87" spans="1:13" ht="15">
      <c r="A87">
        <v>945</v>
      </c>
      <c r="B87" t="s">
        <v>251</v>
      </c>
      <c r="C87" s="56">
        <v>42272</v>
      </c>
      <c r="D87"/>
      <c r="E87" s="57">
        <v>42276.799502314818</v>
      </c>
      <c r="F87" t="s">
        <v>119</v>
      </c>
      <c r="G87"/>
      <c r="H87" t="s">
        <v>8</v>
      </c>
      <c r="I87">
        <v>1</v>
      </c>
      <c r="J87" t="s">
        <v>8</v>
      </c>
      <c r="K87">
        <v>59.731418920000003</v>
      </c>
      <c r="L87" s="50">
        <f t="shared" si="3"/>
        <v>0.59731418920000001</v>
      </c>
      <c r="M87" s="50" t="str">
        <f t="shared" si="2"/>
        <v>Content 1</v>
      </c>
    </row>
    <row r="88" spans="1:13" ht="15">
      <c r="A88">
        <v>945</v>
      </c>
      <c r="B88" t="s">
        <v>251</v>
      </c>
      <c r="C88" s="56">
        <v>42272</v>
      </c>
      <c r="D88"/>
      <c r="E88" s="57">
        <v>42276.799502314818</v>
      </c>
      <c r="F88" t="s">
        <v>119</v>
      </c>
      <c r="G88"/>
      <c r="H88" t="s">
        <v>122</v>
      </c>
      <c r="I88">
        <v>2</v>
      </c>
      <c r="J88" t="s">
        <v>123</v>
      </c>
      <c r="K88"/>
      <c r="L88" s="50">
        <f t="shared" si="3"/>
        <v>0</v>
      </c>
      <c r="M88" s="50" t="str">
        <f t="shared" si="2"/>
        <v>Access 2</v>
      </c>
    </row>
    <row r="89" spans="1:13" ht="15">
      <c r="A89">
        <v>945</v>
      </c>
      <c r="B89" t="s">
        <v>251</v>
      </c>
      <c r="C89" s="56">
        <v>42272</v>
      </c>
      <c r="D89"/>
      <c r="E89" s="57">
        <v>42276.799502314818</v>
      </c>
      <c r="F89" t="s">
        <v>119</v>
      </c>
      <c r="G89"/>
      <c r="H89" t="s">
        <v>124</v>
      </c>
      <c r="I89">
        <v>8</v>
      </c>
      <c r="J89" t="s">
        <v>125</v>
      </c>
      <c r="K89">
        <v>58.522727269999997</v>
      </c>
      <c r="L89" s="50">
        <f t="shared" si="3"/>
        <v>0.58522727269999997</v>
      </c>
      <c r="M89" s="50" t="str">
        <f t="shared" si="2"/>
        <v>Content/Unassigned 8</v>
      </c>
    </row>
    <row r="90" spans="1:13" ht="15">
      <c r="A90">
        <v>945</v>
      </c>
      <c r="B90" t="s">
        <v>251</v>
      </c>
      <c r="C90" s="56">
        <v>42272</v>
      </c>
      <c r="D90"/>
      <c r="E90" s="57">
        <v>42276.799502314818</v>
      </c>
      <c r="F90" t="s">
        <v>119</v>
      </c>
      <c r="G90"/>
      <c r="H90" t="s">
        <v>126</v>
      </c>
      <c r="I90">
        <v>6</v>
      </c>
      <c r="J90" t="s">
        <v>127</v>
      </c>
      <c r="K90">
        <v>58.859516620000001</v>
      </c>
      <c r="L90" s="50">
        <f t="shared" si="3"/>
        <v>0.58859516619999996</v>
      </c>
      <c r="M90" s="50" t="str">
        <f t="shared" si="2"/>
        <v>Core Content 6</v>
      </c>
    </row>
    <row r="91" spans="1:13" ht="15">
      <c r="A91">
        <v>945</v>
      </c>
      <c r="B91" t="s">
        <v>251</v>
      </c>
      <c r="C91" s="56">
        <v>42272</v>
      </c>
      <c r="D91"/>
      <c r="E91" s="57">
        <v>42276.799502314818</v>
      </c>
      <c r="F91" t="s">
        <v>119</v>
      </c>
      <c r="G91"/>
      <c r="H91" t="s">
        <v>128</v>
      </c>
      <c r="I91">
        <v>7</v>
      </c>
      <c r="J91" t="s">
        <v>129</v>
      </c>
      <c r="K91"/>
      <c r="L91" s="50">
        <f t="shared" si="3"/>
        <v>0</v>
      </c>
      <c r="M91" s="50" t="str">
        <f t="shared" si="2"/>
        <v>User Generated Content 7</v>
      </c>
    </row>
    <row r="92" spans="1:13" ht="15">
      <c r="A92">
        <v>945</v>
      </c>
      <c r="B92" t="s">
        <v>251</v>
      </c>
      <c r="C92" s="56">
        <v>42272</v>
      </c>
      <c r="D92"/>
      <c r="E92" s="57">
        <v>42276.799502314818</v>
      </c>
      <c r="F92" t="s">
        <v>119</v>
      </c>
      <c r="G92"/>
      <c r="H92" t="s">
        <v>130</v>
      </c>
      <c r="I92">
        <v>4</v>
      </c>
      <c r="J92" t="s">
        <v>131</v>
      </c>
      <c r="K92">
        <v>76.25</v>
      </c>
      <c r="L92" s="50">
        <f t="shared" si="3"/>
        <v>0.76249999999999996</v>
      </c>
      <c r="M92" s="50" t="str">
        <f t="shared" si="2"/>
        <v>Content/Infrastructure 4</v>
      </c>
    </row>
    <row r="93" spans="1:13" ht="15">
      <c r="A93">
        <v>945</v>
      </c>
      <c r="B93" t="s">
        <v>251</v>
      </c>
      <c r="C93" s="56">
        <v>42272</v>
      </c>
      <c r="D93"/>
      <c r="E93" s="57">
        <v>42276.799502314818</v>
      </c>
      <c r="F93" t="s">
        <v>119</v>
      </c>
      <c r="G93"/>
      <c r="H93" t="s">
        <v>132</v>
      </c>
      <c r="I93">
        <v>5</v>
      </c>
      <c r="J93" t="s">
        <v>133</v>
      </c>
      <c r="K93">
        <v>76.388888890000004</v>
      </c>
      <c r="L93" s="50">
        <f t="shared" si="3"/>
        <v>0.76388888890000006</v>
      </c>
      <c r="M93" s="50" t="str">
        <f t="shared" si="2"/>
        <v>Content/Promotion 5</v>
      </c>
    </row>
    <row r="94" spans="1:13" ht="15">
      <c r="A94">
        <v>945</v>
      </c>
      <c r="B94" t="s">
        <v>251</v>
      </c>
      <c r="C94" s="56">
        <v>42272</v>
      </c>
      <c r="D94"/>
      <c r="E94" s="57">
        <v>42276.799502314818</v>
      </c>
      <c r="F94" t="s">
        <v>119</v>
      </c>
      <c r="G94"/>
      <c r="H94" t="s">
        <v>134</v>
      </c>
      <c r="I94">
        <v>3</v>
      </c>
      <c r="J94" t="s">
        <v>135</v>
      </c>
      <c r="K94">
        <v>50</v>
      </c>
      <c r="L94" s="50">
        <f t="shared" si="3"/>
        <v>0.5</v>
      </c>
      <c r="M94" s="50" t="str">
        <f t="shared" si="2"/>
        <v>Content/Appeal 3</v>
      </c>
    </row>
    <row r="95" spans="1:13" ht="15">
      <c r="A95">
        <v>945</v>
      </c>
      <c r="B95" t="s">
        <v>251</v>
      </c>
      <c r="C95" s="56">
        <v>42272</v>
      </c>
      <c r="D95"/>
      <c r="E95" s="57">
        <v>42276.799502314818</v>
      </c>
      <c r="F95" t="s">
        <v>119</v>
      </c>
      <c r="G95"/>
      <c r="H95" t="s">
        <v>136</v>
      </c>
      <c r="I95">
        <v>153</v>
      </c>
      <c r="J95" t="s">
        <v>136</v>
      </c>
      <c r="K95">
        <v>53.414046120000002</v>
      </c>
      <c r="L95" s="50">
        <f t="shared" si="3"/>
        <v>0.53414046120000003</v>
      </c>
      <c r="M95" s="50" t="str">
        <f t="shared" si="2"/>
        <v>Conversion 153</v>
      </c>
    </row>
    <row r="96" spans="1:13" ht="15">
      <c r="A96">
        <v>945</v>
      </c>
      <c r="B96" t="s">
        <v>251</v>
      </c>
      <c r="C96" s="56">
        <v>42272</v>
      </c>
      <c r="D96"/>
      <c r="E96" s="57">
        <v>42276.799502314818</v>
      </c>
      <c r="F96" t="s">
        <v>119</v>
      </c>
      <c r="G96"/>
      <c r="H96" t="s">
        <v>27</v>
      </c>
      <c r="I96">
        <v>73</v>
      </c>
      <c r="J96" t="s">
        <v>27</v>
      </c>
      <c r="K96">
        <v>68.565841340000006</v>
      </c>
      <c r="L96" s="50">
        <f t="shared" si="3"/>
        <v>0.68565841340000011</v>
      </c>
      <c r="M96" s="50" t="str">
        <f t="shared" si="2"/>
        <v>Customer Engagement 73</v>
      </c>
    </row>
    <row r="97" spans="1:13" ht="15">
      <c r="A97">
        <v>945</v>
      </c>
      <c r="B97" t="s">
        <v>251</v>
      </c>
      <c r="C97" s="56">
        <v>42272</v>
      </c>
      <c r="D97"/>
      <c r="E97" s="57">
        <v>42276.799502314818</v>
      </c>
      <c r="F97" t="s">
        <v>119</v>
      </c>
      <c r="G97"/>
      <c r="H97" t="s">
        <v>25</v>
      </c>
      <c r="I97">
        <v>74</v>
      </c>
      <c r="J97" t="s">
        <v>25</v>
      </c>
      <c r="K97">
        <v>68.076018520000005</v>
      </c>
      <c r="L97" s="50">
        <f t="shared" si="3"/>
        <v>0.68076018520000003</v>
      </c>
      <c r="M97" s="50" t="str">
        <f t="shared" si="2"/>
        <v>Demand Generation 74</v>
      </c>
    </row>
    <row r="98" spans="1:13" ht="15">
      <c r="A98">
        <v>945</v>
      </c>
      <c r="B98" t="s">
        <v>251</v>
      </c>
      <c r="C98" s="56">
        <v>42272</v>
      </c>
      <c r="D98"/>
      <c r="E98" s="57">
        <v>42276.799502314818</v>
      </c>
      <c r="F98" t="s">
        <v>119</v>
      </c>
      <c r="G98"/>
      <c r="H98" t="s">
        <v>66</v>
      </c>
      <c r="I98">
        <v>9</v>
      </c>
      <c r="J98" t="s">
        <v>66</v>
      </c>
      <c r="K98">
        <v>60.455764080000002</v>
      </c>
      <c r="L98" s="50">
        <f t="shared" si="3"/>
        <v>0.60455764079999996</v>
      </c>
      <c r="M98" s="50" t="str">
        <f t="shared" si="2"/>
        <v>E-Commerce 9</v>
      </c>
    </row>
    <row r="99" spans="1:13" ht="15">
      <c r="A99">
        <v>945</v>
      </c>
      <c r="B99" t="s">
        <v>251</v>
      </c>
      <c r="C99" s="56">
        <v>42272</v>
      </c>
      <c r="D99"/>
      <c r="E99" s="57">
        <v>42276.799502314818</v>
      </c>
      <c r="F99" t="s">
        <v>119</v>
      </c>
      <c r="G99"/>
      <c r="H99" t="s">
        <v>137</v>
      </c>
      <c r="I99">
        <v>10</v>
      </c>
      <c r="J99" t="s">
        <v>138</v>
      </c>
      <c r="K99"/>
      <c r="L99" s="50">
        <f t="shared" si="3"/>
        <v>0</v>
      </c>
      <c r="M99" s="50" t="str">
        <f t="shared" si="2"/>
        <v>Checkout 10</v>
      </c>
    </row>
    <row r="100" spans="1:13" ht="15">
      <c r="A100">
        <v>945</v>
      </c>
      <c r="B100" t="s">
        <v>251</v>
      </c>
      <c r="C100" s="56">
        <v>42272</v>
      </c>
      <c r="D100"/>
      <c r="E100" s="57">
        <v>42276.799502314818</v>
      </c>
      <c r="F100" t="s">
        <v>119</v>
      </c>
      <c r="G100"/>
      <c r="H100" t="s">
        <v>139</v>
      </c>
      <c r="I100">
        <v>11</v>
      </c>
      <c r="J100" t="s">
        <v>140</v>
      </c>
      <c r="K100"/>
      <c r="L100" s="50">
        <f t="shared" si="3"/>
        <v>0</v>
      </c>
      <c r="M100" s="50" t="str">
        <f t="shared" si="2"/>
        <v>E-Commerce/Infrastructure 11</v>
      </c>
    </row>
    <row r="101" spans="1:13" ht="15">
      <c r="A101">
        <v>945</v>
      </c>
      <c r="B101" t="s">
        <v>251</v>
      </c>
      <c r="C101" s="56">
        <v>42272</v>
      </c>
      <c r="D101"/>
      <c r="E101" s="57">
        <v>42276.799502314818</v>
      </c>
      <c r="F101" t="s">
        <v>119</v>
      </c>
      <c r="G101"/>
      <c r="H101" t="s">
        <v>141</v>
      </c>
      <c r="I101">
        <v>12</v>
      </c>
      <c r="J101" t="s">
        <v>142</v>
      </c>
      <c r="K101"/>
      <c r="L101" s="50">
        <f t="shared" si="3"/>
        <v>0</v>
      </c>
      <c r="M101" s="50" t="str">
        <f t="shared" si="2"/>
        <v>E-Commerce/Latency 12</v>
      </c>
    </row>
    <row r="102" spans="1:13" ht="15">
      <c r="A102">
        <v>945</v>
      </c>
      <c r="B102" t="s">
        <v>251</v>
      </c>
      <c r="C102" s="56">
        <v>42272</v>
      </c>
      <c r="D102"/>
      <c r="E102" s="57">
        <v>42276.799502314818</v>
      </c>
      <c r="F102" t="s">
        <v>119</v>
      </c>
      <c r="G102"/>
      <c r="H102" t="s">
        <v>143</v>
      </c>
      <c r="I102">
        <v>13</v>
      </c>
      <c r="J102" t="s">
        <v>144</v>
      </c>
      <c r="K102">
        <v>63.020833330000002</v>
      </c>
      <c r="L102" s="50">
        <f t="shared" si="3"/>
        <v>0.63020833330000003</v>
      </c>
      <c r="M102" s="50" t="str">
        <f t="shared" si="2"/>
        <v>Product Listings 13</v>
      </c>
    </row>
    <row r="103" spans="1:13" ht="15">
      <c r="A103">
        <v>945</v>
      </c>
      <c r="B103" t="s">
        <v>251</v>
      </c>
      <c r="C103" s="56">
        <v>42272</v>
      </c>
      <c r="D103"/>
      <c r="E103" s="57">
        <v>42276.799502314818</v>
      </c>
      <c r="F103" t="s">
        <v>119</v>
      </c>
      <c r="G103"/>
      <c r="H103" t="s">
        <v>145</v>
      </c>
      <c r="I103">
        <v>26</v>
      </c>
      <c r="J103" t="s">
        <v>146</v>
      </c>
      <c r="K103"/>
      <c r="L103" s="50">
        <f t="shared" si="3"/>
        <v>0</v>
      </c>
      <c r="M103" s="50" t="str">
        <f t="shared" si="2"/>
        <v>Site Functionality 26</v>
      </c>
    </row>
    <row r="104" spans="1:13" ht="15">
      <c r="A104">
        <v>945</v>
      </c>
      <c r="B104" t="s">
        <v>251</v>
      </c>
      <c r="C104" s="56">
        <v>42272</v>
      </c>
      <c r="D104"/>
      <c r="E104" s="57">
        <v>42276.799502314818</v>
      </c>
      <c r="F104" t="s">
        <v>119</v>
      </c>
      <c r="G104"/>
      <c r="H104" t="s">
        <v>147</v>
      </c>
      <c r="I104">
        <v>25</v>
      </c>
      <c r="J104" t="s">
        <v>148</v>
      </c>
      <c r="K104"/>
      <c r="L104" s="50">
        <f t="shared" si="3"/>
        <v>0</v>
      </c>
      <c r="M104" s="50" t="str">
        <f t="shared" si="2"/>
        <v>Product Listings/Reviews 25</v>
      </c>
    </row>
    <row r="105" spans="1:13" ht="15">
      <c r="A105">
        <v>945</v>
      </c>
      <c r="B105" t="s">
        <v>251</v>
      </c>
      <c r="C105" s="56">
        <v>42272</v>
      </c>
      <c r="D105"/>
      <c r="E105" s="57">
        <v>42276.799502314818</v>
      </c>
      <c r="F105" t="s">
        <v>119</v>
      </c>
      <c r="G105"/>
      <c r="H105" t="s">
        <v>149</v>
      </c>
      <c r="I105">
        <v>24</v>
      </c>
      <c r="J105" t="s">
        <v>150</v>
      </c>
      <c r="K105">
        <v>53.333333330000002</v>
      </c>
      <c r="L105" s="50">
        <f t="shared" si="3"/>
        <v>0.53333333329999999</v>
      </c>
      <c r="M105" s="50" t="str">
        <f t="shared" si="2"/>
        <v>PLP Usability 24</v>
      </c>
    </row>
    <row r="106" spans="1:13" ht="15">
      <c r="A106">
        <v>945</v>
      </c>
      <c r="B106" t="s">
        <v>251</v>
      </c>
      <c r="C106" s="56">
        <v>42272</v>
      </c>
      <c r="D106"/>
      <c r="E106" s="57">
        <v>42276.799502314818</v>
      </c>
      <c r="F106" t="s">
        <v>119</v>
      </c>
      <c r="G106"/>
      <c r="H106" t="s">
        <v>151</v>
      </c>
      <c r="I106">
        <v>23</v>
      </c>
      <c r="J106" t="s">
        <v>152</v>
      </c>
      <c r="K106">
        <v>65</v>
      </c>
      <c r="L106" s="50">
        <f t="shared" si="3"/>
        <v>0.65</v>
      </c>
      <c r="M106" s="50" t="str">
        <f t="shared" si="2"/>
        <v>PLP Merchandising 23</v>
      </c>
    </row>
    <row r="107" spans="1:13" ht="15">
      <c r="A107">
        <v>945</v>
      </c>
      <c r="B107" t="s">
        <v>251</v>
      </c>
      <c r="C107" s="56">
        <v>42272</v>
      </c>
      <c r="D107"/>
      <c r="E107" s="57">
        <v>42276.799502314818</v>
      </c>
      <c r="F107" t="s">
        <v>119</v>
      </c>
      <c r="G107"/>
      <c r="H107" t="s">
        <v>153</v>
      </c>
      <c r="I107">
        <v>20</v>
      </c>
      <c r="J107" t="s">
        <v>154</v>
      </c>
      <c r="K107">
        <v>65</v>
      </c>
      <c r="L107" s="50">
        <f t="shared" si="3"/>
        <v>0.65</v>
      </c>
      <c r="M107" s="50" t="str">
        <f t="shared" si="2"/>
        <v>Non-Product Site Content 20</v>
      </c>
    </row>
    <row r="108" spans="1:13" ht="15">
      <c r="A108">
        <v>945</v>
      </c>
      <c r="B108" t="s">
        <v>251</v>
      </c>
      <c r="C108" s="56">
        <v>42272</v>
      </c>
      <c r="D108"/>
      <c r="E108" s="57">
        <v>42276.799502314818</v>
      </c>
      <c r="F108" t="s">
        <v>119</v>
      </c>
      <c r="G108"/>
      <c r="H108" t="s">
        <v>155</v>
      </c>
      <c r="I108">
        <v>21</v>
      </c>
      <c r="J108" t="s">
        <v>156</v>
      </c>
      <c r="K108"/>
      <c r="L108" s="50">
        <f t="shared" si="3"/>
        <v>0</v>
      </c>
      <c r="M108" s="50" t="str">
        <f t="shared" si="2"/>
        <v>PLP Content 21</v>
      </c>
    </row>
    <row r="109" spans="1:13" ht="15">
      <c r="A109">
        <v>945</v>
      </c>
      <c r="B109" t="s">
        <v>251</v>
      </c>
      <c r="C109" s="56">
        <v>42272</v>
      </c>
      <c r="D109"/>
      <c r="E109" s="57">
        <v>42276.799502314818</v>
      </c>
      <c r="F109" t="s">
        <v>119</v>
      </c>
      <c r="G109"/>
      <c r="H109" t="s">
        <v>157</v>
      </c>
      <c r="I109">
        <v>22</v>
      </c>
      <c r="J109" t="s">
        <v>158</v>
      </c>
      <c r="K109">
        <v>70</v>
      </c>
      <c r="L109" s="50">
        <f t="shared" si="3"/>
        <v>0.7</v>
      </c>
      <c r="M109" s="50" t="str">
        <f t="shared" si="2"/>
        <v>PLP Functionality 22</v>
      </c>
    </row>
    <row r="110" spans="1:13" ht="15">
      <c r="A110">
        <v>945</v>
      </c>
      <c r="B110" t="s">
        <v>251</v>
      </c>
      <c r="C110" s="56">
        <v>42272</v>
      </c>
      <c r="D110"/>
      <c r="E110" s="57">
        <v>42276.799502314818</v>
      </c>
      <c r="F110" t="s">
        <v>119</v>
      </c>
      <c r="G110"/>
      <c r="H110" t="s">
        <v>159</v>
      </c>
      <c r="I110">
        <v>17</v>
      </c>
      <c r="J110" t="s">
        <v>160</v>
      </c>
      <c r="K110"/>
      <c r="L110" s="50">
        <f t="shared" si="3"/>
        <v>0</v>
      </c>
      <c r="M110" s="50" t="str">
        <f t="shared" si="2"/>
        <v>User Engagement 17</v>
      </c>
    </row>
    <row r="111" spans="1:13" ht="15">
      <c r="A111">
        <v>945</v>
      </c>
      <c r="B111" t="s">
        <v>251</v>
      </c>
      <c r="C111" s="56">
        <v>42272</v>
      </c>
      <c r="D111"/>
      <c r="E111" s="57">
        <v>42276.799502314818</v>
      </c>
      <c r="F111" t="s">
        <v>119</v>
      </c>
      <c r="G111"/>
      <c r="H111" t="s">
        <v>161</v>
      </c>
      <c r="I111">
        <v>16</v>
      </c>
      <c r="J111" t="s">
        <v>162</v>
      </c>
      <c r="K111"/>
      <c r="L111" s="50">
        <f t="shared" si="3"/>
        <v>0</v>
      </c>
      <c r="M111" s="50" t="str">
        <f t="shared" si="2"/>
        <v>Site Content 16</v>
      </c>
    </row>
    <row r="112" spans="1:13" ht="15">
      <c r="A112">
        <v>945</v>
      </c>
      <c r="B112" t="s">
        <v>251</v>
      </c>
      <c r="C112" s="56">
        <v>42272</v>
      </c>
      <c r="D112"/>
      <c r="E112" s="57">
        <v>42276.799502314818</v>
      </c>
      <c r="F112" t="s">
        <v>119</v>
      </c>
      <c r="G112"/>
      <c r="H112" t="s">
        <v>163</v>
      </c>
      <c r="I112">
        <v>144</v>
      </c>
      <c r="J112" t="s">
        <v>98</v>
      </c>
      <c r="K112">
        <v>58.842794759999997</v>
      </c>
      <c r="L112" s="50">
        <f t="shared" si="3"/>
        <v>0.58842794759999995</v>
      </c>
      <c r="M112" s="50" t="str">
        <f t="shared" si="2"/>
        <v>E-Commerce/Product Merchandising 144</v>
      </c>
    </row>
    <row r="113" spans="1:13" ht="15">
      <c r="A113">
        <v>945</v>
      </c>
      <c r="B113" t="s">
        <v>251</v>
      </c>
      <c r="C113" s="56">
        <v>42272</v>
      </c>
      <c r="D113"/>
      <c r="E113" s="57">
        <v>42276.799502314818</v>
      </c>
      <c r="F113" t="s">
        <v>119</v>
      </c>
      <c r="G113"/>
      <c r="H113" t="s">
        <v>164</v>
      </c>
      <c r="I113">
        <v>15</v>
      </c>
      <c r="J113" t="s">
        <v>165</v>
      </c>
      <c r="K113"/>
      <c r="L113" s="50">
        <f t="shared" si="3"/>
        <v>0</v>
      </c>
      <c r="M113" s="50" t="str">
        <f t="shared" si="2"/>
        <v>E-Commerce/Reviews 15</v>
      </c>
    </row>
    <row r="114" spans="1:13" ht="15">
      <c r="A114">
        <v>945</v>
      </c>
      <c r="B114" t="s">
        <v>251</v>
      </c>
      <c r="C114" s="56">
        <v>42272</v>
      </c>
      <c r="D114"/>
      <c r="E114" s="57">
        <v>42276.799502314818</v>
      </c>
      <c r="F114" t="s">
        <v>119</v>
      </c>
      <c r="G114"/>
      <c r="H114" t="s">
        <v>166</v>
      </c>
      <c r="I114">
        <v>14</v>
      </c>
      <c r="J114" t="s">
        <v>167</v>
      </c>
      <c r="K114"/>
      <c r="L114" s="50">
        <f t="shared" si="3"/>
        <v>0</v>
      </c>
      <c r="M114" s="50" t="str">
        <f t="shared" si="2"/>
        <v>Product Search 14</v>
      </c>
    </row>
    <row r="115" spans="1:13" ht="15">
      <c r="A115">
        <v>945</v>
      </c>
      <c r="B115" t="s">
        <v>251</v>
      </c>
      <c r="C115" s="56">
        <v>42272</v>
      </c>
      <c r="D115"/>
      <c r="E115" s="57">
        <v>42276.799502314818</v>
      </c>
      <c r="F115" t="s">
        <v>119</v>
      </c>
      <c r="G115"/>
      <c r="H115" t="s">
        <v>168</v>
      </c>
      <c r="I115">
        <v>19</v>
      </c>
      <c r="J115" t="s">
        <v>169</v>
      </c>
      <c r="K115"/>
      <c r="L115" s="50">
        <f t="shared" si="3"/>
        <v>0</v>
      </c>
      <c r="M115" s="50" t="str">
        <f t="shared" si="2"/>
        <v>E-Commerce/Unassigned 19</v>
      </c>
    </row>
    <row r="116" spans="1:13" ht="15">
      <c r="A116">
        <v>945</v>
      </c>
      <c r="B116" t="s">
        <v>251</v>
      </c>
      <c r="C116" s="56">
        <v>42272</v>
      </c>
      <c r="D116"/>
      <c r="E116" s="57">
        <v>42276.799502314818</v>
      </c>
      <c r="F116" t="s">
        <v>119</v>
      </c>
      <c r="G116"/>
      <c r="H116" t="s">
        <v>170</v>
      </c>
      <c r="I116">
        <v>18</v>
      </c>
      <c r="J116" t="s">
        <v>171</v>
      </c>
      <c r="K116"/>
      <c r="L116" s="50">
        <f t="shared" si="3"/>
        <v>0</v>
      </c>
      <c r="M116" s="50" t="str">
        <f t="shared" si="2"/>
        <v>Section Pages 18</v>
      </c>
    </row>
    <row r="117" spans="1:13" ht="15">
      <c r="A117">
        <v>945</v>
      </c>
      <c r="B117" t="s">
        <v>251</v>
      </c>
      <c r="C117" s="56">
        <v>42272</v>
      </c>
      <c r="D117"/>
      <c r="E117" s="57">
        <v>42276.799502314818</v>
      </c>
      <c r="F117" t="s">
        <v>119</v>
      </c>
      <c r="G117"/>
      <c r="H117" t="s">
        <v>5</v>
      </c>
      <c r="I117">
        <v>27</v>
      </c>
      <c r="J117" t="s">
        <v>5</v>
      </c>
      <c r="K117">
        <v>69.296296299999995</v>
      </c>
      <c r="L117" s="50">
        <f t="shared" si="3"/>
        <v>0.69296296299999993</v>
      </c>
      <c r="M117" s="50" t="str">
        <f t="shared" si="2"/>
        <v>Mobile 27</v>
      </c>
    </row>
    <row r="118" spans="1:13" ht="15">
      <c r="A118">
        <v>945</v>
      </c>
      <c r="B118" t="s">
        <v>251</v>
      </c>
      <c r="C118" s="56">
        <v>42272</v>
      </c>
      <c r="D118"/>
      <c r="E118" s="57">
        <v>42276.799502314818</v>
      </c>
      <c r="F118" t="s">
        <v>119</v>
      </c>
      <c r="G118"/>
      <c r="H118" t="s">
        <v>172</v>
      </c>
      <c r="I118">
        <v>29</v>
      </c>
      <c r="J118" t="s">
        <v>173</v>
      </c>
      <c r="K118"/>
      <c r="L118" s="50">
        <f t="shared" si="3"/>
        <v>0</v>
      </c>
      <c r="M118" s="50" t="str">
        <f t="shared" si="2"/>
        <v>Mobile/Content 29</v>
      </c>
    </row>
    <row r="119" spans="1:13" ht="15">
      <c r="A119">
        <v>945</v>
      </c>
      <c r="B119" t="s">
        <v>251</v>
      </c>
      <c r="C119" s="56">
        <v>42272</v>
      </c>
      <c r="D119"/>
      <c r="E119" s="57">
        <v>42276.799502314818</v>
      </c>
      <c r="F119" t="s">
        <v>119</v>
      </c>
      <c r="G119"/>
      <c r="H119" t="s">
        <v>174</v>
      </c>
      <c r="I119">
        <v>28</v>
      </c>
      <c r="J119" t="s">
        <v>175</v>
      </c>
      <c r="K119">
        <v>58.1875</v>
      </c>
      <c r="L119" s="50">
        <f t="shared" si="3"/>
        <v>0.58187500000000003</v>
      </c>
      <c r="M119" s="50" t="str">
        <f t="shared" si="2"/>
        <v>Compatibility 28</v>
      </c>
    </row>
    <row r="120" spans="1:13" ht="15">
      <c r="A120">
        <v>945</v>
      </c>
      <c r="B120" t="s">
        <v>251</v>
      </c>
      <c r="C120" s="56">
        <v>42272</v>
      </c>
      <c r="D120"/>
      <c r="E120" s="57">
        <v>42276.799502314818</v>
      </c>
      <c r="F120" t="s">
        <v>119</v>
      </c>
      <c r="G120"/>
      <c r="H120" t="s">
        <v>176</v>
      </c>
      <c r="I120">
        <v>31</v>
      </c>
      <c r="J120" t="s">
        <v>177</v>
      </c>
      <c r="K120">
        <v>100</v>
      </c>
      <c r="L120" s="50">
        <f t="shared" si="3"/>
        <v>1</v>
      </c>
      <c r="M120" s="50" t="str">
        <f t="shared" si="2"/>
        <v>Mobile/Infrastructure 31</v>
      </c>
    </row>
    <row r="121" spans="1:13" ht="15">
      <c r="A121">
        <v>945</v>
      </c>
      <c r="B121" t="s">
        <v>251</v>
      </c>
      <c r="C121" s="56">
        <v>42272</v>
      </c>
      <c r="D121"/>
      <c r="E121" s="57">
        <v>42276.799502314818</v>
      </c>
      <c r="F121" t="s">
        <v>119</v>
      </c>
      <c r="G121"/>
      <c r="H121" t="s">
        <v>178</v>
      </c>
      <c r="I121">
        <v>30</v>
      </c>
      <c r="J121" t="s">
        <v>179</v>
      </c>
      <c r="K121">
        <v>68</v>
      </c>
      <c r="L121" s="50">
        <f t="shared" si="3"/>
        <v>0.68</v>
      </c>
      <c r="M121" s="50" t="str">
        <f t="shared" si="2"/>
        <v>Functionality 30</v>
      </c>
    </row>
    <row r="122" spans="1:13" ht="15">
      <c r="A122">
        <v>945</v>
      </c>
      <c r="B122" t="s">
        <v>251</v>
      </c>
      <c r="C122" s="56">
        <v>42272</v>
      </c>
      <c r="D122"/>
      <c r="E122" s="57">
        <v>42276.799502314818</v>
      </c>
      <c r="F122" t="s">
        <v>119</v>
      </c>
      <c r="G122"/>
      <c r="H122" t="s">
        <v>180</v>
      </c>
      <c r="I122">
        <v>32</v>
      </c>
      <c r="J122" t="s">
        <v>181</v>
      </c>
      <c r="K122"/>
      <c r="L122" s="50">
        <f t="shared" si="3"/>
        <v>0</v>
      </c>
      <c r="M122" s="50" t="str">
        <f t="shared" si="2"/>
        <v>Mobile/Latency 32</v>
      </c>
    </row>
    <row r="123" spans="1:13" ht="15">
      <c r="A123">
        <v>945</v>
      </c>
      <c r="B123" t="s">
        <v>251</v>
      </c>
      <c r="C123" s="56">
        <v>42272</v>
      </c>
      <c r="D123"/>
      <c r="E123" s="57">
        <v>42276.799502314818</v>
      </c>
      <c r="F123" t="s">
        <v>119</v>
      </c>
      <c r="G123"/>
      <c r="H123" t="s">
        <v>182</v>
      </c>
      <c r="I123">
        <v>33</v>
      </c>
      <c r="J123" t="s">
        <v>183</v>
      </c>
      <c r="K123"/>
      <c r="L123" s="50">
        <f t="shared" si="3"/>
        <v>0</v>
      </c>
      <c r="M123" s="50" t="str">
        <f t="shared" si="2"/>
        <v>Mobile/Promotion 33</v>
      </c>
    </row>
    <row r="124" spans="1:13" ht="15">
      <c r="A124">
        <v>945</v>
      </c>
      <c r="B124" t="s">
        <v>251</v>
      </c>
      <c r="C124" s="56">
        <v>42272</v>
      </c>
      <c r="D124"/>
      <c r="E124" s="57">
        <v>42276.799502314818</v>
      </c>
      <c r="F124" t="s">
        <v>119</v>
      </c>
      <c r="G124"/>
      <c r="H124" t="s">
        <v>184</v>
      </c>
      <c r="I124">
        <v>68</v>
      </c>
      <c r="J124" t="s">
        <v>184</v>
      </c>
      <c r="K124"/>
      <c r="L124" s="50">
        <f t="shared" si="3"/>
        <v>0</v>
      </c>
      <c r="M124" s="50" t="str">
        <f t="shared" si="2"/>
        <v>Online Channel 68</v>
      </c>
    </row>
    <row r="125" spans="1:13" ht="15">
      <c r="A125">
        <v>945</v>
      </c>
      <c r="B125" t="s">
        <v>251</v>
      </c>
      <c r="C125" s="56">
        <v>42272</v>
      </c>
      <c r="D125"/>
      <c r="E125" s="57">
        <v>42276.799502314818</v>
      </c>
      <c r="F125" t="s">
        <v>119</v>
      </c>
      <c r="G125"/>
      <c r="H125" t="s">
        <v>185</v>
      </c>
      <c r="I125">
        <v>69</v>
      </c>
      <c r="J125" t="s">
        <v>13</v>
      </c>
      <c r="K125"/>
      <c r="L125" s="50">
        <f t="shared" si="3"/>
        <v>0</v>
      </c>
      <c r="M125" s="50" t="str">
        <f t="shared" si="2"/>
        <v>E-Referral 69</v>
      </c>
    </row>
    <row r="126" spans="1:13" ht="15">
      <c r="A126">
        <v>945</v>
      </c>
      <c r="B126" t="s">
        <v>251</v>
      </c>
      <c r="C126" s="56">
        <v>42272</v>
      </c>
      <c r="D126"/>
      <c r="E126" s="57">
        <v>42276.799502314818</v>
      </c>
      <c r="F126" t="s">
        <v>119</v>
      </c>
      <c r="G126"/>
      <c r="H126" t="s">
        <v>186</v>
      </c>
      <c r="I126">
        <v>71</v>
      </c>
      <c r="J126" t="s">
        <v>187</v>
      </c>
      <c r="K126"/>
      <c r="L126" s="50">
        <f t="shared" si="3"/>
        <v>0</v>
      </c>
      <c r="M126" s="50" t="str">
        <f t="shared" si="2"/>
        <v>Online Channel/Product Merchandising 71</v>
      </c>
    </row>
    <row r="127" spans="1:13" ht="15">
      <c r="A127">
        <v>945</v>
      </c>
      <c r="B127" t="s">
        <v>251</v>
      </c>
      <c r="C127" s="56">
        <v>42272</v>
      </c>
      <c r="D127"/>
      <c r="E127" s="57">
        <v>42276.799502314818</v>
      </c>
      <c r="F127" t="s">
        <v>119</v>
      </c>
      <c r="G127"/>
      <c r="H127" t="s">
        <v>188</v>
      </c>
      <c r="I127">
        <v>70</v>
      </c>
      <c r="J127" t="s">
        <v>189</v>
      </c>
      <c r="K127"/>
      <c r="L127" s="50">
        <f t="shared" si="3"/>
        <v>0</v>
      </c>
      <c r="M127" s="50" t="str">
        <f t="shared" si="2"/>
        <v>Brand Merchandising 70</v>
      </c>
    </row>
    <row r="128" spans="1:13" ht="15">
      <c r="A128">
        <v>945</v>
      </c>
      <c r="B128" t="s">
        <v>251</v>
      </c>
      <c r="C128" s="56">
        <v>42272</v>
      </c>
      <c r="D128"/>
      <c r="E128" s="57">
        <v>42276.799502314818</v>
      </c>
      <c r="F128" t="s">
        <v>119</v>
      </c>
      <c r="G128"/>
      <c r="H128" t="s">
        <v>26</v>
      </c>
      <c r="I128">
        <v>75</v>
      </c>
      <c r="J128" t="s">
        <v>26</v>
      </c>
      <c r="K128">
        <v>57.170853270000002</v>
      </c>
      <c r="L128" s="50">
        <f t="shared" si="3"/>
        <v>0.57170853269999999</v>
      </c>
      <c r="M128" s="50" t="str">
        <f t="shared" si="2"/>
        <v>Opportunity Conversion 75</v>
      </c>
    </row>
    <row r="129" spans="1:13" ht="15">
      <c r="A129">
        <v>945</v>
      </c>
      <c r="B129" t="s">
        <v>251</v>
      </c>
      <c r="C129" s="56">
        <v>42272</v>
      </c>
      <c r="D129"/>
      <c r="E129" s="57">
        <v>42276.799502314818</v>
      </c>
      <c r="F129" t="s">
        <v>119</v>
      </c>
      <c r="G129"/>
      <c r="H129" t="s">
        <v>11</v>
      </c>
      <c r="I129">
        <v>34</v>
      </c>
      <c r="J129" t="s">
        <v>11</v>
      </c>
      <c r="K129">
        <v>62.947077409999999</v>
      </c>
      <c r="L129" s="50">
        <f t="shared" si="3"/>
        <v>0.62947077409999996</v>
      </c>
      <c r="M129" s="50" t="str">
        <f t="shared" si="2"/>
        <v>SEM 34</v>
      </c>
    </row>
    <row r="130" spans="1:13" ht="15">
      <c r="A130">
        <v>945</v>
      </c>
      <c r="B130" t="s">
        <v>251</v>
      </c>
      <c r="C130" s="56">
        <v>42272</v>
      </c>
      <c r="D130"/>
      <c r="E130" s="57">
        <v>42276.799502314818</v>
      </c>
      <c r="F130" t="s">
        <v>119</v>
      </c>
      <c r="G130"/>
      <c r="H130" t="s">
        <v>190</v>
      </c>
      <c r="I130">
        <v>37</v>
      </c>
      <c r="J130" t="s">
        <v>191</v>
      </c>
      <c r="K130">
        <v>60.79132791</v>
      </c>
      <c r="L130" s="50">
        <f t="shared" si="3"/>
        <v>0.60791327910000004</v>
      </c>
      <c r="M130" s="50" t="str">
        <f t="shared" ref="M130:M193" si="4">CONCATENATE(J130," ",I130)</f>
        <v>SEM/Content 37</v>
      </c>
    </row>
    <row r="131" spans="1:13" ht="15">
      <c r="A131">
        <v>945</v>
      </c>
      <c r="B131" t="s">
        <v>251</v>
      </c>
      <c r="C131" s="56">
        <v>42272</v>
      </c>
      <c r="D131"/>
      <c r="E131" s="57">
        <v>42276.799502314818</v>
      </c>
      <c r="F131" t="s">
        <v>119</v>
      </c>
      <c r="G131"/>
      <c r="H131" t="s">
        <v>192</v>
      </c>
      <c r="I131">
        <v>38</v>
      </c>
      <c r="J131" t="s">
        <v>193</v>
      </c>
      <c r="K131"/>
      <c r="L131" s="50">
        <f t="shared" ref="L131:L194" si="5">K131/100</f>
        <v>0</v>
      </c>
      <c r="M131" s="50" t="str">
        <f t="shared" si="4"/>
        <v>Inclusion 38</v>
      </c>
    </row>
    <row r="132" spans="1:13" ht="15">
      <c r="A132">
        <v>945</v>
      </c>
      <c r="B132" t="s">
        <v>251</v>
      </c>
      <c r="C132" s="56">
        <v>42272</v>
      </c>
      <c r="D132"/>
      <c r="E132" s="57">
        <v>42276.799502314818</v>
      </c>
      <c r="F132" t="s">
        <v>119</v>
      </c>
      <c r="G132"/>
      <c r="H132" t="s">
        <v>194</v>
      </c>
      <c r="I132">
        <v>35</v>
      </c>
      <c r="J132" t="s">
        <v>195</v>
      </c>
      <c r="K132"/>
      <c r="L132" s="50">
        <f t="shared" si="5"/>
        <v>0</v>
      </c>
      <c r="M132" s="50" t="str">
        <f t="shared" si="4"/>
        <v>Advertising 35</v>
      </c>
    </row>
    <row r="133" spans="1:13" ht="15">
      <c r="A133">
        <v>945</v>
      </c>
      <c r="B133" t="s">
        <v>251</v>
      </c>
      <c r="C133" s="56">
        <v>42272</v>
      </c>
      <c r="D133"/>
      <c r="E133" s="57">
        <v>42276.799502314818</v>
      </c>
      <c r="F133" t="s">
        <v>119</v>
      </c>
      <c r="G133"/>
      <c r="H133" t="s">
        <v>196</v>
      </c>
      <c r="I133">
        <v>36</v>
      </c>
      <c r="J133" t="s">
        <v>197</v>
      </c>
      <c r="K133">
        <v>65.918674699999997</v>
      </c>
      <c r="L133" s="50">
        <f t="shared" si="5"/>
        <v>0.65918674700000002</v>
      </c>
      <c r="M133" s="50" t="str">
        <f t="shared" si="4"/>
        <v>Constructs 36</v>
      </c>
    </row>
    <row r="134" spans="1:13" ht="15">
      <c r="A134">
        <v>945</v>
      </c>
      <c r="B134" t="s">
        <v>251</v>
      </c>
      <c r="C134" s="56">
        <v>42272</v>
      </c>
      <c r="D134"/>
      <c r="E134" s="57">
        <v>42276.799502314818</v>
      </c>
      <c r="F134" t="s">
        <v>119</v>
      </c>
      <c r="G134"/>
      <c r="H134" t="s">
        <v>198</v>
      </c>
      <c r="I134">
        <v>41</v>
      </c>
      <c r="J134" t="s">
        <v>199</v>
      </c>
      <c r="K134"/>
      <c r="L134" s="50">
        <f t="shared" si="5"/>
        <v>0</v>
      </c>
      <c r="M134" s="50" t="str">
        <f t="shared" si="4"/>
        <v>SEM/Unassigned 41</v>
      </c>
    </row>
    <row r="135" spans="1:13" ht="15">
      <c r="A135">
        <v>945</v>
      </c>
      <c r="B135" t="s">
        <v>251</v>
      </c>
      <c r="C135" s="56">
        <v>42272</v>
      </c>
      <c r="D135"/>
      <c r="E135" s="57">
        <v>42276.799502314818</v>
      </c>
      <c r="F135" t="s">
        <v>119</v>
      </c>
      <c r="G135"/>
      <c r="H135" t="s">
        <v>200</v>
      </c>
      <c r="I135">
        <v>39</v>
      </c>
      <c r="J135" t="s">
        <v>201</v>
      </c>
      <c r="K135">
        <v>66.650000000000006</v>
      </c>
      <c r="L135" s="50">
        <f t="shared" si="5"/>
        <v>0.66650000000000009</v>
      </c>
      <c r="M135" s="50" t="str">
        <f t="shared" si="4"/>
        <v>SEM/Infrastructure 39</v>
      </c>
    </row>
    <row r="136" spans="1:13" ht="15">
      <c r="A136">
        <v>945</v>
      </c>
      <c r="B136" t="s">
        <v>251</v>
      </c>
      <c r="C136" s="56">
        <v>42272</v>
      </c>
      <c r="D136"/>
      <c r="E136" s="57">
        <v>42276.799502314818</v>
      </c>
      <c r="F136" t="s">
        <v>119</v>
      </c>
      <c r="G136"/>
      <c r="H136" t="s">
        <v>202</v>
      </c>
      <c r="I136">
        <v>40</v>
      </c>
      <c r="J136" t="s">
        <v>203</v>
      </c>
      <c r="K136"/>
      <c r="L136" s="50">
        <f t="shared" si="5"/>
        <v>0</v>
      </c>
      <c r="M136" s="50" t="str">
        <f t="shared" si="4"/>
        <v>Ranking 40</v>
      </c>
    </row>
    <row r="137" spans="1:13" ht="15">
      <c r="A137">
        <v>945</v>
      </c>
      <c r="B137" t="s">
        <v>251</v>
      </c>
      <c r="C137" s="56">
        <v>42272</v>
      </c>
      <c r="D137"/>
      <c r="E137" s="57">
        <v>42276.799502314818</v>
      </c>
      <c r="F137" t="s">
        <v>119</v>
      </c>
      <c r="G137"/>
      <c r="H137" t="s">
        <v>99</v>
      </c>
      <c r="I137">
        <v>42</v>
      </c>
      <c r="J137" t="s">
        <v>99</v>
      </c>
      <c r="K137">
        <v>68.181818179999993</v>
      </c>
      <c r="L137" s="50">
        <f t="shared" si="5"/>
        <v>0.68181818179999998</v>
      </c>
      <c r="M137" s="50" t="str">
        <f t="shared" si="4"/>
        <v>Social Media 42</v>
      </c>
    </row>
    <row r="138" spans="1:13" ht="15">
      <c r="A138">
        <v>945</v>
      </c>
      <c r="B138" t="s">
        <v>251</v>
      </c>
      <c r="C138" s="56">
        <v>42272</v>
      </c>
      <c r="D138"/>
      <c r="E138" s="57">
        <v>42276.799502314818</v>
      </c>
      <c r="F138" t="s">
        <v>119</v>
      </c>
      <c r="G138"/>
      <c r="H138" t="s">
        <v>204</v>
      </c>
      <c r="I138">
        <v>52</v>
      </c>
      <c r="J138" t="s">
        <v>205</v>
      </c>
      <c r="K138"/>
      <c r="L138" s="50">
        <f t="shared" si="5"/>
        <v>0</v>
      </c>
      <c r="M138" s="50" t="str">
        <f t="shared" si="4"/>
        <v>Social Media/Unassigned 52</v>
      </c>
    </row>
    <row r="139" spans="1:13" ht="15">
      <c r="A139">
        <v>945</v>
      </c>
      <c r="B139" t="s">
        <v>251</v>
      </c>
      <c r="C139" s="56">
        <v>42272</v>
      </c>
      <c r="D139"/>
      <c r="E139" s="57">
        <v>42276.799502314818</v>
      </c>
      <c r="F139" t="s">
        <v>119</v>
      </c>
      <c r="G139"/>
      <c r="H139" t="s">
        <v>206</v>
      </c>
      <c r="I139">
        <v>51</v>
      </c>
      <c r="J139" t="s">
        <v>75</v>
      </c>
      <c r="K139">
        <v>88.235294120000006</v>
      </c>
      <c r="L139" s="50">
        <f t="shared" si="5"/>
        <v>0.88235294120000007</v>
      </c>
      <c r="M139" s="50" t="str">
        <f t="shared" si="4"/>
        <v>YouTube 51</v>
      </c>
    </row>
    <row r="140" spans="1:13" ht="15">
      <c r="A140">
        <v>945</v>
      </c>
      <c r="B140" t="s">
        <v>251</v>
      </c>
      <c r="C140" s="56">
        <v>42272</v>
      </c>
      <c r="D140"/>
      <c r="E140" s="57">
        <v>42276.799502314818</v>
      </c>
      <c r="F140" t="s">
        <v>119</v>
      </c>
      <c r="G140"/>
      <c r="H140" t="s">
        <v>207</v>
      </c>
      <c r="I140">
        <v>50</v>
      </c>
      <c r="J140" t="s">
        <v>77</v>
      </c>
      <c r="K140">
        <v>100</v>
      </c>
      <c r="L140" s="50">
        <f t="shared" si="5"/>
        <v>1</v>
      </c>
      <c r="M140" s="50" t="str">
        <f t="shared" si="4"/>
        <v>Twitter 50</v>
      </c>
    </row>
    <row r="141" spans="1:13" ht="15">
      <c r="A141">
        <v>945</v>
      </c>
      <c r="B141" t="s">
        <v>251</v>
      </c>
      <c r="C141" s="56">
        <v>42272</v>
      </c>
      <c r="D141"/>
      <c r="E141" s="57">
        <v>42276.799502314818</v>
      </c>
      <c r="F141" t="s">
        <v>119</v>
      </c>
      <c r="G141"/>
      <c r="H141" t="s">
        <v>208</v>
      </c>
      <c r="I141">
        <v>49</v>
      </c>
      <c r="J141" t="s">
        <v>209</v>
      </c>
      <c r="K141">
        <v>50</v>
      </c>
      <c r="L141" s="50">
        <f t="shared" si="5"/>
        <v>0.5</v>
      </c>
      <c r="M141" s="50" t="str">
        <f t="shared" si="4"/>
        <v>Social Media/Promotion 49</v>
      </c>
    </row>
    <row r="142" spans="1:13" ht="15">
      <c r="A142">
        <v>945</v>
      </c>
      <c r="B142" t="s">
        <v>251</v>
      </c>
      <c r="C142" s="56">
        <v>42272</v>
      </c>
      <c r="D142"/>
      <c r="E142" s="57">
        <v>42276.799502314818</v>
      </c>
      <c r="F142" t="s">
        <v>119</v>
      </c>
      <c r="G142"/>
      <c r="H142" t="s">
        <v>210</v>
      </c>
      <c r="I142">
        <v>48</v>
      </c>
      <c r="J142" t="s">
        <v>211</v>
      </c>
      <c r="K142"/>
      <c r="L142" s="50">
        <f t="shared" si="5"/>
        <v>0</v>
      </c>
      <c r="M142" s="50" t="str">
        <f t="shared" si="4"/>
        <v>Other Social Networks 48</v>
      </c>
    </row>
    <row r="143" spans="1:13" ht="15">
      <c r="A143">
        <v>945</v>
      </c>
      <c r="B143" t="s">
        <v>251</v>
      </c>
      <c r="C143" s="56">
        <v>42272</v>
      </c>
      <c r="D143"/>
      <c r="E143" s="57">
        <v>42276.799502314818</v>
      </c>
      <c r="F143" t="s">
        <v>119</v>
      </c>
      <c r="G143"/>
      <c r="H143" t="s">
        <v>212</v>
      </c>
      <c r="I143">
        <v>47</v>
      </c>
      <c r="J143" t="s">
        <v>213</v>
      </c>
      <c r="K143"/>
      <c r="L143" s="50">
        <f t="shared" si="5"/>
        <v>0</v>
      </c>
      <c r="M143" s="50" t="str">
        <f t="shared" si="4"/>
        <v>LinkedIn 47</v>
      </c>
    </row>
    <row r="144" spans="1:13" ht="15">
      <c r="A144">
        <v>945</v>
      </c>
      <c r="B144" t="s">
        <v>251</v>
      </c>
      <c r="C144" s="56">
        <v>42272</v>
      </c>
      <c r="D144"/>
      <c r="E144" s="57">
        <v>42276.799502314818</v>
      </c>
      <c r="F144" t="s">
        <v>119</v>
      </c>
      <c r="G144"/>
      <c r="H144" t="s">
        <v>214</v>
      </c>
      <c r="I144">
        <v>44</v>
      </c>
      <c r="J144" t="s">
        <v>215</v>
      </c>
      <c r="K144"/>
      <c r="L144" s="50">
        <f t="shared" si="5"/>
        <v>0</v>
      </c>
      <c r="M144" s="50" t="str">
        <f t="shared" si="4"/>
        <v>Social Media/Content 44</v>
      </c>
    </row>
    <row r="145" spans="1:13" ht="15">
      <c r="A145">
        <v>945</v>
      </c>
      <c r="B145" t="s">
        <v>251</v>
      </c>
      <c r="C145" s="56">
        <v>42272</v>
      </c>
      <c r="D145"/>
      <c r="E145" s="57">
        <v>42276.799502314818</v>
      </c>
      <c r="F145" t="s">
        <v>119</v>
      </c>
      <c r="G145"/>
      <c r="H145" t="s">
        <v>216</v>
      </c>
      <c r="I145">
        <v>46</v>
      </c>
      <c r="J145" t="s">
        <v>217</v>
      </c>
      <c r="K145">
        <v>65.38461538</v>
      </c>
      <c r="L145" s="50">
        <f t="shared" si="5"/>
        <v>0.6538461538</v>
      </c>
      <c r="M145" s="50" t="str">
        <f t="shared" si="4"/>
        <v>Social Media/Infrastructure 46</v>
      </c>
    </row>
    <row r="146" spans="1:13" ht="15">
      <c r="A146">
        <v>945</v>
      </c>
      <c r="B146" t="s">
        <v>251</v>
      </c>
      <c r="C146" s="56">
        <v>42272</v>
      </c>
      <c r="D146"/>
      <c r="E146" s="57">
        <v>42276.799502314818</v>
      </c>
      <c r="F146" t="s">
        <v>119</v>
      </c>
      <c r="G146"/>
      <c r="H146" t="s">
        <v>218</v>
      </c>
      <c r="I146">
        <v>45</v>
      </c>
      <c r="J146" t="s">
        <v>76</v>
      </c>
      <c r="K146">
        <v>45.689655170000002</v>
      </c>
      <c r="L146" s="50">
        <f t="shared" si="5"/>
        <v>0.45689655170000004</v>
      </c>
      <c r="M146" s="50" t="str">
        <f t="shared" si="4"/>
        <v>Facebook 45</v>
      </c>
    </row>
    <row r="147" spans="1:13" ht="15">
      <c r="A147">
        <v>945</v>
      </c>
      <c r="B147" t="s">
        <v>251</v>
      </c>
      <c r="C147" s="56">
        <v>42272</v>
      </c>
      <c r="D147"/>
      <c r="E147" s="57">
        <v>42276.799502314818</v>
      </c>
      <c r="F147" t="s">
        <v>119</v>
      </c>
      <c r="G147"/>
      <c r="H147" t="s">
        <v>219</v>
      </c>
      <c r="I147">
        <v>43</v>
      </c>
      <c r="J147" t="s">
        <v>220</v>
      </c>
      <c r="K147"/>
      <c r="L147" s="50">
        <f t="shared" si="5"/>
        <v>0</v>
      </c>
      <c r="M147" s="50" t="str">
        <f t="shared" si="4"/>
        <v>Social Media/Appeal 43</v>
      </c>
    </row>
    <row r="148" spans="1:13" ht="15">
      <c r="A148">
        <v>945</v>
      </c>
      <c r="B148" t="s">
        <v>251</v>
      </c>
      <c r="C148" s="56">
        <v>42272</v>
      </c>
      <c r="D148"/>
      <c r="E148" s="57">
        <v>42276.799502314818</v>
      </c>
      <c r="F148" t="s">
        <v>119</v>
      </c>
      <c r="G148"/>
      <c r="H148" t="s">
        <v>10</v>
      </c>
      <c r="I148">
        <v>53</v>
      </c>
      <c r="J148" t="s">
        <v>10</v>
      </c>
      <c r="K148">
        <v>65.202492210000003</v>
      </c>
      <c r="L148" s="50">
        <f t="shared" si="5"/>
        <v>0.65202492210000007</v>
      </c>
      <c r="M148" s="50" t="str">
        <f t="shared" si="4"/>
        <v>Support 53</v>
      </c>
    </row>
    <row r="149" spans="1:13" ht="15">
      <c r="A149">
        <v>945</v>
      </c>
      <c r="B149" t="s">
        <v>251</v>
      </c>
      <c r="C149" s="56">
        <v>42272</v>
      </c>
      <c r="D149"/>
      <c r="E149" s="57">
        <v>42276.799502314818</v>
      </c>
      <c r="F149" t="s">
        <v>119</v>
      </c>
      <c r="G149"/>
      <c r="H149" t="s">
        <v>221</v>
      </c>
      <c r="I149">
        <v>151</v>
      </c>
      <c r="J149" t="s">
        <v>221</v>
      </c>
      <c r="K149">
        <v>61.629440719999998</v>
      </c>
      <c r="L149" s="50">
        <f t="shared" si="5"/>
        <v>0.61629440719999995</v>
      </c>
      <c r="M149" s="50" t="str">
        <f t="shared" si="4"/>
        <v>Task Completion 151</v>
      </c>
    </row>
    <row r="150" spans="1:13" ht="15">
      <c r="A150">
        <v>945</v>
      </c>
      <c r="B150" t="s">
        <v>251</v>
      </c>
      <c r="C150" s="56">
        <v>42272</v>
      </c>
      <c r="D150"/>
      <c r="E150" s="57">
        <v>42276.799502314818</v>
      </c>
      <c r="F150" t="s">
        <v>119</v>
      </c>
      <c r="G150"/>
      <c r="H150" t="s">
        <v>222</v>
      </c>
      <c r="I150">
        <v>152</v>
      </c>
      <c r="J150" t="s">
        <v>222</v>
      </c>
      <c r="K150">
        <v>62.657652239999997</v>
      </c>
      <c r="L150" s="50">
        <f t="shared" si="5"/>
        <v>0.62657652239999995</v>
      </c>
      <c r="M150" s="50" t="str">
        <f t="shared" si="4"/>
        <v>Time Spent on Site 152</v>
      </c>
    </row>
    <row r="151" spans="1:13" ht="15">
      <c r="A151">
        <v>945</v>
      </c>
      <c r="B151" t="s">
        <v>251</v>
      </c>
      <c r="C151" s="56">
        <v>42272</v>
      </c>
      <c r="D151"/>
      <c r="E151" s="57">
        <v>42276.799502314818</v>
      </c>
      <c r="F151" t="s">
        <v>119</v>
      </c>
      <c r="G151"/>
      <c r="H151" t="s">
        <v>223</v>
      </c>
      <c r="I151">
        <v>149</v>
      </c>
      <c r="J151" t="s">
        <v>223</v>
      </c>
      <c r="K151">
        <v>64.609118089999996</v>
      </c>
      <c r="L151" s="50">
        <f t="shared" si="5"/>
        <v>0.64609118089999995</v>
      </c>
      <c r="M151" s="50" t="str">
        <f t="shared" si="4"/>
        <v>Traffic 149</v>
      </c>
    </row>
    <row r="152" spans="1:13" ht="15">
      <c r="A152">
        <v>945</v>
      </c>
      <c r="B152" t="s">
        <v>251</v>
      </c>
      <c r="C152" s="56">
        <v>42272</v>
      </c>
      <c r="D152"/>
      <c r="E152" s="57">
        <v>42276.799502314818</v>
      </c>
      <c r="F152" t="s">
        <v>119</v>
      </c>
      <c r="G152"/>
      <c r="H152" t="s">
        <v>4</v>
      </c>
      <c r="I152">
        <v>54</v>
      </c>
      <c r="J152" t="s">
        <v>4</v>
      </c>
      <c r="K152">
        <v>66.992875780000006</v>
      </c>
      <c r="L152" s="50">
        <f t="shared" si="5"/>
        <v>0.66992875780000005</v>
      </c>
      <c r="M152" s="50" t="str">
        <f t="shared" si="4"/>
        <v>Website 54</v>
      </c>
    </row>
    <row r="153" spans="1:13" ht="15">
      <c r="A153">
        <v>945</v>
      </c>
      <c r="B153" t="s">
        <v>251</v>
      </c>
      <c r="C153" s="56">
        <v>42272</v>
      </c>
      <c r="D153"/>
      <c r="E153" s="57">
        <v>42276.799502314818</v>
      </c>
      <c r="F153" t="s">
        <v>119</v>
      </c>
      <c r="G153"/>
      <c r="H153" t="s">
        <v>224</v>
      </c>
      <c r="I153">
        <v>57</v>
      </c>
      <c r="J153" t="s">
        <v>225</v>
      </c>
      <c r="K153"/>
      <c r="L153" s="50">
        <f t="shared" si="5"/>
        <v>0</v>
      </c>
      <c r="M153" s="50" t="str">
        <f t="shared" si="4"/>
        <v>E-Retail 57</v>
      </c>
    </row>
    <row r="154" spans="1:13" ht="15">
      <c r="A154">
        <v>945</v>
      </c>
      <c r="B154" t="s">
        <v>251</v>
      </c>
      <c r="C154" s="56">
        <v>42272</v>
      </c>
      <c r="D154"/>
      <c r="E154" s="57">
        <v>42276.799502314818</v>
      </c>
      <c r="F154" t="s">
        <v>119</v>
      </c>
      <c r="G154"/>
      <c r="H154" t="s">
        <v>226</v>
      </c>
      <c r="I154">
        <v>58</v>
      </c>
      <c r="J154" t="s">
        <v>227</v>
      </c>
      <c r="K154">
        <v>75.487804879999999</v>
      </c>
      <c r="L154" s="50">
        <f t="shared" si="5"/>
        <v>0.75487804879999998</v>
      </c>
      <c r="M154" s="50" t="str">
        <f t="shared" si="4"/>
        <v>Website/Infrastructure 58</v>
      </c>
    </row>
    <row r="155" spans="1:13" ht="15">
      <c r="A155">
        <v>945</v>
      </c>
      <c r="B155" t="s">
        <v>251</v>
      </c>
      <c r="C155" s="56">
        <v>42272</v>
      </c>
      <c r="D155"/>
      <c r="E155" s="57">
        <v>42276.799502314818</v>
      </c>
      <c r="F155" t="s">
        <v>119</v>
      </c>
      <c r="G155"/>
      <c r="H155" t="s">
        <v>228</v>
      </c>
      <c r="I155">
        <v>59</v>
      </c>
      <c r="J155" t="s">
        <v>229</v>
      </c>
      <c r="K155">
        <v>68.903508770000002</v>
      </c>
      <c r="L155" s="50">
        <f t="shared" si="5"/>
        <v>0.68903508769999999</v>
      </c>
      <c r="M155" s="50" t="str">
        <f t="shared" si="4"/>
        <v>Website/Latency 59</v>
      </c>
    </row>
    <row r="156" spans="1:13" ht="15">
      <c r="A156">
        <v>945</v>
      </c>
      <c r="B156" t="s">
        <v>251</v>
      </c>
      <c r="C156" s="56">
        <v>42272</v>
      </c>
      <c r="D156"/>
      <c r="E156" s="57">
        <v>42276.799502314818</v>
      </c>
      <c r="F156" t="s">
        <v>119</v>
      </c>
      <c r="G156"/>
      <c r="H156" t="s">
        <v>230</v>
      </c>
      <c r="I156">
        <v>60</v>
      </c>
      <c r="J156" t="s">
        <v>231</v>
      </c>
      <c r="K156">
        <v>61.470588239999998</v>
      </c>
      <c r="L156" s="50">
        <f t="shared" si="5"/>
        <v>0.61470588240000001</v>
      </c>
      <c r="M156" s="50" t="str">
        <f t="shared" si="4"/>
        <v>Website/Promotion 60</v>
      </c>
    </row>
    <row r="157" spans="1:13" ht="15">
      <c r="A157">
        <v>945</v>
      </c>
      <c r="B157" t="s">
        <v>251</v>
      </c>
      <c r="C157" s="56">
        <v>42272</v>
      </c>
      <c r="D157"/>
      <c r="E157" s="57">
        <v>42276.799502314818</v>
      </c>
      <c r="F157" t="s">
        <v>119</v>
      </c>
      <c r="G157"/>
      <c r="H157" t="s">
        <v>232</v>
      </c>
      <c r="I157">
        <v>55</v>
      </c>
      <c r="J157" t="s">
        <v>233</v>
      </c>
      <c r="K157"/>
      <c r="L157" s="50">
        <f t="shared" si="5"/>
        <v>0</v>
      </c>
      <c r="M157" s="50" t="str">
        <f t="shared" si="4"/>
        <v>Website/Appeal 55</v>
      </c>
    </row>
    <row r="158" spans="1:13" ht="15">
      <c r="A158">
        <v>945</v>
      </c>
      <c r="B158" t="s">
        <v>251</v>
      </c>
      <c r="C158" s="56">
        <v>42272</v>
      </c>
      <c r="D158"/>
      <c r="E158" s="57">
        <v>42276.799502314818</v>
      </c>
      <c r="F158" t="s">
        <v>119</v>
      </c>
      <c r="G158"/>
      <c r="H158" t="s">
        <v>234</v>
      </c>
      <c r="I158">
        <v>56</v>
      </c>
      <c r="J158" t="s">
        <v>235</v>
      </c>
      <c r="K158">
        <v>57.655440409999997</v>
      </c>
      <c r="L158" s="50">
        <f t="shared" si="5"/>
        <v>0.57655440409999992</v>
      </c>
      <c r="M158" s="50" t="str">
        <f t="shared" si="4"/>
        <v>Website/Content 56</v>
      </c>
    </row>
    <row r="159" spans="1:13" ht="15">
      <c r="A159">
        <v>945</v>
      </c>
      <c r="B159" t="s">
        <v>251</v>
      </c>
      <c r="C159" s="56">
        <v>42272</v>
      </c>
      <c r="D159"/>
      <c r="E159" s="57">
        <v>42276.799502314818</v>
      </c>
      <c r="F159" t="s">
        <v>119</v>
      </c>
      <c r="G159"/>
      <c r="H159" t="s">
        <v>236</v>
      </c>
      <c r="I159">
        <v>61</v>
      </c>
      <c r="J159" t="s">
        <v>237</v>
      </c>
      <c r="K159"/>
      <c r="L159" s="50">
        <f t="shared" si="5"/>
        <v>0</v>
      </c>
      <c r="M159" s="50" t="str">
        <f t="shared" si="4"/>
        <v>Website/Reviews 61</v>
      </c>
    </row>
    <row r="160" spans="1:13" ht="15">
      <c r="A160">
        <v>945</v>
      </c>
      <c r="B160" t="s">
        <v>251</v>
      </c>
      <c r="C160" s="56">
        <v>42272</v>
      </c>
      <c r="D160"/>
      <c r="E160" s="57">
        <v>42276.799502314818</v>
      </c>
      <c r="F160" t="s">
        <v>119</v>
      </c>
      <c r="G160"/>
      <c r="H160" t="s">
        <v>238</v>
      </c>
      <c r="I160">
        <v>66</v>
      </c>
      <c r="J160" t="s">
        <v>9</v>
      </c>
      <c r="K160">
        <v>55</v>
      </c>
      <c r="L160" s="50">
        <f t="shared" si="5"/>
        <v>0.55000000000000004</v>
      </c>
      <c r="M160" s="50" t="str">
        <f t="shared" si="4"/>
        <v>User Registration 66</v>
      </c>
    </row>
    <row r="161" spans="1:13" ht="15">
      <c r="A161">
        <v>945</v>
      </c>
      <c r="B161" t="s">
        <v>251</v>
      </c>
      <c r="C161" s="56">
        <v>42272</v>
      </c>
      <c r="D161"/>
      <c r="E161" s="57">
        <v>42276.799502314818</v>
      </c>
      <c r="F161" t="s">
        <v>119</v>
      </c>
      <c r="G161"/>
      <c r="H161" t="s">
        <v>239</v>
      </c>
      <c r="I161">
        <v>67</v>
      </c>
      <c r="J161" t="s">
        <v>240</v>
      </c>
      <c r="K161"/>
      <c r="L161" s="50">
        <f t="shared" si="5"/>
        <v>0</v>
      </c>
      <c r="M161" s="50" t="str">
        <f t="shared" si="4"/>
        <v>Website/Unassigned 67</v>
      </c>
    </row>
    <row r="162" spans="1:13" ht="15">
      <c r="A162">
        <v>945</v>
      </c>
      <c r="B162" t="s">
        <v>251</v>
      </c>
      <c r="C162" s="56">
        <v>42272</v>
      </c>
      <c r="D162"/>
      <c r="E162" s="57">
        <v>42276.799502314818</v>
      </c>
      <c r="F162" t="s">
        <v>119</v>
      </c>
      <c r="G162"/>
      <c r="H162" t="s">
        <v>241</v>
      </c>
      <c r="I162">
        <v>64</v>
      </c>
      <c r="J162" t="s">
        <v>242</v>
      </c>
      <c r="K162"/>
      <c r="L162" s="50">
        <f t="shared" si="5"/>
        <v>0</v>
      </c>
      <c r="M162" s="50" t="str">
        <f t="shared" si="4"/>
        <v>Website/Traffic 64</v>
      </c>
    </row>
    <row r="163" spans="1:13" ht="15">
      <c r="A163">
        <v>945</v>
      </c>
      <c r="B163" t="s">
        <v>251</v>
      </c>
      <c r="C163" s="56">
        <v>42272</v>
      </c>
      <c r="D163"/>
      <c r="E163" s="57">
        <v>42276.799502314818</v>
      </c>
      <c r="F163" t="s">
        <v>119</v>
      </c>
      <c r="G163"/>
      <c r="H163" t="s">
        <v>243</v>
      </c>
      <c r="I163">
        <v>65</v>
      </c>
      <c r="J163" t="s">
        <v>80</v>
      </c>
      <c r="K163">
        <v>79.862745099999998</v>
      </c>
      <c r="L163" s="50">
        <f t="shared" si="5"/>
        <v>0.79862745099999999</v>
      </c>
      <c r="M163" s="50" t="str">
        <f t="shared" si="4"/>
        <v>Usability 65</v>
      </c>
    </row>
    <row r="164" spans="1:13" ht="15">
      <c r="A164">
        <v>945</v>
      </c>
      <c r="B164" t="s">
        <v>251</v>
      </c>
      <c r="C164" s="56">
        <v>42272</v>
      </c>
      <c r="D164"/>
      <c r="E164" s="57">
        <v>42276.799502314818</v>
      </c>
      <c r="F164" t="s">
        <v>119</v>
      </c>
      <c r="G164"/>
      <c r="H164" t="s">
        <v>244</v>
      </c>
      <c r="I164">
        <v>63</v>
      </c>
      <c r="J164" t="s">
        <v>245</v>
      </c>
      <c r="K164">
        <v>59.895522389999996</v>
      </c>
      <c r="L164" s="50">
        <f t="shared" si="5"/>
        <v>0.5989552239</v>
      </c>
      <c r="M164" s="50" t="str">
        <f t="shared" si="4"/>
        <v>Site Search 63</v>
      </c>
    </row>
    <row r="165" spans="1:13" ht="15">
      <c r="A165">
        <v>945</v>
      </c>
      <c r="B165" t="s">
        <v>251</v>
      </c>
      <c r="C165" s="56">
        <v>42272</v>
      </c>
      <c r="D165"/>
      <c r="E165" s="57">
        <v>42276.799502314818</v>
      </c>
      <c r="F165" t="s">
        <v>119</v>
      </c>
      <c r="G165"/>
      <c r="H165" t="s">
        <v>246</v>
      </c>
      <c r="I165">
        <v>62</v>
      </c>
      <c r="J165" t="s">
        <v>247</v>
      </c>
      <c r="K165">
        <v>50</v>
      </c>
      <c r="L165" s="50">
        <f t="shared" si="5"/>
        <v>0.5</v>
      </c>
      <c r="M165" s="50" t="str">
        <f t="shared" si="4"/>
        <v>Search Engine Constructs 62</v>
      </c>
    </row>
    <row r="166" spans="1:13" ht="15">
      <c r="A166">
        <v>946</v>
      </c>
      <c r="B166" t="s">
        <v>252</v>
      </c>
      <c r="C166" s="56">
        <v>42272</v>
      </c>
      <c r="D166"/>
      <c r="E166" s="57">
        <v>42276.799583333333</v>
      </c>
      <c r="F166" t="s">
        <v>119</v>
      </c>
      <c r="G166"/>
      <c r="H166" t="s">
        <v>120</v>
      </c>
      <c r="I166">
        <v>150</v>
      </c>
      <c r="J166" t="s">
        <v>120</v>
      </c>
      <c r="K166">
        <v>63.731604050000001</v>
      </c>
      <c r="L166" s="50">
        <f t="shared" si="5"/>
        <v>0.63731604050000001</v>
      </c>
      <c r="M166" s="50" t="str">
        <f t="shared" si="4"/>
        <v>Abandonment 150</v>
      </c>
    </row>
    <row r="167" spans="1:13" ht="15">
      <c r="A167">
        <v>946</v>
      </c>
      <c r="B167" t="s">
        <v>252</v>
      </c>
      <c r="C167" s="56">
        <v>42272</v>
      </c>
      <c r="D167"/>
      <c r="E167" s="57">
        <v>42276.799583333333</v>
      </c>
      <c r="F167" t="s">
        <v>119</v>
      </c>
      <c r="G167"/>
      <c r="H167" t="s">
        <v>121</v>
      </c>
      <c r="I167">
        <v>154</v>
      </c>
      <c r="J167" t="s">
        <v>121</v>
      </c>
      <c r="K167">
        <v>55</v>
      </c>
      <c r="L167" s="50">
        <f t="shared" si="5"/>
        <v>0.55000000000000004</v>
      </c>
      <c r="M167" s="50" t="str">
        <f t="shared" si="4"/>
        <v>Average Order Value 154</v>
      </c>
    </row>
    <row r="168" spans="1:13" ht="15">
      <c r="A168">
        <v>946</v>
      </c>
      <c r="B168" t="s">
        <v>252</v>
      </c>
      <c r="C168" s="56">
        <v>42272</v>
      </c>
      <c r="D168"/>
      <c r="E168" s="57">
        <v>42276.799583333333</v>
      </c>
      <c r="F168" t="s">
        <v>119</v>
      </c>
      <c r="G168"/>
      <c r="H168" t="s">
        <v>24</v>
      </c>
      <c r="I168">
        <v>72</v>
      </c>
      <c r="J168" t="s">
        <v>24</v>
      </c>
      <c r="K168">
        <v>67.309294870000002</v>
      </c>
      <c r="L168" s="50">
        <f t="shared" si="5"/>
        <v>0.67309294870000003</v>
      </c>
      <c r="M168" s="50" t="str">
        <f t="shared" si="4"/>
        <v>Awareness Creation 72</v>
      </c>
    </row>
    <row r="169" spans="1:13" ht="15">
      <c r="A169">
        <v>946</v>
      </c>
      <c r="B169" t="s">
        <v>252</v>
      </c>
      <c r="C169" s="56">
        <v>42272</v>
      </c>
      <c r="D169"/>
      <c r="E169" s="57">
        <v>42276.799583333333</v>
      </c>
      <c r="F169" t="s">
        <v>119</v>
      </c>
      <c r="G169"/>
      <c r="H169" t="s">
        <v>8</v>
      </c>
      <c r="I169">
        <v>1</v>
      </c>
      <c r="J169" t="s">
        <v>8</v>
      </c>
      <c r="K169">
        <v>58.378378380000001</v>
      </c>
      <c r="L169" s="50">
        <f t="shared" si="5"/>
        <v>0.58378378379999996</v>
      </c>
      <c r="M169" s="50" t="str">
        <f t="shared" si="4"/>
        <v>Content 1</v>
      </c>
    </row>
    <row r="170" spans="1:13" ht="15">
      <c r="A170">
        <v>946</v>
      </c>
      <c r="B170" t="s">
        <v>252</v>
      </c>
      <c r="C170" s="56">
        <v>42272</v>
      </c>
      <c r="D170"/>
      <c r="E170" s="57">
        <v>42276.799583333333</v>
      </c>
      <c r="F170" t="s">
        <v>119</v>
      </c>
      <c r="G170"/>
      <c r="H170" t="s">
        <v>122</v>
      </c>
      <c r="I170">
        <v>2</v>
      </c>
      <c r="J170" t="s">
        <v>123</v>
      </c>
      <c r="K170"/>
      <c r="L170" s="50">
        <f t="shared" si="5"/>
        <v>0</v>
      </c>
      <c r="M170" s="50" t="str">
        <f t="shared" si="4"/>
        <v>Access 2</v>
      </c>
    </row>
    <row r="171" spans="1:13" ht="15">
      <c r="A171">
        <v>946</v>
      </c>
      <c r="B171" t="s">
        <v>252</v>
      </c>
      <c r="C171" s="56">
        <v>42272</v>
      </c>
      <c r="D171"/>
      <c r="E171" s="57">
        <v>42276.799583333333</v>
      </c>
      <c r="F171" t="s">
        <v>119</v>
      </c>
      <c r="G171"/>
      <c r="H171" t="s">
        <v>124</v>
      </c>
      <c r="I171">
        <v>8</v>
      </c>
      <c r="J171" t="s">
        <v>125</v>
      </c>
      <c r="K171">
        <v>57.575757580000001</v>
      </c>
      <c r="L171" s="50">
        <f t="shared" si="5"/>
        <v>0.57575757579999998</v>
      </c>
      <c r="M171" s="50" t="str">
        <f t="shared" si="4"/>
        <v>Content/Unassigned 8</v>
      </c>
    </row>
    <row r="172" spans="1:13" ht="15">
      <c r="A172">
        <v>946</v>
      </c>
      <c r="B172" t="s">
        <v>252</v>
      </c>
      <c r="C172" s="56">
        <v>42272</v>
      </c>
      <c r="D172"/>
      <c r="E172" s="57">
        <v>42276.799583333333</v>
      </c>
      <c r="F172" t="s">
        <v>119</v>
      </c>
      <c r="G172"/>
      <c r="H172" t="s">
        <v>126</v>
      </c>
      <c r="I172">
        <v>6</v>
      </c>
      <c r="J172" t="s">
        <v>127</v>
      </c>
      <c r="K172">
        <v>57.296072510000002</v>
      </c>
      <c r="L172" s="50">
        <f t="shared" si="5"/>
        <v>0.57296072510000007</v>
      </c>
      <c r="M172" s="50" t="str">
        <f t="shared" si="4"/>
        <v>Core Content 6</v>
      </c>
    </row>
    <row r="173" spans="1:13" ht="15">
      <c r="A173">
        <v>946</v>
      </c>
      <c r="B173" t="s">
        <v>252</v>
      </c>
      <c r="C173" s="56">
        <v>42272</v>
      </c>
      <c r="D173"/>
      <c r="E173" s="57">
        <v>42276.799583333333</v>
      </c>
      <c r="F173" t="s">
        <v>119</v>
      </c>
      <c r="G173"/>
      <c r="H173" t="s">
        <v>128</v>
      </c>
      <c r="I173">
        <v>7</v>
      </c>
      <c r="J173" t="s">
        <v>129</v>
      </c>
      <c r="K173"/>
      <c r="L173" s="50">
        <f t="shared" si="5"/>
        <v>0</v>
      </c>
      <c r="M173" s="50" t="str">
        <f t="shared" si="4"/>
        <v>User Generated Content 7</v>
      </c>
    </row>
    <row r="174" spans="1:13" ht="15">
      <c r="A174">
        <v>946</v>
      </c>
      <c r="B174" t="s">
        <v>252</v>
      </c>
      <c r="C174" s="56">
        <v>42272</v>
      </c>
      <c r="D174"/>
      <c r="E174" s="57">
        <v>42276.799583333333</v>
      </c>
      <c r="F174" t="s">
        <v>119</v>
      </c>
      <c r="G174"/>
      <c r="H174" t="s">
        <v>130</v>
      </c>
      <c r="I174">
        <v>4</v>
      </c>
      <c r="J174" t="s">
        <v>131</v>
      </c>
      <c r="K174">
        <v>75</v>
      </c>
      <c r="L174" s="50">
        <f t="shared" si="5"/>
        <v>0.75</v>
      </c>
      <c r="M174" s="50" t="str">
        <f t="shared" si="4"/>
        <v>Content/Infrastructure 4</v>
      </c>
    </row>
    <row r="175" spans="1:13" ht="15">
      <c r="A175">
        <v>946</v>
      </c>
      <c r="B175" t="s">
        <v>252</v>
      </c>
      <c r="C175" s="56">
        <v>42272</v>
      </c>
      <c r="D175"/>
      <c r="E175" s="57">
        <v>42276.799583333333</v>
      </c>
      <c r="F175" t="s">
        <v>119</v>
      </c>
      <c r="G175"/>
      <c r="H175" t="s">
        <v>132</v>
      </c>
      <c r="I175">
        <v>5</v>
      </c>
      <c r="J175" t="s">
        <v>133</v>
      </c>
      <c r="K175">
        <v>75</v>
      </c>
      <c r="L175" s="50">
        <f t="shared" si="5"/>
        <v>0.75</v>
      </c>
      <c r="M175" s="50" t="str">
        <f t="shared" si="4"/>
        <v>Content/Promotion 5</v>
      </c>
    </row>
    <row r="176" spans="1:13" ht="15">
      <c r="A176">
        <v>946</v>
      </c>
      <c r="B176" t="s">
        <v>252</v>
      </c>
      <c r="C176" s="56">
        <v>42272</v>
      </c>
      <c r="D176"/>
      <c r="E176" s="57">
        <v>42276.799583333333</v>
      </c>
      <c r="F176" t="s">
        <v>119</v>
      </c>
      <c r="G176"/>
      <c r="H176" t="s">
        <v>134</v>
      </c>
      <c r="I176">
        <v>3</v>
      </c>
      <c r="J176" t="s">
        <v>135</v>
      </c>
      <c r="K176">
        <v>74</v>
      </c>
      <c r="L176" s="50">
        <f t="shared" si="5"/>
        <v>0.74</v>
      </c>
      <c r="M176" s="50" t="str">
        <f t="shared" si="4"/>
        <v>Content/Appeal 3</v>
      </c>
    </row>
    <row r="177" spans="1:13" ht="15">
      <c r="A177">
        <v>946</v>
      </c>
      <c r="B177" t="s">
        <v>252</v>
      </c>
      <c r="C177" s="56">
        <v>42272</v>
      </c>
      <c r="D177"/>
      <c r="E177" s="57">
        <v>42276.799583333333</v>
      </c>
      <c r="F177" t="s">
        <v>119</v>
      </c>
      <c r="G177"/>
      <c r="H177" t="s">
        <v>136</v>
      </c>
      <c r="I177">
        <v>153</v>
      </c>
      <c r="J177" t="s">
        <v>136</v>
      </c>
      <c r="K177">
        <v>53.619480520000003</v>
      </c>
      <c r="L177" s="50">
        <f t="shared" si="5"/>
        <v>0.53619480520000007</v>
      </c>
      <c r="M177" s="50" t="str">
        <f t="shared" si="4"/>
        <v>Conversion 153</v>
      </c>
    </row>
    <row r="178" spans="1:13" ht="15">
      <c r="A178">
        <v>946</v>
      </c>
      <c r="B178" t="s">
        <v>252</v>
      </c>
      <c r="C178" s="56">
        <v>42272</v>
      </c>
      <c r="D178"/>
      <c r="E178" s="57">
        <v>42276.799583333333</v>
      </c>
      <c r="F178" t="s">
        <v>119</v>
      </c>
      <c r="G178"/>
      <c r="H178" t="s">
        <v>27</v>
      </c>
      <c r="I178">
        <v>73</v>
      </c>
      <c r="J178" t="s">
        <v>27</v>
      </c>
      <c r="K178">
        <v>64.640532759999999</v>
      </c>
      <c r="L178" s="50">
        <f t="shared" si="5"/>
        <v>0.64640532760000002</v>
      </c>
      <c r="M178" s="50" t="str">
        <f t="shared" si="4"/>
        <v>Customer Engagement 73</v>
      </c>
    </row>
    <row r="179" spans="1:13" ht="15">
      <c r="A179">
        <v>946</v>
      </c>
      <c r="B179" t="s">
        <v>252</v>
      </c>
      <c r="C179" s="56">
        <v>42272</v>
      </c>
      <c r="D179"/>
      <c r="E179" s="57">
        <v>42276.799583333333</v>
      </c>
      <c r="F179" t="s">
        <v>119</v>
      </c>
      <c r="G179"/>
      <c r="H179" t="s">
        <v>25</v>
      </c>
      <c r="I179">
        <v>74</v>
      </c>
      <c r="J179" t="s">
        <v>25</v>
      </c>
      <c r="K179">
        <v>66.17525028</v>
      </c>
      <c r="L179" s="50">
        <f t="shared" si="5"/>
        <v>0.66175250279999998</v>
      </c>
      <c r="M179" s="50" t="str">
        <f t="shared" si="4"/>
        <v>Demand Generation 74</v>
      </c>
    </row>
    <row r="180" spans="1:13" ht="15">
      <c r="A180">
        <v>946</v>
      </c>
      <c r="B180" t="s">
        <v>252</v>
      </c>
      <c r="C180" s="56">
        <v>42272</v>
      </c>
      <c r="D180"/>
      <c r="E180" s="57">
        <v>42276.799583333333</v>
      </c>
      <c r="F180" t="s">
        <v>119</v>
      </c>
      <c r="G180"/>
      <c r="H180" t="s">
        <v>66</v>
      </c>
      <c r="I180">
        <v>9</v>
      </c>
      <c r="J180" t="s">
        <v>66</v>
      </c>
      <c r="K180">
        <v>61.62601626</v>
      </c>
      <c r="L180" s="50">
        <f t="shared" si="5"/>
        <v>0.61626016260000005</v>
      </c>
      <c r="M180" s="50" t="str">
        <f t="shared" si="4"/>
        <v>E-Commerce 9</v>
      </c>
    </row>
    <row r="181" spans="1:13" ht="15">
      <c r="A181">
        <v>946</v>
      </c>
      <c r="B181" t="s">
        <v>252</v>
      </c>
      <c r="C181" s="56">
        <v>42272</v>
      </c>
      <c r="D181"/>
      <c r="E181" s="57">
        <v>42276.799583333333</v>
      </c>
      <c r="F181" t="s">
        <v>119</v>
      </c>
      <c r="G181"/>
      <c r="H181" t="s">
        <v>137</v>
      </c>
      <c r="I181">
        <v>10</v>
      </c>
      <c r="J181" t="s">
        <v>138</v>
      </c>
      <c r="K181"/>
      <c r="L181" s="50">
        <f t="shared" si="5"/>
        <v>0</v>
      </c>
      <c r="M181" s="50" t="str">
        <f t="shared" si="4"/>
        <v>Checkout 10</v>
      </c>
    </row>
    <row r="182" spans="1:13" ht="15">
      <c r="A182">
        <v>946</v>
      </c>
      <c r="B182" t="s">
        <v>252</v>
      </c>
      <c r="C182" s="56">
        <v>42272</v>
      </c>
      <c r="D182"/>
      <c r="E182" s="57">
        <v>42276.799583333333</v>
      </c>
      <c r="F182" t="s">
        <v>119</v>
      </c>
      <c r="G182"/>
      <c r="H182" t="s">
        <v>139</v>
      </c>
      <c r="I182">
        <v>11</v>
      </c>
      <c r="J182" t="s">
        <v>140</v>
      </c>
      <c r="K182"/>
      <c r="L182" s="50">
        <f t="shared" si="5"/>
        <v>0</v>
      </c>
      <c r="M182" s="50" t="str">
        <f t="shared" si="4"/>
        <v>E-Commerce/Infrastructure 11</v>
      </c>
    </row>
    <row r="183" spans="1:13" ht="15">
      <c r="A183">
        <v>946</v>
      </c>
      <c r="B183" t="s">
        <v>252</v>
      </c>
      <c r="C183" s="56">
        <v>42272</v>
      </c>
      <c r="D183"/>
      <c r="E183" s="57">
        <v>42276.799583333333</v>
      </c>
      <c r="F183" t="s">
        <v>119</v>
      </c>
      <c r="G183"/>
      <c r="H183" t="s">
        <v>141</v>
      </c>
      <c r="I183">
        <v>12</v>
      </c>
      <c r="J183" t="s">
        <v>142</v>
      </c>
      <c r="K183"/>
      <c r="L183" s="50">
        <f t="shared" si="5"/>
        <v>0</v>
      </c>
      <c r="M183" s="50" t="str">
        <f t="shared" si="4"/>
        <v>E-Commerce/Latency 12</v>
      </c>
    </row>
    <row r="184" spans="1:13" ht="15">
      <c r="A184">
        <v>946</v>
      </c>
      <c r="B184" t="s">
        <v>252</v>
      </c>
      <c r="C184" s="56">
        <v>42272</v>
      </c>
      <c r="D184"/>
      <c r="E184" s="57">
        <v>42276.799583333333</v>
      </c>
      <c r="F184" t="s">
        <v>119</v>
      </c>
      <c r="G184"/>
      <c r="H184" t="s">
        <v>143</v>
      </c>
      <c r="I184">
        <v>13</v>
      </c>
      <c r="J184" t="s">
        <v>144</v>
      </c>
      <c r="K184">
        <v>61.514084510000004</v>
      </c>
      <c r="L184" s="50">
        <f t="shared" si="5"/>
        <v>0.6151408451</v>
      </c>
      <c r="M184" s="50" t="str">
        <f t="shared" si="4"/>
        <v>Product Listings 13</v>
      </c>
    </row>
    <row r="185" spans="1:13" ht="15">
      <c r="A185">
        <v>946</v>
      </c>
      <c r="B185" t="s">
        <v>252</v>
      </c>
      <c r="C185" s="56">
        <v>42272</v>
      </c>
      <c r="D185"/>
      <c r="E185" s="57">
        <v>42276.799583333333</v>
      </c>
      <c r="F185" t="s">
        <v>119</v>
      </c>
      <c r="G185"/>
      <c r="H185" t="s">
        <v>145</v>
      </c>
      <c r="I185">
        <v>26</v>
      </c>
      <c r="J185" t="s">
        <v>146</v>
      </c>
      <c r="K185"/>
      <c r="L185" s="50">
        <f t="shared" si="5"/>
        <v>0</v>
      </c>
      <c r="M185" s="50" t="str">
        <f t="shared" si="4"/>
        <v>Site Functionality 26</v>
      </c>
    </row>
    <row r="186" spans="1:13" ht="15">
      <c r="A186">
        <v>946</v>
      </c>
      <c r="B186" t="s">
        <v>252</v>
      </c>
      <c r="C186" s="56">
        <v>42272</v>
      </c>
      <c r="D186"/>
      <c r="E186" s="57">
        <v>42276.799583333333</v>
      </c>
      <c r="F186" t="s">
        <v>119</v>
      </c>
      <c r="G186"/>
      <c r="H186" t="s">
        <v>147</v>
      </c>
      <c r="I186">
        <v>25</v>
      </c>
      <c r="J186" t="s">
        <v>148</v>
      </c>
      <c r="K186"/>
      <c r="L186" s="50">
        <f t="shared" si="5"/>
        <v>0</v>
      </c>
      <c r="M186" s="50" t="str">
        <f t="shared" si="4"/>
        <v>Product Listings/Reviews 25</v>
      </c>
    </row>
    <row r="187" spans="1:13" ht="15">
      <c r="A187">
        <v>946</v>
      </c>
      <c r="B187" t="s">
        <v>252</v>
      </c>
      <c r="C187" s="56">
        <v>42272</v>
      </c>
      <c r="D187"/>
      <c r="E187" s="57">
        <v>42276.799583333333</v>
      </c>
      <c r="F187" t="s">
        <v>119</v>
      </c>
      <c r="G187"/>
      <c r="H187" t="s">
        <v>149</v>
      </c>
      <c r="I187">
        <v>24</v>
      </c>
      <c r="J187" t="s">
        <v>150</v>
      </c>
      <c r="K187">
        <v>64.444444439999998</v>
      </c>
      <c r="L187" s="50">
        <f t="shared" si="5"/>
        <v>0.64444444439999993</v>
      </c>
      <c r="M187" s="50" t="str">
        <f t="shared" si="4"/>
        <v>PLP Usability 24</v>
      </c>
    </row>
    <row r="188" spans="1:13" ht="15">
      <c r="A188">
        <v>946</v>
      </c>
      <c r="B188" t="s">
        <v>252</v>
      </c>
      <c r="C188" s="56">
        <v>42272</v>
      </c>
      <c r="D188"/>
      <c r="E188" s="57">
        <v>42276.799583333333</v>
      </c>
      <c r="F188" t="s">
        <v>119</v>
      </c>
      <c r="G188"/>
      <c r="H188" t="s">
        <v>151</v>
      </c>
      <c r="I188">
        <v>23</v>
      </c>
      <c r="J188" t="s">
        <v>152</v>
      </c>
      <c r="K188">
        <v>56.267605629999998</v>
      </c>
      <c r="L188" s="50">
        <f t="shared" si="5"/>
        <v>0.56267605629999995</v>
      </c>
      <c r="M188" s="50" t="str">
        <f t="shared" si="4"/>
        <v>PLP Merchandising 23</v>
      </c>
    </row>
    <row r="189" spans="1:13" ht="15">
      <c r="A189">
        <v>946</v>
      </c>
      <c r="B189" t="s">
        <v>252</v>
      </c>
      <c r="C189" s="56">
        <v>42272</v>
      </c>
      <c r="D189"/>
      <c r="E189" s="57">
        <v>42276.799583333333</v>
      </c>
      <c r="F189" t="s">
        <v>119</v>
      </c>
      <c r="G189"/>
      <c r="H189" t="s">
        <v>153</v>
      </c>
      <c r="I189">
        <v>20</v>
      </c>
      <c r="J189" t="s">
        <v>154</v>
      </c>
      <c r="K189">
        <v>65</v>
      </c>
      <c r="L189" s="50">
        <f t="shared" si="5"/>
        <v>0.65</v>
      </c>
      <c r="M189" s="50" t="str">
        <f t="shared" si="4"/>
        <v>Non-Product Site Content 20</v>
      </c>
    </row>
    <row r="190" spans="1:13" ht="15">
      <c r="A190">
        <v>946</v>
      </c>
      <c r="B190" t="s">
        <v>252</v>
      </c>
      <c r="C190" s="56">
        <v>42272</v>
      </c>
      <c r="D190"/>
      <c r="E190" s="57">
        <v>42276.799583333333</v>
      </c>
      <c r="F190" t="s">
        <v>119</v>
      </c>
      <c r="G190"/>
      <c r="H190" t="s">
        <v>155</v>
      </c>
      <c r="I190">
        <v>21</v>
      </c>
      <c r="J190" t="s">
        <v>156</v>
      </c>
      <c r="K190"/>
      <c r="L190" s="50">
        <f t="shared" si="5"/>
        <v>0</v>
      </c>
      <c r="M190" s="50" t="str">
        <f t="shared" si="4"/>
        <v>PLP Content 21</v>
      </c>
    </row>
    <row r="191" spans="1:13" ht="15">
      <c r="A191">
        <v>946</v>
      </c>
      <c r="B191" t="s">
        <v>252</v>
      </c>
      <c r="C191" s="56">
        <v>42272</v>
      </c>
      <c r="D191"/>
      <c r="E191" s="57">
        <v>42276.799583333333</v>
      </c>
      <c r="F191" t="s">
        <v>119</v>
      </c>
      <c r="G191"/>
      <c r="H191" t="s">
        <v>157</v>
      </c>
      <c r="I191">
        <v>22</v>
      </c>
      <c r="J191" t="s">
        <v>158</v>
      </c>
      <c r="K191">
        <v>100</v>
      </c>
      <c r="L191" s="50">
        <f t="shared" si="5"/>
        <v>1</v>
      </c>
      <c r="M191" s="50" t="str">
        <f t="shared" si="4"/>
        <v>PLP Functionality 22</v>
      </c>
    </row>
    <row r="192" spans="1:13" ht="15">
      <c r="A192">
        <v>946</v>
      </c>
      <c r="B192" t="s">
        <v>252</v>
      </c>
      <c r="C192" s="56">
        <v>42272</v>
      </c>
      <c r="D192"/>
      <c r="E192" s="57">
        <v>42276.799583333333</v>
      </c>
      <c r="F192" t="s">
        <v>119</v>
      </c>
      <c r="G192"/>
      <c r="H192" t="s">
        <v>159</v>
      </c>
      <c r="I192">
        <v>17</v>
      </c>
      <c r="J192" t="s">
        <v>160</v>
      </c>
      <c r="K192"/>
      <c r="L192" s="50">
        <f t="shared" si="5"/>
        <v>0</v>
      </c>
      <c r="M192" s="50" t="str">
        <f t="shared" si="4"/>
        <v>User Engagement 17</v>
      </c>
    </row>
    <row r="193" spans="1:13" ht="15">
      <c r="A193">
        <v>946</v>
      </c>
      <c r="B193" t="s">
        <v>252</v>
      </c>
      <c r="C193" s="56">
        <v>42272</v>
      </c>
      <c r="D193"/>
      <c r="E193" s="57">
        <v>42276.799583333333</v>
      </c>
      <c r="F193" t="s">
        <v>119</v>
      </c>
      <c r="G193"/>
      <c r="H193" t="s">
        <v>161</v>
      </c>
      <c r="I193">
        <v>16</v>
      </c>
      <c r="J193" t="s">
        <v>162</v>
      </c>
      <c r="K193"/>
      <c r="L193" s="50">
        <f t="shared" si="5"/>
        <v>0</v>
      </c>
      <c r="M193" s="50" t="str">
        <f t="shared" si="4"/>
        <v>Site Content 16</v>
      </c>
    </row>
    <row r="194" spans="1:13" ht="15">
      <c r="A194">
        <v>946</v>
      </c>
      <c r="B194" t="s">
        <v>252</v>
      </c>
      <c r="C194" s="56">
        <v>42272</v>
      </c>
      <c r="D194"/>
      <c r="E194" s="57">
        <v>42276.799583333333</v>
      </c>
      <c r="F194" t="s">
        <v>119</v>
      </c>
      <c r="G194"/>
      <c r="H194" t="s">
        <v>163</v>
      </c>
      <c r="I194">
        <v>144</v>
      </c>
      <c r="J194" t="s">
        <v>98</v>
      </c>
      <c r="K194">
        <v>61.69603524</v>
      </c>
      <c r="L194" s="50">
        <f t="shared" si="5"/>
        <v>0.61696035240000002</v>
      </c>
      <c r="M194" s="50" t="str">
        <f t="shared" ref="M194:M257" si="6">CONCATENATE(J194," ",I194)</f>
        <v>E-Commerce/Product Merchandising 144</v>
      </c>
    </row>
    <row r="195" spans="1:13" ht="15">
      <c r="A195">
        <v>946</v>
      </c>
      <c r="B195" t="s">
        <v>252</v>
      </c>
      <c r="C195" s="56">
        <v>42272</v>
      </c>
      <c r="D195"/>
      <c r="E195" s="57">
        <v>42276.799583333333</v>
      </c>
      <c r="F195" t="s">
        <v>119</v>
      </c>
      <c r="G195"/>
      <c r="H195" t="s">
        <v>164</v>
      </c>
      <c r="I195">
        <v>15</v>
      </c>
      <c r="J195" t="s">
        <v>165</v>
      </c>
      <c r="K195"/>
      <c r="L195" s="50">
        <f t="shared" ref="L195:L258" si="7">K195/100</f>
        <v>0</v>
      </c>
      <c r="M195" s="50" t="str">
        <f t="shared" si="6"/>
        <v>E-Commerce/Reviews 15</v>
      </c>
    </row>
    <row r="196" spans="1:13" ht="15">
      <c r="A196">
        <v>946</v>
      </c>
      <c r="B196" t="s">
        <v>252</v>
      </c>
      <c r="C196" s="56">
        <v>42272</v>
      </c>
      <c r="D196"/>
      <c r="E196" s="57">
        <v>42276.799583333333</v>
      </c>
      <c r="F196" t="s">
        <v>119</v>
      </c>
      <c r="G196"/>
      <c r="H196" t="s">
        <v>166</v>
      </c>
      <c r="I196">
        <v>14</v>
      </c>
      <c r="J196" t="s">
        <v>167</v>
      </c>
      <c r="K196"/>
      <c r="L196" s="50">
        <f t="shared" si="7"/>
        <v>0</v>
      </c>
      <c r="M196" s="50" t="str">
        <f t="shared" si="6"/>
        <v>Product Search 14</v>
      </c>
    </row>
    <row r="197" spans="1:13" ht="15">
      <c r="A197">
        <v>946</v>
      </c>
      <c r="B197" t="s">
        <v>252</v>
      </c>
      <c r="C197" s="56">
        <v>42272</v>
      </c>
      <c r="D197"/>
      <c r="E197" s="57">
        <v>42276.799583333333</v>
      </c>
      <c r="F197" t="s">
        <v>119</v>
      </c>
      <c r="G197"/>
      <c r="H197" t="s">
        <v>168</v>
      </c>
      <c r="I197">
        <v>19</v>
      </c>
      <c r="J197" t="s">
        <v>169</v>
      </c>
      <c r="K197"/>
      <c r="L197" s="50">
        <f t="shared" si="7"/>
        <v>0</v>
      </c>
      <c r="M197" s="50" t="str">
        <f t="shared" si="6"/>
        <v>E-Commerce/Unassigned 19</v>
      </c>
    </row>
    <row r="198" spans="1:13" ht="15">
      <c r="A198">
        <v>946</v>
      </c>
      <c r="B198" t="s">
        <v>252</v>
      </c>
      <c r="C198" s="56">
        <v>42272</v>
      </c>
      <c r="D198"/>
      <c r="E198" s="57">
        <v>42276.799583333333</v>
      </c>
      <c r="F198" t="s">
        <v>119</v>
      </c>
      <c r="G198"/>
      <c r="H198" t="s">
        <v>170</v>
      </c>
      <c r="I198">
        <v>18</v>
      </c>
      <c r="J198" t="s">
        <v>171</v>
      </c>
      <c r="K198"/>
      <c r="L198" s="50">
        <f t="shared" si="7"/>
        <v>0</v>
      </c>
      <c r="M198" s="50" t="str">
        <f t="shared" si="6"/>
        <v>Section Pages 18</v>
      </c>
    </row>
    <row r="199" spans="1:13" ht="15">
      <c r="A199">
        <v>946</v>
      </c>
      <c r="B199" t="s">
        <v>252</v>
      </c>
      <c r="C199" s="56">
        <v>42272</v>
      </c>
      <c r="D199"/>
      <c r="E199" s="57">
        <v>42276.799583333333</v>
      </c>
      <c r="F199" t="s">
        <v>119</v>
      </c>
      <c r="G199"/>
      <c r="H199" t="s">
        <v>5</v>
      </c>
      <c r="I199">
        <v>27</v>
      </c>
      <c r="J199" t="s">
        <v>5</v>
      </c>
      <c r="K199">
        <v>65.481481479999999</v>
      </c>
      <c r="L199" s="50">
        <f t="shared" si="7"/>
        <v>0.65481481480000003</v>
      </c>
      <c r="M199" s="50" t="str">
        <f t="shared" si="6"/>
        <v>Mobile 27</v>
      </c>
    </row>
    <row r="200" spans="1:13" ht="15">
      <c r="A200">
        <v>946</v>
      </c>
      <c r="B200" t="s">
        <v>252</v>
      </c>
      <c r="C200" s="56">
        <v>42272</v>
      </c>
      <c r="D200"/>
      <c r="E200" s="57">
        <v>42276.799583333333</v>
      </c>
      <c r="F200" t="s">
        <v>119</v>
      </c>
      <c r="G200"/>
      <c r="H200" t="s">
        <v>172</v>
      </c>
      <c r="I200">
        <v>29</v>
      </c>
      <c r="J200" t="s">
        <v>173</v>
      </c>
      <c r="K200"/>
      <c r="L200" s="50">
        <f t="shared" si="7"/>
        <v>0</v>
      </c>
      <c r="M200" s="50" t="str">
        <f t="shared" si="6"/>
        <v>Mobile/Content 29</v>
      </c>
    </row>
    <row r="201" spans="1:13" ht="15">
      <c r="A201">
        <v>946</v>
      </c>
      <c r="B201" t="s">
        <v>252</v>
      </c>
      <c r="C201" s="56">
        <v>42272</v>
      </c>
      <c r="D201"/>
      <c r="E201" s="57">
        <v>42276.799583333333</v>
      </c>
      <c r="F201" t="s">
        <v>119</v>
      </c>
      <c r="G201"/>
      <c r="H201" t="s">
        <v>174</v>
      </c>
      <c r="I201">
        <v>28</v>
      </c>
      <c r="J201" t="s">
        <v>175</v>
      </c>
      <c r="K201">
        <v>50.5</v>
      </c>
      <c r="L201" s="50">
        <f t="shared" si="7"/>
        <v>0.505</v>
      </c>
      <c r="M201" s="50" t="str">
        <f t="shared" si="6"/>
        <v>Compatibility 28</v>
      </c>
    </row>
    <row r="202" spans="1:13" ht="15">
      <c r="A202">
        <v>946</v>
      </c>
      <c r="B202" t="s">
        <v>252</v>
      </c>
      <c r="C202" s="56">
        <v>42272</v>
      </c>
      <c r="D202"/>
      <c r="E202" s="57">
        <v>42276.799583333333</v>
      </c>
      <c r="F202" t="s">
        <v>119</v>
      </c>
      <c r="G202"/>
      <c r="H202" t="s">
        <v>176</v>
      </c>
      <c r="I202">
        <v>31</v>
      </c>
      <c r="J202" t="s">
        <v>177</v>
      </c>
      <c r="K202">
        <v>100</v>
      </c>
      <c r="L202" s="50">
        <f t="shared" si="7"/>
        <v>1</v>
      </c>
      <c r="M202" s="50" t="str">
        <f t="shared" si="6"/>
        <v>Mobile/Infrastructure 31</v>
      </c>
    </row>
    <row r="203" spans="1:13" ht="15">
      <c r="A203">
        <v>946</v>
      </c>
      <c r="B203" t="s">
        <v>252</v>
      </c>
      <c r="C203" s="56">
        <v>42272</v>
      </c>
      <c r="D203"/>
      <c r="E203" s="57">
        <v>42276.799583333333</v>
      </c>
      <c r="F203" t="s">
        <v>119</v>
      </c>
      <c r="G203"/>
      <c r="H203" t="s">
        <v>178</v>
      </c>
      <c r="I203">
        <v>30</v>
      </c>
      <c r="J203" t="s">
        <v>179</v>
      </c>
      <c r="K203">
        <v>72</v>
      </c>
      <c r="L203" s="50">
        <f t="shared" si="7"/>
        <v>0.72</v>
      </c>
      <c r="M203" s="50" t="str">
        <f t="shared" si="6"/>
        <v>Functionality 30</v>
      </c>
    </row>
    <row r="204" spans="1:13" ht="15">
      <c r="A204">
        <v>946</v>
      </c>
      <c r="B204" t="s">
        <v>252</v>
      </c>
      <c r="C204" s="56">
        <v>42272</v>
      </c>
      <c r="D204"/>
      <c r="E204" s="57">
        <v>42276.799583333333</v>
      </c>
      <c r="F204" t="s">
        <v>119</v>
      </c>
      <c r="G204"/>
      <c r="H204" t="s">
        <v>180</v>
      </c>
      <c r="I204">
        <v>32</v>
      </c>
      <c r="J204" t="s">
        <v>181</v>
      </c>
      <c r="K204"/>
      <c r="L204" s="50">
        <f t="shared" si="7"/>
        <v>0</v>
      </c>
      <c r="M204" s="50" t="str">
        <f t="shared" si="6"/>
        <v>Mobile/Latency 32</v>
      </c>
    </row>
    <row r="205" spans="1:13" ht="15">
      <c r="A205">
        <v>946</v>
      </c>
      <c r="B205" t="s">
        <v>252</v>
      </c>
      <c r="C205" s="56">
        <v>42272</v>
      </c>
      <c r="D205"/>
      <c r="E205" s="57">
        <v>42276.799583333333</v>
      </c>
      <c r="F205" t="s">
        <v>119</v>
      </c>
      <c r="G205"/>
      <c r="H205" t="s">
        <v>182</v>
      </c>
      <c r="I205">
        <v>33</v>
      </c>
      <c r="J205" t="s">
        <v>183</v>
      </c>
      <c r="K205"/>
      <c r="L205" s="50">
        <f t="shared" si="7"/>
        <v>0</v>
      </c>
      <c r="M205" s="50" t="str">
        <f t="shared" si="6"/>
        <v>Mobile/Promotion 33</v>
      </c>
    </row>
    <row r="206" spans="1:13" ht="15">
      <c r="A206">
        <v>946</v>
      </c>
      <c r="B206" t="s">
        <v>252</v>
      </c>
      <c r="C206" s="56">
        <v>42272</v>
      </c>
      <c r="D206"/>
      <c r="E206" s="57">
        <v>42276.799583333333</v>
      </c>
      <c r="F206" t="s">
        <v>119</v>
      </c>
      <c r="G206"/>
      <c r="H206" t="s">
        <v>184</v>
      </c>
      <c r="I206">
        <v>68</v>
      </c>
      <c r="J206" t="s">
        <v>184</v>
      </c>
      <c r="K206"/>
      <c r="L206" s="50">
        <f t="shared" si="7"/>
        <v>0</v>
      </c>
      <c r="M206" s="50" t="str">
        <f t="shared" si="6"/>
        <v>Online Channel 68</v>
      </c>
    </row>
    <row r="207" spans="1:13" ht="15">
      <c r="A207">
        <v>946</v>
      </c>
      <c r="B207" t="s">
        <v>252</v>
      </c>
      <c r="C207" s="56">
        <v>42272</v>
      </c>
      <c r="D207"/>
      <c r="E207" s="57">
        <v>42276.799583333333</v>
      </c>
      <c r="F207" t="s">
        <v>119</v>
      </c>
      <c r="G207"/>
      <c r="H207" t="s">
        <v>185</v>
      </c>
      <c r="I207">
        <v>69</v>
      </c>
      <c r="J207" t="s">
        <v>13</v>
      </c>
      <c r="K207"/>
      <c r="L207" s="50">
        <f t="shared" si="7"/>
        <v>0</v>
      </c>
      <c r="M207" s="50" t="str">
        <f t="shared" si="6"/>
        <v>E-Referral 69</v>
      </c>
    </row>
    <row r="208" spans="1:13" ht="15">
      <c r="A208">
        <v>946</v>
      </c>
      <c r="B208" t="s">
        <v>252</v>
      </c>
      <c r="C208" s="56">
        <v>42272</v>
      </c>
      <c r="D208"/>
      <c r="E208" s="57">
        <v>42276.799583333333</v>
      </c>
      <c r="F208" t="s">
        <v>119</v>
      </c>
      <c r="G208"/>
      <c r="H208" t="s">
        <v>186</v>
      </c>
      <c r="I208">
        <v>71</v>
      </c>
      <c r="J208" t="s">
        <v>187</v>
      </c>
      <c r="K208"/>
      <c r="L208" s="50">
        <f t="shared" si="7"/>
        <v>0</v>
      </c>
      <c r="M208" s="50" t="str">
        <f t="shared" si="6"/>
        <v>Online Channel/Product Merchandising 71</v>
      </c>
    </row>
    <row r="209" spans="1:13" ht="15">
      <c r="A209">
        <v>946</v>
      </c>
      <c r="B209" t="s">
        <v>252</v>
      </c>
      <c r="C209" s="56">
        <v>42272</v>
      </c>
      <c r="D209"/>
      <c r="E209" s="57">
        <v>42276.799583333333</v>
      </c>
      <c r="F209" t="s">
        <v>119</v>
      </c>
      <c r="G209"/>
      <c r="H209" t="s">
        <v>188</v>
      </c>
      <c r="I209">
        <v>70</v>
      </c>
      <c r="J209" t="s">
        <v>189</v>
      </c>
      <c r="K209"/>
      <c r="L209" s="50">
        <f t="shared" si="7"/>
        <v>0</v>
      </c>
      <c r="M209" s="50" t="str">
        <f t="shared" si="6"/>
        <v>Brand Merchandising 70</v>
      </c>
    </row>
    <row r="210" spans="1:13" ht="15">
      <c r="A210">
        <v>946</v>
      </c>
      <c r="B210" t="s">
        <v>252</v>
      </c>
      <c r="C210" s="56">
        <v>42272</v>
      </c>
      <c r="D210"/>
      <c r="E210" s="57">
        <v>42276.799583333333</v>
      </c>
      <c r="F210" t="s">
        <v>119</v>
      </c>
      <c r="G210"/>
      <c r="H210" t="s">
        <v>26</v>
      </c>
      <c r="I210">
        <v>75</v>
      </c>
      <c r="J210" t="s">
        <v>26</v>
      </c>
      <c r="K210">
        <v>59.193411759999996</v>
      </c>
      <c r="L210" s="50">
        <f t="shared" si="7"/>
        <v>0.59193411759999992</v>
      </c>
      <c r="M210" s="50" t="str">
        <f t="shared" si="6"/>
        <v>Opportunity Conversion 75</v>
      </c>
    </row>
    <row r="211" spans="1:13" ht="15">
      <c r="A211">
        <v>946</v>
      </c>
      <c r="B211" t="s">
        <v>252</v>
      </c>
      <c r="C211" s="56">
        <v>42272</v>
      </c>
      <c r="D211"/>
      <c r="E211" s="57">
        <v>42276.799583333333</v>
      </c>
      <c r="F211" t="s">
        <v>119</v>
      </c>
      <c r="G211"/>
      <c r="H211" t="s">
        <v>11</v>
      </c>
      <c r="I211">
        <v>34</v>
      </c>
      <c r="J211" t="s">
        <v>11</v>
      </c>
      <c r="K211">
        <v>66.771428569999998</v>
      </c>
      <c r="L211" s="50">
        <f t="shared" si="7"/>
        <v>0.66771428570000002</v>
      </c>
      <c r="M211" s="50" t="str">
        <f t="shared" si="6"/>
        <v>SEM 34</v>
      </c>
    </row>
    <row r="212" spans="1:13" ht="15">
      <c r="A212">
        <v>946</v>
      </c>
      <c r="B212" t="s">
        <v>252</v>
      </c>
      <c r="C212" s="56">
        <v>42272</v>
      </c>
      <c r="D212"/>
      <c r="E212" s="57">
        <v>42276.799583333333</v>
      </c>
      <c r="F212" t="s">
        <v>119</v>
      </c>
      <c r="G212"/>
      <c r="H212" t="s">
        <v>190</v>
      </c>
      <c r="I212">
        <v>37</v>
      </c>
      <c r="J212" t="s">
        <v>191</v>
      </c>
      <c r="K212">
        <v>60.027642280000002</v>
      </c>
      <c r="L212" s="50">
        <f t="shared" si="7"/>
        <v>0.60027642280000004</v>
      </c>
      <c r="M212" s="50" t="str">
        <f t="shared" si="6"/>
        <v>SEM/Content 37</v>
      </c>
    </row>
    <row r="213" spans="1:13" ht="15">
      <c r="A213">
        <v>946</v>
      </c>
      <c r="B213" t="s">
        <v>252</v>
      </c>
      <c r="C213" s="56">
        <v>42272</v>
      </c>
      <c r="D213"/>
      <c r="E213" s="57">
        <v>42276.799583333333</v>
      </c>
      <c r="F213" t="s">
        <v>119</v>
      </c>
      <c r="G213"/>
      <c r="H213" t="s">
        <v>192</v>
      </c>
      <c r="I213">
        <v>38</v>
      </c>
      <c r="J213" t="s">
        <v>193</v>
      </c>
      <c r="K213"/>
      <c r="L213" s="50">
        <f t="shared" si="7"/>
        <v>0</v>
      </c>
      <c r="M213" s="50" t="str">
        <f t="shared" si="6"/>
        <v>Inclusion 38</v>
      </c>
    </row>
    <row r="214" spans="1:13" ht="15">
      <c r="A214">
        <v>946</v>
      </c>
      <c r="B214" t="s">
        <v>252</v>
      </c>
      <c r="C214" s="56">
        <v>42272</v>
      </c>
      <c r="D214"/>
      <c r="E214" s="57">
        <v>42276.799583333333</v>
      </c>
      <c r="F214" t="s">
        <v>119</v>
      </c>
      <c r="G214"/>
      <c r="H214" t="s">
        <v>194</v>
      </c>
      <c r="I214">
        <v>35</v>
      </c>
      <c r="J214" t="s">
        <v>195</v>
      </c>
      <c r="K214"/>
      <c r="L214" s="50">
        <f t="shared" si="7"/>
        <v>0</v>
      </c>
      <c r="M214" s="50" t="str">
        <f t="shared" si="6"/>
        <v>Advertising 35</v>
      </c>
    </row>
    <row r="215" spans="1:13" ht="15">
      <c r="A215">
        <v>946</v>
      </c>
      <c r="B215" t="s">
        <v>252</v>
      </c>
      <c r="C215" s="56">
        <v>42272</v>
      </c>
      <c r="D215"/>
      <c r="E215" s="57">
        <v>42276.799583333333</v>
      </c>
      <c r="F215" t="s">
        <v>119</v>
      </c>
      <c r="G215"/>
      <c r="H215" t="s">
        <v>196</v>
      </c>
      <c r="I215">
        <v>36</v>
      </c>
      <c r="J215" t="s">
        <v>197</v>
      </c>
      <c r="K215">
        <v>76.826506019999997</v>
      </c>
      <c r="L215" s="50">
        <f t="shared" si="7"/>
        <v>0.76826506019999996</v>
      </c>
      <c r="M215" s="50" t="str">
        <f t="shared" si="6"/>
        <v>Constructs 36</v>
      </c>
    </row>
    <row r="216" spans="1:13" ht="15">
      <c r="A216">
        <v>946</v>
      </c>
      <c r="B216" t="s">
        <v>252</v>
      </c>
      <c r="C216" s="56">
        <v>42272</v>
      </c>
      <c r="D216"/>
      <c r="E216" s="57">
        <v>42276.799583333333</v>
      </c>
      <c r="F216" t="s">
        <v>119</v>
      </c>
      <c r="G216"/>
      <c r="H216" t="s">
        <v>198</v>
      </c>
      <c r="I216">
        <v>41</v>
      </c>
      <c r="J216" t="s">
        <v>199</v>
      </c>
      <c r="K216"/>
      <c r="L216" s="50">
        <f t="shared" si="7"/>
        <v>0</v>
      </c>
      <c r="M216" s="50" t="str">
        <f t="shared" si="6"/>
        <v>SEM/Unassigned 41</v>
      </c>
    </row>
    <row r="217" spans="1:13" ht="15">
      <c r="A217">
        <v>946</v>
      </c>
      <c r="B217" t="s">
        <v>252</v>
      </c>
      <c r="C217" s="56">
        <v>42272</v>
      </c>
      <c r="D217"/>
      <c r="E217" s="57">
        <v>42276.799583333333</v>
      </c>
      <c r="F217" t="s">
        <v>119</v>
      </c>
      <c r="G217"/>
      <c r="H217" t="s">
        <v>200</v>
      </c>
      <c r="I217">
        <v>39</v>
      </c>
      <c r="J217" t="s">
        <v>201</v>
      </c>
      <c r="K217">
        <v>65.5</v>
      </c>
      <c r="L217" s="50">
        <f t="shared" si="7"/>
        <v>0.65500000000000003</v>
      </c>
      <c r="M217" s="50" t="str">
        <f t="shared" si="6"/>
        <v>SEM/Infrastructure 39</v>
      </c>
    </row>
    <row r="218" spans="1:13" ht="15">
      <c r="A218">
        <v>946</v>
      </c>
      <c r="B218" t="s">
        <v>252</v>
      </c>
      <c r="C218" s="56">
        <v>42272</v>
      </c>
      <c r="D218"/>
      <c r="E218" s="57">
        <v>42276.799583333333</v>
      </c>
      <c r="F218" t="s">
        <v>119</v>
      </c>
      <c r="G218"/>
      <c r="H218" t="s">
        <v>202</v>
      </c>
      <c r="I218">
        <v>40</v>
      </c>
      <c r="J218" t="s">
        <v>203</v>
      </c>
      <c r="K218"/>
      <c r="L218" s="50">
        <f t="shared" si="7"/>
        <v>0</v>
      </c>
      <c r="M218" s="50" t="str">
        <f t="shared" si="6"/>
        <v>Ranking 40</v>
      </c>
    </row>
    <row r="219" spans="1:13" ht="15">
      <c r="A219">
        <v>946</v>
      </c>
      <c r="B219" t="s">
        <v>252</v>
      </c>
      <c r="C219" s="56">
        <v>42272</v>
      </c>
      <c r="D219"/>
      <c r="E219" s="57">
        <v>42276.799583333333</v>
      </c>
      <c r="F219" t="s">
        <v>119</v>
      </c>
      <c r="G219"/>
      <c r="H219" t="s">
        <v>99</v>
      </c>
      <c r="I219">
        <v>42</v>
      </c>
      <c r="J219" t="s">
        <v>99</v>
      </c>
      <c r="K219">
        <v>56.792452830000002</v>
      </c>
      <c r="L219" s="50">
        <f t="shared" si="7"/>
        <v>0.56792452830000006</v>
      </c>
      <c r="M219" s="50" t="str">
        <f t="shared" si="6"/>
        <v>Social Media 42</v>
      </c>
    </row>
    <row r="220" spans="1:13" ht="15">
      <c r="A220">
        <v>946</v>
      </c>
      <c r="B220" t="s">
        <v>252</v>
      </c>
      <c r="C220" s="56">
        <v>42272</v>
      </c>
      <c r="D220"/>
      <c r="E220" s="57">
        <v>42276.799583333333</v>
      </c>
      <c r="F220" t="s">
        <v>119</v>
      </c>
      <c r="G220"/>
      <c r="H220" t="s">
        <v>204</v>
      </c>
      <c r="I220">
        <v>52</v>
      </c>
      <c r="J220" t="s">
        <v>205</v>
      </c>
      <c r="K220"/>
      <c r="L220" s="50">
        <f t="shared" si="7"/>
        <v>0</v>
      </c>
      <c r="M220" s="50" t="str">
        <f t="shared" si="6"/>
        <v>Social Media/Unassigned 52</v>
      </c>
    </row>
    <row r="221" spans="1:13" ht="15">
      <c r="A221">
        <v>946</v>
      </c>
      <c r="B221" t="s">
        <v>252</v>
      </c>
      <c r="C221" s="56">
        <v>42272</v>
      </c>
      <c r="D221"/>
      <c r="E221" s="57">
        <v>42276.799583333333</v>
      </c>
      <c r="F221" t="s">
        <v>119</v>
      </c>
      <c r="G221"/>
      <c r="H221" t="s">
        <v>206</v>
      </c>
      <c r="I221">
        <v>51</v>
      </c>
      <c r="J221" t="s">
        <v>75</v>
      </c>
      <c r="K221">
        <v>67.307692309999993</v>
      </c>
      <c r="L221" s="50">
        <f t="shared" si="7"/>
        <v>0.67307692309999989</v>
      </c>
      <c r="M221" s="50" t="str">
        <f t="shared" si="6"/>
        <v>YouTube 51</v>
      </c>
    </row>
    <row r="222" spans="1:13" ht="15">
      <c r="A222">
        <v>946</v>
      </c>
      <c r="B222" t="s">
        <v>252</v>
      </c>
      <c r="C222" s="56">
        <v>42272</v>
      </c>
      <c r="D222"/>
      <c r="E222" s="57">
        <v>42276.799583333333</v>
      </c>
      <c r="F222" t="s">
        <v>119</v>
      </c>
      <c r="G222"/>
      <c r="H222" t="s">
        <v>207</v>
      </c>
      <c r="I222">
        <v>50</v>
      </c>
      <c r="J222" t="s">
        <v>77</v>
      </c>
      <c r="K222">
        <v>67.857142859999996</v>
      </c>
      <c r="L222" s="50">
        <f t="shared" si="7"/>
        <v>0.67857142859999997</v>
      </c>
      <c r="M222" s="50" t="str">
        <f t="shared" si="6"/>
        <v>Twitter 50</v>
      </c>
    </row>
    <row r="223" spans="1:13" ht="15">
      <c r="A223">
        <v>946</v>
      </c>
      <c r="B223" t="s">
        <v>252</v>
      </c>
      <c r="C223" s="56">
        <v>42272</v>
      </c>
      <c r="D223"/>
      <c r="E223" s="57">
        <v>42276.799583333333</v>
      </c>
      <c r="F223" t="s">
        <v>119</v>
      </c>
      <c r="G223"/>
      <c r="H223" t="s">
        <v>208</v>
      </c>
      <c r="I223">
        <v>49</v>
      </c>
      <c r="J223" t="s">
        <v>209</v>
      </c>
      <c r="K223">
        <v>50</v>
      </c>
      <c r="L223" s="50">
        <f t="shared" si="7"/>
        <v>0.5</v>
      </c>
      <c r="M223" s="50" t="str">
        <f t="shared" si="6"/>
        <v>Social Media/Promotion 49</v>
      </c>
    </row>
    <row r="224" spans="1:13" ht="15">
      <c r="A224">
        <v>946</v>
      </c>
      <c r="B224" t="s">
        <v>252</v>
      </c>
      <c r="C224" s="56">
        <v>42272</v>
      </c>
      <c r="D224"/>
      <c r="E224" s="57">
        <v>42276.799583333333</v>
      </c>
      <c r="F224" t="s">
        <v>119</v>
      </c>
      <c r="G224"/>
      <c r="H224" t="s">
        <v>210</v>
      </c>
      <c r="I224">
        <v>48</v>
      </c>
      <c r="J224" t="s">
        <v>211</v>
      </c>
      <c r="K224"/>
      <c r="L224" s="50">
        <f t="shared" si="7"/>
        <v>0</v>
      </c>
      <c r="M224" s="50" t="str">
        <f t="shared" si="6"/>
        <v>Other Social Networks 48</v>
      </c>
    </row>
    <row r="225" spans="1:13" ht="15">
      <c r="A225">
        <v>946</v>
      </c>
      <c r="B225" t="s">
        <v>252</v>
      </c>
      <c r="C225" s="56">
        <v>42272</v>
      </c>
      <c r="D225"/>
      <c r="E225" s="57">
        <v>42276.799583333333</v>
      </c>
      <c r="F225" t="s">
        <v>119</v>
      </c>
      <c r="G225"/>
      <c r="H225" t="s">
        <v>212</v>
      </c>
      <c r="I225">
        <v>47</v>
      </c>
      <c r="J225" t="s">
        <v>213</v>
      </c>
      <c r="K225"/>
      <c r="L225" s="50">
        <f t="shared" si="7"/>
        <v>0</v>
      </c>
      <c r="M225" s="50" t="str">
        <f t="shared" si="6"/>
        <v>LinkedIn 47</v>
      </c>
    </row>
    <row r="226" spans="1:13" ht="15">
      <c r="A226">
        <v>946</v>
      </c>
      <c r="B226" t="s">
        <v>252</v>
      </c>
      <c r="C226" s="56">
        <v>42272</v>
      </c>
      <c r="D226"/>
      <c r="E226" s="57">
        <v>42276.799583333333</v>
      </c>
      <c r="F226" t="s">
        <v>119</v>
      </c>
      <c r="G226"/>
      <c r="H226" t="s">
        <v>214</v>
      </c>
      <c r="I226">
        <v>44</v>
      </c>
      <c r="J226" t="s">
        <v>215</v>
      </c>
      <c r="K226"/>
      <c r="L226" s="50">
        <f t="shared" si="7"/>
        <v>0</v>
      </c>
      <c r="M226" s="50" t="str">
        <f t="shared" si="6"/>
        <v>Social Media/Content 44</v>
      </c>
    </row>
    <row r="227" spans="1:13" ht="15">
      <c r="A227">
        <v>946</v>
      </c>
      <c r="B227" t="s">
        <v>252</v>
      </c>
      <c r="C227" s="56">
        <v>42272</v>
      </c>
      <c r="D227"/>
      <c r="E227" s="57">
        <v>42276.799583333333</v>
      </c>
      <c r="F227" t="s">
        <v>119</v>
      </c>
      <c r="G227"/>
      <c r="H227" t="s">
        <v>216</v>
      </c>
      <c r="I227">
        <v>46</v>
      </c>
      <c r="J227" t="s">
        <v>217</v>
      </c>
      <c r="K227">
        <v>58.84615385</v>
      </c>
      <c r="L227" s="50">
        <f t="shared" si="7"/>
        <v>0.58846153850000005</v>
      </c>
      <c r="M227" s="50" t="str">
        <f t="shared" si="6"/>
        <v>Social Media/Infrastructure 46</v>
      </c>
    </row>
    <row r="228" spans="1:13" ht="15">
      <c r="A228">
        <v>946</v>
      </c>
      <c r="B228" t="s">
        <v>252</v>
      </c>
      <c r="C228" s="56">
        <v>42272</v>
      </c>
      <c r="D228"/>
      <c r="E228" s="57">
        <v>42276.799583333333</v>
      </c>
      <c r="F228" t="s">
        <v>119</v>
      </c>
      <c r="G228"/>
      <c r="H228" t="s">
        <v>218</v>
      </c>
      <c r="I228">
        <v>45</v>
      </c>
      <c r="J228" t="s">
        <v>76</v>
      </c>
      <c r="K228">
        <v>45.161290319999999</v>
      </c>
      <c r="L228" s="50">
        <f t="shared" si="7"/>
        <v>0.45161290319999997</v>
      </c>
      <c r="M228" s="50" t="str">
        <f t="shared" si="6"/>
        <v>Facebook 45</v>
      </c>
    </row>
    <row r="229" spans="1:13" ht="15">
      <c r="A229">
        <v>946</v>
      </c>
      <c r="B229" t="s">
        <v>252</v>
      </c>
      <c r="C229" s="56">
        <v>42272</v>
      </c>
      <c r="D229"/>
      <c r="E229" s="57">
        <v>42276.799583333333</v>
      </c>
      <c r="F229" t="s">
        <v>119</v>
      </c>
      <c r="G229"/>
      <c r="H229" t="s">
        <v>219</v>
      </c>
      <c r="I229">
        <v>43</v>
      </c>
      <c r="J229" t="s">
        <v>220</v>
      </c>
      <c r="K229"/>
      <c r="L229" s="50">
        <f t="shared" si="7"/>
        <v>0</v>
      </c>
      <c r="M229" s="50" t="str">
        <f t="shared" si="6"/>
        <v>Social Media/Appeal 43</v>
      </c>
    </row>
    <row r="230" spans="1:13" ht="15">
      <c r="A230">
        <v>946</v>
      </c>
      <c r="B230" t="s">
        <v>252</v>
      </c>
      <c r="C230" s="56">
        <v>42272</v>
      </c>
      <c r="D230"/>
      <c r="E230" s="57">
        <v>42276.799583333333</v>
      </c>
      <c r="F230" t="s">
        <v>119</v>
      </c>
      <c r="G230"/>
      <c r="H230" t="s">
        <v>10</v>
      </c>
      <c r="I230">
        <v>53</v>
      </c>
      <c r="J230" t="s">
        <v>10</v>
      </c>
      <c r="K230">
        <v>64.867601250000007</v>
      </c>
      <c r="L230" s="50">
        <f t="shared" si="7"/>
        <v>0.64867601250000007</v>
      </c>
      <c r="M230" s="50" t="str">
        <f t="shared" si="6"/>
        <v>Support 53</v>
      </c>
    </row>
    <row r="231" spans="1:13" ht="15">
      <c r="A231">
        <v>946</v>
      </c>
      <c r="B231" t="s">
        <v>252</v>
      </c>
      <c r="C231" s="56">
        <v>42272</v>
      </c>
      <c r="D231"/>
      <c r="E231" s="57">
        <v>42276.799583333333</v>
      </c>
      <c r="F231" t="s">
        <v>119</v>
      </c>
      <c r="G231"/>
      <c r="H231" t="s">
        <v>221</v>
      </c>
      <c r="I231">
        <v>151</v>
      </c>
      <c r="J231" t="s">
        <v>221</v>
      </c>
      <c r="K231">
        <v>59.238971579999998</v>
      </c>
      <c r="L231" s="50">
        <f t="shared" si="7"/>
        <v>0.59238971579999999</v>
      </c>
      <c r="M231" s="50" t="str">
        <f t="shared" si="6"/>
        <v>Task Completion 151</v>
      </c>
    </row>
    <row r="232" spans="1:13" ht="15">
      <c r="A232">
        <v>946</v>
      </c>
      <c r="B232" t="s">
        <v>252</v>
      </c>
      <c r="C232" s="56">
        <v>42272</v>
      </c>
      <c r="D232"/>
      <c r="E232" s="57">
        <v>42276.799583333333</v>
      </c>
      <c r="F232" t="s">
        <v>119</v>
      </c>
      <c r="G232"/>
      <c r="H232" t="s">
        <v>222</v>
      </c>
      <c r="I232">
        <v>152</v>
      </c>
      <c r="J232" t="s">
        <v>222</v>
      </c>
      <c r="K232">
        <v>60.484713159999998</v>
      </c>
      <c r="L232" s="50">
        <f t="shared" si="7"/>
        <v>0.60484713160000003</v>
      </c>
      <c r="M232" s="50" t="str">
        <f t="shared" si="6"/>
        <v>Time Spent on Site 152</v>
      </c>
    </row>
    <row r="233" spans="1:13" ht="15">
      <c r="A233">
        <v>946</v>
      </c>
      <c r="B233" t="s">
        <v>252</v>
      </c>
      <c r="C233" s="56">
        <v>42272</v>
      </c>
      <c r="D233"/>
      <c r="E233" s="57">
        <v>42276.799583333333</v>
      </c>
      <c r="F233" t="s">
        <v>119</v>
      </c>
      <c r="G233"/>
      <c r="H233" t="s">
        <v>223</v>
      </c>
      <c r="I233">
        <v>149</v>
      </c>
      <c r="J233" t="s">
        <v>223</v>
      </c>
      <c r="K233">
        <v>66.054388489999994</v>
      </c>
      <c r="L233" s="50">
        <f t="shared" si="7"/>
        <v>0.66054388489999993</v>
      </c>
      <c r="M233" s="50" t="str">
        <f t="shared" si="6"/>
        <v>Traffic 149</v>
      </c>
    </row>
    <row r="234" spans="1:13" ht="15">
      <c r="A234">
        <v>946</v>
      </c>
      <c r="B234" t="s">
        <v>252</v>
      </c>
      <c r="C234" s="56">
        <v>42272</v>
      </c>
      <c r="D234"/>
      <c r="E234" s="57">
        <v>42276.799583333333</v>
      </c>
      <c r="F234" t="s">
        <v>119</v>
      </c>
      <c r="G234"/>
      <c r="H234" t="s">
        <v>4</v>
      </c>
      <c r="I234">
        <v>54</v>
      </c>
      <c r="J234" t="s">
        <v>4</v>
      </c>
      <c r="K234">
        <v>65.635770870000002</v>
      </c>
      <c r="L234" s="50">
        <f t="shared" si="7"/>
        <v>0.65635770869999999</v>
      </c>
      <c r="M234" s="50" t="str">
        <f t="shared" si="6"/>
        <v>Website 54</v>
      </c>
    </row>
    <row r="235" spans="1:13" ht="15">
      <c r="A235">
        <v>946</v>
      </c>
      <c r="B235" t="s">
        <v>252</v>
      </c>
      <c r="C235" s="56">
        <v>42272</v>
      </c>
      <c r="D235"/>
      <c r="E235" s="57">
        <v>42276.799583333333</v>
      </c>
      <c r="F235" t="s">
        <v>119</v>
      </c>
      <c r="G235"/>
      <c r="H235" t="s">
        <v>224</v>
      </c>
      <c r="I235">
        <v>57</v>
      </c>
      <c r="J235" t="s">
        <v>225</v>
      </c>
      <c r="K235"/>
      <c r="L235" s="50">
        <f t="shared" si="7"/>
        <v>0</v>
      </c>
      <c r="M235" s="50" t="str">
        <f t="shared" si="6"/>
        <v>E-Retail 57</v>
      </c>
    </row>
    <row r="236" spans="1:13" ht="15">
      <c r="A236">
        <v>946</v>
      </c>
      <c r="B236" t="s">
        <v>252</v>
      </c>
      <c r="C236" s="56">
        <v>42272</v>
      </c>
      <c r="D236"/>
      <c r="E236" s="57">
        <v>42276.799583333333</v>
      </c>
      <c r="F236" t="s">
        <v>119</v>
      </c>
      <c r="G236"/>
      <c r="H236" t="s">
        <v>226</v>
      </c>
      <c r="I236">
        <v>58</v>
      </c>
      <c r="J236" t="s">
        <v>227</v>
      </c>
      <c r="K236">
        <v>71.853982299999998</v>
      </c>
      <c r="L236" s="50">
        <f t="shared" si="7"/>
        <v>0.71853982299999997</v>
      </c>
      <c r="M236" s="50" t="str">
        <f t="shared" si="6"/>
        <v>Website/Infrastructure 58</v>
      </c>
    </row>
    <row r="237" spans="1:13" ht="15">
      <c r="A237">
        <v>946</v>
      </c>
      <c r="B237" t="s">
        <v>252</v>
      </c>
      <c r="C237" s="56">
        <v>42272</v>
      </c>
      <c r="D237"/>
      <c r="E237" s="57">
        <v>42276.799583333333</v>
      </c>
      <c r="F237" t="s">
        <v>119</v>
      </c>
      <c r="G237"/>
      <c r="H237" t="s">
        <v>228</v>
      </c>
      <c r="I237">
        <v>59</v>
      </c>
      <c r="J237" t="s">
        <v>229</v>
      </c>
      <c r="K237">
        <v>73.835772360000007</v>
      </c>
      <c r="L237" s="50">
        <f t="shared" si="7"/>
        <v>0.73835772360000007</v>
      </c>
      <c r="M237" s="50" t="str">
        <f t="shared" si="6"/>
        <v>Website/Latency 59</v>
      </c>
    </row>
    <row r="238" spans="1:13" ht="15">
      <c r="A238">
        <v>946</v>
      </c>
      <c r="B238" t="s">
        <v>252</v>
      </c>
      <c r="C238" s="56">
        <v>42272</v>
      </c>
      <c r="D238"/>
      <c r="E238" s="57">
        <v>42276.799583333333</v>
      </c>
      <c r="F238" t="s">
        <v>119</v>
      </c>
      <c r="G238"/>
      <c r="H238" t="s">
        <v>230</v>
      </c>
      <c r="I238">
        <v>60</v>
      </c>
      <c r="J238" t="s">
        <v>231</v>
      </c>
      <c r="K238">
        <v>53.823529409999999</v>
      </c>
      <c r="L238" s="50">
        <f t="shared" si="7"/>
        <v>0.53823529410000004</v>
      </c>
      <c r="M238" s="50" t="str">
        <f t="shared" si="6"/>
        <v>Website/Promotion 60</v>
      </c>
    </row>
    <row r="239" spans="1:13" ht="15">
      <c r="A239">
        <v>946</v>
      </c>
      <c r="B239" t="s">
        <v>252</v>
      </c>
      <c r="C239" s="56">
        <v>42272</v>
      </c>
      <c r="D239"/>
      <c r="E239" s="57">
        <v>42276.799583333333</v>
      </c>
      <c r="F239" t="s">
        <v>119</v>
      </c>
      <c r="G239"/>
      <c r="H239" t="s">
        <v>232</v>
      </c>
      <c r="I239">
        <v>55</v>
      </c>
      <c r="J239" t="s">
        <v>233</v>
      </c>
      <c r="K239"/>
      <c r="L239" s="50">
        <f t="shared" si="7"/>
        <v>0</v>
      </c>
      <c r="M239" s="50" t="str">
        <f t="shared" si="6"/>
        <v>Website/Appeal 55</v>
      </c>
    </row>
    <row r="240" spans="1:13" ht="15">
      <c r="A240">
        <v>946</v>
      </c>
      <c r="B240" t="s">
        <v>252</v>
      </c>
      <c r="C240" s="56">
        <v>42272</v>
      </c>
      <c r="D240"/>
      <c r="E240" s="57">
        <v>42276.799583333333</v>
      </c>
      <c r="F240" t="s">
        <v>119</v>
      </c>
      <c r="G240"/>
      <c r="H240" t="s">
        <v>234</v>
      </c>
      <c r="I240">
        <v>56</v>
      </c>
      <c r="J240" t="s">
        <v>235</v>
      </c>
      <c r="K240">
        <v>62.347826089999998</v>
      </c>
      <c r="L240" s="50">
        <f t="shared" si="7"/>
        <v>0.62347826090000003</v>
      </c>
      <c r="M240" s="50" t="str">
        <f t="shared" si="6"/>
        <v>Website/Content 56</v>
      </c>
    </row>
    <row r="241" spans="1:13" ht="15">
      <c r="A241">
        <v>946</v>
      </c>
      <c r="B241" t="s">
        <v>252</v>
      </c>
      <c r="C241" s="56">
        <v>42272</v>
      </c>
      <c r="D241"/>
      <c r="E241" s="57">
        <v>42276.799583333333</v>
      </c>
      <c r="F241" t="s">
        <v>119</v>
      </c>
      <c r="G241"/>
      <c r="H241" t="s">
        <v>236</v>
      </c>
      <c r="I241">
        <v>61</v>
      </c>
      <c r="J241" t="s">
        <v>237</v>
      </c>
      <c r="K241"/>
      <c r="L241" s="50">
        <f t="shared" si="7"/>
        <v>0</v>
      </c>
      <c r="M241" s="50" t="str">
        <f t="shared" si="6"/>
        <v>Website/Reviews 61</v>
      </c>
    </row>
    <row r="242" spans="1:13" ht="15">
      <c r="A242">
        <v>946</v>
      </c>
      <c r="B242" t="s">
        <v>252</v>
      </c>
      <c r="C242" s="56">
        <v>42272</v>
      </c>
      <c r="D242"/>
      <c r="E242" s="57">
        <v>42276.799583333333</v>
      </c>
      <c r="F242" t="s">
        <v>119</v>
      </c>
      <c r="G242"/>
      <c r="H242" t="s">
        <v>238</v>
      </c>
      <c r="I242">
        <v>66</v>
      </c>
      <c r="J242" t="s">
        <v>9</v>
      </c>
      <c r="K242">
        <v>64</v>
      </c>
      <c r="L242" s="50">
        <f t="shared" si="7"/>
        <v>0.64</v>
      </c>
      <c r="M242" s="50" t="str">
        <f t="shared" si="6"/>
        <v>User Registration 66</v>
      </c>
    </row>
    <row r="243" spans="1:13" ht="15">
      <c r="A243">
        <v>946</v>
      </c>
      <c r="B243" t="s">
        <v>252</v>
      </c>
      <c r="C243" s="56">
        <v>42272</v>
      </c>
      <c r="D243"/>
      <c r="E243" s="57">
        <v>42276.799583333333</v>
      </c>
      <c r="F243" t="s">
        <v>119</v>
      </c>
      <c r="G243"/>
      <c r="H243" t="s">
        <v>239</v>
      </c>
      <c r="I243">
        <v>67</v>
      </c>
      <c r="J243" t="s">
        <v>240</v>
      </c>
      <c r="K243"/>
      <c r="L243" s="50">
        <f t="shared" si="7"/>
        <v>0</v>
      </c>
      <c r="M243" s="50" t="str">
        <f t="shared" si="6"/>
        <v>Website/Unassigned 67</v>
      </c>
    </row>
    <row r="244" spans="1:13" ht="15">
      <c r="A244">
        <v>946</v>
      </c>
      <c r="B244" t="s">
        <v>252</v>
      </c>
      <c r="C244" s="56">
        <v>42272</v>
      </c>
      <c r="D244"/>
      <c r="E244" s="57">
        <v>42276.799583333333</v>
      </c>
      <c r="F244" t="s">
        <v>119</v>
      </c>
      <c r="G244"/>
      <c r="H244" t="s">
        <v>241</v>
      </c>
      <c r="I244">
        <v>64</v>
      </c>
      <c r="J244" t="s">
        <v>242</v>
      </c>
      <c r="K244"/>
      <c r="L244" s="50">
        <f t="shared" si="7"/>
        <v>0</v>
      </c>
      <c r="M244" s="50" t="str">
        <f t="shared" si="6"/>
        <v>Website/Traffic 64</v>
      </c>
    </row>
    <row r="245" spans="1:13" ht="15">
      <c r="A245">
        <v>946</v>
      </c>
      <c r="B245" t="s">
        <v>252</v>
      </c>
      <c r="C245" s="56">
        <v>42272</v>
      </c>
      <c r="D245"/>
      <c r="E245" s="57">
        <v>42276.799583333333</v>
      </c>
      <c r="F245" t="s">
        <v>119</v>
      </c>
      <c r="G245"/>
      <c r="H245" t="s">
        <v>243</v>
      </c>
      <c r="I245">
        <v>65</v>
      </c>
      <c r="J245" t="s">
        <v>80</v>
      </c>
      <c r="K245">
        <v>65.916470590000003</v>
      </c>
      <c r="L245" s="50">
        <f t="shared" si="7"/>
        <v>0.65916470589999998</v>
      </c>
      <c r="M245" s="50" t="str">
        <f t="shared" si="6"/>
        <v>Usability 65</v>
      </c>
    </row>
    <row r="246" spans="1:13" ht="15">
      <c r="A246">
        <v>946</v>
      </c>
      <c r="B246" t="s">
        <v>252</v>
      </c>
      <c r="C246" s="56">
        <v>42272</v>
      </c>
      <c r="D246"/>
      <c r="E246" s="57">
        <v>42276.799583333333</v>
      </c>
      <c r="F246" t="s">
        <v>119</v>
      </c>
      <c r="G246"/>
      <c r="H246" t="s">
        <v>244</v>
      </c>
      <c r="I246">
        <v>63</v>
      </c>
      <c r="J246" t="s">
        <v>245</v>
      </c>
      <c r="K246">
        <v>70.914728679999996</v>
      </c>
      <c r="L246" s="50">
        <f t="shared" si="7"/>
        <v>0.70914728679999994</v>
      </c>
      <c r="M246" s="50" t="str">
        <f t="shared" si="6"/>
        <v>Site Search 63</v>
      </c>
    </row>
    <row r="247" spans="1:13" ht="15">
      <c r="A247">
        <v>946</v>
      </c>
      <c r="B247" t="s">
        <v>252</v>
      </c>
      <c r="C247" s="56">
        <v>42272</v>
      </c>
      <c r="D247"/>
      <c r="E247" s="57">
        <v>42276.799583333333</v>
      </c>
      <c r="F247" t="s">
        <v>119</v>
      </c>
      <c r="G247"/>
      <c r="H247" t="s">
        <v>246</v>
      </c>
      <c r="I247">
        <v>62</v>
      </c>
      <c r="J247" t="s">
        <v>247</v>
      </c>
      <c r="K247">
        <v>0</v>
      </c>
      <c r="L247" s="50">
        <f t="shared" si="7"/>
        <v>0</v>
      </c>
      <c r="M247" s="50" t="str">
        <f t="shared" si="6"/>
        <v>Search Engine Constructs 62</v>
      </c>
    </row>
    <row r="248" spans="1:13" ht="15">
      <c r="A248">
        <v>947</v>
      </c>
      <c r="B248" t="s">
        <v>253</v>
      </c>
      <c r="C248" s="56">
        <v>42272</v>
      </c>
      <c r="D248"/>
      <c r="E248" s="57">
        <v>42276.79965277778</v>
      </c>
      <c r="F248" t="s">
        <v>119</v>
      </c>
      <c r="G248"/>
      <c r="H248" t="s">
        <v>120</v>
      </c>
      <c r="I248">
        <v>150</v>
      </c>
      <c r="J248" t="s">
        <v>120</v>
      </c>
      <c r="K248">
        <v>57.350062889999997</v>
      </c>
      <c r="L248" s="50">
        <f t="shared" si="7"/>
        <v>0.57350062889999998</v>
      </c>
      <c r="M248" s="50" t="str">
        <f t="shared" si="6"/>
        <v>Abandonment 150</v>
      </c>
    </row>
    <row r="249" spans="1:13" ht="15">
      <c r="A249">
        <v>947</v>
      </c>
      <c r="B249" t="s">
        <v>253</v>
      </c>
      <c r="C249" s="56">
        <v>42272</v>
      </c>
      <c r="D249"/>
      <c r="E249" s="57">
        <v>42276.79965277778</v>
      </c>
      <c r="F249" t="s">
        <v>119</v>
      </c>
      <c r="G249"/>
      <c r="H249" t="s">
        <v>121</v>
      </c>
      <c r="I249">
        <v>154</v>
      </c>
      <c r="J249" t="s">
        <v>121</v>
      </c>
      <c r="K249">
        <v>50</v>
      </c>
      <c r="L249" s="50">
        <f t="shared" si="7"/>
        <v>0.5</v>
      </c>
      <c r="M249" s="50" t="str">
        <f t="shared" si="6"/>
        <v>Average Order Value 154</v>
      </c>
    </row>
    <row r="250" spans="1:13" ht="15">
      <c r="A250">
        <v>947</v>
      </c>
      <c r="B250" t="s">
        <v>253</v>
      </c>
      <c r="C250" s="56">
        <v>42272</v>
      </c>
      <c r="D250"/>
      <c r="E250" s="57">
        <v>42276.79965277778</v>
      </c>
      <c r="F250" t="s">
        <v>119</v>
      </c>
      <c r="G250"/>
      <c r="H250" t="s">
        <v>24</v>
      </c>
      <c r="I250">
        <v>72</v>
      </c>
      <c r="J250" t="s">
        <v>24</v>
      </c>
      <c r="K250">
        <v>60.110482529999999</v>
      </c>
      <c r="L250" s="50">
        <f t="shared" si="7"/>
        <v>0.60110482529999998</v>
      </c>
      <c r="M250" s="50" t="str">
        <f t="shared" si="6"/>
        <v>Awareness Creation 72</v>
      </c>
    </row>
    <row r="251" spans="1:13" ht="15">
      <c r="A251">
        <v>947</v>
      </c>
      <c r="B251" t="s">
        <v>253</v>
      </c>
      <c r="C251" s="56">
        <v>42272</v>
      </c>
      <c r="D251"/>
      <c r="E251" s="57">
        <v>42276.79965277778</v>
      </c>
      <c r="F251" t="s">
        <v>119</v>
      </c>
      <c r="G251"/>
      <c r="H251" t="s">
        <v>8</v>
      </c>
      <c r="I251">
        <v>1</v>
      </c>
      <c r="J251" t="s">
        <v>8</v>
      </c>
      <c r="K251">
        <v>50.453900709999999</v>
      </c>
      <c r="L251" s="50">
        <f t="shared" si="7"/>
        <v>0.50453900709999999</v>
      </c>
      <c r="M251" s="50" t="str">
        <f t="shared" si="6"/>
        <v>Content 1</v>
      </c>
    </row>
    <row r="252" spans="1:13" ht="15">
      <c r="A252">
        <v>947</v>
      </c>
      <c r="B252" t="s">
        <v>253</v>
      </c>
      <c r="C252" s="56">
        <v>42272</v>
      </c>
      <c r="D252"/>
      <c r="E252" s="57">
        <v>42276.79965277778</v>
      </c>
      <c r="F252" t="s">
        <v>119</v>
      </c>
      <c r="G252"/>
      <c r="H252" t="s">
        <v>122</v>
      </c>
      <c r="I252">
        <v>2</v>
      </c>
      <c r="J252" t="s">
        <v>123</v>
      </c>
      <c r="K252"/>
      <c r="L252" s="50">
        <f t="shared" si="7"/>
        <v>0</v>
      </c>
      <c r="M252" s="50" t="str">
        <f t="shared" si="6"/>
        <v>Access 2</v>
      </c>
    </row>
    <row r="253" spans="1:13" ht="15">
      <c r="A253">
        <v>947</v>
      </c>
      <c r="B253" t="s">
        <v>253</v>
      </c>
      <c r="C253" s="56">
        <v>42272</v>
      </c>
      <c r="D253"/>
      <c r="E253" s="57">
        <v>42276.79965277778</v>
      </c>
      <c r="F253" t="s">
        <v>119</v>
      </c>
      <c r="G253"/>
      <c r="H253" t="s">
        <v>124</v>
      </c>
      <c r="I253">
        <v>8</v>
      </c>
      <c r="J253" t="s">
        <v>125</v>
      </c>
      <c r="K253">
        <v>48.484848479999997</v>
      </c>
      <c r="L253" s="50">
        <f t="shared" si="7"/>
        <v>0.48484848479999998</v>
      </c>
      <c r="M253" s="50" t="str">
        <f t="shared" si="6"/>
        <v>Content/Unassigned 8</v>
      </c>
    </row>
    <row r="254" spans="1:13" ht="15">
      <c r="A254">
        <v>947</v>
      </c>
      <c r="B254" t="s">
        <v>253</v>
      </c>
      <c r="C254" s="56">
        <v>42272</v>
      </c>
      <c r="D254"/>
      <c r="E254" s="57">
        <v>42276.79965277778</v>
      </c>
      <c r="F254" t="s">
        <v>119</v>
      </c>
      <c r="G254"/>
      <c r="H254" t="s">
        <v>126</v>
      </c>
      <c r="I254">
        <v>6</v>
      </c>
      <c r="J254" t="s">
        <v>127</v>
      </c>
      <c r="K254">
        <v>49.425837319999999</v>
      </c>
      <c r="L254" s="50">
        <f t="shared" si="7"/>
        <v>0.49425837319999999</v>
      </c>
      <c r="M254" s="50" t="str">
        <f t="shared" si="6"/>
        <v>Core Content 6</v>
      </c>
    </row>
    <row r="255" spans="1:13" ht="15">
      <c r="A255">
        <v>947</v>
      </c>
      <c r="B255" t="s">
        <v>253</v>
      </c>
      <c r="C255" s="56">
        <v>42272</v>
      </c>
      <c r="D255"/>
      <c r="E255" s="57">
        <v>42276.79965277778</v>
      </c>
      <c r="F255" t="s">
        <v>119</v>
      </c>
      <c r="G255"/>
      <c r="H255" t="s">
        <v>128</v>
      </c>
      <c r="I255">
        <v>7</v>
      </c>
      <c r="J255" t="s">
        <v>129</v>
      </c>
      <c r="K255"/>
      <c r="L255" s="50">
        <f t="shared" si="7"/>
        <v>0</v>
      </c>
      <c r="M255" s="50" t="str">
        <f t="shared" si="6"/>
        <v>User Generated Content 7</v>
      </c>
    </row>
    <row r="256" spans="1:13" ht="15">
      <c r="A256">
        <v>947</v>
      </c>
      <c r="B256" t="s">
        <v>253</v>
      </c>
      <c r="C256" s="56">
        <v>42272</v>
      </c>
      <c r="D256"/>
      <c r="E256" s="57">
        <v>42276.79965277778</v>
      </c>
      <c r="F256" t="s">
        <v>119</v>
      </c>
      <c r="G256"/>
      <c r="H256" t="s">
        <v>130</v>
      </c>
      <c r="I256">
        <v>4</v>
      </c>
      <c r="J256" t="s">
        <v>131</v>
      </c>
      <c r="K256">
        <v>75</v>
      </c>
      <c r="L256" s="50">
        <f t="shared" si="7"/>
        <v>0.75</v>
      </c>
      <c r="M256" s="50" t="str">
        <f t="shared" si="6"/>
        <v>Content/Infrastructure 4</v>
      </c>
    </row>
    <row r="257" spans="1:13" ht="15">
      <c r="A257">
        <v>947</v>
      </c>
      <c r="B257" t="s">
        <v>253</v>
      </c>
      <c r="C257" s="56">
        <v>42272</v>
      </c>
      <c r="D257"/>
      <c r="E257" s="57">
        <v>42276.79965277778</v>
      </c>
      <c r="F257" t="s">
        <v>119</v>
      </c>
      <c r="G257"/>
      <c r="H257" t="s">
        <v>132</v>
      </c>
      <c r="I257">
        <v>5</v>
      </c>
      <c r="J257" t="s">
        <v>133</v>
      </c>
      <c r="K257">
        <v>63.888888889999997</v>
      </c>
      <c r="L257" s="50">
        <f t="shared" si="7"/>
        <v>0.63888888889999995</v>
      </c>
      <c r="M257" s="50" t="str">
        <f t="shared" si="6"/>
        <v>Content/Promotion 5</v>
      </c>
    </row>
    <row r="258" spans="1:13" ht="15">
      <c r="A258">
        <v>947</v>
      </c>
      <c r="B258" t="s">
        <v>253</v>
      </c>
      <c r="C258" s="56">
        <v>42272</v>
      </c>
      <c r="D258"/>
      <c r="E258" s="57">
        <v>42276.79965277778</v>
      </c>
      <c r="F258" t="s">
        <v>119</v>
      </c>
      <c r="G258"/>
      <c r="H258" t="s">
        <v>134</v>
      </c>
      <c r="I258">
        <v>3</v>
      </c>
      <c r="J258" t="s">
        <v>135</v>
      </c>
      <c r="K258">
        <v>76</v>
      </c>
      <c r="L258" s="50">
        <f t="shared" si="7"/>
        <v>0.76</v>
      </c>
      <c r="M258" s="50" t="str">
        <f t="shared" ref="M258:M321" si="8">CONCATENATE(J258," ",I258)</f>
        <v>Content/Appeal 3</v>
      </c>
    </row>
    <row r="259" spans="1:13" ht="15">
      <c r="A259">
        <v>947</v>
      </c>
      <c r="B259" t="s">
        <v>253</v>
      </c>
      <c r="C259" s="56">
        <v>42272</v>
      </c>
      <c r="D259"/>
      <c r="E259" s="57">
        <v>42276.79965277778</v>
      </c>
      <c r="F259" t="s">
        <v>119</v>
      </c>
      <c r="G259"/>
      <c r="H259" t="s">
        <v>136</v>
      </c>
      <c r="I259">
        <v>153</v>
      </c>
      <c r="J259" t="s">
        <v>136</v>
      </c>
      <c r="K259">
        <v>51.203361340000001</v>
      </c>
      <c r="L259" s="50">
        <f t="shared" ref="L259:L322" si="9">K259/100</f>
        <v>0.51203361339999998</v>
      </c>
      <c r="M259" s="50" t="str">
        <f t="shared" si="8"/>
        <v>Conversion 153</v>
      </c>
    </row>
    <row r="260" spans="1:13" ht="15">
      <c r="A260">
        <v>947</v>
      </c>
      <c r="B260" t="s">
        <v>253</v>
      </c>
      <c r="C260" s="56">
        <v>42272</v>
      </c>
      <c r="D260"/>
      <c r="E260" s="57">
        <v>42276.79965277778</v>
      </c>
      <c r="F260" t="s">
        <v>119</v>
      </c>
      <c r="G260"/>
      <c r="H260" t="s">
        <v>27</v>
      </c>
      <c r="I260">
        <v>73</v>
      </c>
      <c r="J260" t="s">
        <v>27</v>
      </c>
      <c r="K260">
        <v>56.954169800000003</v>
      </c>
      <c r="L260" s="50">
        <f t="shared" si="9"/>
        <v>0.56954169799999999</v>
      </c>
      <c r="M260" s="50" t="str">
        <f t="shared" si="8"/>
        <v>Customer Engagement 73</v>
      </c>
    </row>
    <row r="261" spans="1:13" ht="15">
      <c r="A261">
        <v>947</v>
      </c>
      <c r="B261" t="s">
        <v>253</v>
      </c>
      <c r="C261" s="56">
        <v>42272</v>
      </c>
      <c r="D261"/>
      <c r="E261" s="57">
        <v>42276.79965277778</v>
      </c>
      <c r="F261" t="s">
        <v>119</v>
      </c>
      <c r="G261"/>
      <c r="H261" t="s">
        <v>25</v>
      </c>
      <c r="I261">
        <v>74</v>
      </c>
      <c r="J261" t="s">
        <v>25</v>
      </c>
      <c r="K261">
        <v>57.040792539999998</v>
      </c>
      <c r="L261" s="50">
        <f t="shared" si="9"/>
        <v>0.57040792539999996</v>
      </c>
      <c r="M261" s="50" t="str">
        <f t="shared" si="8"/>
        <v>Demand Generation 74</v>
      </c>
    </row>
    <row r="262" spans="1:13" ht="15">
      <c r="A262">
        <v>947</v>
      </c>
      <c r="B262" t="s">
        <v>253</v>
      </c>
      <c r="C262" s="56">
        <v>42272</v>
      </c>
      <c r="D262"/>
      <c r="E262" s="57">
        <v>42276.79965277778</v>
      </c>
      <c r="F262" t="s">
        <v>119</v>
      </c>
      <c r="G262"/>
      <c r="H262" t="s">
        <v>66</v>
      </c>
      <c r="I262">
        <v>9</v>
      </c>
      <c r="J262" t="s">
        <v>66</v>
      </c>
      <c r="K262">
        <v>52.082191780000002</v>
      </c>
      <c r="L262" s="50">
        <f t="shared" si="9"/>
        <v>0.52082191779999998</v>
      </c>
      <c r="M262" s="50" t="str">
        <f t="shared" si="8"/>
        <v>E-Commerce 9</v>
      </c>
    </row>
    <row r="263" spans="1:13" ht="15">
      <c r="A263">
        <v>947</v>
      </c>
      <c r="B263" t="s">
        <v>253</v>
      </c>
      <c r="C263" s="56">
        <v>42272</v>
      </c>
      <c r="D263"/>
      <c r="E263" s="57">
        <v>42276.79965277778</v>
      </c>
      <c r="F263" t="s">
        <v>119</v>
      </c>
      <c r="G263"/>
      <c r="H263" t="s">
        <v>137</v>
      </c>
      <c r="I263">
        <v>10</v>
      </c>
      <c r="J263" t="s">
        <v>138</v>
      </c>
      <c r="K263"/>
      <c r="L263" s="50">
        <f t="shared" si="9"/>
        <v>0</v>
      </c>
      <c r="M263" s="50" t="str">
        <f t="shared" si="8"/>
        <v>Checkout 10</v>
      </c>
    </row>
    <row r="264" spans="1:13" ht="15">
      <c r="A264">
        <v>947</v>
      </c>
      <c r="B264" t="s">
        <v>253</v>
      </c>
      <c r="C264" s="56">
        <v>42272</v>
      </c>
      <c r="D264"/>
      <c r="E264" s="57">
        <v>42276.79965277778</v>
      </c>
      <c r="F264" t="s">
        <v>119</v>
      </c>
      <c r="G264"/>
      <c r="H264" t="s">
        <v>139</v>
      </c>
      <c r="I264">
        <v>11</v>
      </c>
      <c r="J264" t="s">
        <v>140</v>
      </c>
      <c r="K264"/>
      <c r="L264" s="50">
        <f t="shared" si="9"/>
        <v>0</v>
      </c>
      <c r="M264" s="50" t="str">
        <f t="shared" si="8"/>
        <v>E-Commerce/Infrastructure 11</v>
      </c>
    </row>
    <row r="265" spans="1:13" ht="15">
      <c r="A265">
        <v>947</v>
      </c>
      <c r="B265" t="s">
        <v>253</v>
      </c>
      <c r="C265" s="56">
        <v>42272</v>
      </c>
      <c r="D265"/>
      <c r="E265" s="57">
        <v>42276.79965277778</v>
      </c>
      <c r="F265" t="s">
        <v>119</v>
      </c>
      <c r="G265"/>
      <c r="H265" t="s">
        <v>141</v>
      </c>
      <c r="I265">
        <v>12</v>
      </c>
      <c r="J265" t="s">
        <v>142</v>
      </c>
      <c r="K265"/>
      <c r="L265" s="50">
        <f t="shared" si="9"/>
        <v>0</v>
      </c>
      <c r="M265" s="50" t="str">
        <f t="shared" si="8"/>
        <v>E-Commerce/Latency 12</v>
      </c>
    </row>
    <row r="266" spans="1:13" ht="15">
      <c r="A266">
        <v>947</v>
      </c>
      <c r="B266" t="s">
        <v>253</v>
      </c>
      <c r="C266" s="56">
        <v>42272</v>
      </c>
      <c r="D266"/>
      <c r="E266" s="57">
        <v>42276.79965277778</v>
      </c>
      <c r="F266" t="s">
        <v>119</v>
      </c>
      <c r="G266"/>
      <c r="H266" t="s">
        <v>143</v>
      </c>
      <c r="I266">
        <v>13</v>
      </c>
      <c r="J266" t="s">
        <v>144</v>
      </c>
      <c r="K266">
        <v>52.857142860000003</v>
      </c>
      <c r="L266" s="50">
        <f t="shared" si="9"/>
        <v>0.52857142860000006</v>
      </c>
      <c r="M266" s="50" t="str">
        <f t="shared" si="8"/>
        <v>Product Listings 13</v>
      </c>
    </row>
    <row r="267" spans="1:13" ht="15">
      <c r="A267">
        <v>947</v>
      </c>
      <c r="B267" t="s">
        <v>253</v>
      </c>
      <c r="C267" s="56">
        <v>42272</v>
      </c>
      <c r="D267"/>
      <c r="E267" s="57">
        <v>42276.79965277778</v>
      </c>
      <c r="F267" t="s">
        <v>119</v>
      </c>
      <c r="G267"/>
      <c r="H267" t="s">
        <v>145</v>
      </c>
      <c r="I267">
        <v>26</v>
      </c>
      <c r="J267" t="s">
        <v>146</v>
      </c>
      <c r="K267"/>
      <c r="L267" s="50">
        <f t="shared" si="9"/>
        <v>0</v>
      </c>
      <c r="M267" s="50" t="str">
        <f t="shared" si="8"/>
        <v>Site Functionality 26</v>
      </c>
    </row>
    <row r="268" spans="1:13" ht="15">
      <c r="A268">
        <v>947</v>
      </c>
      <c r="B268" t="s">
        <v>253</v>
      </c>
      <c r="C268" s="56">
        <v>42272</v>
      </c>
      <c r="D268"/>
      <c r="E268" s="57">
        <v>42276.79965277778</v>
      </c>
      <c r="F268" t="s">
        <v>119</v>
      </c>
      <c r="G268"/>
      <c r="H268" t="s">
        <v>147</v>
      </c>
      <c r="I268">
        <v>25</v>
      </c>
      <c r="J268" t="s">
        <v>148</v>
      </c>
      <c r="K268"/>
      <c r="L268" s="50">
        <f t="shared" si="9"/>
        <v>0</v>
      </c>
      <c r="M268" s="50" t="str">
        <f t="shared" si="8"/>
        <v>Product Listings/Reviews 25</v>
      </c>
    </row>
    <row r="269" spans="1:13" ht="15">
      <c r="A269">
        <v>947</v>
      </c>
      <c r="B269" t="s">
        <v>253</v>
      </c>
      <c r="C269" s="56">
        <v>42272</v>
      </c>
      <c r="D269"/>
      <c r="E269" s="57">
        <v>42276.79965277778</v>
      </c>
      <c r="F269" t="s">
        <v>119</v>
      </c>
      <c r="G269"/>
      <c r="H269" t="s">
        <v>149</v>
      </c>
      <c r="I269">
        <v>24</v>
      </c>
      <c r="J269" t="s">
        <v>150</v>
      </c>
      <c r="K269">
        <v>54.444444439999998</v>
      </c>
      <c r="L269" s="50">
        <f t="shared" si="9"/>
        <v>0.54444444439999995</v>
      </c>
      <c r="M269" s="50" t="str">
        <f t="shared" si="8"/>
        <v>PLP Usability 24</v>
      </c>
    </row>
    <row r="270" spans="1:13" ht="15">
      <c r="A270">
        <v>947</v>
      </c>
      <c r="B270" t="s">
        <v>253</v>
      </c>
      <c r="C270" s="56">
        <v>42272</v>
      </c>
      <c r="D270"/>
      <c r="E270" s="57">
        <v>42276.79965277778</v>
      </c>
      <c r="F270" t="s">
        <v>119</v>
      </c>
      <c r="G270"/>
      <c r="H270" t="s">
        <v>151</v>
      </c>
      <c r="I270">
        <v>23</v>
      </c>
      <c r="J270" t="s">
        <v>152</v>
      </c>
      <c r="K270">
        <v>50.845070419999999</v>
      </c>
      <c r="L270" s="50">
        <f t="shared" si="9"/>
        <v>0.50845070419999994</v>
      </c>
      <c r="M270" s="50" t="str">
        <f t="shared" si="8"/>
        <v>PLP Merchandising 23</v>
      </c>
    </row>
    <row r="271" spans="1:13" ht="15">
      <c r="A271">
        <v>947</v>
      </c>
      <c r="B271" t="s">
        <v>253</v>
      </c>
      <c r="C271" s="56">
        <v>42272</v>
      </c>
      <c r="D271"/>
      <c r="E271" s="57">
        <v>42276.79965277778</v>
      </c>
      <c r="F271" t="s">
        <v>119</v>
      </c>
      <c r="G271"/>
      <c r="H271" t="s">
        <v>153</v>
      </c>
      <c r="I271">
        <v>20</v>
      </c>
      <c r="J271" t="s">
        <v>154</v>
      </c>
      <c r="K271">
        <v>55</v>
      </c>
      <c r="L271" s="50">
        <f t="shared" si="9"/>
        <v>0.55000000000000004</v>
      </c>
      <c r="M271" s="50" t="str">
        <f t="shared" si="8"/>
        <v>Non-Product Site Content 20</v>
      </c>
    </row>
    <row r="272" spans="1:13" ht="15">
      <c r="A272">
        <v>947</v>
      </c>
      <c r="B272" t="s">
        <v>253</v>
      </c>
      <c r="C272" s="56">
        <v>42272</v>
      </c>
      <c r="D272"/>
      <c r="E272" s="57">
        <v>42276.79965277778</v>
      </c>
      <c r="F272" t="s">
        <v>119</v>
      </c>
      <c r="G272"/>
      <c r="H272" t="s">
        <v>155</v>
      </c>
      <c r="I272">
        <v>21</v>
      </c>
      <c r="J272" t="s">
        <v>156</v>
      </c>
      <c r="K272"/>
      <c r="L272" s="50">
        <f t="shared" si="9"/>
        <v>0</v>
      </c>
      <c r="M272" s="50" t="str">
        <f t="shared" si="8"/>
        <v>PLP Content 21</v>
      </c>
    </row>
    <row r="273" spans="1:13" ht="15">
      <c r="A273">
        <v>947</v>
      </c>
      <c r="B273" t="s">
        <v>253</v>
      </c>
      <c r="C273" s="56">
        <v>42272</v>
      </c>
      <c r="D273"/>
      <c r="E273" s="57">
        <v>42276.79965277778</v>
      </c>
      <c r="F273" t="s">
        <v>119</v>
      </c>
      <c r="G273"/>
      <c r="H273" t="s">
        <v>157</v>
      </c>
      <c r="I273">
        <v>22</v>
      </c>
      <c r="J273" t="s">
        <v>158</v>
      </c>
      <c r="K273">
        <v>60</v>
      </c>
      <c r="L273" s="50">
        <f t="shared" si="9"/>
        <v>0.6</v>
      </c>
      <c r="M273" s="50" t="str">
        <f t="shared" si="8"/>
        <v>PLP Functionality 22</v>
      </c>
    </row>
    <row r="274" spans="1:13" ht="15">
      <c r="A274">
        <v>947</v>
      </c>
      <c r="B274" t="s">
        <v>253</v>
      </c>
      <c r="C274" s="56">
        <v>42272</v>
      </c>
      <c r="D274"/>
      <c r="E274" s="57">
        <v>42276.79965277778</v>
      </c>
      <c r="F274" t="s">
        <v>119</v>
      </c>
      <c r="G274"/>
      <c r="H274" t="s">
        <v>159</v>
      </c>
      <c r="I274">
        <v>17</v>
      </c>
      <c r="J274" t="s">
        <v>160</v>
      </c>
      <c r="K274"/>
      <c r="L274" s="50">
        <f t="shared" si="9"/>
        <v>0</v>
      </c>
      <c r="M274" s="50" t="str">
        <f t="shared" si="8"/>
        <v>User Engagement 17</v>
      </c>
    </row>
    <row r="275" spans="1:13" ht="15">
      <c r="A275">
        <v>947</v>
      </c>
      <c r="B275" t="s">
        <v>253</v>
      </c>
      <c r="C275" s="56">
        <v>42272</v>
      </c>
      <c r="D275"/>
      <c r="E275" s="57">
        <v>42276.79965277778</v>
      </c>
      <c r="F275" t="s">
        <v>119</v>
      </c>
      <c r="G275"/>
      <c r="H275" t="s">
        <v>161</v>
      </c>
      <c r="I275">
        <v>16</v>
      </c>
      <c r="J275" t="s">
        <v>162</v>
      </c>
      <c r="K275"/>
      <c r="L275" s="50">
        <f t="shared" si="9"/>
        <v>0</v>
      </c>
      <c r="M275" s="50" t="str">
        <f t="shared" si="8"/>
        <v>Site Content 16</v>
      </c>
    </row>
    <row r="276" spans="1:13" ht="15">
      <c r="A276">
        <v>947</v>
      </c>
      <c r="B276" t="s">
        <v>253</v>
      </c>
      <c r="C276" s="56">
        <v>42272</v>
      </c>
      <c r="D276"/>
      <c r="E276" s="57">
        <v>42276.79965277778</v>
      </c>
      <c r="F276" t="s">
        <v>119</v>
      </c>
      <c r="G276"/>
      <c r="H276" t="s">
        <v>163</v>
      </c>
      <c r="I276">
        <v>144</v>
      </c>
      <c r="J276" t="s">
        <v>98</v>
      </c>
      <c r="K276">
        <v>51.6</v>
      </c>
      <c r="L276" s="50">
        <f t="shared" si="9"/>
        <v>0.51600000000000001</v>
      </c>
      <c r="M276" s="50" t="str">
        <f t="shared" si="8"/>
        <v>E-Commerce/Product Merchandising 144</v>
      </c>
    </row>
    <row r="277" spans="1:13" ht="15">
      <c r="A277">
        <v>947</v>
      </c>
      <c r="B277" t="s">
        <v>253</v>
      </c>
      <c r="C277" s="56">
        <v>42272</v>
      </c>
      <c r="D277"/>
      <c r="E277" s="57">
        <v>42276.79965277778</v>
      </c>
      <c r="F277" t="s">
        <v>119</v>
      </c>
      <c r="G277"/>
      <c r="H277" t="s">
        <v>164</v>
      </c>
      <c r="I277">
        <v>15</v>
      </c>
      <c r="J277" t="s">
        <v>165</v>
      </c>
      <c r="K277"/>
      <c r="L277" s="50">
        <f t="shared" si="9"/>
        <v>0</v>
      </c>
      <c r="M277" s="50" t="str">
        <f t="shared" si="8"/>
        <v>E-Commerce/Reviews 15</v>
      </c>
    </row>
    <row r="278" spans="1:13" ht="15">
      <c r="A278">
        <v>947</v>
      </c>
      <c r="B278" t="s">
        <v>253</v>
      </c>
      <c r="C278" s="56">
        <v>42272</v>
      </c>
      <c r="D278"/>
      <c r="E278" s="57">
        <v>42276.79965277778</v>
      </c>
      <c r="F278" t="s">
        <v>119</v>
      </c>
      <c r="G278"/>
      <c r="H278" t="s">
        <v>166</v>
      </c>
      <c r="I278">
        <v>14</v>
      </c>
      <c r="J278" t="s">
        <v>167</v>
      </c>
      <c r="K278"/>
      <c r="L278" s="50">
        <f t="shared" si="9"/>
        <v>0</v>
      </c>
      <c r="M278" s="50" t="str">
        <f t="shared" si="8"/>
        <v>Product Search 14</v>
      </c>
    </row>
    <row r="279" spans="1:13" ht="15">
      <c r="A279">
        <v>947</v>
      </c>
      <c r="B279" t="s">
        <v>253</v>
      </c>
      <c r="C279" s="56">
        <v>42272</v>
      </c>
      <c r="D279"/>
      <c r="E279" s="57">
        <v>42276.79965277778</v>
      </c>
      <c r="F279" t="s">
        <v>119</v>
      </c>
      <c r="G279"/>
      <c r="H279" t="s">
        <v>168</v>
      </c>
      <c r="I279">
        <v>19</v>
      </c>
      <c r="J279" t="s">
        <v>169</v>
      </c>
      <c r="K279"/>
      <c r="L279" s="50">
        <f t="shared" si="9"/>
        <v>0</v>
      </c>
      <c r="M279" s="50" t="str">
        <f t="shared" si="8"/>
        <v>E-Commerce/Unassigned 19</v>
      </c>
    </row>
    <row r="280" spans="1:13" ht="15">
      <c r="A280">
        <v>947</v>
      </c>
      <c r="B280" t="s">
        <v>253</v>
      </c>
      <c r="C280" s="56">
        <v>42272</v>
      </c>
      <c r="D280"/>
      <c r="E280" s="57">
        <v>42276.79965277778</v>
      </c>
      <c r="F280" t="s">
        <v>119</v>
      </c>
      <c r="G280"/>
      <c r="H280" t="s">
        <v>170</v>
      </c>
      <c r="I280">
        <v>18</v>
      </c>
      <c r="J280" t="s">
        <v>171</v>
      </c>
      <c r="K280"/>
      <c r="L280" s="50">
        <f t="shared" si="9"/>
        <v>0</v>
      </c>
      <c r="M280" s="50" t="str">
        <f t="shared" si="8"/>
        <v>Section Pages 18</v>
      </c>
    </row>
    <row r="281" spans="1:13" ht="15">
      <c r="A281">
        <v>947</v>
      </c>
      <c r="B281" t="s">
        <v>253</v>
      </c>
      <c r="C281" s="56">
        <v>42272</v>
      </c>
      <c r="D281"/>
      <c r="E281" s="57">
        <v>42276.79965277778</v>
      </c>
      <c r="F281" t="s">
        <v>119</v>
      </c>
      <c r="G281"/>
      <c r="H281" t="s">
        <v>5</v>
      </c>
      <c r="I281">
        <v>27</v>
      </c>
      <c r="J281" t="s">
        <v>5</v>
      </c>
      <c r="K281">
        <v>64.296296299999995</v>
      </c>
      <c r="L281" s="50">
        <f t="shared" si="9"/>
        <v>0.642962963</v>
      </c>
      <c r="M281" s="50" t="str">
        <f t="shared" si="8"/>
        <v>Mobile 27</v>
      </c>
    </row>
    <row r="282" spans="1:13" ht="15">
      <c r="A282">
        <v>947</v>
      </c>
      <c r="B282" t="s">
        <v>253</v>
      </c>
      <c r="C282" s="56">
        <v>42272</v>
      </c>
      <c r="D282"/>
      <c r="E282" s="57">
        <v>42276.79965277778</v>
      </c>
      <c r="F282" t="s">
        <v>119</v>
      </c>
      <c r="G282"/>
      <c r="H282" t="s">
        <v>172</v>
      </c>
      <c r="I282">
        <v>29</v>
      </c>
      <c r="J282" t="s">
        <v>173</v>
      </c>
      <c r="K282"/>
      <c r="L282" s="50">
        <f t="shared" si="9"/>
        <v>0</v>
      </c>
      <c r="M282" s="50" t="str">
        <f t="shared" si="8"/>
        <v>Mobile/Content 29</v>
      </c>
    </row>
    <row r="283" spans="1:13" ht="15">
      <c r="A283">
        <v>947</v>
      </c>
      <c r="B283" t="s">
        <v>253</v>
      </c>
      <c r="C283" s="56">
        <v>42272</v>
      </c>
      <c r="D283"/>
      <c r="E283" s="57">
        <v>42276.79965277778</v>
      </c>
      <c r="F283" t="s">
        <v>119</v>
      </c>
      <c r="G283"/>
      <c r="H283" t="s">
        <v>174</v>
      </c>
      <c r="I283">
        <v>28</v>
      </c>
      <c r="J283" t="s">
        <v>175</v>
      </c>
      <c r="K283">
        <v>50.875</v>
      </c>
      <c r="L283" s="50">
        <f t="shared" si="9"/>
        <v>0.50875000000000004</v>
      </c>
      <c r="M283" s="50" t="str">
        <f t="shared" si="8"/>
        <v>Compatibility 28</v>
      </c>
    </row>
    <row r="284" spans="1:13" ht="15">
      <c r="A284">
        <v>947</v>
      </c>
      <c r="B284" t="s">
        <v>253</v>
      </c>
      <c r="C284" s="56">
        <v>42272</v>
      </c>
      <c r="D284"/>
      <c r="E284" s="57">
        <v>42276.79965277778</v>
      </c>
      <c r="F284" t="s">
        <v>119</v>
      </c>
      <c r="G284"/>
      <c r="H284" t="s">
        <v>176</v>
      </c>
      <c r="I284">
        <v>31</v>
      </c>
      <c r="J284" t="s">
        <v>177</v>
      </c>
      <c r="K284">
        <v>100</v>
      </c>
      <c r="L284" s="50">
        <f t="shared" si="9"/>
        <v>1</v>
      </c>
      <c r="M284" s="50" t="str">
        <f t="shared" si="8"/>
        <v>Mobile/Infrastructure 31</v>
      </c>
    </row>
    <row r="285" spans="1:13" ht="15">
      <c r="A285">
        <v>947</v>
      </c>
      <c r="B285" t="s">
        <v>253</v>
      </c>
      <c r="C285" s="56">
        <v>42272</v>
      </c>
      <c r="D285"/>
      <c r="E285" s="57">
        <v>42276.79965277778</v>
      </c>
      <c r="F285" t="s">
        <v>119</v>
      </c>
      <c r="G285"/>
      <c r="H285" t="s">
        <v>178</v>
      </c>
      <c r="I285">
        <v>30</v>
      </c>
      <c r="J285" t="s">
        <v>179</v>
      </c>
      <c r="K285">
        <v>64.400000000000006</v>
      </c>
      <c r="L285" s="50">
        <f t="shared" si="9"/>
        <v>0.64400000000000002</v>
      </c>
      <c r="M285" s="50" t="str">
        <f t="shared" si="8"/>
        <v>Functionality 30</v>
      </c>
    </row>
    <row r="286" spans="1:13" ht="15">
      <c r="A286">
        <v>947</v>
      </c>
      <c r="B286" t="s">
        <v>253</v>
      </c>
      <c r="C286" s="56">
        <v>42272</v>
      </c>
      <c r="D286"/>
      <c r="E286" s="57">
        <v>42276.79965277778</v>
      </c>
      <c r="F286" t="s">
        <v>119</v>
      </c>
      <c r="G286"/>
      <c r="H286" t="s">
        <v>180</v>
      </c>
      <c r="I286">
        <v>32</v>
      </c>
      <c r="J286" t="s">
        <v>181</v>
      </c>
      <c r="K286"/>
      <c r="L286" s="50">
        <f t="shared" si="9"/>
        <v>0</v>
      </c>
      <c r="M286" s="50" t="str">
        <f t="shared" si="8"/>
        <v>Mobile/Latency 32</v>
      </c>
    </row>
    <row r="287" spans="1:13" ht="15">
      <c r="A287">
        <v>947</v>
      </c>
      <c r="B287" t="s">
        <v>253</v>
      </c>
      <c r="C287" s="56">
        <v>42272</v>
      </c>
      <c r="D287"/>
      <c r="E287" s="57">
        <v>42276.79965277778</v>
      </c>
      <c r="F287" t="s">
        <v>119</v>
      </c>
      <c r="G287"/>
      <c r="H287" t="s">
        <v>182</v>
      </c>
      <c r="I287">
        <v>33</v>
      </c>
      <c r="J287" t="s">
        <v>183</v>
      </c>
      <c r="K287"/>
      <c r="L287" s="50">
        <f t="shared" si="9"/>
        <v>0</v>
      </c>
      <c r="M287" s="50" t="str">
        <f t="shared" si="8"/>
        <v>Mobile/Promotion 33</v>
      </c>
    </row>
    <row r="288" spans="1:13" ht="15">
      <c r="A288">
        <v>947</v>
      </c>
      <c r="B288" t="s">
        <v>253</v>
      </c>
      <c r="C288" s="56">
        <v>42272</v>
      </c>
      <c r="D288"/>
      <c r="E288" s="57">
        <v>42276.79965277778</v>
      </c>
      <c r="F288" t="s">
        <v>119</v>
      </c>
      <c r="G288"/>
      <c r="H288" t="s">
        <v>184</v>
      </c>
      <c r="I288">
        <v>68</v>
      </c>
      <c r="J288" t="s">
        <v>184</v>
      </c>
      <c r="K288"/>
      <c r="L288" s="50">
        <f t="shared" si="9"/>
        <v>0</v>
      </c>
      <c r="M288" s="50" t="str">
        <f t="shared" si="8"/>
        <v>Online Channel 68</v>
      </c>
    </row>
    <row r="289" spans="1:13" ht="15">
      <c r="A289">
        <v>947</v>
      </c>
      <c r="B289" t="s">
        <v>253</v>
      </c>
      <c r="C289" s="56">
        <v>42272</v>
      </c>
      <c r="D289"/>
      <c r="E289" s="57">
        <v>42276.79965277778</v>
      </c>
      <c r="F289" t="s">
        <v>119</v>
      </c>
      <c r="G289"/>
      <c r="H289" t="s">
        <v>185</v>
      </c>
      <c r="I289">
        <v>69</v>
      </c>
      <c r="J289" t="s">
        <v>13</v>
      </c>
      <c r="K289"/>
      <c r="L289" s="50">
        <f t="shared" si="9"/>
        <v>0</v>
      </c>
      <c r="M289" s="50" t="str">
        <f t="shared" si="8"/>
        <v>E-Referral 69</v>
      </c>
    </row>
    <row r="290" spans="1:13" ht="15">
      <c r="A290">
        <v>947</v>
      </c>
      <c r="B290" t="s">
        <v>253</v>
      </c>
      <c r="C290" s="56">
        <v>42272</v>
      </c>
      <c r="D290"/>
      <c r="E290" s="57">
        <v>42276.79965277778</v>
      </c>
      <c r="F290" t="s">
        <v>119</v>
      </c>
      <c r="G290"/>
      <c r="H290" t="s">
        <v>186</v>
      </c>
      <c r="I290">
        <v>71</v>
      </c>
      <c r="J290" t="s">
        <v>187</v>
      </c>
      <c r="K290"/>
      <c r="L290" s="50">
        <f t="shared" si="9"/>
        <v>0</v>
      </c>
      <c r="M290" s="50" t="str">
        <f t="shared" si="8"/>
        <v>Online Channel/Product Merchandising 71</v>
      </c>
    </row>
    <row r="291" spans="1:13" ht="15">
      <c r="A291">
        <v>947</v>
      </c>
      <c r="B291" t="s">
        <v>253</v>
      </c>
      <c r="C291" s="56">
        <v>42272</v>
      </c>
      <c r="D291"/>
      <c r="E291" s="57">
        <v>42276.79965277778</v>
      </c>
      <c r="F291" t="s">
        <v>119</v>
      </c>
      <c r="G291"/>
      <c r="H291" t="s">
        <v>188</v>
      </c>
      <c r="I291">
        <v>70</v>
      </c>
      <c r="J291" t="s">
        <v>189</v>
      </c>
      <c r="K291"/>
      <c r="L291" s="50">
        <f t="shared" si="9"/>
        <v>0</v>
      </c>
      <c r="M291" s="50" t="str">
        <f t="shared" si="8"/>
        <v>Brand Merchandising 70</v>
      </c>
    </row>
    <row r="292" spans="1:13" ht="15">
      <c r="A292">
        <v>947</v>
      </c>
      <c r="B292" t="s">
        <v>253</v>
      </c>
      <c r="C292" s="56">
        <v>42272</v>
      </c>
      <c r="D292"/>
      <c r="E292" s="57">
        <v>42276.79965277778</v>
      </c>
      <c r="F292" t="s">
        <v>119</v>
      </c>
      <c r="G292"/>
      <c r="H292" t="s">
        <v>26</v>
      </c>
      <c r="I292">
        <v>75</v>
      </c>
      <c r="J292" t="s">
        <v>26</v>
      </c>
      <c r="K292">
        <v>55.648083620000001</v>
      </c>
      <c r="L292" s="50">
        <f t="shared" si="9"/>
        <v>0.5564808362</v>
      </c>
      <c r="M292" s="50" t="str">
        <f t="shared" si="8"/>
        <v>Opportunity Conversion 75</v>
      </c>
    </row>
    <row r="293" spans="1:13" ht="15">
      <c r="A293">
        <v>947</v>
      </c>
      <c r="B293" t="s">
        <v>253</v>
      </c>
      <c r="C293" s="56">
        <v>42272</v>
      </c>
      <c r="D293"/>
      <c r="E293" s="57">
        <v>42276.79965277778</v>
      </c>
      <c r="F293" t="s">
        <v>119</v>
      </c>
      <c r="G293"/>
      <c r="H293" t="s">
        <v>11</v>
      </c>
      <c r="I293">
        <v>34</v>
      </c>
      <c r="J293" t="s">
        <v>11</v>
      </c>
      <c r="K293">
        <v>58.955665019999998</v>
      </c>
      <c r="L293" s="50">
        <f t="shared" si="9"/>
        <v>0.58955665020000003</v>
      </c>
      <c r="M293" s="50" t="str">
        <f t="shared" si="8"/>
        <v>SEM 34</v>
      </c>
    </row>
    <row r="294" spans="1:13" ht="15">
      <c r="A294">
        <v>947</v>
      </c>
      <c r="B294" t="s">
        <v>253</v>
      </c>
      <c r="C294" s="56">
        <v>42272</v>
      </c>
      <c r="D294"/>
      <c r="E294" s="57">
        <v>42276.79965277778</v>
      </c>
      <c r="F294" t="s">
        <v>119</v>
      </c>
      <c r="G294"/>
      <c r="H294" t="s">
        <v>190</v>
      </c>
      <c r="I294">
        <v>37</v>
      </c>
      <c r="J294" t="s">
        <v>191</v>
      </c>
      <c r="K294">
        <v>51.347826089999998</v>
      </c>
      <c r="L294" s="50">
        <f t="shared" si="9"/>
        <v>0.51347826089999993</v>
      </c>
      <c r="M294" s="50" t="str">
        <f t="shared" si="8"/>
        <v>SEM/Content 37</v>
      </c>
    </row>
    <row r="295" spans="1:13" ht="15">
      <c r="A295">
        <v>947</v>
      </c>
      <c r="B295" t="s">
        <v>253</v>
      </c>
      <c r="C295" s="56">
        <v>42272</v>
      </c>
      <c r="D295"/>
      <c r="E295" s="57">
        <v>42276.79965277778</v>
      </c>
      <c r="F295" t="s">
        <v>119</v>
      </c>
      <c r="G295"/>
      <c r="H295" t="s">
        <v>192</v>
      </c>
      <c r="I295">
        <v>38</v>
      </c>
      <c r="J295" t="s">
        <v>193</v>
      </c>
      <c r="K295"/>
      <c r="L295" s="50">
        <f t="shared" si="9"/>
        <v>0</v>
      </c>
      <c r="M295" s="50" t="str">
        <f t="shared" si="8"/>
        <v>Inclusion 38</v>
      </c>
    </row>
    <row r="296" spans="1:13" ht="15">
      <c r="A296">
        <v>947</v>
      </c>
      <c r="B296" t="s">
        <v>253</v>
      </c>
      <c r="C296" s="56">
        <v>42272</v>
      </c>
      <c r="D296"/>
      <c r="E296" s="57">
        <v>42276.79965277778</v>
      </c>
      <c r="F296" t="s">
        <v>119</v>
      </c>
      <c r="G296"/>
      <c r="H296" t="s">
        <v>194</v>
      </c>
      <c r="I296">
        <v>35</v>
      </c>
      <c r="J296" t="s">
        <v>195</v>
      </c>
      <c r="K296"/>
      <c r="L296" s="50">
        <f t="shared" si="9"/>
        <v>0</v>
      </c>
      <c r="M296" s="50" t="str">
        <f t="shared" si="8"/>
        <v>Advertising 35</v>
      </c>
    </row>
    <row r="297" spans="1:13" ht="15">
      <c r="A297">
        <v>947</v>
      </c>
      <c r="B297" t="s">
        <v>253</v>
      </c>
      <c r="C297" s="56">
        <v>42272</v>
      </c>
      <c r="D297"/>
      <c r="E297" s="57">
        <v>42276.79965277778</v>
      </c>
      <c r="F297" t="s">
        <v>119</v>
      </c>
      <c r="G297"/>
      <c r="H297" t="s">
        <v>196</v>
      </c>
      <c r="I297">
        <v>36</v>
      </c>
      <c r="J297" t="s">
        <v>197</v>
      </c>
      <c r="K297">
        <v>71.824096389999994</v>
      </c>
      <c r="L297" s="50">
        <f t="shared" si="9"/>
        <v>0.71824096389999992</v>
      </c>
      <c r="M297" s="50" t="str">
        <f t="shared" si="8"/>
        <v>Constructs 36</v>
      </c>
    </row>
    <row r="298" spans="1:13" ht="15">
      <c r="A298">
        <v>947</v>
      </c>
      <c r="B298" t="s">
        <v>253</v>
      </c>
      <c r="C298" s="56">
        <v>42272</v>
      </c>
      <c r="D298"/>
      <c r="E298" s="57">
        <v>42276.79965277778</v>
      </c>
      <c r="F298" t="s">
        <v>119</v>
      </c>
      <c r="G298"/>
      <c r="H298" t="s">
        <v>198</v>
      </c>
      <c r="I298">
        <v>41</v>
      </c>
      <c r="J298" t="s">
        <v>199</v>
      </c>
      <c r="K298"/>
      <c r="L298" s="50">
        <f t="shared" si="9"/>
        <v>0</v>
      </c>
      <c r="M298" s="50" t="str">
        <f t="shared" si="8"/>
        <v>SEM/Unassigned 41</v>
      </c>
    </row>
    <row r="299" spans="1:13" ht="15">
      <c r="A299">
        <v>947</v>
      </c>
      <c r="B299" t="s">
        <v>253</v>
      </c>
      <c r="C299" s="56">
        <v>42272</v>
      </c>
      <c r="D299"/>
      <c r="E299" s="57">
        <v>42276.79965277778</v>
      </c>
      <c r="F299" t="s">
        <v>119</v>
      </c>
      <c r="G299"/>
      <c r="H299" t="s">
        <v>200</v>
      </c>
      <c r="I299">
        <v>39</v>
      </c>
      <c r="J299" t="s">
        <v>201</v>
      </c>
      <c r="K299">
        <v>20.32</v>
      </c>
      <c r="L299" s="50">
        <f t="shared" si="9"/>
        <v>0.20319999999999999</v>
      </c>
      <c r="M299" s="50" t="str">
        <f t="shared" si="8"/>
        <v>SEM/Infrastructure 39</v>
      </c>
    </row>
    <row r="300" spans="1:13" ht="15">
      <c r="A300">
        <v>947</v>
      </c>
      <c r="B300" t="s">
        <v>253</v>
      </c>
      <c r="C300" s="56">
        <v>42272</v>
      </c>
      <c r="D300"/>
      <c r="E300" s="57">
        <v>42276.79965277778</v>
      </c>
      <c r="F300" t="s">
        <v>119</v>
      </c>
      <c r="G300"/>
      <c r="H300" t="s">
        <v>202</v>
      </c>
      <c r="I300">
        <v>40</v>
      </c>
      <c r="J300" t="s">
        <v>203</v>
      </c>
      <c r="K300"/>
      <c r="L300" s="50">
        <f t="shared" si="9"/>
        <v>0</v>
      </c>
      <c r="M300" s="50" t="str">
        <f t="shared" si="8"/>
        <v>Ranking 40</v>
      </c>
    </row>
    <row r="301" spans="1:13" ht="15">
      <c r="A301">
        <v>947</v>
      </c>
      <c r="B301" t="s">
        <v>253</v>
      </c>
      <c r="C301" s="56">
        <v>42272</v>
      </c>
      <c r="D301"/>
      <c r="E301" s="57">
        <v>42276.79965277778</v>
      </c>
      <c r="F301" t="s">
        <v>119</v>
      </c>
      <c r="G301"/>
      <c r="H301" t="s">
        <v>99</v>
      </c>
      <c r="I301">
        <v>42</v>
      </c>
      <c r="J301" t="s">
        <v>99</v>
      </c>
      <c r="K301">
        <v>51.867088610000003</v>
      </c>
      <c r="L301" s="50">
        <f t="shared" si="9"/>
        <v>0.51867088610000001</v>
      </c>
      <c r="M301" s="50" t="str">
        <f t="shared" si="8"/>
        <v>Social Media 42</v>
      </c>
    </row>
    <row r="302" spans="1:13" ht="15">
      <c r="A302">
        <v>947</v>
      </c>
      <c r="B302" t="s">
        <v>253</v>
      </c>
      <c r="C302" s="56">
        <v>42272</v>
      </c>
      <c r="D302"/>
      <c r="E302" s="57">
        <v>42276.79965277778</v>
      </c>
      <c r="F302" t="s">
        <v>119</v>
      </c>
      <c r="G302"/>
      <c r="H302" t="s">
        <v>204</v>
      </c>
      <c r="I302">
        <v>52</v>
      </c>
      <c r="J302" t="s">
        <v>205</v>
      </c>
      <c r="K302"/>
      <c r="L302" s="50">
        <f t="shared" si="9"/>
        <v>0</v>
      </c>
      <c r="M302" s="50" t="str">
        <f t="shared" si="8"/>
        <v>Social Media/Unassigned 52</v>
      </c>
    </row>
    <row r="303" spans="1:13" ht="15">
      <c r="A303">
        <v>947</v>
      </c>
      <c r="B303" t="s">
        <v>253</v>
      </c>
      <c r="C303" s="56">
        <v>42272</v>
      </c>
      <c r="D303"/>
      <c r="E303" s="57">
        <v>42276.79965277778</v>
      </c>
      <c r="F303" t="s">
        <v>119</v>
      </c>
      <c r="G303"/>
      <c r="H303" t="s">
        <v>206</v>
      </c>
      <c r="I303">
        <v>51</v>
      </c>
      <c r="J303" t="s">
        <v>75</v>
      </c>
      <c r="K303">
        <v>61.764705880000001</v>
      </c>
      <c r="L303" s="50">
        <f t="shared" si="9"/>
        <v>0.61764705880000004</v>
      </c>
      <c r="M303" s="50" t="str">
        <f t="shared" si="8"/>
        <v>YouTube 51</v>
      </c>
    </row>
    <row r="304" spans="1:13" ht="15">
      <c r="A304">
        <v>947</v>
      </c>
      <c r="B304" t="s">
        <v>253</v>
      </c>
      <c r="C304" s="56">
        <v>42272</v>
      </c>
      <c r="D304"/>
      <c r="E304" s="57">
        <v>42276.79965277778</v>
      </c>
      <c r="F304" t="s">
        <v>119</v>
      </c>
      <c r="G304"/>
      <c r="H304" t="s">
        <v>207</v>
      </c>
      <c r="I304">
        <v>50</v>
      </c>
      <c r="J304" t="s">
        <v>77</v>
      </c>
      <c r="K304">
        <v>42.857142860000003</v>
      </c>
      <c r="L304" s="50">
        <f t="shared" si="9"/>
        <v>0.42857142860000003</v>
      </c>
      <c r="M304" s="50" t="str">
        <f t="shared" si="8"/>
        <v>Twitter 50</v>
      </c>
    </row>
    <row r="305" spans="1:13" ht="15">
      <c r="A305">
        <v>947</v>
      </c>
      <c r="B305" t="s">
        <v>253</v>
      </c>
      <c r="C305" s="56">
        <v>42272</v>
      </c>
      <c r="D305"/>
      <c r="E305" s="57">
        <v>42276.79965277778</v>
      </c>
      <c r="F305" t="s">
        <v>119</v>
      </c>
      <c r="G305"/>
      <c r="H305" t="s">
        <v>208</v>
      </c>
      <c r="I305">
        <v>49</v>
      </c>
      <c r="J305" t="s">
        <v>209</v>
      </c>
      <c r="K305">
        <v>40</v>
      </c>
      <c r="L305" s="50">
        <f t="shared" si="9"/>
        <v>0.4</v>
      </c>
      <c r="M305" s="50" t="str">
        <f t="shared" si="8"/>
        <v>Social Media/Promotion 49</v>
      </c>
    </row>
    <row r="306" spans="1:13" ht="15">
      <c r="A306">
        <v>947</v>
      </c>
      <c r="B306" t="s">
        <v>253</v>
      </c>
      <c r="C306" s="56">
        <v>42272</v>
      </c>
      <c r="D306"/>
      <c r="E306" s="57">
        <v>42276.79965277778</v>
      </c>
      <c r="F306" t="s">
        <v>119</v>
      </c>
      <c r="G306"/>
      <c r="H306" t="s">
        <v>210</v>
      </c>
      <c r="I306">
        <v>48</v>
      </c>
      <c r="J306" t="s">
        <v>211</v>
      </c>
      <c r="K306"/>
      <c r="L306" s="50">
        <f t="shared" si="9"/>
        <v>0</v>
      </c>
      <c r="M306" s="50" t="str">
        <f t="shared" si="8"/>
        <v>Other Social Networks 48</v>
      </c>
    </row>
    <row r="307" spans="1:13" ht="15">
      <c r="A307">
        <v>947</v>
      </c>
      <c r="B307" t="s">
        <v>253</v>
      </c>
      <c r="C307" s="56">
        <v>42272</v>
      </c>
      <c r="D307"/>
      <c r="E307" s="57">
        <v>42276.79965277778</v>
      </c>
      <c r="F307" t="s">
        <v>119</v>
      </c>
      <c r="G307"/>
      <c r="H307" t="s">
        <v>212</v>
      </c>
      <c r="I307">
        <v>47</v>
      </c>
      <c r="J307" t="s">
        <v>213</v>
      </c>
      <c r="K307"/>
      <c r="L307" s="50">
        <f t="shared" si="9"/>
        <v>0</v>
      </c>
      <c r="M307" s="50" t="str">
        <f t="shared" si="8"/>
        <v>LinkedIn 47</v>
      </c>
    </row>
    <row r="308" spans="1:13" ht="15">
      <c r="A308">
        <v>947</v>
      </c>
      <c r="B308" t="s">
        <v>253</v>
      </c>
      <c r="C308" s="56">
        <v>42272</v>
      </c>
      <c r="D308"/>
      <c r="E308" s="57">
        <v>42276.79965277778</v>
      </c>
      <c r="F308" t="s">
        <v>119</v>
      </c>
      <c r="G308"/>
      <c r="H308" t="s">
        <v>214</v>
      </c>
      <c r="I308">
        <v>44</v>
      </c>
      <c r="J308" t="s">
        <v>215</v>
      </c>
      <c r="K308"/>
      <c r="L308" s="50">
        <f t="shared" si="9"/>
        <v>0</v>
      </c>
      <c r="M308" s="50" t="str">
        <f t="shared" si="8"/>
        <v>Social Media/Content 44</v>
      </c>
    </row>
    <row r="309" spans="1:13" ht="15">
      <c r="A309">
        <v>947</v>
      </c>
      <c r="B309" t="s">
        <v>253</v>
      </c>
      <c r="C309" s="56">
        <v>42272</v>
      </c>
      <c r="D309"/>
      <c r="E309" s="57">
        <v>42276.79965277778</v>
      </c>
      <c r="F309" t="s">
        <v>119</v>
      </c>
      <c r="G309"/>
      <c r="H309" t="s">
        <v>216</v>
      </c>
      <c r="I309">
        <v>46</v>
      </c>
      <c r="J309" t="s">
        <v>217</v>
      </c>
      <c r="K309">
        <v>59.42307692</v>
      </c>
      <c r="L309" s="50">
        <f t="shared" si="9"/>
        <v>0.59423076919999995</v>
      </c>
      <c r="M309" s="50" t="str">
        <f t="shared" si="8"/>
        <v>Social Media/Infrastructure 46</v>
      </c>
    </row>
    <row r="310" spans="1:13" ht="15">
      <c r="A310">
        <v>947</v>
      </c>
      <c r="B310" t="s">
        <v>253</v>
      </c>
      <c r="C310" s="56">
        <v>42272</v>
      </c>
      <c r="D310"/>
      <c r="E310" s="57">
        <v>42276.79965277778</v>
      </c>
      <c r="F310" t="s">
        <v>119</v>
      </c>
      <c r="G310"/>
      <c r="H310" t="s">
        <v>218</v>
      </c>
      <c r="I310">
        <v>45</v>
      </c>
      <c r="J310" t="s">
        <v>76</v>
      </c>
      <c r="K310">
        <v>43.548387099999999</v>
      </c>
      <c r="L310" s="50">
        <f t="shared" si="9"/>
        <v>0.43548387099999997</v>
      </c>
      <c r="M310" s="50" t="str">
        <f t="shared" si="8"/>
        <v>Facebook 45</v>
      </c>
    </row>
    <row r="311" spans="1:13" ht="15">
      <c r="A311">
        <v>947</v>
      </c>
      <c r="B311" t="s">
        <v>253</v>
      </c>
      <c r="C311" s="56">
        <v>42272</v>
      </c>
      <c r="D311"/>
      <c r="E311" s="57">
        <v>42276.79965277778</v>
      </c>
      <c r="F311" t="s">
        <v>119</v>
      </c>
      <c r="G311"/>
      <c r="H311" t="s">
        <v>219</v>
      </c>
      <c r="I311">
        <v>43</v>
      </c>
      <c r="J311" t="s">
        <v>220</v>
      </c>
      <c r="K311"/>
      <c r="L311" s="50">
        <f t="shared" si="9"/>
        <v>0</v>
      </c>
      <c r="M311" s="50" t="str">
        <f t="shared" si="8"/>
        <v>Social Media/Appeal 43</v>
      </c>
    </row>
    <row r="312" spans="1:13" ht="15">
      <c r="A312">
        <v>947</v>
      </c>
      <c r="B312" t="s">
        <v>253</v>
      </c>
      <c r="C312" s="56">
        <v>42272</v>
      </c>
      <c r="D312"/>
      <c r="E312" s="57">
        <v>42276.79965277778</v>
      </c>
      <c r="F312" t="s">
        <v>119</v>
      </c>
      <c r="G312"/>
      <c r="H312" t="s">
        <v>10</v>
      </c>
      <c r="I312">
        <v>53</v>
      </c>
      <c r="J312" t="s">
        <v>10</v>
      </c>
      <c r="K312">
        <v>56.892697470000002</v>
      </c>
      <c r="L312" s="50">
        <f t="shared" si="9"/>
        <v>0.56892697469999998</v>
      </c>
      <c r="M312" s="50" t="str">
        <f t="shared" si="8"/>
        <v>Support 53</v>
      </c>
    </row>
    <row r="313" spans="1:13" ht="15">
      <c r="A313">
        <v>947</v>
      </c>
      <c r="B313" t="s">
        <v>253</v>
      </c>
      <c r="C313" s="56">
        <v>42272</v>
      </c>
      <c r="D313"/>
      <c r="E313" s="57">
        <v>42276.79965277778</v>
      </c>
      <c r="F313" t="s">
        <v>119</v>
      </c>
      <c r="G313"/>
      <c r="H313" t="s">
        <v>221</v>
      </c>
      <c r="I313">
        <v>151</v>
      </c>
      <c r="J313" t="s">
        <v>221</v>
      </c>
      <c r="K313">
        <v>54.550070920000003</v>
      </c>
      <c r="L313" s="50">
        <f t="shared" si="9"/>
        <v>0.54550070920000004</v>
      </c>
      <c r="M313" s="50" t="str">
        <f t="shared" si="8"/>
        <v>Task Completion 151</v>
      </c>
    </row>
    <row r="314" spans="1:13" ht="15">
      <c r="A314">
        <v>947</v>
      </c>
      <c r="B314" t="s">
        <v>253</v>
      </c>
      <c r="C314" s="56">
        <v>42272</v>
      </c>
      <c r="D314"/>
      <c r="E314" s="57">
        <v>42276.79965277778</v>
      </c>
      <c r="F314" t="s">
        <v>119</v>
      </c>
      <c r="G314"/>
      <c r="H314" t="s">
        <v>222</v>
      </c>
      <c r="I314">
        <v>152</v>
      </c>
      <c r="J314" t="s">
        <v>222</v>
      </c>
      <c r="K314">
        <v>55.250378920000003</v>
      </c>
      <c r="L314" s="50">
        <f t="shared" si="9"/>
        <v>0.55250378919999998</v>
      </c>
      <c r="M314" s="50" t="str">
        <f t="shared" si="8"/>
        <v>Time Spent on Site 152</v>
      </c>
    </row>
    <row r="315" spans="1:13" ht="15">
      <c r="A315">
        <v>947</v>
      </c>
      <c r="B315" t="s">
        <v>253</v>
      </c>
      <c r="C315" s="56">
        <v>42272</v>
      </c>
      <c r="D315"/>
      <c r="E315" s="57">
        <v>42276.79965277778</v>
      </c>
      <c r="F315" t="s">
        <v>119</v>
      </c>
      <c r="G315"/>
      <c r="H315" t="s">
        <v>223</v>
      </c>
      <c r="I315">
        <v>149</v>
      </c>
      <c r="J315" t="s">
        <v>223</v>
      </c>
      <c r="K315">
        <v>58.622547580000003</v>
      </c>
      <c r="L315" s="50">
        <f t="shared" si="9"/>
        <v>0.58622547580000006</v>
      </c>
      <c r="M315" s="50" t="str">
        <f t="shared" si="8"/>
        <v>Traffic 149</v>
      </c>
    </row>
    <row r="316" spans="1:13" ht="15">
      <c r="A316">
        <v>947</v>
      </c>
      <c r="B316" t="s">
        <v>253</v>
      </c>
      <c r="C316" s="56">
        <v>42272</v>
      </c>
      <c r="D316"/>
      <c r="E316" s="57">
        <v>42276.79965277778</v>
      </c>
      <c r="F316" t="s">
        <v>119</v>
      </c>
      <c r="G316"/>
      <c r="H316" t="s">
        <v>4</v>
      </c>
      <c r="I316">
        <v>54</v>
      </c>
      <c r="J316" t="s">
        <v>4</v>
      </c>
      <c r="K316">
        <v>56.592230409999999</v>
      </c>
      <c r="L316" s="50">
        <f t="shared" si="9"/>
        <v>0.5659223041</v>
      </c>
      <c r="M316" s="50" t="str">
        <f t="shared" si="8"/>
        <v>Website 54</v>
      </c>
    </row>
    <row r="317" spans="1:13" ht="15">
      <c r="A317">
        <v>947</v>
      </c>
      <c r="B317" t="s">
        <v>253</v>
      </c>
      <c r="C317" s="56">
        <v>42272</v>
      </c>
      <c r="D317"/>
      <c r="E317" s="57">
        <v>42276.79965277778</v>
      </c>
      <c r="F317" t="s">
        <v>119</v>
      </c>
      <c r="G317"/>
      <c r="H317" t="s">
        <v>224</v>
      </c>
      <c r="I317">
        <v>57</v>
      </c>
      <c r="J317" t="s">
        <v>225</v>
      </c>
      <c r="K317"/>
      <c r="L317" s="50">
        <f t="shared" si="9"/>
        <v>0</v>
      </c>
      <c r="M317" s="50" t="str">
        <f t="shared" si="8"/>
        <v>E-Retail 57</v>
      </c>
    </row>
    <row r="318" spans="1:13" ht="15">
      <c r="A318">
        <v>947</v>
      </c>
      <c r="B318" t="s">
        <v>253</v>
      </c>
      <c r="C318" s="56">
        <v>42272</v>
      </c>
      <c r="D318"/>
      <c r="E318" s="57">
        <v>42276.79965277778</v>
      </c>
      <c r="F318" t="s">
        <v>119</v>
      </c>
      <c r="G318"/>
      <c r="H318" t="s">
        <v>226</v>
      </c>
      <c r="I318">
        <v>58</v>
      </c>
      <c r="J318" t="s">
        <v>227</v>
      </c>
      <c r="K318">
        <v>64.475609759999998</v>
      </c>
      <c r="L318" s="50">
        <f t="shared" si="9"/>
        <v>0.64475609759999997</v>
      </c>
      <c r="M318" s="50" t="str">
        <f t="shared" si="8"/>
        <v>Website/Infrastructure 58</v>
      </c>
    </row>
    <row r="319" spans="1:13" ht="15">
      <c r="A319">
        <v>947</v>
      </c>
      <c r="B319" t="s">
        <v>253</v>
      </c>
      <c r="C319" s="56">
        <v>42272</v>
      </c>
      <c r="D319"/>
      <c r="E319" s="57">
        <v>42276.79965277778</v>
      </c>
      <c r="F319" t="s">
        <v>119</v>
      </c>
      <c r="G319"/>
      <c r="H319" t="s">
        <v>228</v>
      </c>
      <c r="I319">
        <v>59</v>
      </c>
      <c r="J319" t="s">
        <v>229</v>
      </c>
      <c r="K319">
        <v>43.985365850000001</v>
      </c>
      <c r="L319" s="50">
        <f t="shared" si="9"/>
        <v>0.43985365850000002</v>
      </c>
      <c r="M319" s="50" t="str">
        <f t="shared" si="8"/>
        <v>Website/Latency 59</v>
      </c>
    </row>
    <row r="320" spans="1:13" ht="15">
      <c r="A320">
        <v>947</v>
      </c>
      <c r="B320" t="s">
        <v>253</v>
      </c>
      <c r="C320" s="56">
        <v>42272</v>
      </c>
      <c r="D320"/>
      <c r="E320" s="57">
        <v>42276.79965277778</v>
      </c>
      <c r="F320" t="s">
        <v>119</v>
      </c>
      <c r="G320"/>
      <c r="H320" t="s">
        <v>230</v>
      </c>
      <c r="I320">
        <v>60</v>
      </c>
      <c r="J320" t="s">
        <v>231</v>
      </c>
      <c r="K320">
        <v>47.647058819999998</v>
      </c>
      <c r="L320" s="50">
        <f t="shared" si="9"/>
        <v>0.47647058819999999</v>
      </c>
      <c r="M320" s="50" t="str">
        <f t="shared" si="8"/>
        <v>Website/Promotion 60</v>
      </c>
    </row>
    <row r="321" spans="1:13" ht="15">
      <c r="A321">
        <v>947</v>
      </c>
      <c r="B321" t="s">
        <v>253</v>
      </c>
      <c r="C321" s="56">
        <v>42272</v>
      </c>
      <c r="D321"/>
      <c r="E321" s="57">
        <v>42276.79965277778</v>
      </c>
      <c r="F321" t="s">
        <v>119</v>
      </c>
      <c r="G321"/>
      <c r="H321" t="s">
        <v>232</v>
      </c>
      <c r="I321">
        <v>55</v>
      </c>
      <c r="J321" t="s">
        <v>233</v>
      </c>
      <c r="K321"/>
      <c r="L321" s="50">
        <f t="shared" si="9"/>
        <v>0</v>
      </c>
      <c r="M321" s="50" t="str">
        <f t="shared" si="8"/>
        <v>Website/Appeal 55</v>
      </c>
    </row>
    <row r="322" spans="1:13" ht="15">
      <c r="A322">
        <v>947</v>
      </c>
      <c r="B322" t="s">
        <v>253</v>
      </c>
      <c r="C322" s="56">
        <v>42272</v>
      </c>
      <c r="D322"/>
      <c r="E322" s="57">
        <v>42276.79965277778</v>
      </c>
      <c r="F322" t="s">
        <v>119</v>
      </c>
      <c r="G322"/>
      <c r="H322" t="s">
        <v>234</v>
      </c>
      <c r="I322">
        <v>56</v>
      </c>
      <c r="J322" t="s">
        <v>235</v>
      </c>
      <c r="K322">
        <v>50.103969749999997</v>
      </c>
      <c r="L322" s="50">
        <f t="shared" si="9"/>
        <v>0.50103969749999999</v>
      </c>
      <c r="M322" s="50" t="str">
        <f t="shared" ref="M322:M385" si="10">CONCATENATE(J322," ",I322)</f>
        <v>Website/Content 56</v>
      </c>
    </row>
    <row r="323" spans="1:13" ht="15">
      <c r="A323">
        <v>947</v>
      </c>
      <c r="B323" t="s">
        <v>253</v>
      </c>
      <c r="C323" s="56">
        <v>42272</v>
      </c>
      <c r="D323"/>
      <c r="E323" s="57">
        <v>42276.79965277778</v>
      </c>
      <c r="F323" t="s">
        <v>119</v>
      </c>
      <c r="G323"/>
      <c r="H323" t="s">
        <v>236</v>
      </c>
      <c r="I323">
        <v>61</v>
      </c>
      <c r="J323" t="s">
        <v>237</v>
      </c>
      <c r="K323"/>
      <c r="L323" s="50">
        <f t="shared" ref="L323:L386" si="11">K323/100</f>
        <v>0</v>
      </c>
      <c r="M323" s="50" t="str">
        <f t="shared" si="10"/>
        <v>Website/Reviews 61</v>
      </c>
    </row>
    <row r="324" spans="1:13" ht="15">
      <c r="A324">
        <v>947</v>
      </c>
      <c r="B324" t="s">
        <v>253</v>
      </c>
      <c r="C324" s="56">
        <v>42272</v>
      </c>
      <c r="D324"/>
      <c r="E324" s="57">
        <v>42276.79965277778</v>
      </c>
      <c r="F324" t="s">
        <v>119</v>
      </c>
      <c r="G324"/>
      <c r="H324" t="s">
        <v>238</v>
      </c>
      <c r="I324">
        <v>66</v>
      </c>
      <c r="J324" t="s">
        <v>9</v>
      </c>
      <c r="K324"/>
      <c r="L324" s="50">
        <f t="shared" si="11"/>
        <v>0</v>
      </c>
      <c r="M324" s="50" t="str">
        <f t="shared" si="10"/>
        <v>User Registration 66</v>
      </c>
    </row>
    <row r="325" spans="1:13" ht="15">
      <c r="A325">
        <v>947</v>
      </c>
      <c r="B325" t="s">
        <v>253</v>
      </c>
      <c r="C325" s="56">
        <v>42272</v>
      </c>
      <c r="D325"/>
      <c r="E325" s="57">
        <v>42276.79965277778</v>
      </c>
      <c r="F325" t="s">
        <v>119</v>
      </c>
      <c r="G325"/>
      <c r="H325" t="s">
        <v>239</v>
      </c>
      <c r="I325">
        <v>67</v>
      </c>
      <c r="J325" t="s">
        <v>240</v>
      </c>
      <c r="K325"/>
      <c r="L325" s="50">
        <f t="shared" si="11"/>
        <v>0</v>
      </c>
      <c r="M325" s="50" t="str">
        <f t="shared" si="10"/>
        <v>Website/Unassigned 67</v>
      </c>
    </row>
    <row r="326" spans="1:13" ht="15">
      <c r="A326">
        <v>947</v>
      </c>
      <c r="B326" t="s">
        <v>253</v>
      </c>
      <c r="C326" s="56">
        <v>42272</v>
      </c>
      <c r="D326"/>
      <c r="E326" s="57">
        <v>42276.79965277778</v>
      </c>
      <c r="F326" t="s">
        <v>119</v>
      </c>
      <c r="G326"/>
      <c r="H326" t="s">
        <v>241</v>
      </c>
      <c r="I326">
        <v>64</v>
      </c>
      <c r="J326" t="s">
        <v>242</v>
      </c>
      <c r="K326"/>
      <c r="L326" s="50">
        <f t="shared" si="11"/>
        <v>0</v>
      </c>
      <c r="M326" s="50" t="str">
        <f t="shared" si="10"/>
        <v>Website/Traffic 64</v>
      </c>
    </row>
    <row r="327" spans="1:13" ht="15">
      <c r="A327">
        <v>947</v>
      </c>
      <c r="B327" t="s">
        <v>253</v>
      </c>
      <c r="C327" s="56">
        <v>42272</v>
      </c>
      <c r="D327"/>
      <c r="E327" s="57">
        <v>42276.79965277778</v>
      </c>
      <c r="F327" t="s">
        <v>119</v>
      </c>
      <c r="G327"/>
      <c r="H327" t="s">
        <v>243</v>
      </c>
      <c r="I327">
        <v>65</v>
      </c>
      <c r="J327" t="s">
        <v>80</v>
      </c>
      <c r="K327">
        <v>66.735064940000001</v>
      </c>
      <c r="L327" s="50">
        <f t="shared" si="11"/>
        <v>0.6673506494</v>
      </c>
      <c r="M327" s="50" t="str">
        <f t="shared" si="10"/>
        <v>Usability 65</v>
      </c>
    </row>
    <row r="328" spans="1:13" ht="15">
      <c r="A328">
        <v>947</v>
      </c>
      <c r="B328" t="s">
        <v>253</v>
      </c>
      <c r="C328" s="56">
        <v>42272</v>
      </c>
      <c r="D328"/>
      <c r="E328" s="57">
        <v>42276.79965277778</v>
      </c>
      <c r="F328" t="s">
        <v>119</v>
      </c>
      <c r="G328"/>
      <c r="H328" t="s">
        <v>244</v>
      </c>
      <c r="I328">
        <v>63</v>
      </c>
      <c r="J328" t="s">
        <v>245</v>
      </c>
      <c r="K328">
        <v>57.155737700000003</v>
      </c>
      <c r="L328" s="50">
        <f t="shared" si="11"/>
        <v>0.57155737699999998</v>
      </c>
      <c r="M328" s="50" t="str">
        <f t="shared" si="10"/>
        <v>Site Search 63</v>
      </c>
    </row>
    <row r="329" spans="1:13" ht="15">
      <c r="A329">
        <v>947</v>
      </c>
      <c r="B329" t="s">
        <v>253</v>
      </c>
      <c r="C329" s="56">
        <v>42272</v>
      </c>
      <c r="D329"/>
      <c r="E329" s="57">
        <v>42276.79965277778</v>
      </c>
      <c r="F329" t="s">
        <v>119</v>
      </c>
      <c r="G329"/>
      <c r="H329" t="s">
        <v>246</v>
      </c>
      <c r="I329">
        <v>62</v>
      </c>
      <c r="J329" t="s">
        <v>247</v>
      </c>
      <c r="K329">
        <v>0</v>
      </c>
      <c r="L329" s="50">
        <f t="shared" si="11"/>
        <v>0</v>
      </c>
      <c r="M329" s="50" t="str">
        <f t="shared" si="10"/>
        <v>Search Engine Constructs 62</v>
      </c>
    </row>
    <row r="330" spans="1:13" ht="15">
      <c r="A330">
        <v>948</v>
      </c>
      <c r="B330" t="s">
        <v>254</v>
      </c>
      <c r="C330" s="56">
        <v>42272</v>
      </c>
      <c r="D330"/>
      <c r="E330" s="57">
        <v>42276.799722222226</v>
      </c>
      <c r="F330" t="s">
        <v>119</v>
      </c>
      <c r="G330"/>
      <c r="H330" t="s">
        <v>120</v>
      </c>
      <c r="I330">
        <v>150</v>
      </c>
      <c r="J330" t="s">
        <v>120</v>
      </c>
      <c r="K330">
        <v>51.587158090000003</v>
      </c>
      <c r="L330" s="50">
        <f t="shared" si="11"/>
        <v>0.51587158090000007</v>
      </c>
      <c r="M330" s="50" t="str">
        <f t="shared" si="10"/>
        <v>Abandonment 150</v>
      </c>
    </row>
    <row r="331" spans="1:13" ht="15">
      <c r="A331">
        <v>948</v>
      </c>
      <c r="B331" t="s">
        <v>254</v>
      </c>
      <c r="C331" s="56">
        <v>42272</v>
      </c>
      <c r="D331"/>
      <c r="E331" s="57">
        <v>42276.799722222226</v>
      </c>
      <c r="F331" t="s">
        <v>119</v>
      </c>
      <c r="G331"/>
      <c r="H331" t="s">
        <v>121</v>
      </c>
      <c r="I331">
        <v>154</v>
      </c>
      <c r="J331" t="s">
        <v>121</v>
      </c>
      <c r="K331">
        <v>50</v>
      </c>
      <c r="L331" s="50">
        <f t="shared" si="11"/>
        <v>0.5</v>
      </c>
      <c r="M331" s="50" t="str">
        <f t="shared" si="10"/>
        <v>Average Order Value 154</v>
      </c>
    </row>
    <row r="332" spans="1:13" ht="15">
      <c r="A332">
        <v>948</v>
      </c>
      <c r="B332" t="s">
        <v>254</v>
      </c>
      <c r="C332" s="56">
        <v>42272</v>
      </c>
      <c r="D332"/>
      <c r="E332" s="57">
        <v>42276.799722222226</v>
      </c>
      <c r="F332" t="s">
        <v>119</v>
      </c>
      <c r="G332"/>
      <c r="H332" t="s">
        <v>24</v>
      </c>
      <c r="I332">
        <v>72</v>
      </c>
      <c r="J332" t="s">
        <v>24</v>
      </c>
      <c r="K332">
        <v>49.36224189</v>
      </c>
      <c r="L332" s="50">
        <f t="shared" si="11"/>
        <v>0.49362241890000003</v>
      </c>
      <c r="M332" s="50" t="str">
        <f t="shared" si="10"/>
        <v>Awareness Creation 72</v>
      </c>
    </row>
    <row r="333" spans="1:13" ht="15">
      <c r="A333">
        <v>948</v>
      </c>
      <c r="B333" t="s">
        <v>254</v>
      </c>
      <c r="C333" s="56">
        <v>42272</v>
      </c>
      <c r="D333"/>
      <c r="E333" s="57">
        <v>42276.799722222226</v>
      </c>
      <c r="F333" t="s">
        <v>119</v>
      </c>
      <c r="G333"/>
      <c r="H333" t="s">
        <v>8</v>
      </c>
      <c r="I333">
        <v>1</v>
      </c>
      <c r="J333" t="s">
        <v>8</v>
      </c>
      <c r="K333">
        <v>39.211742950000001</v>
      </c>
      <c r="L333" s="50">
        <f t="shared" si="11"/>
        <v>0.3921174295</v>
      </c>
      <c r="M333" s="50" t="str">
        <f t="shared" si="10"/>
        <v>Content 1</v>
      </c>
    </row>
    <row r="334" spans="1:13" ht="15">
      <c r="A334">
        <v>948</v>
      </c>
      <c r="B334" t="s">
        <v>254</v>
      </c>
      <c r="C334" s="56">
        <v>42272</v>
      </c>
      <c r="D334"/>
      <c r="E334" s="57">
        <v>42276.799722222226</v>
      </c>
      <c r="F334" t="s">
        <v>119</v>
      </c>
      <c r="G334"/>
      <c r="H334" t="s">
        <v>122</v>
      </c>
      <c r="I334">
        <v>2</v>
      </c>
      <c r="J334" t="s">
        <v>123</v>
      </c>
      <c r="K334"/>
      <c r="L334" s="50">
        <f t="shared" si="11"/>
        <v>0</v>
      </c>
      <c r="M334" s="50" t="str">
        <f t="shared" si="10"/>
        <v>Access 2</v>
      </c>
    </row>
    <row r="335" spans="1:13" ht="15">
      <c r="A335">
        <v>948</v>
      </c>
      <c r="B335" t="s">
        <v>254</v>
      </c>
      <c r="C335" s="56">
        <v>42272</v>
      </c>
      <c r="D335"/>
      <c r="E335" s="57">
        <v>42276.799722222226</v>
      </c>
      <c r="F335" t="s">
        <v>119</v>
      </c>
      <c r="G335"/>
      <c r="H335" t="s">
        <v>124</v>
      </c>
      <c r="I335">
        <v>8</v>
      </c>
      <c r="J335" t="s">
        <v>125</v>
      </c>
      <c r="K335">
        <v>47.979797980000001</v>
      </c>
      <c r="L335" s="50">
        <f t="shared" si="11"/>
        <v>0.4797979798</v>
      </c>
      <c r="M335" s="50" t="str">
        <f t="shared" si="10"/>
        <v>Content/Unassigned 8</v>
      </c>
    </row>
    <row r="336" spans="1:13" ht="15">
      <c r="A336">
        <v>948</v>
      </c>
      <c r="B336" t="s">
        <v>254</v>
      </c>
      <c r="C336" s="56">
        <v>42272</v>
      </c>
      <c r="D336"/>
      <c r="E336" s="57">
        <v>42276.799722222226</v>
      </c>
      <c r="F336" t="s">
        <v>119</v>
      </c>
      <c r="G336"/>
      <c r="H336" t="s">
        <v>126</v>
      </c>
      <c r="I336">
        <v>6</v>
      </c>
      <c r="J336" t="s">
        <v>127</v>
      </c>
      <c r="K336">
        <v>37.420774649999998</v>
      </c>
      <c r="L336" s="50">
        <f t="shared" si="11"/>
        <v>0.37420774649999999</v>
      </c>
      <c r="M336" s="50" t="str">
        <f t="shared" si="10"/>
        <v>Core Content 6</v>
      </c>
    </row>
    <row r="337" spans="1:13" ht="15">
      <c r="A337">
        <v>948</v>
      </c>
      <c r="B337" t="s">
        <v>254</v>
      </c>
      <c r="C337" s="56">
        <v>42272</v>
      </c>
      <c r="D337"/>
      <c r="E337" s="57">
        <v>42276.799722222226</v>
      </c>
      <c r="F337" t="s">
        <v>119</v>
      </c>
      <c r="G337"/>
      <c r="H337" t="s">
        <v>128</v>
      </c>
      <c r="I337">
        <v>7</v>
      </c>
      <c r="J337" t="s">
        <v>129</v>
      </c>
      <c r="K337"/>
      <c r="L337" s="50">
        <f t="shared" si="11"/>
        <v>0</v>
      </c>
      <c r="M337" s="50" t="str">
        <f t="shared" si="10"/>
        <v>User Generated Content 7</v>
      </c>
    </row>
    <row r="338" spans="1:13" ht="15">
      <c r="A338">
        <v>948</v>
      </c>
      <c r="B338" t="s">
        <v>254</v>
      </c>
      <c r="C338" s="56">
        <v>42272</v>
      </c>
      <c r="D338"/>
      <c r="E338" s="57">
        <v>42276.799722222226</v>
      </c>
      <c r="F338" t="s">
        <v>119</v>
      </c>
      <c r="G338"/>
      <c r="H338" t="s">
        <v>130</v>
      </c>
      <c r="I338">
        <v>4</v>
      </c>
      <c r="J338" t="s">
        <v>131</v>
      </c>
      <c r="K338">
        <v>42.194092830000002</v>
      </c>
      <c r="L338" s="50">
        <f t="shared" si="11"/>
        <v>0.42194092830000002</v>
      </c>
      <c r="M338" s="50" t="str">
        <f t="shared" si="10"/>
        <v>Content/Infrastructure 4</v>
      </c>
    </row>
    <row r="339" spans="1:13" ht="15">
      <c r="A339">
        <v>948</v>
      </c>
      <c r="B339" t="s">
        <v>254</v>
      </c>
      <c r="C339" s="56">
        <v>42272</v>
      </c>
      <c r="D339"/>
      <c r="E339" s="57">
        <v>42276.799722222226</v>
      </c>
      <c r="F339" t="s">
        <v>119</v>
      </c>
      <c r="G339"/>
      <c r="H339" t="s">
        <v>132</v>
      </c>
      <c r="I339">
        <v>5</v>
      </c>
      <c r="J339" t="s">
        <v>133</v>
      </c>
      <c r="K339">
        <v>45.833333330000002</v>
      </c>
      <c r="L339" s="50">
        <f t="shared" si="11"/>
        <v>0.45833333330000003</v>
      </c>
      <c r="M339" s="50" t="str">
        <f t="shared" si="10"/>
        <v>Content/Promotion 5</v>
      </c>
    </row>
    <row r="340" spans="1:13" ht="15">
      <c r="A340">
        <v>948</v>
      </c>
      <c r="B340" t="s">
        <v>254</v>
      </c>
      <c r="C340" s="56">
        <v>42272</v>
      </c>
      <c r="D340"/>
      <c r="E340" s="57">
        <v>42276.799722222226</v>
      </c>
      <c r="F340" t="s">
        <v>119</v>
      </c>
      <c r="G340"/>
      <c r="H340" t="s">
        <v>134</v>
      </c>
      <c r="I340">
        <v>3</v>
      </c>
      <c r="J340" t="s">
        <v>135</v>
      </c>
      <c r="K340">
        <v>90</v>
      </c>
      <c r="L340" s="50">
        <f t="shared" si="11"/>
        <v>0.9</v>
      </c>
      <c r="M340" s="50" t="str">
        <f t="shared" si="10"/>
        <v>Content/Appeal 3</v>
      </c>
    </row>
    <row r="341" spans="1:13" ht="15">
      <c r="A341">
        <v>948</v>
      </c>
      <c r="B341" t="s">
        <v>254</v>
      </c>
      <c r="C341" s="56">
        <v>42272</v>
      </c>
      <c r="D341"/>
      <c r="E341" s="57">
        <v>42276.799722222226</v>
      </c>
      <c r="F341" t="s">
        <v>119</v>
      </c>
      <c r="G341"/>
      <c r="H341" t="s">
        <v>136</v>
      </c>
      <c r="I341">
        <v>153</v>
      </c>
      <c r="J341" t="s">
        <v>136</v>
      </c>
      <c r="K341">
        <v>40.74603175</v>
      </c>
      <c r="L341" s="50">
        <f t="shared" si="11"/>
        <v>0.4074603175</v>
      </c>
      <c r="M341" s="50" t="str">
        <f t="shared" si="10"/>
        <v>Conversion 153</v>
      </c>
    </row>
    <row r="342" spans="1:13" ht="15">
      <c r="A342">
        <v>948</v>
      </c>
      <c r="B342" t="s">
        <v>254</v>
      </c>
      <c r="C342" s="56">
        <v>42272</v>
      </c>
      <c r="D342"/>
      <c r="E342" s="57">
        <v>42276.799722222226</v>
      </c>
      <c r="F342" t="s">
        <v>119</v>
      </c>
      <c r="G342"/>
      <c r="H342" t="s">
        <v>27</v>
      </c>
      <c r="I342">
        <v>73</v>
      </c>
      <c r="J342" t="s">
        <v>27</v>
      </c>
      <c r="K342">
        <v>58.381955699999999</v>
      </c>
      <c r="L342" s="50">
        <f t="shared" si="11"/>
        <v>0.58381955699999999</v>
      </c>
      <c r="M342" s="50" t="str">
        <f t="shared" si="10"/>
        <v>Customer Engagement 73</v>
      </c>
    </row>
    <row r="343" spans="1:13" ht="15">
      <c r="A343">
        <v>948</v>
      </c>
      <c r="B343" t="s">
        <v>254</v>
      </c>
      <c r="C343" s="56">
        <v>42272</v>
      </c>
      <c r="D343"/>
      <c r="E343" s="57">
        <v>42276.799722222226</v>
      </c>
      <c r="F343" t="s">
        <v>119</v>
      </c>
      <c r="G343"/>
      <c r="H343" t="s">
        <v>25</v>
      </c>
      <c r="I343">
        <v>74</v>
      </c>
      <c r="J343" t="s">
        <v>25</v>
      </c>
      <c r="K343">
        <v>53.195519349999998</v>
      </c>
      <c r="L343" s="50">
        <f t="shared" si="11"/>
        <v>0.53195519349999998</v>
      </c>
      <c r="M343" s="50" t="str">
        <f t="shared" si="10"/>
        <v>Demand Generation 74</v>
      </c>
    </row>
    <row r="344" spans="1:13" ht="15">
      <c r="A344">
        <v>948</v>
      </c>
      <c r="B344" t="s">
        <v>254</v>
      </c>
      <c r="C344" s="56">
        <v>42272</v>
      </c>
      <c r="D344"/>
      <c r="E344" s="57">
        <v>42276.799722222226</v>
      </c>
      <c r="F344" t="s">
        <v>119</v>
      </c>
      <c r="G344"/>
      <c r="H344" t="s">
        <v>66</v>
      </c>
      <c r="I344">
        <v>9</v>
      </c>
      <c r="J344" t="s">
        <v>66</v>
      </c>
      <c r="K344">
        <v>39.821428570000002</v>
      </c>
      <c r="L344" s="50">
        <f t="shared" si="11"/>
        <v>0.3982142857</v>
      </c>
      <c r="M344" s="50" t="str">
        <f t="shared" si="10"/>
        <v>E-Commerce 9</v>
      </c>
    </row>
    <row r="345" spans="1:13" ht="15">
      <c r="A345">
        <v>948</v>
      </c>
      <c r="B345" t="s">
        <v>254</v>
      </c>
      <c r="C345" s="56">
        <v>42272</v>
      </c>
      <c r="D345"/>
      <c r="E345" s="57">
        <v>42276.799722222226</v>
      </c>
      <c r="F345" t="s">
        <v>119</v>
      </c>
      <c r="G345"/>
      <c r="H345" t="s">
        <v>137</v>
      </c>
      <c r="I345">
        <v>10</v>
      </c>
      <c r="J345" t="s">
        <v>138</v>
      </c>
      <c r="K345"/>
      <c r="L345" s="50">
        <f t="shared" si="11"/>
        <v>0</v>
      </c>
      <c r="M345" s="50" t="str">
        <f t="shared" si="10"/>
        <v>Checkout 10</v>
      </c>
    </row>
    <row r="346" spans="1:13" ht="15">
      <c r="A346">
        <v>948</v>
      </c>
      <c r="B346" t="s">
        <v>254</v>
      </c>
      <c r="C346" s="56">
        <v>42272</v>
      </c>
      <c r="D346"/>
      <c r="E346" s="57">
        <v>42276.799722222226</v>
      </c>
      <c r="F346" t="s">
        <v>119</v>
      </c>
      <c r="G346"/>
      <c r="H346" t="s">
        <v>139</v>
      </c>
      <c r="I346">
        <v>11</v>
      </c>
      <c r="J346" t="s">
        <v>140</v>
      </c>
      <c r="K346">
        <v>40</v>
      </c>
      <c r="L346" s="50">
        <f t="shared" si="11"/>
        <v>0.4</v>
      </c>
      <c r="M346" s="50" t="str">
        <f t="shared" si="10"/>
        <v>E-Commerce/Infrastructure 11</v>
      </c>
    </row>
    <row r="347" spans="1:13" ht="15">
      <c r="A347">
        <v>948</v>
      </c>
      <c r="B347" t="s">
        <v>254</v>
      </c>
      <c r="C347" s="56">
        <v>42272</v>
      </c>
      <c r="D347"/>
      <c r="E347" s="57">
        <v>42276.799722222226</v>
      </c>
      <c r="F347" t="s">
        <v>119</v>
      </c>
      <c r="G347"/>
      <c r="H347" t="s">
        <v>141</v>
      </c>
      <c r="I347">
        <v>12</v>
      </c>
      <c r="J347" t="s">
        <v>142</v>
      </c>
      <c r="K347"/>
      <c r="L347" s="50">
        <f t="shared" si="11"/>
        <v>0</v>
      </c>
      <c r="M347" s="50" t="str">
        <f t="shared" si="10"/>
        <v>E-Commerce/Latency 12</v>
      </c>
    </row>
    <row r="348" spans="1:13" ht="15">
      <c r="A348">
        <v>948</v>
      </c>
      <c r="B348" t="s">
        <v>254</v>
      </c>
      <c r="C348" s="56">
        <v>42272</v>
      </c>
      <c r="D348"/>
      <c r="E348" s="57">
        <v>42276.799722222226</v>
      </c>
      <c r="F348" t="s">
        <v>119</v>
      </c>
      <c r="G348"/>
      <c r="H348" t="s">
        <v>143</v>
      </c>
      <c r="I348">
        <v>13</v>
      </c>
      <c r="J348" t="s">
        <v>144</v>
      </c>
      <c r="K348">
        <v>48.095238100000003</v>
      </c>
      <c r="L348" s="50">
        <f t="shared" si="11"/>
        <v>0.48095238100000004</v>
      </c>
      <c r="M348" s="50" t="str">
        <f t="shared" si="10"/>
        <v>Product Listings 13</v>
      </c>
    </row>
    <row r="349" spans="1:13" ht="15">
      <c r="A349">
        <v>948</v>
      </c>
      <c r="B349" t="s">
        <v>254</v>
      </c>
      <c r="C349" s="56">
        <v>42272</v>
      </c>
      <c r="D349"/>
      <c r="E349" s="57">
        <v>42276.799722222226</v>
      </c>
      <c r="F349" t="s">
        <v>119</v>
      </c>
      <c r="G349"/>
      <c r="H349" t="s">
        <v>145</v>
      </c>
      <c r="I349">
        <v>26</v>
      </c>
      <c r="J349" t="s">
        <v>146</v>
      </c>
      <c r="K349"/>
      <c r="L349" s="50">
        <f t="shared" si="11"/>
        <v>0</v>
      </c>
      <c r="M349" s="50" t="str">
        <f t="shared" si="10"/>
        <v>Site Functionality 26</v>
      </c>
    </row>
    <row r="350" spans="1:13" ht="15">
      <c r="A350">
        <v>948</v>
      </c>
      <c r="B350" t="s">
        <v>254</v>
      </c>
      <c r="C350" s="56">
        <v>42272</v>
      </c>
      <c r="D350"/>
      <c r="E350" s="57">
        <v>42276.799722222226</v>
      </c>
      <c r="F350" t="s">
        <v>119</v>
      </c>
      <c r="G350"/>
      <c r="H350" t="s">
        <v>147</v>
      </c>
      <c r="I350">
        <v>25</v>
      </c>
      <c r="J350" t="s">
        <v>148</v>
      </c>
      <c r="K350"/>
      <c r="L350" s="50">
        <f t="shared" si="11"/>
        <v>0</v>
      </c>
      <c r="M350" s="50" t="str">
        <f t="shared" si="10"/>
        <v>Product Listings/Reviews 25</v>
      </c>
    </row>
    <row r="351" spans="1:13" ht="15">
      <c r="A351">
        <v>948</v>
      </c>
      <c r="B351" t="s">
        <v>254</v>
      </c>
      <c r="C351" s="56">
        <v>42272</v>
      </c>
      <c r="D351"/>
      <c r="E351" s="57">
        <v>42276.799722222226</v>
      </c>
      <c r="F351" t="s">
        <v>119</v>
      </c>
      <c r="G351"/>
      <c r="H351" t="s">
        <v>149</v>
      </c>
      <c r="I351">
        <v>24</v>
      </c>
      <c r="J351" t="s">
        <v>150</v>
      </c>
      <c r="K351"/>
      <c r="L351" s="50">
        <f t="shared" si="11"/>
        <v>0</v>
      </c>
      <c r="M351" s="50" t="str">
        <f t="shared" si="10"/>
        <v>PLP Usability 24</v>
      </c>
    </row>
    <row r="352" spans="1:13" ht="15">
      <c r="A352">
        <v>948</v>
      </c>
      <c r="B352" t="s">
        <v>254</v>
      </c>
      <c r="C352" s="56">
        <v>42272</v>
      </c>
      <c r="D352"/>
      <c r="E352" s="57">
        <v>42276.799722222226</v>
      </c>
      <c r="F352" t="s">
        <v>119</v>
      </c>
      <c r="G352"/>
      <c r="H352" t="s">
        <v>151</v>
      </c>
      <c r="I352">
        <v>23</v>
      </c>
      <c r="J352" t="s">
        <v>152</v>
      </c>
      <c r="K352">
        <v>50</v>
      </c>
      <c r="L352" s="50">
        <f t="shared" si="11"/>
        <v>0.5</v>
      </c>
      <c r="M352" s="50" t="str">
        <f t="shared" si="10"/>
        <v>PLP Merchandising 23</v>
      </c>
    </row>
    <row r="353" spans="1:13" ht="15">
      <c r="A353">
        <v>948</v>
      </c>
      <c r="B353" t="s">
        <v>254</v>
      </c>
      <c r="C353" s="56">
        <v>42272</v>
      </c>
      <c r="D353"/>
      <c r="E353" s="57">
        <v>42276.799722222226</v>
      </c>
      <c r="F353" t="s">
        <v>119</v>
      </c>
      <c r="G353"/>
      <c r="H353" t="s">
        <v>153</v>
      </c>
      <c r="I353">
        <v>20</v>
      </c>
      <c r="J353" t="s">
        <v>154</v>
      </c>
      <c r="K353">
        <v>45</v>
      </c>
      <c r="L353" s="50">
        <f t="shared" si="11"/>
        <v>0.45</v>
      </c>
      <c r="M353" s="50" t="str">
        <f t="shared" si="10"/>
        <v>Non-Product Site Content 20</v>
      </c>
    </row>
    <row r="354" spans="1:13" ht="15">
      <c r="A354">
        <v>948</v>
      </c>
      <c r="B354" t="s">
        <v>254</v>
      </c>
      <c r="C354" s="56">
        <v>42272</v>
      </c>
      <c r="D354"/>
      <c r="E354" s="57">
        <v>42276.799722222226</v>
      </c>
      <c r="F354" t="s">
        <v>119</v>
      </c>
      <c r="G354"/>
      <c r="H354" t="s">
        <v>155</v>
      </c>
      <c r="I354">
        <v>21</v>
      </c>
      <c r="J354" t="s">
        <v>156</v>
      </c>
      <c r="K354"/>
      <c r="L354" s="50">
        <f t="shared" si="11"/>
        <v>0</v>
      </c>
      <c r="M354" s="50" t="str">
        <f t="shared" si="10"/>
        <v>PLP Content 21</v>
      </c>
    </row>
    <row r="355" spans="1:13" ht="15">
      <c r="A355">
        <v>948</v>
      </c>
      <c r="B355" t="s">
        <v>254</v>
      </c>
      <c r="C355" s="56">
        <v>42272</v>
      </c>
      <c r="D355"/>
      <c r="E355" s="57">
        <v>42276.799722222226</v>
      </c>
      <c r="F355" t="s">
        <v>119</v>
      </c>
      <c r="G355"/>
      <c r="H355" t="s">
        <v>157</v>
      </c>
      <c r="I355">
        <v>22</v>
      </c>
      <c r="J355" t="s">
        <v>158</v>
      </c>
      <c r="K355"/>
      <c r="L355" s="50">
        <f t="shared" si="11"/>
        <v>0</v>
      </c>
      <c r="M355" s="50" t="str">
        <f t="shared" si="10"/>
        <v>PLP Functionality 22</v>
      </c>
    </row>
    <row r="356" spans="1:13" ht="15">
      <c r="A356">
        <v>948</v>
      </c>
      <c r="B356" t="s">
        <v>254</v>
      </c>
      <c r="C356" s="56">
        <v>42272</v>
      </c>
      <c r="D356"/>
      <c r="E356" s="57">
        <v>42276.799722222226</v>
      </c>
      <c r="F356" t="s">
        <v>119</v>
      </c>
      <c r="G356"/>
      <c r="H356" t="s">
        <v>159</v>
      </c>
      <c r="I356">
        <v>17</v>
      </c>
      <c r="J356" t="s">
        <v>160</v>
      </c>
      <c r="K356"/>
      <c r="L356" s="50">
        <f t="shared" si="11"/>
        <v>0</v>
      </c>
      <c r="M356" s="50" t="str">
        <f t="shared" si="10"/>
        <v>User Engagement 17</v>
      </c>
    </row>
    <row r="357" spans="1:13" ht="15">
      <c r="A357">
        <v>948</v>
      </c>
      <c r="B357" t="s">
        <v>254</v>
      </c>
      <c r="C357" s="56">
        <v>42272</v>
      </c>
      <c r="D357"/>
      <c r="E357" s="57">
        <v>42276.799722222226</v>
      </c>
      <c r="F357" t="s">
        <v>119</v>
      </c>
      <c r="G357"/>
      <c r="H357" t="s">
        <v>161</v>
      </c>
      <c r="I357">
        <v>16</v>
      </c>
      <c r="J357" t="s">
        <v>162</v>
      </c>
      <c r="K357"/>
      <c r="L357" s="50">
        <f t="shared" si="11"/>
        <v>0</v>
      </c>
      <c r="M357" s="50" t="str">
        <f t="shared" si="10"/>
        <v>Site Content 16</v>
      </c>
    </row>
    <row r="358" spans="1:13" ht="15">
      <c r="A358">
        <v>948</v>
      </c>
      <c r="B358" t="s">
        <v>254</v>
      </c>
      <c r="C358" s="56">
        <v>42272</v>
      </c>
      <c r="D358"/>
      <c r="E358" s="57">
        <v>42276.799722222226</v>
      </c>
      <c r="F358" t="s">
        <v>119</v>
      </c>
      <c r="G358"/>
      <c r="H358" t="s">
        <v>163</v>
      </c>
      <c r="I358">
        <v>144</v>
      </c>
      <c r="J358" t="s">
        <v>98</v>
      </c>
      <c r="K358">
        <v>34.084967319999997</v>
      </c>
      <c r="L358" s="50">
        <f t="shared" si="11"/>
        <v>0.34084967319999998</v>
      </c>
      <c r="M358" s="50" t="str">
        <f t="shared" si="10"/>
        <v>E-Commerce/Product Merchandising 144</v>
      </c>
    </row>
    <row r="359" spans="1:13" ht="15">
      <c r="A359">
        <v>948</v>
      </c>
      <c r="B359" t="s">
        <v>254</v>
      </c>
      <c r="C359" s="56">
        <v>42272</v>
      </c>
      <c r="D359"/>
      <c r="E359" s="57">
        <v>42276.799722222226</v>
      </c>
      <c r="F359" t="s">
        <v>119</v>
      </c>
      <c r="G359"/>
      <c r="H359" t="s">
        <v>164</v>
      </c>
      <c r="I359">
        <v>15</v>
      </c>
      <c r="J359" t="s">
        <v>165</v>
      </c>
      <c r="K359"/>
      <c r="L359" s="50">
        <f t="shared" si="11"/>
        <v>0</v>
      </c>
      <c r="M359" s="50" t="str">
        <f t="shared" si="10"/>
        <v>E-Commerce/Reviews 15</v>
      </c>
    </row>
    <row r="360" spans="1:13" ht="15">
      <c r="A360">
        <v>948</v>
      </c>
      <c r="B360" t="s">
        <v>254</v>
      </c>
      <c r="C360" s="56">
        <v>42272</v>
      </c>
      <c r="D360"/>
      <c r="E360" s="57">
        <v>42276.799722222226</v>
      </c>
      <c r="F360" t="s">
        <v>119</v>
      </c>
      <c r="G360"/>
      <c r="H360" t="s">
        <v>166</v>
      </c>
      <c r="I360">
        <v>14</v>
      </c>
      <c r="J360" t="s">
        <v>167</v>
      </c>
      <c r="K360"/>
      <c r="L360" s="50">
        <f t="shared" si="11"/>
        <v>0</v>
      </c>
      <c r="M360" s="50" t="str">
        <f t="shared" si="10"/>
        <v>Product Search 14</v>
      </c>
    </row>
    <row r="361" spans="1:13" ht="15">
      <c r="A361">
        <v>948</v>
      </c>
      <c r="B361" t="s">
        <v>254</v>
      </c>
      <c r="C361" s="56">
        <v>42272</v>
      </c>
      <c r="D361"/>
      <c r="E361" s="57">
        <v>42276.799722222226</v>
      </c>
      <c r="F361" t="s">
        <v>119</v>
      </c>
      <c r="G361"/>
      <c r="H361" t="s">
        <v>168</v>
      </c>
      <c r="I361">
        <v>19</v>
      </c>
      <c r="J361" t="s">
        <v>169</v>
      </c>
      <c r="K361"/>
      <c r="L361" s="50">
        <f t="shared" si="11"/>
        <v>0</v>
      </c>
      <c r="M361" s="50" t="str">
        <f t="shared" si="10"/>
        <v>E-Commerce/Unassigned 19</v>
      </c>
    </row>
    <row r="362" spans="1:13" ht="15">
      <c r="A362">
        <v>948</v>
      </c>
      <c r="B362" t="s">
        <v>254</v>
      </c>
      <c r="C362" s="56">
        <v>42272</v>
      </c>
      <c r="D362"/>
      <c r="E362" s="57">
        <v>42276.799722222226</v>
      </c>
      <c r="F362" t="s">
        <v>119</v>
      </c>
      <c r="G362"/>
      <c r="H362" t="s">
        <v>170</v>
      </c>
      <c r="I362">
        <v>18</v>
      </c>
      <c r="J362" t="s">
        <v>171</v>
      </c>
      <c r="K362"/>
      <c r="L362" s="50">
        <f t="shared" si="11"/>
        <v>0</v>
      </c>
      <c r="M362" s="50" t="str">
        <f t="shared" si="10"/>
        <v>Section Pages 18</v>
      </c>
    </row>
    <row r="363" spans="1:13" ht="15">
      <c r="A363">
        <v>948</v>
      </c>
      <c r="B363" t="s">
        <v>254</v>
      </c>
      <c r="C363" s="56">
        <v>42272</v>
      </c>
      <c r="D363"/>
      <c r="E363" s="57">
        <v>42276.799722222226</v>
      </c>
      <c r="F363" t="s">
        <v>119</v>
      </c>
      <c r="G363"/>
      <c r="H363" t="s">
        <v>5</v>
      </c>
      <c r="I363">
        <v>27</v>
      </c>
      <c r="J363" t="s">
        <v>5</v>
      </c>
      <c r="K363">
        <v>59.753086420000002</v>
      </c>
      <c r="L363" s="50">
        <f t="shared" si="11"/>
        <v>0.59753086420000001</v>
      </c>
      <c r="M363" s="50" t="str">
        <f t="shared" si="10"/>
        <v>Mobile 27</v>
      </c>
    </row>
    <row r="364" spans="1:13" ht="15">
      <c r="A364">
        <v>948</v>
      </c>
      <c r="B364" t="s">
        <v>254</v>
      </c>
      <c r="C364" s="56">
        <v>42272</v>
      </c>
      <c r="D364"/>
      <c r="E364" s="57">
        <v>42276.799722222226</v>
      </c>
      <c r="F364" t="s">
        <v>119</v>
      </c>
      <c r="G364"/>
      <c r="H364" t="s">
        <v>172</v>
      </c>
      <c r="I364">
        <v>29</v>
      </c>
      <c r="J364" t="s">
        <v>173</v>
      </c>
      <c r="K364"/>
      <c r="L364" s="50">
        <f t="shared" si="11"/>
        <v>0</v>
      </c>
      <c r="M364" s="50" t="str">
        <f t="shared" si="10"/>
        <v>Mobile/Content 29</v>
      </c>
    </row>
    <row r="365" spans="1:13" ht="15">
      <c r="A365">
        <v>948</v>
      </c>
      <c r="B365" t="s">
        <v>254</v>
      </c>
      <c r="C365" s="56">
        <v>42272</v>
      </c>
      <c r="D365"/>
      <c r="E365" s="57">
        <v>42276.799722222226</v>
      </c>
      <c r="F365" t="s">
        <v>119</v>
      </c>
      <c r="G365"/>
      <c r="H365" t="s">
        <v>174</v>
      </c>
      <c r="I365">
        <v>28</v>
      </c>
      <c r="J365" t="s">
        <v>175</v>
      </c>
      <c r="K365">
        <v>42.5</v>
      </c>
      <c r="L365" s="50">
        <f t="shared" si="11"/>
        <v>0.42499999999999999</v>
      </c>
      <c r="M365" s="50" t="str">
        <f t="shared" si="10"/>
        <v>Compatibility 28</v>
      </c>
    </row>
    <row r="366" spans="1:13" ht="15">
      <c r="A366">
        <v>948</v>
      </c>
      <c r="B366" t="s">
        <v>254</v>
      </c>
      <c r="C366" s="56">
        <v>42272</v>
      </c>
      <c r="D366"/>
      <c r="E366" s="57">
        <v>42276.799722222226</v>
      </c>
      <c r="F366" t="s">
        <v>119</v>
      </c>
      <c r="G366"/>
      <c r="H366" t="s">
        <v>176</v>
      </c>
      <c r="I366">
        <v>31</v>
      </c>
      <c r="J366" t="s">
        <v>177</v>
      </c>
      <c r="K366">
        <v>100</v>
      </c>
      <c r="L366" s="50">
        <f t="shared" si="11"/>
        <v>1</v>
      </c>
      <c r="M366" s="50" t="str">
        <f t="shared" si="10"/>
        <v>Mobile/Infrastructure 31</v>
      </c>
    </row>
    <row r="367" spans="1:13" ht="15">
      <c r="A367">
        <v>948</v>
      </c>
      <c r="B367" t="s">
        <v>254</v>
      </c>
      <c r="C367" s="56">
        <v>42272</v>
      </c>
      <c r="D367"/>
      <c r="E367" s="57">
        <v>42276.799722222226</v>
      </c>
      <c r="F367" t="s">
        <v>119</v>
      </c>
      <c r="G367"/>
      <c r="H367" t="s">
        <v>178</v>
      </c>
      <c r="I367">
        <v>30</v>
      </c>
      <c r="J367" t="s">
        <v>179</v>
      </c>
      <c r="K367">
        <v>66.666666669999998</v>
      </c>
      <c r="L367" s="50">
        <f t="shared" si="11"/>
        <v>0.66666666669999997</v>
      </c>
      <c r="M367" s="50" t="str">
        <f t="shared" si="10"/>
        <v>Functionality 30</v>
      </c>
    </row>
    <row r="368" spans="1:13" ht="15">
      <c r="A368">
        <v>948</v>
      </c>
      <c r="B368" t="s">
        <v>254</v>
      </c>
      <c r="C368" s="56">
        <v>42272</v>
      </c>
      <c r="D368"/>
      <c r="E368" s="57">
        <v>42276.799722222226</v>
      </c>
      <c r="F368" t="s">
        <v>119</v>
      </c>
      <c r="G368"/>
      <c r="H368" t="s">
        <v>180</v>
      </c>
      <c r="I368">
        <v>32</v>
      </c>
      <c r="J368" t="s">
        <v>181</v>
      </c>
      <c r="K368"/>
      <c r="L368" s="50">
        <f t="shared" si="11"/>
        <v>0</v>
      </c>
      <c r="M368" s="50" t="str">
        <f t="shared" si="10"/>
        <v>Mobile/Latency 32</v>
      </c>
    </row>
    <row r="369" spans="1:13" ht="15">
      <c r="A369">
        <v>948</v>
      </c>
      <c r="B369" t="s">
        <v>254</v>
      </c>
      <c r="C369" s="56">
        <v>42272</v>
      </c>
      <c r="D369"/>
      <c r="E369" s="57">
        <v>42276.799722222226</v>
      </c>
      <c r="F369" t="s">
        <v>119</v>
      </c>
      <c r="G369"/>
      <c r="H369" t="s">
        <v>182</v>
      </c>
      <c r="I369">
        <v>33</v>
      </c>
      <c r="J369" t="s">
        <v>183</v>
      </c>
      <c r="K369"/>
      <c r="L369" s="50">
        <f t="shared" si="11"/>
        <v>0</v>
      </c>
      <c r="M369" s="50" t="str">
        <f t="shared" si="10"/>
        <v>Mobile/Promotion 33</v>
      </c>
    </row>
    <row r="370" spans="1:13" ht="15">
      <c r="A370">
        <v>948</v>
      </c>
      <c r="B370" t="s">
        <v>254</v>
      </c>
      <c r="C370" s="56">
        <v>42272</v>
      </c>
      <c r="D370"/>
      <c r="E370" s="57">
        <v>42276.799722222226</v>
      </c>
      <c r="F370" t="s">
        <v>119</v>
      </c>
      <c r="G370"/>
      <c r="H370" t="s">
        <v>184</v>
      </c>
      <c r="I370">
        <v>68</v>
      </c>
      <c r="J370" t="s">
        <v>184</v>
      </c>
      <c r="K370"/>
      <c r="L370" s="50">
        <f t="shared" si="11"/>
        <v>0</v>
      </c>
      <c r="M370" s="50" t="str">
        <f t="shared" si="10"/>
        <v>Online Channel 68</v>
      </c>
    </row>
    <row r="371" spans="1:13" ht="15">
      <c r="A371">
        <v>948</v>
      </c>
      <c r="B371" t="s">
        <v>254</v>
      </c>
      <c r="C371" s="56">
        <v>42272</v>
      </c>
      <c r="D371"/>
      <c r="E371" s="57">
        <v>42276.799722222226</v>
      </c>
      <c r="F371" t="s">
        <v>119</v>
      </c>
      <c r="G371"/>
      <c r="H371" t="s">
        <v>185</v>
      </c>
      <c r="I371">
        <v>69</v>
      </c>
      <c r="J371" t="s">
        <v>13</v>
      </c>
      <c r="K371"/>
      <c r="L371" s="50">
        <f t="shared" si="11"/>
        <v>0</v>
      </c>
      <c r="M371" s="50" t="str">
        <f t="shared" si="10"/>
        <v>E-Referral 69</v>
      </c>
    </row>
    <row r="372" spans="1:13" ht="15">
      <c r="A372">
        <v>948</v>
      </c>
      <c r="B372" t="s">
        <v>254</v>
      </c>
      <c r="C372" s="56">
        <v>42272</v>
      </c>
      <c r="D372"/>
      <c r="E372" s="57">
        <v>42276.799722222226</v>
      </c>
      <c r="F372" t="s">
        <v>119</v>
      </c>
      <c r="G372"/>
      <c r="H372" t="s">
        <v>186</v>
      </c>
      <c r="I372">
        <v>71</v>
      </c>
      <c r="J372" t="s">
        <v>187</v>
      </c>
      <c r="K372"/>
      <c r="L372" s="50">
        <f t="shared" si="11"/>
        <v>0</v>
      </c>
      <c r="M372" s="50" t="str">
        <f t="shared" si="10"/>
        <v>Online Channel/Product Merchandising 71</v>
      </c>
    </row>
    <row r="373" spans="1:13" ht="15">
      <c r="A373">
        <v>948</v>
      </c>
      <c r="B373" t="s">
        <v>254</v>
      </c>
      <c r="C373" s="56">
        <v>42272</v>
      </c>
      <c r="D373"/>
      <c r="E373" s="57">
        <v>42276.799722222226</v>
      </c>
      <c r="F373" t="s">
        <v>119</v>
      </c>
      <c r="G373"/>
      <c r="H373" t="s">
        <v>188</v>
      </c>
      <c r="I373">
        <v>70</v>
      </c>
      <c r="J373" t="s">
        <v>189</v>
      </c>
      <c r="K373"/>
      <c r="L373" s="50">
        <f t="shared" si="11"/>
        <v>0</v>
      </c>
      <c r="M373" s="50" t="str">
        <f t="shared" si="10"/>
        <v>Brand Merchandising 70</v>
      </c>
    </row>
    <row r="374" spans="1:13" ht="15">
      <c r="A374">
        <v>948</v>
      </c>
      <c r="B374" t="s">
        <v>254</v>
      </c>
      <c r="C374" s="56">
        <v>42272</v>
      </c>
      <c r="D374"/>
      <c r="E374" s="57">
        <v>42276.799722222226</v>
      </c>
      <c r="F374" t="s">
        <v>119</v>
      </c>
      <c r="G374"/>
      <c r="H374" t="s">
        <v>26</v>
      </c>
      <c r="I374">
        <v>75</v>
      </c>
      <c r="J374" t="s">
        <v>26</v>
      </c>
      <c r="K374">
        <v>46.478219699999997</v>
      </c>
      <c r="L374" s="50">
        <f t="shared" si="11"/>
        <v>0.46478219699999995</v>
      </c>
      <c r="M374" s="50" t="str">
        <f t="shared" si="10"/>
        <v>Opportunity Conversion 75</v>
      </c>
    </row>
    <row r="375" spans="1:13" ht="15">
      <c r="A375">
        <v>948</v>
      </c>
      <c r="B375" t="s">
        <v>254</v>
      </c>
      <c r="C375" s="56">
        <v>42272</v>
      </c>
      <c r="D375"/>
      <c r="E375" s="57">
        <v>42276.799722222226</v>
      </c>
      <c r="F375" t="s">
        <v>119</v>
      </c>
      <c r="G375"/>
      <c r="H375" t="s">
        <v>11</v>
      </c>
      <c r="I375">
        <v>34</v>
      </c>
      <c r="J375" t="s">
        <v>11</v>
      </c>
      <c r="K375">
        <v>45.087064679999997</v>
      </c>
      <c r="L375" s="50">
        <f t="shared" si="11"/>
        <v>0.4508706468</v>
      </c>
      <c r="M375" s="50" t="str">
        <f t="shared" si="10"/>
        <v>SEM 34</v>
      </c>
    </row>
    <row r="376" spans="1:13" ht="15">
      <c r="A376">
        <v>948</v>
      </c>
      <c r="B376" t="s">
        <v>254</v>
      </c>
      <c r="C376" s="56">
        <v>42272</v>
      </c>
      <c r="D376"/>
      <c r="E376" s="57">
        <v>42276.799722222226</v>
      </c>
      <c r="F376" t="s">
        <v>119</v>
      </c>
      <c r="G376"/>
      <c r="H376" t="s">
        <v>190</v>
      </c>
      <c r="I376">
        <v>37</v>
      </c>
      <c r="J376" t="s">
        <v>191</v>
      </c>
      <c r="K376">
        <v>40.032407409999998</v>
      </c>
      <c r="L376" s="50">
        <f t="shared" si="11"/>
        <v>0.40032407409999998</v>
      </c>
      <c r="M376" s="50" t="str">
        <f t="shared" si="10"/>
        <v>SEM/Content 37</v>
      </c>
    </row>
    <row r="377" spans="1:13" ht="15">
      <c r="A377">
        <v>948</v>
      </c>
      <c r="B377" t="s">
        <v>254</v>
      </c>
      <c r="C377" s="56">
        <v>42272</v>
      </c>
      <c r="D377"/>
      <c r="E377" s="57">
        <v>42276.799722222226</v>
      </c>
      <c r="F377" t="s">
        <v>119</v>
      </c>
      <c r="G377"/>
      <c r="H377" t="s">
        <v>192</v>
      </c>
      <c r="I377">
        <v>38</v>
      </c>
      <c r="J377" t="s">
        <v>193</v>
      </c>
      <c r="K377"/>
      <c r="L377" s="50">
        <f t="shared" si="11"/>
        <v>0</v>
      </c>
      <c r="M377" s="50" t="str">
        <f t="shared" si="10"/>
        <v>Inclusion 38</v>
      </c>
    </row>
    <row r="378" spans="1:13" ht="15">
      <c r="A378">
        <v>948</v>
      </c>
      <c r="B378" t="s">
        <v>254</v>
      </c>
      <c r="C378" s="56">
        <v>42272</v>
      </c>
      <c r="D378"/>
      <c r="E378" s="57">
        <v>42276.799722222226</v>
      </c>
      <c r="F378" t="s">
        <v>119</v>
      </c>
      <c r="G378"/>
      <c r="H378" t="s">
        <v>194</v>
      </c>
      <c r="I378">
        <v>35</v>
      </c>
      <c r="J378" t="s">
        <v>195</v>
      </c>
      <c r="K378"/>
      <c r="L378" s="50">
        <f t="shared" si="11"/>
        <v>0</v>
      </c>
      <c r="M378" s="50" t="str">
        <f t="shared" si="10"/>
        <v>Advertising 35</v>
      </c>
    </row>
    <row r="379" spans="1:13" ht="15">
      <c r="A379">
        <v>948</v>
      </c>
      <c r="B379" t="s">
        <v>254</v>
      </c>
      <c r="C379" s="56">
        <v>42272</v>
      </c>
      <c r="D379"/>
      <c r="E379" s="57">
        <v>42276.799722222226</v>
      </c>
      <c r="F379" t="s">
        <v>119</v>
      </c>
      <c r="G379"/>
      <c r="H379" t="s">
        <v>196</v>
      </c>
      <c r="I379">
        <v>36</v>
      </c>
      <c r="J379" t="s">
        <v>197</v>
      </c>
      <c r="K379">
        <v>54.621212120000003</v>
      </c>
      <c r="L379" s="50">
        <f t="shared" si="11"/>
        <v>0.54621212120000007</v>
      </c>
      <c r="M379" s="50" t="str">
        <f t="shared" si="10"/>
        <v>Constructs 36</v>
      </c>
    </row>
    <row r="380" spans="1:13" ht="15">
      <c r="A380">
        <v>948</v>
      </c>
      <c r="B380" t="s">
        <v>254</v>
      </c>
      <c r="C380" s="56">
        <v>42272</v>
      </c>
      <c r="D380"/>
      <c r="E380" s="57">
        <v>42276.799722222226</v>
      </c>
      <c r="F380" t="s">
        <v>119</v>
      </c>
      <c r="G380"/>
      <c r="H380" t="s">
        <v>198</v>
      </c>
      <c r="I380">
        <v>41</v>
      </c>
      <c r="J380" t="s">
        <v>199</v>
      </c>
      <c r="K380"/>
      <c r="L380" s="50">
        <f t="shared" si="11"/>
        <v>0</v>
      </c>
      <c r="M380" s="50" t="str">
        <f t="shared" si="10"/>
        <v>SEM/Unassigned 41</v>
      </c>
    </row>
    <row r="381" spans="1:13" ht="15">
      <c r="A381">
        <v>948</v>
      </c>
      <c r="B381" t="s">
        <v>254</v>
      </c>
      <c r="C381" s="56">
        <v>42272</v>
      </c>
      <c r="D381"/>
      <c r="E381" s="57">
        <v>42276.799722222226</v>
      </c>
      <c r="F381" t="s">
        <v>119</v>
      </c>
      <c r="G381"/>
      <c r="H381" t="s">
        <v>200</v>
      </c>
      <c r="I381">
        <v>39</v>
      </c>
      <c r="J381" t="s">
        <v>201</v>
      </c>
      <c r="K381">
        <v>42</v>
      </c>
      <c r="L381" s="50">
        <f t="shared" si="11"/>
        <v>0.42</v>
      </c>
      <c r="M381" s="50" t="str">
        <f t="shared" si="10"/>
        <v>SEM/Infrastructure 39</v>
      </c>
    </row>
    <row r="382" spans="1:13" ht="15">
      <c r="A382">
        <v>948</v>
      </c>
      <c r="B382" t="s">
        <v>254</v>
      </c>
      <c r="C382" s="56">
        <v>42272</v>
      </c>
      <c r="D382"/>
      <c r="E382" s="57">
        <v>42276.799722222226</v>
      </c>
      <c r="F382" t="s">
        <v>119</v>
      </c>
      <c r="G382"/>
      <c r="H382" t="s">
        <v>202</v>
      </c>
      <c r="I382">
        <v>40</v>
      </c>
      <c r="J382" t="s">
        <v>203</v>
      </c>
      <c r="K382"/>
      <c r="L382" s="50">
        <f t="shared" si="11"/>
        <v>0</v>
      </c>
      <c r="M382" s="50" t="str">
        <f t="shared" si="10"/>
        <v>Ranking 40</v>
      </c>
    </row>
    <row r="383" spans="1:13" ht="15">
      <c r="A383">
        <v>948</v>
      </c>
      <c r="B383" t="s">
        <v>254</v>
      </c>
      <c r="C383" s="56">
        <v>42272</v>
      </c>
      <c r="D383"/>
      <c r="E383" s="57">
        <v>42276.799722222226</v>
      </c>
      <c r="F383" t="s">
        <v>119</v>
      </c>
      <c r="G383"/>
      <c r="H383" t="s">
        <v>99</v>
      </c>
      <c r="I383">
        <v>42</v>
      </c>
      <c r="J383" t="s">
        <v>99</v>
      </c>
      <c r="K383">
        <v>46.553398059999999</v>
      </c>
      <c r="L383" s="50">
        <f t="shared" si="11"/>
        <v>0.46553398060000001</v>
      </c>
      <c r="M383" s="50" t="str">
        <f t="shared" si="10"/>
        <v>Social Media 42</v>
      </c>
    </row>
    <row r="384" spans="1:13" ht="15">
      <c r="A384">
        <v>948</v>
      </c>
      <c r="B384" t="s">
        <v>254</v>
      </c>
      <c r="C384" s="56">
        <v>42272</v>
      </c>
      <c r="D384"/>
      <c r="E384" s="57">
        <v>42276.799722222226</v>
      </c>
      <c r="F384" t="s">
        <v>119</v>
      </c>
      <c r="G384"/>
      <c r="H384" t="s">
        <v>204</v>
      </c>
      <c r="I384">
        <v>52</v>
      </c>
      <c r="J384" t="s">
        <v>205</v>
      </c>
      <c r="K384"/>
      <c r="L384" s="50">
        <f t="shared" si="11"/>
        <v>0</v>
      </c>
      <c r="M384" s="50" t="str">
        <f t="shared" si="10"/>
        <v>Social Media/Unassigned 52</v>
      </c>
    </row>
    <row r="385" spans="1:13" ht="15">
      <c r="A385">
        <v>948</v>
      </c>
      <c r="B385" t="s">
        <v>254</v>
      </c>
      <c r="C385" s="56">
        <v>42272</v>
      </c>
      <c r="D385"/>
      <c r="E385" s="57">
        <v>42276.799722222226</v>
      </c>
      <c r="F385" t="s">
        <v>119</v>
      </c>
      <c r="G385"/>
      <c r="H385" t="s">
        <v>206</v>
      </c>
      <c r="I385">
        <v>51</v>
      </c>
      <c r="J385" t="s">
        <v>75</v>
      </c>
      <c r="K385"/>
      <c r="L385" s="50">
        <f t="shared" si="11"/>
        <v>0</v>
      </c>
      <c r="M385" s="50" t="str">
        <f t="shared" si="10"/>
        <v>YouTube 51</v>
      </c>
    </row>
    <row r="386" spans="1:13" ht="15">
      <c r="A386">
        <v>948</v>
      </c>
      <c r="B386" t="s">
        <v>254</v>
      </c>
      <c r="C386" s="56">
        <v>42272</v>
      </c>
      <c r="D386"/>
      <c r="E386" s="57">
        <v>42276.799722222226</v>
      </c>
      <c r="F386" t="s">
        <v>119</v>
      </c>
      <c r="G386"/>
      <c r="H386" t="s">
        <v>207</v>
      </c>
      <c r="I386">
        <v>50</v>
      </c>
      <c r="J386" t="s">
        <v>77</v>
      </c>
      <c r="K386">
        <v>71.428571430000005</v>
      </c>
      <c r="L386" s="50">
        <f t="shared" si="11"/>
        <v>0.7142857143000001</v>
      </c>
      <c r="M386" s="50" t="str">
        <f t="shared" ref="M386:M449" si="12">CONCATENATE(J386," ",I386)</f>
        <v>Twitter 50</v>
      </c>
    </row>
    <row r="387" spans="1:13" ht="15">
      <c r="A387">
        <v>948</v>
      </c>
      <c r="B387" t="s">
        <v>254</v>
      </c>
      <c r="C387" s="56">
        <v>42272</v>
      </c>
      <c r="D387"/>
      <c r="E387" s="57">
        <v>42276.799722222226</v>
      </c>
      <c r="F387" t="s">
        <v>119</v>
      </c>
      <c r="G387"/>
      <c r="H387" t="s">
        <v>208</v>
      </c>
      <c r="I387">
        <v>49</v>
      </c>
      <c r="J387" t="s">
        <v>209</v>
      </c>
      <c r="K387">
        <v>0</v>
      </c>
      <c r="L387" s="50">
        <f t="shared" ref="L387:L450" si="13">K387/100</f>
        <v>0</v>
      </c>
      <c r="M387" s="50" t="str">
        <f t="shared" si="12"/>
        <v>Social Media/Promotion 49</v>
      </c>
    </row>
    <row r="388" spans="1:13" ht="15">
      <c r="A388">
        <v>948</v>
      </c>
      <c r="B388" t="s">
        <v>254</v>
      </c>
      <c r="C388" s="56">
        <v>42272</v>
      </c>
      <c r="D388"/>
      <c r="E388" s="57">
        <v>42276.799722222226</v>
      </c>
      <c r="F388" t="s">
        <v>119</v>
      </c>
      <c r="G388"/>
      <c r="H388" t="s">
        <v>210</v>
      </c>
      <c r="I388">
        <v>48</v>
      </c>
      <c r="J388" t="s">
        <v>211</v>
      </c>
      <c r="K388"/>
      <c r="L388" s="50">
        <f t="shared" si="13"/>
        <v>0</v>
      </c>
      <c r="M388" s="50" t="str">
        <f t="shared" si="12"/>
        <v>Other Social Networks 48</v>
      </c>
    </row>
    <row r="389" spans="1:13" ht="15">
      <c r="A389">
        <v>948</v>
      </c>
      <c r="B389" t="s">
        <v>254</v>
      </c>
      <c r="C389" s="56">
        <v>42272</v>
      </c>
      <c r="D389"/>
      <c r="E389" s="57">
        <v>42276.799722222226</v>
      </c>
      <c r="F389" t="s">
        <v>119</v>
      </c>
      <c r="G389"/>
      <c r="H389" t="s">
        <v>212</v>
      </c>
      <c r="I389">
        <v>47</v>
      </c>
      <c r="J389" t="s">
        <v>213</v>
      </c>
      <c r="K389"/>
      <c r="L389" s="50">
        <f t="shared" si="13"/>
        <v>0</v>
      </c>
      <c r="M389" s="50" t="str">
        <f t="shared" si="12"/>
        <v>LinkedIn 47</v>
      </c>
    </row>
    <row r="390" spans="1:13" ht="15">
      <c r="A390">
        <v>948</v>
      </c>
      <c r="B390" t="s">
        <v>254</v>
      </c>
      <c r="C390" s="56">
        <v>42272</v>
      </c>
      <c r="D390"/>
      <c r="E390" s="57">
        <v>42276.799722222226</v>
      </c>
      <c r="F390" t="s">
        <v>119</v>
      </c>
      <c r="G390"/>
      <c r="H390" t="s">
        <v>214</v>
      </c>
      <c r="I390">
        <v>44</v>
      </c>
      <c r="J390" t="s">
        <v>215</v>
      </c>
      <c r="K390"/>
      <c r="L390" s="50">
        <f t="shared" si="13"/>
        <v>0</v>
      </c>
      <c r="M390" s="50" t="str">
        <f t="shared" si="12"/>
        <v>Social Media/Content 44</v>
      </c>
    </row>
    <row r="391" spans="1:13" ht="15">
      <c r="A391">
        <v>948</v>
      </c>
      <c r="B391" t="s">
        <v>254</v>
      </c>
      <c r="C391" s="56">
        <v>42272</v>
      </c>
      <c r="D391"/>
      <c r="E391" s="57">
        <v>42276.799722222226</v>
      </c>
      <c r="F391" t="s">
        <v>119</v>
      </c>
      <c r="G391"/>
      <c r="H391" t="s">
        <v>216</v>
      </c>
      <c r="I391">
        <v>46</v>
      </c>
      <c r="J391" t="s">
        <v>217</v>
      </c>
      <c r="K391">
        <v>53.65384615</v>
      </c>
      <c r="L391" s="50">
        <f t="shared" si="13"/>
        <v>0.53653846149999995</v>
      </c>
      <c r="M391" s="50" t="str">
        <f t="shared" si="12"/>
        <v>Social Media/Infrastructure 46</v>
      </c>
    </row>
    <row r="392" spans="1:13" ht="15">
      <c r="A392">
        <v>948</v>
      </c>
      <c r="B392" t="s">
        <v>254</v>
      </c>
      <c r="C392" s="56">
        <v>42272</v>
      </c>
      <c r="D392"/>
      <c r="E392" s="57">
        <v>42276.799722222226</v>
      </c>
      <c r="F392" t="s">
        <v>119</v>
      </c>
      <c r="G392"/>
      <c r="H392" t="s">
        <v>218</v>
      </c>
      <c r="I392">
        <v>45</v>
      </c>
      <c r="J392" t="s">
        <v>76</v>
      </c>
      <c r="K392">
        <v>41.379310340000004</v>
      </c>
      <c r="L392" s="50">
        <f t="shared" si="13"/>
        <v>0.41379310340000003</v>
      </c>
      <c r="M392" s="50" t="str">
        <f t="shared" si="12"/>
        <v>Facebook 45</v>
      </c>
    </row>
    <row r="393" spans="1:13" ht="15">
      <c r="A393">
        <v>948</v>
      </c>
      <c r="B393" t="s">
        <v>254</v>
      </c>
      <c r="C393" s="56">
        <v>42272</v>
      </c>
      <c r="D393"/>
      <c r="E393" s="57">
        <v>42276.799722222226</v>
      </c>
      <c r="F393" t="s">
        <v>119</v>
      </c>
      <c r="G393"/>
      <c r="H393" t="s">
        <v>219</v>
      </c>
      <c r="I393">
        <v>43</v>
      </c>
      <c r="J393" t="s">
        <v>220</v>
      </c>
      <c r="K393"/>
      <c r="L393" s="50">
        <f t="shared" si="13"/>
        <v>0</v>
      </c>
      <c r="M393" s="50" t="str">
        <f t="shared" si="12"/>
        <v>Social Media/Appeal 43</v>
      </c>
    </row>
    <row r="394" spans="1:13" ht="15">
      <c r="A394">
        <v>948</v>
      </c>
      <c r="B394" t="s">
        <v>254</v>
      </c>
      <c r="C394" s="56">
        <v>42272</v>
      </c>
      <c r="D394"/>
      <c r="E394" s="57">
        <v>42276.799722222226</v>
      </c>
      <c r="F394" t="s">
        <v>119</v>
      </c>
      <c r="G394"/>
      <c r="H394" t="s">
        <v>10</v>
      </c>
      <c r="I394">
        <v>53</v>
      </c>
      <c r="J394" t="s">
        <v>10</v>
      </c>
      <c r="K394">
        <v>54.299674269999997</v>
      </c>
      <c r="L394" s="50">
        <f t="shared" si="13"/>
        <v>0.54299674269999998</v>
      </c>
      <c r="M394" s="50" t="str">
        <f t="shared" si="12"/>
        <v>Support 53</v>
      </c>
    </row>
    <row r="395" spans="1:13" ht="15">
      <c r="A395">
        <v>948</v>
      </c>
      <c r="B395" t="s">
        <v>254</v>
      </c>
      <c r="C395" s="56">
        <v>42272</v>
      </c>
      <c r="D395"/>
      <c r="E395" s="57">
        <v>42276.799722222226</v>
      </c>
      <c r="F395" t="s">
        <v>119</v>
      </c>
      <c r="G395"/>
      <c r="H395" t="s">
        <v>221</v>
      </c>
      <c r="I395">
        <v>151</v>
      </c>
      <c r="J395" t="s">
        <v>221</v>
      </c>
      <c r="K395">
        <v>47.01318071</v>
      </c>
      <c r="L395" s="50">
        <f t="shared" si="13"/>
        <v>0.47013180710000002</v>
      </c>
      <c r="M395" s="50" t="str">
        <f t="shared" si="12"/>
        <v>Task Completion 151</v>
      </c>
    </row>
    <row r="396" spans="1:13" ht="15">
      <c r="A396">
        <v>948</v>
      </c>
      <c r="B396" t="s">
        <v>254</v>
      </c>
      <c r="C396" s="56">
        <v>42272</v>
      </c>
      <c r="D396"/>
      <c r="E396" s="57">
        <v>42276.799722222226</v>
      </c>
      <c r="F396" t="s">
        <v>119</v>
      </c>
      <c r="G396"/>
      <c r="H396" t="s">
        <v>222</v>
      </c>
      <c r="I396">
        <v>152</v>
      </c>
      <c r="J396" t="s">
        <v>222</v>
      </c>
      <c r="K396">
        <v>48.619129690000001</v>
      </c>
      <c r="L396" s="50">
        <f t="shared" si="13"/>
        <v>0.48619129690000001</v>
      </c>
      <c r="M396" s="50" t="str">
        <f t="shared" si="12"/>
        <v>Time Spent on Site 152</v>
      </c>
    </row>
    <row r="397" spans="1:13" ht="15">
      <c r="A397">
        <v>948</v>
      </c>
      <c r="B397" t="s">
        <v>254</v>
      </c>
      <c r="C397" s="56">
        <v>42272</v>
      </c>
      <c r="D397"/>
      <c r="E397" s="57">
        <v>42276.799722222226</v>
      </c>
      <c r="F397" t="s">
        <v>119</v>
      </c>
      <c r="G397"/>
      <c r="H397" t="s">
        <v>223</v>
      </c>
      <c r="I397">
        <v>149</v>
      </c>
      <c r="J397" t="s">
        <v>223</v>
      </c>
      <c r="K397">
        <v>48.385807100000001</v>
      </c>
      <c r="L397" s="50">
        <f t="shared" si="13"/>
        <v>0.483858071</v>
      </c>
      <c r="M397" s="50" t="str">
        <f t="shared" si="12"/>
        <v>Traffic 149</v>
      </c>
    </row>
    <row r="398" spans="1:13" ht="15">
      <c r="A398">
        <v>948</v>
      </c>
      <c r="B398" t="s">
        <v>254</v>
      </c>
      <c r="C398" s="56">
        <v>42272</v>
      </c>
      <c r="D398"/>
      <c r="E398" s="57">
        <v>42276.799722222226</v>
      </c>
      <c r="F398" t="s">
        <v>119</v>
      </c>
      <c r="G398"/>
      <c r="H398" t="s">
        <v>4</v>
      </c>
      <c r="I398">
        <v>54</v>
      </c>
      <c r="J398" t="s">
        <v>4</v>
      </c>
      <c r="K398">
        <v>52.570660050000001</v>
      </c>
      <c r="L398" s="50">
        <f t="shared" si="13"/>
        <v>0.52570660049999995</v>
      </c>
      <c r="M398" s="50" t="str">
        <f t="shared" si="12"/>
        <v>Website 54</v>
      </c>
    </row>
    <row r="399" spans="1:13" ht="15">
      <c r="A399">
        <v>948</v>
      </c>
      <c r="B399" t="s">
        <v>254</v>
      </c>
      <c r="C399" s="56">
        <v>42272</v>
      </c>
      <c r="D399"/>
      <c r="E399" s="57">
        <v>42276.799722222226</v>
      </c>
      <c r="F399" t="s">
        <v>119</v>
      </c>
      <c r="G399"/>
      <c r="H399" t="s">
        <v>224</v>
      </c>
      <c r="I399">
        <v>57</v>
      </c>
      <c r="J399" t="s">
        <v>225</v>
      </c>
      <c r="K399"/>
      <c r="L399" s="50">
        <f t="shared" si="13"/>
        <v>0</v>
      </c>
      <c r="M399" s="50" t="str">
        <f t="shared" si="12"/>
        <v>E-Retail 57</v>
      </c>
    </row>
    <row r="400" spans="1:13" ht="15">
      <c r="A400">
        <v>948</v>
      </c>
      <c r="B400" t="s">
        <v>254</v>
      </c>
      <c r="C400" s="56">
        <v>42272</v>
      </c>
      <c r="D400"/>
      <c r="E400" s="57">
        <v>42276.799722222226</v>
      </c>
      <c r="F400" t="s">
        <v>119</v>
      </c>
      <c r="G400"/>
      <c r="H400" t="s">
        <v>226</v>
      </c>
      <c r="I400">
        <v>58</v>
      </c>
      <c r="J400" t="s">
        <v>227</v>
      </c>
      <c r="K400">
        <v>67.522658609999993</v>
      </c>
      <c r="L400" s="50">
        <f t="shared" si="13"/>
        <v>0.67522658609999997</v>
      </c>
      <c r="M400" s="50" t="str">
        <f t="shared" si="12"/>
        <v>Website/Infrastructure 58</v>
      </c>
    </row>
    <row r="401" spans="1:13" ht="15">
      <c r="A401">
        <v>948</v>
      </c>
      <c r="B401" t="s">
        <v>254</v>
      </c>
      <c r="C401" s="56">
        <v>42272</v>
      </c>
      <c r="D401"/>
      <c r="E401" s="57">
        <v>42276.799722222226</v>
      </c>
      <c r="F401" t="s">
        <v>119</v>
      </c>
      <c r="G401"/>
      <c r="H401" t="s">
        <v>228</v>
      </c>
      <c r="I401">
        <v>59</v>
      </c>
      <c r="J401" t="s">
        <v>229</v>
      </c>
      <c r="K401">
        <v>67.310924369999995</v>
      </c>
      <c r="L401" s="50">
        <f t="shared" si="13"/>
        <v>0.67310924369999992</v>
      </c>
      <c r="M401" s="50" t="str">
        <f t="shared" si="12"/>
        <v>Website/Latency 59</v>
      </c>
    </row>
    <row r="402" spans="1:13" ht="15">
      <c r="A402">
        <v>948</v>
      </c>
      <c r="B402" t="s">
        <v>254</v>
      </c>
      <c r="C402" s="56">
        <v>42272</v>
      </c>
      <c r="D402"/>
      <c r="E402" s="57">
        <v>42276.799722222226</v>
      </c>
      <c r="F402" t="s">
        <v>119</v>
      </c>
      <c r="G402"/>
      <c r="H402" t="s">
        <v>230</v>
      </c>
      <c r="I402">
        <v>60</v>
      </c>
      <c r="J402" t="s">
        <v>231</v>
      </c>
      <c r="K402">
        <v>38.235294119999999</v>
      </c>
      <c r="L402" s="50">
        <f t="shared" si="13"/>
        <v>0.38235294119999996</v>
      </c>
      <c r="M402" s="50" t="str">
        <f t="shared" si="12"/>
        <v>Website/Promotion 60</v>
      </c>
    </row>
    <row r="403" spans="1:13" ht="15">
      <c r="A403">
        <v>948</v>
      </c>
      <c r="B403" t="s">
        <v>254</v>
      </c>
      <c r="C403" s="56">
        <v>42272</v>
      </c>
      <c r="D403"/>
      <c r="E403" s="57">
        <v>42276.799722222226</v>
      </c>
      <c r="F403" t="s">
        <v>119</v>
      </c>
      <c r="G403"/>
      <c r="H403" t="s">
        <v>232</v>
      </c>
      <c r="I403">
        <v>55</v>
      </c>
      <c r="J403" t="s">
        <v>233</v>
      </c>
      <c r="K403"/>
      <c r="L403" s="50">
        <f t="shared" si="13"/>
        <v>0</v>
      </c>
      <c r="M403" s="50" t="str">
        <f t="shared" si="12"/>
        <v>Website/Appeal 55</v>
      </c>
    </row>
    <row r="404" spans="1:13" ht="15">
      <c r="A404">
        <v>948</v>
      </c>
      <c r="B404" t="s">
        <v>254</v>
      </c>
      <c r="C404" s="56">
        <v>42272</v>
      </c>
      <c r="D404"/>
      <c r="E404" s="57">
        <v>42276.799722222226</v>
      </c>
      <c r="F404" t="s">
        <v>119</v>
      </c>
      <c r="G404"/>
      <c r="H404" t="s">
        <v>234</v>
      </c>
      <c r="I404">
        <v>56</v>
      </c>
      <c r="J404" t="s">
        <v>235</v>
      </c>
      <c r="K404">
        <v>38.38689351</v>
      </c>
      <c r="L404" s="50">
        <f t="shared" si="13"/>
        <v>0.38386893509999997</v>
      </c>
      <c r="M404" s="50" t="str">
        <f t="shared" si="12"/>
        <v>Website/Content 56</v>
      </c>
    </row>
    <row r="405" spans="1:13" ht="15">
      <c r="A405">
        <v>948</v>
      </c>
      <c r="B405" t="s">
        <v>254</v>
      </c>
      <c r="C405" s="56">
        <v>42272</v>
      </c>
      <c r="D405"/>
      <c r="E405" s="57">
        <v>42276.799722222226</v>
      </c>
      <c r="F405" t="s">
        <v>119</v>
      </c>
      <c r="G405"/>
      <c r="H405" t="s">
        <v>236</v>
      </c>
      <c r="I405">
        <v>61</v>
      </c>
      <c r="J405" t="s">
        <v>237</v>
      </c>
      <c r="K405"/>
      <c r="L405" s="50">
        <f t="shared" si="13"/>
        <v>0</v>
      </c>
      <c r="M405" s="50" t="str">
        <f t="shared" si="12"/>
        <v>Website/Reviews 61</v>
      </c>
    </row>
    <row r="406" spans="1:13" ht="15">
      <c r="A406">
        <v>948</v>
      </c>
      <c r="B406" t="s">
        <v>254</v>
      </c>
      <c r="C406" s="56">
        <v>42272</v>
      </c>
      <c r="D406"/>
      <c r="E406" s="57">
        <v>42276.799722222226</v>
      </c>
      <c r="F406" t="s">
        <v>119</v>
      </c>
      <c r="G406"/>
      <c r="H406" t="s">
        <v>238</v>
      </c>
      <c r="I406">
        <v>66</v>
      </c>
      <c r="J406" t="s">
        <v>9</v>
      </c>
      <c r="K406">
        <v>30</v>
      </c>
      <c r="L406" s="50">
        <f t="shared" si="13"/>
        <v>0.3</v>
      </c>
      <c r="M406" s="50" t="str">
        <f t="shared" si="12"/>
        <v>User Registration 66</v>
      </c>
    </row>
    <row r="407" spans="1:13" ht="15">
      <c r="A407">
        <v>948</v>
      </c>
      <c r="B407" t="s">
        <v>254</v>
      </c>
      <c r="C407" s="56">
        <v>42272</v>
      </c>
      <c r="D407"/>
      <c r="E407" s="57">
        <v>42276.799722222226</v>
      </c>
      <c r="F407" t="s">
        <v>119</v>
      </c>
      <c r="G407"/>
      <c r="H407" t="s">
        <v>239</v>
      </c>
      <c r="I407">
        <v>67</v>
      </c>
      <c r="J407" t="s">
        <v>240</v>
      </c>
      <c r="K407"/>
      <c r="L407" s="50">
        <f t="shared" si="13"/>
        <v>0</v>
      </c>
      <c r="M407" s="50" t="str">
        <f t="shared" si="12"/>
        <v>Website/Unassigned 67</v>
      </c>
    </row>
    <row r="408" spans="1:13" ht="15">
      <c r="A408">
        <v>948</v>
      </c>
      <c r="B408" t="s">
        <v>254</v>
      </c>
      <c r="C408" s="56">
        <v>42272</v>
      </c>
      <c r="D408"/>
      <c r="E408" s="57">
        <v>42276.799722222226</v>
      </c>
      <c r="F408" t="s">
        <v>119</v>
      </c>
      <c r="G408"/>
      <c r="H408" t="s">
        <v>241</v>
      </c>
      <c r="I408">
        <v>64</v>
      </c>
      <c r="J408" t="s">
        <v>242</v>
      </c>
      <c r="K408"/>
      <c r="L408" s="50">
        <f t="shared" si="13"/>
        <v>0</v>
      </c>
      <c r="M408" s="50" t="str">
        <f t="shared" si="12"/>
        <v>Website/Traffic 64</v>
      </c>
    </row>
    <row r="409" spans="1:13" ht="15">
      <c r="A409">
        <v>948</v>
      </c>
      <c r="B409" t="s">
        <v>254</v>
      </c>
      <c r="C409" s="56">
        <v>42272</v>
      </c>
      <c r="D409"/>
      <c r="E409" s="57">
        <v>42276.799722222226</v>
      </c>
      <c r="F409" t="s">
        <v>119</v>
      </c>
      <c r="G409"/>
      <c r="H409" t="s">
        <v>243</v>
      </c>
      <c r="I409">
        <v>65</v>
      </c>
      <c r="J409" t="s">
        <v>80</v>
      </c>
      <c r="K409">
        <v>66.287328489999993</v>
      </c>
      <c r="L409" s="50">
        <f t="shared" si="13"/>
        <v>0.66287328489999997</v>
      </c>
      <c r="M409" s="50" t="str">
        <f t="shared" si="12"/>
        <v>Usability 65</v>
      </c>
    </row>
    <row r="410" spans="1:13" ht="15">
      <c r="A410">
        <v>948</v>
      </c>
      <c r="B410" t="s">
        <v>254</v>
      </c>
      <c r="C410" s="56">
        <v>42272</v>
      </c>
      <c r="D410"/>
      <c r="E410" s="57">
        <v>42276.799722222226</v>
      </c>
      <c r="F410" t="s">
        <v>119</v>
      </c>
      <c r="G410"/>
      <c r="H410" t="s">
        <v>244</v>
      </c>
      <c r="I410">
        <v>63</v>
      </c>
      <c r="J410" t="s">
        <v>245</v>
      </c>
      <c r="K410">
        <v>19.457627120000001</v>
      </c>
      <c r="L410" s="50">
        <f t="shared" si="13"/>
        <v>0.19457627120000001</v>
      </c>
      <c r="M410" s="50" t="str">
        <f t="shared" si="12"/>
        <v>Site Search 63</v>
      </c>
    </row>
    <row r="411" spans="1:13" ht="15">
      <c r="A411">
        <v>948</v>
      </c>
      <c r="B411" t="s">
        <v>254</v>
      </c>
      <c r="C411" s="56">
        <v>42272</v>
      </c>
      <c r="D411"/>
      <c r="E411" s="57">
        <v>42276.799722222226</v>
      </c>
      <c r="F411" t="s">
        <v>119</v>
      </c>
      <c r="G411"/>
      <c r="H411" t="s">
        <v>246</v>
      </c>
      <c r="I411">
        <v>62</v>
      </c>
      <c r="J411" t="s">
        <v>247</v>
      </c>
      <c r="K411"/>
      <c r="L411" s="50">
        <f t="shared" si="13"/>
        <v>0</v>
      </c>
      <c r="M411" s="50" t="str">
        <f t="shared" si="12"/>
        <v>Search Engine Constructs 62</v>
      </c>
    </row>
    <row r="412" spans="1:13" ht="15">
      <c r="A412"/>
      <c r="B412"/>
      <c r="C412" s="56"/>
      <c r="D412"/>
      <c r="E412" s="57"/>
      <c r="F412"/>
      <c r="G412"/>
      <c r="H412"/>
      <c r="I412"/>
      <c r="J412"/>
      <c r="K412"/>
      <c r="L412" s="50">
        <f t="shared" si="13"/>
        <v>0</v>
      </c>
      <c r="M412" s="50" t="str">
        <f t="shared" si="12"/>
        <v xml:space="preserve"> </v>
      </c>
    </row>
    <row r="413" spans="1:13" ht="15">
      <c r="A413"/>
      <c r="B413"/>
      <c r="C413" s="56"/>
      <c r="D413"/>
      <c r="E413" s="57"/>
      <c r="F413"/>
      <c r="G413"/>
      <c r="H413"/>
      <c r="I413"/>
      <c r="J413"/>
      <c r="K413"/>
      <c r="L413" s="50">
        <f t="shared" si="13"/>
        <v>0</v>
      </c>
      <c r="M413" s="50" t="str">
        <f t="shared" si="12"/>
        <v xml:space="preserve"> </v>
      </c>
    </row>
    <row r="414" spans="1:13" ht="15">
      <c r="A414"/>
      <c r="B414"/>
      <c r="C414" s="56"/>
      <c r="D414"/>
      <c r="E414" s="57"/>
      <c r="F414"/>
      <c r="G414"/>
      <c r="H414"/>
      <c r="I414"/>
      <c r="J414"/>
      <c r="K414"/>
      <c r="L414" s="50">
        <f t="shared" si="13"/>
        <v>0</v>
      </c>
      <c r="M414" s="50" t="str">
        <f t="shared" si="12"/>
        <v xml:space="preserve"> </v>
      </c>
    </row>
    <row r="415" spans="1:13" ht="15">
      <c r="A415"/>
      <c r="B415"/>
      <c r="C415" s="56"/>
      <c r="D415"/>
      <c r="E415" s="57"/>
      <c r="F415"/>
      <c r="G415"/>
      <c r="H415"/>
      <c r="I415"/>
      <c r="J415"/>
      <c r="K415"/>
      <c r="L415" s="50">
        <f t="shared" si="13"/>
        <v>0</v>
      </c>
      <c r="M415" s="50" t="str">
        <f t="shared" si="12"/>
        <v xml:space="preserve"> </v>
      </c>
    </row>
    <row r="416" spans="1:13" ht="15">
      <c r="A416"/>
      <c r="B416"/>
      <c r="C416" s="56"/>
      <c r="D416"/>
      <c r="E416" s="57"/>
      <c r="F416"/>
      <c r="G416"/>
      <c r="H416"/>
      <c r="I416"/>
      <c r="J416"/>
      <c r="K416"/>
      <c r="L416" s="50">
        <f t="shared" si="13"/>
        <v>0</v>
      </c>
      <c r="M416" s="50" t="str">
        <f t="shared" si="12"/>
        <v xml:space="preserve"> </v>
      </c>
    </row>
    <row r="417" spans="1:13" ht="15">
      <c r="A417"/>
      <c r="B417"/>
      <c r="C417" s="56"/>
      <c r="D417"/>
      <c r="E417" s="57"/>
      <c r="F417"/>
      <c r="G417"/>
      <c r="H417"/>
      <c r="I417"/>
      <c r="J417"/>
      <c r="K417"/>
      <c r="L417" s="50">
        <f t="shared" si="13"/>
        <v>0</v>
      </c>
      <c r="M417" s="50" t="str">
        <f t="shared" si="12"/>
        <v xml:space="preserve"> </v>
      </c>
    </row>
    <row r="418" spans="1:13" ht="15">
      <c r="A418"/>
      <c r="B418"/>
      <c r="C418" s="56"/>
      <c r="D418"/>
      <c r="E418" s="57"/>
      <c r="F418"/>
      <c r="G418"/>
      <c r="H418"/>
      <c r="I418"/>
      <c r="J418"/>
      <c r="K418"/>
      <c r="L418" s="50">
        <f t="shared" si="13"/>
        <v>0</v>
      </c>
      <c r="M418" s="50" t="str">
        <f t="shared" si="12"/>
        <v xml:space="preserve"> </v>
      </c>
    </row>
    <row r="419" spans="1:13" ht="15">
      <c r="A419"/>
      <c r="B419"/>
      <c r="C419" s="56"/>
      <c r="D419"/>
      <c r="E419" s="57"/>
      <c r="F419"/>
      <c r="G419"/>
      <c r="H419"/>
      <c r="I419"/>
      <c r="J419"/>
      <c r="K419"/>
      <c r="L419" s="50">
        <f t="shared" si="13"/>
        <v>0</v>
      </c>
      <c r="M419" s="50" t="str">
        <f t="shared" si="12"/>
        <v xml:space="preserve"> </v>
      </c>
    </row>
    <row r="420" spans="1:13" ht="15">
      <c r="A420"/>
      <c r="B420"/>
      <c r="C420" s="56"/>
      <c r="D420"/>
      <c r="E420" s="57"/>
      <c r="F420"/>
      <c r="G420"/>
      <c r="H420"/>
      <c r="I420"/>
      <c r="J420"/>
      <c r="K420"/>
      <c r="L420" s="50">
        <f t="shared" si="13"/>
        <v>0</v>
      </c>
      <c r="M420" s="50" t="str">
        <f t="shared" si="12"/>
        <v xml:space="preserve"> </v>
      </c>
    </row>
    <row r="421" spans="1:13" ht="15">
      <c r="A421"/>
      <c r="B421"/>
      <c r="C421" s="56"/>
      <c r="D421"/>
      <c r="E421" s="57"/>
      <c r="F421"/>
      <c r="G421"/>
      <c r="H421"/>
      <c r="I421"/>
      <c r="J421"/>
      <c r="K421"/>
      <c r="L421" s="50">
        <f t="shared" si="13"/>
        <v>0</v>
      </c>
      <c r="M421" s="50" t="str">
        <f t="shared" si="12"/>
        <v xml:space="preserve"> </v>
      </c>
    </row>
    <row r="422" spans="1:13" ht="15">
      <c r="A422"/>
      <c r="B422"/>
      <c r="C422" s="56"/>
      <c r="D422"/>
      <c r="E422" s="57"/>
      <c r="F422"/>
      <c r="G422"/>
      <c r="H422"/>
      <c r="I422"/>
      <c r="J422"/>
      <c r="K422"/>
      <c r="L422" s="50">
        <f t="shared" si="13"/>
        <v>0</v>
      </c>
      <c r="M422" s="50" t="str">
        <f t="shared" si="12"/>
        <v xml:space="preserve"> </v>
      </c>
    </row>
    <row r="423" spans="1:13" ht="15">
      <c r="A423"/>
      <c r="B423"/>
      <c r="C423" s="56"/>
      <c r="D423"/>
      <c r="E423" s="57"/>
      <c r="F423"/>
      <c r="G423"/>
      <c r="H423"/>
      <c r="I423"/>
      <c r="J423"/>
      <c r="K423"/>
      <c r="L423" s="50">
        <f t="shared" si="13"/>
        <v>0</v>
      </c>
      <c r="M423" s="50" t="str">
        <f t="shared" si="12"/>
        <v xml:space="preserve"> </v>
      </c>
    </row>
    <row r="424" spans="1:13" ht="15">
      <c r="A424"/>
      <c r="B424"/>
      <c r="C424" s="56"/>
      <c r="D424"/>
      <c r="E424" s="57"/>
      <c r="F424"/>
      <c r="G424"/>
      <c r="H424"/>
      <c r="I424"/>
      <c r="J424"/>
      <c r="K424"/>
      <c r="L424" s="50">
        <f t="shared" si="13"/>
        <v>0</v>
      </c>
      <c r="M424" s="50" t="str">
        <f t="shared" si="12"/>
        <v xml:space="preserve"> </v>
      </c>
    </row>
    <row r="425" spans="1:13" ht="15">
      <c r="A425"/>
      <c r="B425"/>
      <c r="C425" s="56"/>
      <c r="D425"/>
      <c r="E425" s="57"/>
      <c r="F425"/>
      <c r="G425"/>
      <c r="H425"/>
      <c r="I425"/>
      <c r="J425"/>
      <c r="K425"/>
      <c r="L425" s="50">
        <f t="shared" si="13"/>
        <v>0</v>
      </c>
      <c r="M425" s="50" t="str">
        <f t="shared" si="12"/>
        <v xml:space="preserve"> </v>
      </c>
    </row>
    <row r="426" spans="1:13" ht="15">
      <c r="A426"/>
      <c r="B426"/>
      <c r="C426" s="56"/>
      <c r="D426"/>
      <c r="E426" s="57"/>
      <c r="F426"/>
      <c r="G426"/>
      <c r="H426"/>
      <c r="I426"/>
      <c r="J426"/>
      <c r="K426"/>
      <c r="L426" s="50">
        <f t="shared" si="13"/>
        <v>0</v>
      </c>
      <c r="M426" s="50" t="str">
        <f t="shared" si="12"/>
        <v xml:space="preserve"> </v>
      </c>
    </row>
    <row r="427" spans="1:13" ht="15">
      <c r="A427"/>
      <c r="B427"/>
      <c r="C427" s="56"/>
      <c r="D427"/>
      <c r="E427" s="57"/>
      <c r="F427"/>
      <c r="G427"/>
      <c r="H427"/>
      <c r="I427"/>
      <c r="J427"/>
      <c r="K427"/>
      <c r="L427" s="50">
        <f t="shared" si="13"/>
        <v>0</v>
      </c>
      <c r="M427" s="50" t="str">
        <f t="shared" si="12"/>
        <v xml:space="preserve"> </v>
      </c>
    </row>
    <row r="428" spans="1:13" ht="15">
      <c r="A428"/>
      <c r="B428"/>
      <c r="C428" s="56"/>
      <c r="D428"/>
      <c r="E428" s="57"/>
      <c r="F428"/>
      <c r="G428"/>
      <c r="H428"/>
      <c r="I428"/>
      <c r="J428"/>
      <c r="K428"/>
      <c r="L428" s="50">
        <f t="shared" si="13"/>
        <v>0</v>
      </c>
      <c r="M428" s="50" t="str">
        <f t="shared" si="12"/>
        <v xml:space="preserve"> </v>
      </c>
    </row>
    <row r="429" spans="1:13" ht="15">
      <c r="A429"/>
      <c r="B429"/>
      <c r="C429" s="56"/>
      <c r="D429"/>
      <c r="E429" s="57"/>
      <c r="F429"/>
      <c r="G429"/>
      <c r="H429"/>
      <c r="I429"/>
      <c r="J429"/>
      <c r="K429"/>
      <c r="L429" s="50">
        <f t="shared" si="13"/>
        <v>0</v>
      </c>
      <c r="M429" s="50" t="str">
        <f t="shared" si="12"/>
        <v xml:space="preserve"> </v>
      </c>
    </row>
    <row r="430" spans="1:13" ht="15">
      <c r="A430"/>
      <c r="B430"/>
      <c r="C430" s="56"/>
      <c r="D430"/>
      <c r="E430" s="57"/>
      <c r="F430"/>
      <c r="G430"/>
      <c r="H430"/>
      <c r="I430"/>
      <c r="J430"/>
      <c r="K430"/>
      <c r="L430" s="50">
        <f t="shared" si="13"/>
        <v>0</v>
      </c>
      <c r="M430" s="50" t="str">
        <f t="shared" si="12"/>
        <v xml:space="preserve"> </v>
      </c>
    </row>
    <row r="431" spans="1:13" ht="15">
      <c r="A431"/>
      <c r="B431"/>
      <c r="C431" s="56"/>
      <c r="D431"/>
      <c r="E431" s="57"/>
      <c r="F431"/>
      <c r="G431"/>
      <c r="H431"/>
      <c r="I431"/>
      <c r="J431"/>
      <c r="K431"/>
      <c r="L431" s="50">
        <f t="shared" si="13"/>
        <v>0</v>
      </c>
      <c r="M431" s="50" t="str">
        <f t="shared" si="12"/>
        <v xml:space="preserve"> </v>
      </c>
    </row>
    <row r="432" spans="1:13" ht="15">
      <c r="A432"/>
      <c r="B432"/>
      <c r="C432" s="56"/>
      <c r="D432"/>
      <c r="E432" s="57"/>
      <c r="F432"/>
      <c r="G432"/>
      <c r="H432"/>
      <c r="I432"/>
      <c r="J432"/>
      <c r="K432"/>
      <c r="L432" s="50">
        <f t="shared" si="13"/>
        <v>0</v>
      </c>
      <c r="M432" s="50" t="str">
        <f t="shared" si="12"/>
        <v xml:space="preserve"> </v>
      </c>
    </row>
    <row r="433" spans="1:13" ht="15">
      <c r="A433"/>
      <c r="B433"/>
      <c r="C433" s="56"/>
      <c r="D433"/>
      <c r="E433" s="57"/>
      <c r="F433"/>
      <c r="G433"/>
      <c r="H433"/>
      <c r="I433"/>
      <c r="J433"/>
      <c r="K433"/>
      <c r="L433" s="50">
        <f t="shared" si="13"/>
        <v>0</v>
      </c>
      <c r="M433" s="50" t="str">
        <f t="shared" si="12"/>
        <v xml:space="preserve"> </v>
      </c>
    </row>
    <row r="434" spans="1:13" ht="15">
      <c r="A434"/>
      <c r="B434"/>
      <c r="C434" s="56"/>
      <c r="D434"/>
      <c r="E434" s="57"/>
      <c r="F434"/>
      <c r="G434"/>
      <c r="H434"/>
      <c r="I434"/>
      <c r="J434"/>
      <c r="K434"/>
      <c r="L434" s="50">
        <f t="shared" si="13"/>
        <v>0</v>
      </c>
      <c r="M434" s="50" t="str">
        <f t="shared" si="12"/>
        <v xml:space="preserve"> </v>
      </c>
    </row>
    <row r="435" spans="1:13" ht="15">
      <c r="A435"/>
      <c r="B435"/>
      <c r="C435" s="56"/>
      <c r="D435"/>
      <c r="E435" s="57"/>
      <c r="F435"/>
      <c r="G435"/>
      <c r="H435"/>
      <c r="I435"/>
      <c r="J435"/>
      <c r="K435"/>
      <c r="L435" s="50">
        <f t="shared" si="13"/>
        <v>0</v>
      </c>
      <c r="M435" s="50" t="str">
        <f t="shared" si="12"/>
        <v xml:space="preserve"> </v>
      </c>
    </row>
    <row r="436" spans="1:13" ht="15">
      <c r="A436"/>
      <c r="B436"/>
      <c r="C436" s="56"/>
      <c r="D436"/>
      <c r="E436" s="57"/>
      <c r="F436"/>
      <c r="G436"/>
      <c r="H436"/>
      <c r="I436"/>
      <c r="J436"/>
      <c r="K436"/>
      <c r="L436" s="50">
        <f t="shared" si="13"/>
        <v>0</v>
      </c>
      <c r="M436" s="50" t="str">
        <f t="shared" si="12"/>
        <v xml:space="preserve"> </v>
      </c>
    </row>
    <row r="437" spans="1:13" ht="15">
      <c r="A437"/>
      <c r="B437"/>
      <c r="C437" s="56"/>
      <c r="D437"/>
      <c r="E437" s="57"/>
      <c r="F437"/>
      <c r="G437"/>
      <c r="H437"/>
      <c r="I437"/>
      <c r="J437"/>
      <c r="K437"/>
      <c r="L437" s="50">
        <f t="shared" si="13"/>
        <v>0</v>
      </c>
      <c r="M437" s="50" t="str">
        <f t="shared" si="12"/>
        <v xml:space="preserve"> </v>
      </c>
    </row>
    <row r="438" spans="1:13" ht="15">
      <c r="A438"/>
      <c r="B438"/>
      <c r="C438" s="56"/>
      <c r="D438"/>
      <c r="E438" s="57"/>
      <c r="F438"/>
      <c r="G438"/>
      <c r="H438"/>
      <c r="I438"/>
      <c r="J438"/>
      <c r="K438"/>
      <c r="L438" s="50">
        <f t="shared" si="13"/>
        <v>0</v>
      </c>
      <c r="M438" s="50" t="str">
        <f t="shared" si="12"/>
        <v xml:space="preserve"> </v>
      </c>
    </row>
    <row r="439" spans="1:13" ht="15">
      <c r="A439"/>
      <c r="B439"/>
      <c r="C439" s="56"/>
      <c r="D439"/>
      <c r="E439" s="57"/>
      <c r="F439"/>
      <c r="G439"/>
      <c r="H439"/>
      <c r="I439"/>
      <c r="J439"/>
      <c r="K439"/>
      <c r="L439" s="50">
        <f t="shared" si="13"/>
        <v>0</v>
      </c>
      <c r="M439" s="50" t="str">
        <f t="shared" si="12"/>
        <v xml:space="preserve"> </v>
      </c>
    </row>
    <row r="440" spans="1:13" ht="15">
      <c r="A440"/>
      <c r="B440"/>
      <c r="C440" s="56"/>
      <c r="D440"/>
      <c r="E440" s="57"/>
      <c r="F440"/>
      <c r="G440"/>
      <c r="H440"/>
      <c r="I440"/>
      <c r="J440"/>
      <c r="K440"/>
      <c r="L440" s="50">
        <f t="shared" si="13"/>
        <v>0</v>
      </c>
      <c r="M440" s="50" t="str">
        <f t="shared" si="12"/>
        <v xml:space="preserve"> </v>
      </c>
    </row>
    <row r="441" spans="1:13" ht="15">
      <c r="A441"/>
      <c r="B441"/>
      <c r="C441" s="56"/>
      <c r="D441"/>
      <c r="E441" s="57"/>
      <c r="F441"/>
      <c r="G441"/>
      <c r="H441"/>
      <c r="I441"/>
      <c r="J441"/>
      <c r="K441"/>
      <c r="L441" s="50">
        <f t="shared" si="13"/>
        <v>0</v>
      </c>
      <c r="M441" s="50" t="str">
        <f t="shared" si="12"/>
        <v xml:space="preserve"> </v>
      </c>
    </row>
    <row r="442" spans="1:13" ht="15">
      <c r="A442"/>
      <c r="B442"/>
      <c r="C442" s="56"/>
      <c r="D442"/>
      <c r="E442" s="57"/>
      <c r="F442"/>
      <c r="G442"/>
      <c r="H442"/>
      <c r="I442"/>
      <c r="J442"/>
      <c r="K442"/>
      <c r="L442" s="50">
        <f t="shared" si="13"/>
        <v>0</v>
      </c>
      <c r="M442" s="50" t="str">
        <f t="shared" si="12"/>
        <v xml:space="preserve"> </v>
      </c>
    </row>
    <row r="443" spans="1:13" ht="15">
      <c r="A443"/>
      <c r="B443"/>
      <c r="C443" s="56"/>
      <c r="D443"/>
      <c r="E443" s="57"/>
      <c r="F443"/>
      <c r="G443"/>
      <c r="H443"/>
      <c r="I443"/>
      <c r="J443"/>
      <c r="K443"/>
      <c r="L443" s="50">
        <f t="shared" si="13"/>
        <v>0</v>
      </c>
      <c r="M443" s="50" t="str">
        <f t="shared" si="12"/>
        <v xml:space="preserve"> </v>
      </c>
    </row>
    <row r="444" spans="1:13" ht="15">
      <c r="A444"/>
      <c r="B444"/>
      <c r="C444" s="56"/>
      <c r="D444"/>
      <c r="E444" s="57"/>
      <c r="F444"/>
      <c r="G444"/>
      <c r="H444"/>
      <c r="I444"/>
      <c r="J444"/>
      <c r="K444"/>
      <c r="L444" s="50">
        <f t="shared" si="13"/>
        <v>0</v>
      </c>
      <c r="M444" s="50" t="str">
        <f t="shared" si="12"/>
        <v xml:space="preserve"> </v>
      </c>
    </row>
    <row r="445" spans="1:13" ht="15">
      <c r="A445"/>
      <c r="B445"/>
      <c r="C445" s="56"/>
      <c r="D445"/>
      <c r="E445" s="57"/>
      <c r="F445"/>
      <c r="G445"/>
      <c r="H445"/>
      <c r="I445"/>
      <c r="J445"/>
      <c r="K445"/>
      <c r="L445" s="50">
        <f t="shared" si="13"/>
        <v>0</v>
      </c>
      <c r="M445" s="50" t="str">
        <f t="shared" si="12"/>
        <v xml:space="preserve"> </v>
      </c>
    </row>
    <row r="446" spans="1:13" ht="15">
      <c r="A446"/>
      <c r="B446"/>
      <c r="C446" s="56"/>
      <c r="D446"/>
      <c r="E446" s="57"/>
      <c r="F446"/>
      <c r="G446"/>
      <c r="H446"/>
      <c r="I446"/>
      <c r="J446"/>
      <c r="K446"/>
      <c r="L446" s="50">
        <f t="shared" si="13"/>
        <v>0</v>
      </c>
      <c r="M446" s="50" t="str">
        <f t="shared" si="12"/>
        <v xml:space="preserve"> </v>
      </c>
    </row>
    <row r="447" spans="1:13" ht="15">
      <c r="A447"/>
      <c r="B447"/>
      <c r="C447" s="56"/>
      <c r="D447"/>
      <c r="E447" s="57"/>
      <c r="F447"/>
      <c r="G447"/>
      <c r="H447"/>
      <c r="I447"/>
      <c r="J447"/>
      <c r="K447"/>
      <c r="L447" s="50">
        <f t="shared" si="13"/>
        <v>0</v>
      </c>
      <c r="M447" s="50" t="str">
        <f t="shared" si="12"/>
        <v xml:space="preserve"> </v>
      </c>
    </row>
    <row r="448" spans="1:13" ht="15">
      <c r="A448"/>
      <c r="B448"/>
      <c r="C448" s="56"/>
      <c r="D448"/>
      <c r="E448" s="57"/>
      <c r="F448"/>
      <c r="G448"/>
      <c r="H448"/>
      <c r="I448"/>
      <c r="J448"/>
      <c r="K448"/>
      <c r="L448" s="50">
        <f t="shared" si="13"/>
        <v>0</v>
      </c>
      <c r="M448" s="50" t="str">
        <f t="shared" si="12"/>
        <v xml:space="preserve"> </v>
      </c>
    </row>
    <row r="449" spans="1:13" ht="15">
      <c r="A449"/>
      <c r="B449"/>
      <c r="C449" s="56"/>
      <c r="D449"/>
      <c r="E449" s="57"/>
      <c r="F449"/>
      <c r="G449"/>
      <c r="H449"/>
      <c r="I449"/>
      <c r="J449"/>
      <c r="K449"/>
      <c r="L449" s="50">
        <f t="shared" si="13"/>
        <v>0</v>
      </c>
      <c r="M449" s="50" t="str">
        <f t="shared" si="12"/>
        <v xml:space="preserve"> </v>
      </c>
    </row>
    <row r="450" spans="1:13" ht="15">
      <c r="A450"/>
      <c r="B450"/>
      <c r="C450" s="56"/>
      <c r="D450"/>
      <c r="E450" s="57"/>
      <c r="F450"/>
      <c r="G450"/>
      <c r="H450"/>
      <c r="I450"/>
      <c r="J450"/>
      <c r="K450"/>
      <c r="L450" s="50">
        <f t="shared" si="13"/>
        <v>0</v>
      </c>
      <c r="M450" s="50" t="str">
        <f t="shared" ref="M450:M513" si="14">CONCATENATE(J450," ",I450)</f>
        <v xml:space="preserve"> </v>
      </c>
    </row>
    <row r="451" spans="1:13" ht="15">
      <c r="A451"/>
      <c r="B451"/>
      <c r="C451" s="56"/>
      <c r="D451"/>
      <c r="E451" s="57"/>
      <c r="F451"/>
      <c r="G451"/>
      <c r="H451"/>
      <c r="I451"/>
      <c r="J451"/>
      <c r="K451"/>
      <c r="L451" s="50">
        <f t="shared" ref="L451:L514" si="15">K451/100</f>
        <v>0</v>
      </c>
      <c r="M451" s="50" t="str">
        <f t="shared" si="14"/>
        <v xml:space="preserve"> </v>
      </c>
    </row>
    <row r="452" spans="1:13" ht="15">
      <c r="A452"/>
      <c r="B452"/>
      <c r="C452" s="56"/>
      <c r="D452"/>
      <c r="E452" s="57"/>
      <c r="F452"/>
      <c r="G452"/>
      <c r="H452"/>
      <c r="I452"/>
      <c r="J452"/>
      <c r="K452"/>
      <c r="L452" s="50">
        <f t="shared" si="15"/>
        <v>0</v>
      </c>
      <c r="M452" s="50" t="str">
        <f t="shared" si="14"/>
        <v xml:space="preserve"> </v>
      </c>
    </row>
    <row r="453" spans="1:13" ht="15">
      <c r="A453"/>
      <c r="B453"/>
      <c r="C453" s="56"/>
      <c r="D453"/>
      <c r="E453" s="57"/>
      <c r="F453"/>
      <c r="G453"/>
      <c r="H453"/>
      <c r="I453"/>
      <c r="J453"/>
      <c r="K453"/>
      <c r="L453" s="50">
        <f t="shared" si="15"/>
        <v>0</v>
      </c>
      <c r="M453" s="50" t="str">
        <f t="shared" si="14"/>
        <v xml:space="preserve"> </v>
      </c>
    </row>
    <row r="454" spans="1:13" ht="15">
      <c r="A454"/>
      <c r="B454"/>
      <c r="C454" s="56"/>
      <c r="D454"/>
      <c r="E454" s="57"/>
      <c r="F454"/>
      <c r="G454"/>
      <c r="H454"/>
      <c r="I454"/>
      <c r="J454"/>
      <c r="K454"/>
      <c r="L454" s="50">
        <f t="shared" si="15"/>
        <v>0</v>
      </c>
      <c r="M454" s="50" t="str">
        <f t="shared" si="14"/>
        <v xml:space="preserve"> </v>
      </c>
    </row>
    <row r="455" spans="1:13" ht="15">
      <c r="A455"/>
      <c r="B455"/>
      <c r="C455" s="56"/>
      <c r="D455"/>
      <c r="E455" s="57"/>
      <c r="F455"/>
      <c r="G455"/>
      <c r="H455"/>
      <c r="I455"/>
      <c r="J455"/>
      <c r="K455"/>
      <c r="L455" s="50">
        <f t="shared" si="15"/>
        <v>0</v>
      </c>
      <c r="M455" s="50" t="str">
        <f t="shared" si="14"/>
        <v xml:space="preserve"> </v>
      </c>
    </row>
    <row r="456" spans="1:13" ht="15">
      <c r="A456"/>
      <c r="B456"/>
      <c r="C456" s="56"/>
      <c r="D456"/>
      <c r="E456" s="57"/>
      <c r="F456"/>
      <c r="G456"/>
      <c r="H456"/>
      <c r="I456"/>
      <c r="J456"/>
      <c r="K456"/>
      <c r="L456" s="50">
        <f t="shared" si="15"/>
        <v>0</v>
      </c>
      <c r="M456" s="50" t="str">
        <f t="shared" si="14"/>
        <v xml:space="preserve"> </v>
      </c>
    </row>
    <row r="457" spans="1:13" ht="15">
      <c r="A457"/>
      <c r="B457"/>
      <c r="C457" s="56"/>
      <c r="D457"/>
      <c r="E457" s="57"/>
      <c r="F457"/>
      <c r="G457"/>
      <c r="H457"/>
      <c r="I457"/>
      <c r="J457"/>
      <c r="K457"/>
      <c r="L457" s="50">
        <f t="shared" si="15"/>
        <v>0</v>
      </c>
      <c r="M457" s="50" t="str">
        <f t="shared" si="14"/>
        <v xml:space="preserve"> </v>
      </c>
    </row>
    <row r="458" spans="1:13" ht="15">
      <c r="A458"/>
      <c r="B458"/>
      <c r="C458" s="56"/>
      <c r="D458"/>
      <c r="E458" s="57"/>
      <c r="F458"/>
      <c r="G458"/>
      <c r="H458"/>
      <c r="I458"/>
      <c r="J458"/>
      <c r="K458"/>
      <c r="L458" s="50">
        <f t="shared" si="15"/>
        <v>0</v>
      </c>
      <c r="M458" s="50" t="str">
        <f t="shared" si="14"/>
        <v xml:space="preserve"> </v>
      </c>
    </row>
    <row r="459" spans="1:13" ht="15">
      <c r="A459"/>
      <c r="B459"/>
      <c r="C459" s="56"/>
      <c r="D459"/>
      <c r="E459" s="57"/>
      <c r="F459"/>
      <c r="G459"/>
      <c r="H459"/>
      <c r="I459"/>
      <c r="J459"/>
      <c r="K459"/>
      <c r="L459" s="50">
        <f t="shared" si="15"/>
        <v>0</v>
      </c>
      <c r="M459" s="50" t="str">
        <f t="shared" si="14"/>
        <v xml:space="preserve"> </v>
      </c>
    </row>
    <row r="460" spans="1:13" ht="15">
      <c r="A460"/>
      <c r="B460"/>
      <c r="C460" s="56"/>
      <c r="D460"/>
      <c r="E460" s="57"/>
      <c r="F460"/>
      <c r="G460"/>
      <c r="H460"/>
      <c r="I460"/>
      <c r="J460"/>
      <c r="K460"/>
      <c r="L460" s="50">
        <f t="shared" si="15"/>
        <v>0</v>
      </c>
      <c r="M460" s="50" t="str">
        <f t="shared" si="14"/>
        <v xml:space="preserve"> </v>
      </c>
    </row>
    <row r="461" spans="1:13" ht="15">
      <c r="A461"/>
      <c r="B461"/>
      <c r="C461" s="56"/>
      <c r="D461"/>
      <c r="E461" s="57"/>
      <c r="F461"/>
      <c r="G461"/>
      <c r="H461"/>
      <c r="I461"/>
      <c r="J461"/>
      <c r="K461"/>
      <c r="L461" s="50">
        <f t="shared" si="15"/>
        <v>0</v>
      </c>
      <c r="M461" s="50" t="str">
        <f t="shared" si="14"/>
        <v xml:space="preserve"> </v>
      </c>
    </row>
    <row r="462" spans="1:13" ht="15">
      <c r="A462"/>
      <c r="B462"/>
      <c r="C462" s="56"/>
      <c r="D462"/>
      <c r="E462" s="57"/>
      <c r="F462"/>
      <c r="G462"/>
      <c r="H462"/>
      <c r="I462"/>
      <c r="J462"/>
      <c r="K462"/>
      <c r="L462" s="50">
        <f t="shared" si="15"/>
        <v>0</v>
      </c>
      <c r="M462" s="50" t="str">
        <f t="shared" si="14"/>
        <v xml:space="preserve"> </v>
      </c>
    </row>
    <row r="463" spans="1:13" ht="15">
      <c r="A463"/>
      <c r="B463"/>
      <c r="C463" s="56"/>
      <c r="D463"/>
      <c r="E463" s="57"/>
      <c r="F463"/>
      <c r="G463"/>
      <c r="H463"/>
      <c r="I463"/>
      <c r="J463"/>
      <c r="K463"/>
      <c r="L463" s="50">
        <f t="shared" si="15"/>
        <v>0</v>
      </c>
      <c r="M463" s="50" t="str">
        <f t="shared" si="14"/>
        <v xml:space="preserve"> </v>
      </c>
    </row>
    <row r="464" spans="1:13" ht="15">
      <c r="A464"/>
      <c r="B464"/>
      <c r="C464" s="56"/>
      <c r="D464"/>
      <c r="E464" s="57"/>
      <c r="F464"/>
      <c r="G464"/>
      <c r="H464"/>
      <c r="I464"/>
      <c r="J464"/>
      <c r="K464"/>
      <c r="L464" s="50">
        <f t="shared" si="15"/>
        <v>0</v>
      </c>
      <c r="M464" s="50" t="str">
        <f t="shared" si="14"/>
        <v xml:space="preserve"> </v>
      </c>
    </row>
    <row r="465" spans="1:13" ht="15">
      <c r="A465"/>
      <c r="B465"/>
      <c r="C465" s="56"/>
      <c r="D465"/>
      <c r="E465" s="57"/>
      <c r="F465"/>
      <c r="G465"/>
      <c r="H465"/>
      <c r="I465"/>
      <c r="J465"/>
      <c r="K465"/>
      <c r="L465" s="50">
        <f t="shared" si="15"/>
        <v>0</v>
      </c>
      <c r="M465" s="50" t="str">
        <f t="shared" si="14"/>
        <v xml:space="preserve"> </v>
      </c>
    </row>
    <row r="466" spans="1:13" ht="15">
      <c r="A466"/>
      <c r="B466"/>
      <c r="C466" s="56"/>
      <c r="D466"/>
      <c r="E466" s="57"/>
      <c r="F466"/>
      <c r="G466"/>
      <c r="H466"/>
      <c r="I466"/>
      <c r="J466"/>
      <c r="K466"/>
      <c r="L466" s="50">
        <f t="shared" si="15"/>
        <v>0</v>
      </c>
      <c r="M466" s="50" t="str">
        <f t="shared" si="14"/>
        <v xml:space="preserve"> </v>
      </c>
    </row>
    <row r="467" spans="1:13" ht="15">
      <c r="A467"/>
      <c r="B467"/>
      <c r="C467" s="56"/>
      <c r="D467"/>
      <c r="E467" s="57"/>
      <c r="F467"/>
      <c r="G467"/>
      <c r="H467"/>
      <c r="I467"/>
      <c r="J467"/>
      <c r="K467"/>
      <c r="L467" s="50">
        <f t="shared" si="15"/>
        <v>0</v>
      </c>
      <c r="M467" s="50" t="str">
        <f t="shared" si="14"/>
        <v xml:space="preserve"> </v>
      </c>
    </row>
    <row r="468" spans="1:13" ht="15">
      <c r="A468"/>
      <c r="B468"/>
      <c r="C468" s="56"/>
      <c r="D468"/>
      <c r="E468" s="57"/>
      <c r="F468"/>
      <c r="G468"/>
      <c r="H468"/>
      <c r="I468"/>
      <c r="J468"/>
      <c r="K468"/>
      <c r="L468" s="50">
        <f t="shared" si="15"/>
        <v>0</v>
      </c>
      <c r="M468" s="50" t="str">
        <f t="shared" si="14"/>
        <v xml:space="preserve"> </v>
      </c>
    </row>
    <row r="469" spans="1:13" ht="15">
      <c r="A469"/>
      <c r="B469"/>
      <c r="C469" s="56"/>
      <c r="D469"/>
      <c r="E469" s="57"/>
      <c r="F469"/>
      <c r="G469"/>
      <c r="H469"/>
      <c r="I469"/>
      <c r="J469"/>
      <c r="K469"/>
      <c r="L469" s="50">
        <f t="shared" si="15"/>
        <v>0</v>
      </c>
      <c r="M469" s="50" t="str">
        <f t="shared" si="14"/>
        <v xml:space="preserve"> </v>
      </c>
    </row>
    <row r="470" spans="1:13" ht="15">
      <c r="A470"/>
      <c r="B470"/>
      <c r="C470" s="56"/>
      <c r="D470"/>
      <c r="E470" s="57"/>
      <c r="F470"/>
      <c r="G470"/>
      <c r="H470"/>
      <c r="I470"/>
      <c r="J470"/>
      <c r="K470"/>
      <c r="L470" s="50">
        <f t="shared" si="15"/>
        <v>0</v>
      </c>
      <c r="M470" s="50" t="str">
        <f t="shared" si="14"/>
        <v xml:space="preserve"> </v>
      </c>
    </row>
    <row r="471" spans="1:13" ht="15">
      <c r="A471"/>
      <c r="B471"/>
      <c r="C471" s="56"/>
      <c r="D471"/>
      <c r="E471" s="57"/>
      <c r="F471"/>
      <c r="G471"/>
      <c r="H471"/>
      <c r="I471"/>
      <c r="J471"/>
      <c r="K471"/>
      <c r="L471" s="50">
        <f t="shared" si="15"/>
        <v>0</v>
      </c>
      <c r="M471" s="50" t="str">
        <f t="shared" si="14"/>
        <v xml:space="preserve"> </v>
      </c>
    </row>
    <row r="472" spans="1:13" ht="15">
      <c r="A472"/>
      <c r="B472"/>
      <c r="C472" s="56"/>
      <c r="D472"/>
      <c r="E472" s="57"/>
      <c r="F472"/>
      <c r="G472"/>
      <c r="H472"/>
      <c r="I472"/>
      <c r="J472"/>
      <c r="K472"/>
      <c r="L472" s="50">
        <f t="shared" si="15"/>
        <v>0</v>
      </c>
      <c r="M472" s="50" t="str">
        <f t="shared" si="14"/>
        <v xml:space="preserve"> </v>
      </c>
    </row>
    <row r="473" spans="1:13" ht="15">
      <c r="A473"/>
      <c r="B473"/>
      <c r="C473" s="56"/>
      <c r="D473"/>
      <c r="E473" s="57"/>
      <c r="F473"/>
      <c r="G473"/>
      <c r="H473"/>
      <c r="I473"/>
      <c r="J473"/>
      <c r="K473"/>
      <c r="L473" s="50">
        <f t="shared" si="15"/>
        <v>0</v>
      </c>
      <c r="M473" s="50" t="str">
        <f t="shared" si="14"/>
        <v xml:space="preserve"> </v>
      </c>
    </row>
    <row r="474" spans="1:13" ht="15">
      <c r="A474"/>
      <c r="B474"/>
      <c r="C474" s="56"/>
      <c r="D474"/>
      <c r="E474" s="57"/>
      <c r="F474"/>
      <c r="G474"/>
      <c r="H474"/>
      <c r="I474"/>
      <c r="J474"/>
      <c r="K474"/>
      <c r="L474" s="50">
        <f t="shared" si="15"/>
        <v>0</v>
      </c>
      <c r="M474" s="50" t="str">
        <f t="shared" si="14"/>
        <v xml:space="preserve"> </v>
      </c>
    </row>
    <row r="475" spans="1:13" ht="15">
      <c r="A475"/>
      <c r="B475"/>
      <c r="C475" s="56"/>
      <c r="D475"/>
      <c r="E475" s="57"/>
      <c r="F475"/>
      <c r="G475"/>
      <c r="H475"/>
      <c r="I475"/>
      <c r="J475"/>
      <c r="K475"/>
      <c r="L475" s="50">
        <f t="shared" si="15"/>
        <v>0</v>
      </c>
      <c r="M475" s="50" t="str">
        <f t="shared" si="14"/>
        <v xml:space="preserve"> </v>
      </c>
    </row>
    <row r="476" spans="1:13" ht="15">
      <c r="A476"/>
      <c r="B476"/>
      <c r="C476" s="56"/>
      <c r="D476"/>
      <c r="E476" s="57"/>
      <c r="F476"/>
      <c r="G476"/>
      <c r="H476"/>
      <c r="I476"/>
      <c r="J476"/>
      <c r="K476"/>
      <c r="L476" s="50">
        <f t="shared" si="15"/>
        <v>0</v>
      </c>
      <c r="M476" s="50" t="str">
        <f t="shared" si="14"/>
        <v xml:space="preserve"> </v>
      </c>
    </row>
    <row r="477" spans="1:13" ht="15">
      <c r="A477"/>
      <c r="B477"/>
      <c r="C477" s="56"/>
      <c r="D477"/>
      <c r="E477" s="57"/>
      <c r="F477"/>
      <c r="G477"/>
      <c r="H477"/>
      <c r="I477"/>
      <c r="J477"/>
      <c r="K477"/>
      <c r="L477" s="50">
        <f t="shared" si="15"/>
        <v>0</v>
      </c>
      <c r="M477" s="50" t="str">
        <f t="shared" si="14"/>
        <v xml:space="preserve"> </v>
      </c>
    </row>
    <row r="478" spans="1:13" ht="15">
      <c r="A478"/>
      <c r="B478"/>
      <c r="C478" s="56"/>
      <c r="D478"/>
      <c r="E478" s="57"/>
      <c r="F478"/>
      <c r="G478"/>
      <c r="H478"/>
      <c r="I478"/>
      <c r="J478"/>
      <c r="K478"/>
      <c r="L478" s="50">
        <f t="shared" si="15"/>
        <v>0</v>
      </c>
      <c r="M478" s="50" t="str">
        <f t="shared" si="14"/>
        <v xml:space="preserve"> </v>
      </c>
    </row>
    <row r="479" spans="1:13" ht="15">
      <c r="A479"/>
      <c r="B479"/>
      <c r="C479" s="56"/>
      <c r="D479"/>
      <c r="E479" s="57"/>
      <c r="F479"/>
      <c r="G479"/>
      <c r="H479"/>
      <c r="I479"/>
      <c r="J479"/>
      <c r="K479"/>
      <c r="L479" s="50">
        <f t="shared" si="15"/>
        <v>0</v>
      </c>
      <c r="M479" s="50" t="str">
        <f t="shared" si="14"/>
        <v xml:space="preserve"> </v>
      </c>
    </row>
    <row r="480" spans="1:13" ht="15">
      <c r="A480"/>
      <c r="B480"/>
      <c r="C480" s="56"/>
      <c r="D480"/>
      <c r="E480" s="57"/>
      <c r="F480"/>
      <c r="G480"/>
      <c r="H480"/>
      <c r="I480"/>
      <c r="J480"/>
      <c r="K480"/>
      <c r="L480" s="50">
        <f t="shared" si="15"/>
        <v>0</v>
      </c>
      <c r="M480" s="50" t="str">
        <f t="shared" si="14"/>
        <v xml:space="preserve"> </v>
      </c>
    </row>
    <row r="481" spans="1:13" ht="15">
      <c r="A481"/>
      <c r="B481"/>
      <c r="C481" s="56"/>
      <c r="D481"/>
      <c r="E481" s="57"/>
      <c r="F481"/>
      <c r="G481"/>
      <c r="H481"/>
      <c r="I481"/>
      <c r="J481"/>
      <c r="K481"/>
      <c r="L481" s="50">
        <f t="shared" si="15"/>
        <v>0</v>
      </c>
      <c r="M481" s="50" t="str">
        <f t="shared" si="14"/>
        <v xml:space="preserve"> </v>
      </c>
    </row>
    <row r="482" spans="1:13" ht="15">
      <c r="A482"/>
      <c r="B482"/>
      <c r="C482" s="56"/>
      <c r="D482"/>
      <c r="E482" s="57"/>
      <c r="F482"/>
      <c r="G482"/>
      <c r="H482"/>
      <c r="I482"/>
      <c r="J482"/>
      <c r="K482"/>
      <c r="L482" s="50">
        <f t="shared" si="15"/>
        <v>0</v>
      </c>
      <c r="M482" s="50" t="str">
        <f t="shared" si="14"/>
        <v xml:space="preserve"> </v>
      </c>
    </row>
    <row r="483" spans="1:13" ht="15">
      <c r="A483"/>
      <c r="B483"/>
      <c r="C483" s="56"/>
      <c r="D483"/>
      <c r="E483" s="57"/>
      <c r="F483"/>
      <c r="G483"/>
      <c r="H483"/>
      <c r="I483"/>
      <c r="J483"/>
      <c r="K483"/>
      <c r="L483" s="50">
        <f t="shared" si="15"/>
        <v>0</v>
      </c>
      <c r="M483" s="50" t="str">
        <f t="shared" si="14"/>
        <v xml:space="preserve"> </v>
      </c>
    </row>
    <row r="484" spans="1:13" ht="15">
      <c r="A484"/>
      <c r="B484"/>
      <c r="C484" s="56"/>
      <c r="D484"/>
      <c r="E484" s="57"/>
      <c r="F484"/>
      <c r="G484"/>
      <c r="H484"/>
      <c r="I484"/>
      <c r="J484"/>
      <c r="K484"/>
      <c r="L484" s="50">
        <f t="shared" si="15"/>
        <v>0</v>
      </c>
      <c r="M484" s="50" t="str">
        <f t="shared" si="14"/>
        <v xml:space="preserve"> </v>
      </c>
    </row>
    <row r="485" spans="1:13" ht="15">
      <c r="A485"/>
      <c r="B485"/>
      <c r="C485" s="56"/>
      <c r="D485"/>
      <c r="E485" s="57"/>
      <c r="F485"/>
      <c r="G485"/>
      <c r="H485"/>
      <c r="I485"/>
      <c r="J485"/>
      <c r="K485"/>
      <c r="L485" s="50">
        <f t="shared" si="15"/>
        <v>0</v>
      </c>
      <c r="M485" s="50" t="str">
        <f t="shared" si="14"/>
        <v xml:space="preserve"> </v>
      </c>
    </row>
    <row r="486" spans="1:13" ht="15">
      <c r="A486"/>
      <c r="B486"/>
      <c r="C486" s="56"/>
      <c r="D486"/>
      <c r="E486" s="57"/>
      <c r="F486"/>
      <c r="G486"/>
      <c r="H486"/>
      <c r="I486"/>
      <c r="J486"/>
      <c r="K486"/>
      <c r="L486" s="50">
        <f t="shared" si="15"/>
        <v>0</v>
      </c>
      <c r="M486" s="50" t="str">
        <f t="shared" si="14"/>
        <v xml:space="preserve"> </v>
      </c>
    </row>
    <row r="487" spans="1:13" ht="15">
      <c r="A487"/>
      <c r="B487"/>
      <c r="C487" s="56"/>
      <c r="D487"/>
      <c r="E487" s="57"/>
      <c r="F487"/>
      <c r="G487"/>
      <c r="H487"/>
      <c r="I487"/>
      <c r="J487"/>
      <c r="K487"/>
      <c r="L487" s="50">
        <f t="shared" si="15"/>
        <v>0</v>
      </c>
      <c r="M487" s="50" t="str">
        <f t="shared" si="14"/>
        <v xml:space="preserve"> </v>
      </c>
    </row>
    <row r="488" spans="1:13" ht="15">
      <c r="A488"/>
      <c r="B488"/>
      <c r="C488" s="56"/>
      <c r="D488"/>
      <c r="E488" s="57"/>
      <c r="F488"/>
      <c r="G488"/>
      <c r="H488"/>
      <c r="I488"/>
      <c r="J488"/>
      <c r="K488"/>
      <c r="L488" s="50">
        <f t="shared" si="15"/>
        <v>0</v>
      </c>
      <c r="M488" s="50" t="str">
        <f t="shared" si="14"/>
        <v xml:space="preserve"> </v>
      </c>
    </row>
    <row r="489" spans="1:13" ht="15">
      <c r="A489"/>
      <c r="B489"/>
      <c r="C489" s="56"/>
      <c r="D489"/>
      <c r="E489" s="57"/>
      <c r="F489"/>
      <c r="G489"/>
      <c r="H489"/>
      <c r="I489"/>
      <c r="J489"/>
      <c r="K489"/>
      <c r="L489" s="50">
        <f t="shared" si="15"/>
        <v>0</v>
      </c>
      <c r="M489" s="50" t="str">
        <f t="shared" si="14"/>
        <v xml:space="preserve"> </v>
      </c>
    </row>
    <row r="490" spans="1:13" ht="15">
      <c r="A490"/>
      <c r="B490"/>
      <c r="C490" s="56"/>
      <c r="D490"/>
      <c r="E490" s="57"/>
      <c r="F490"/>
      <c r="G490"/>
      <c r="H490"/>
      <c r="I490"/>
      <c r="J490"/>
      <c r="K490"/>
      <c r="L490" s="50">
        <f t="shared" si="15"/>
        <v>0</v>
      </c>
      <c r="M490" s="50" t="str">
        <f t="shared" si="14"/>
        <v xml:space="preserve"> </v>
      </c>
    </row>
    <row r="491" spans="1:13" ht="15">
      <c r="A491"/>
      <c r="B491"/>
      <c r="C491" s="56"/>
      <c r="D491"/>
      <c r="E491" s="57"/>
      <c r="F491"/>
      <c r="G491"/>
      <c r="H491"/>
      <c r="I491"/>
      <c r="J491"/>
      <c r="K491"/>
      <c r="L491" s="50">
        <f t="shared" si="15"/>
        <v>0</v>
      </c>
      <c r="M491" s="50" t="str">
        <f t="shared" si="14"/>
        <v xml:space="preserve"> </v>
      </c>
    </row>
    <row r="492" spans="1:13" ht="15">
      <c r="A492"/>
      <c r="B492"/>
      <c r="C492" s="56"/>
      <c r="D492"/>
      <c r="E492" s="57"/>
      <c r="F492"/>
      <c r="G492"/>
      <c r="H492"/>
      <c r="I492"/>
      <c r="J492"/>
      <c r="K492"/>
      <c r="L492" s="50">
        <f t="shared" si="15"/>
        <v>0</v>
      </c>
      <c r="M492" s="50" t="str">
        <f t="shared" si="14"/>
        <v xml:space="preserve"> </v>
      </c>
    </row>
    <row r="493" spans="1:13" ht="15">
      <c r="A493"/>
      <c r="B493"/>
      <c r="C493" s="56"/>
      <c r="D493"/>
      <c r="E493" s="57"/>
      <c r="F493"/>
      <c r="G493"/>
      <c r="H493"/>
      <c r="I493"/>
      <c r="J493"/>
      <c r="K493"/>
      <c r="L493" s="50">
        <f t="shared" si="15"/>
        <v>0</v>
      </c>
      <c r="M493" s="50" t="str">
        <f t="shared" si="14"/>
        <v xml:space="preserve"> </v>
      </c>
    </row>
    <row r="494" spans="1:13" ht="15">
      <c r="A494"/>
      <c r="B494"/>
      <c r="C494" s="56"/>
      <c r="D494"/>
      <c r="E494" s="57"/>
      <c r="F494"/>
      <c r="G494"/>
      <c r="H494"/>
      <c r="I494"/>
      <c r="J494"/>
      <c r="K494"/>
      <c r="L494" s="50">
        <f t="shared" si="15"/>
        <v>0</v>
      </c>
      <c r="M494" s="50" t="str">
        <f t="shared" si="14"/>
        <v xml:space="preserve"> </v>
      </c>
    </row>
    <row r="495" spans="1:13" ht="15">
      <c r="A495"/>
      <c r="B495"/>
      <c r="C495" s="56"/>
      <c r="D495"/>
      <c r="E495" s="57"/>
      <c r="F495"/>
      <c r="G495"/>
      <c r="H495"/>
      <c r="I495"/>
      <c r="J495"/>
      <c r="K495"/>
      <c r="L495" s="50">
        <f t="shared" si="15"/>
        <v>0</v>
      </c>
      <c r="M495" s="50" t="str">
        <f t="shared" si="14"/>
        <v xml:space="preserve"> </v>
      </c>
    </row>
    <row r="496" spans="1:13" ht="15">
      <c r="A496"/>
      <c r="B496"/>
      <c r="C496" s="56"/>
      <c r="D496"/>
      <c r="E496" s="57"/>
      <c r="F496"/>
      <c r="G496"/>
      <c r="H496"/>
      <c r="I496"/>
      <c r="J496"/>
      <c r="K496"/>
      <c r="L496" s="50">
        <f t="shared" si="15"/>
        <v>0</v>
      </c>
      <c r="M496" s="50" t="str">
        <f t="shared" si="14"/>
        <v xml:space="preserve"> </v>
      </c>
    </row>
    <row r="497" spans="1:13" ht="15">
      <c r="A497"/>
      <c r="B497"/>
      <c r="C497" s="56"/>
      <c r="D497"/>
      <c r="E497" s="57"/>
      <c r="F497"/>
      <c r="G497"/>
      <c r="H497"/>
      <c r="I497"/>
      <c r="J497"/>
      <c r="K497"/>
      <c r="L497" s="50">
        <f t="shared" si="15"/>
        <v>0</v>
      </c>
      <c r="M497" s="50" t="str">
        <f t="shared" si="14"/>
        <v xml:space="preserve"> </v>
      </c>
    </row>
    <row r="498" spans="1:13" ht="15">
      <c r="A498"/>
      <c r="B498"/>
      <c r="C498" s="56"/>
      <c r="D498"/>
      <c r="E498" s="57"/>
      <c r="F498"/>
      <c r="G498"/>
      <c r="H498"/>
      <c r="I498"/>
      <c r="J498"/>
      <c r="K498"/>
      <c r="L498" s="50">
        <f t="shared" si="15"/>
        <v>0</v>
      </c>
      <c r="M498" s="50" t="str">
        <f t="shared" si="14"/>
        <v xml:space="preserve"> </v>
      </c>
    </row>
    <row r="499" spans="1:13" ht="15">
      <c r="A499"/>
      <c r="B499"/>
      <c r="C499" s="56"/>
      <c r="D499"/>
      <c r="E499" s="57"/>
      <c r="F499"/>
      <c r="G499"/>
      <c r="H499"/>
      <c r="I499"/>
      <c r="J499"/>
      <c r="K499"/>
      <c r="L499" s="50">
        <f t="shared" si="15"/>
        <v>0</v>
      </c>
      <c r="M499" s="50" t="str">
        <f t="shared" si="14"/>
        <v xml:space="preserve"> </v>
      </c>
    </row>
    <row r="500" spans="1:13" ht="15">
      <c r="A500"/>
      <c r="B500"/>
      <c r="C500" s="56"/>
      <c r="D500"/>
      <c r="E500" s="57"/>
      <c r="F500"/>
      <c r="G500"/>
      <c r="H500"/>
      <c r="I500"/>
      <c r="J500"/>
      <c r="K500"/>
      <c r="L500" s="50">
        <f t="shared" si="15"/>
        <v>0</v>
      </c>
      <c r="M500" s="50" t="str">
        <f t="shared" si="14"/>
        <v xml:space="preserve"> </v>
      </c>
    </row>
    <row r="501" spans="1:13" ht="15">
      <c r="A501"/>
      <c r="B501"/>
      <c r="C501" s="56"/>
      <c r="D501"/>
      <c r="E501" s="57"/>
      <c r="F501"/>
      <c r="G501"/>
      <c r="H501"/>
      <c r="I501"/>
      <c r="J501"/>
      <c r="K501"/>
      <c r="L501" s="50">
        <f t="shared" si="15"/>
        <v>0</v>
      </c>
      <c r="M501" s="50" t="str">
        <f t="shared" si="14"/>
        <v xml:space="preserve"> </v>
      </c>
    </row>
    <row r="502" spans="1:13" ht="15">
      <c r="A502"/>
      <c r="B502"/>
      <c r="C502" s="56"/>
      <c r="D502"/>
      <c r="E502" s="57"/>
      <c r="F502"/>
      <c r="G502"/>
      <c r="H502"/>
      <c r="I502"/>
      <c r="J502"/>
      <c r="K502"/>
      <c r="L502" s="50">
        <f t="shared" si="15"/>
        <v>0</v>
      </c>
      <c r="M502" s="50" t="str">
        <f t="shared" si="14"/>
        <v xml:space="preserve"> </v>
      </c>
    </row>
    <row r="503" spans="1:13" ht="15">
      <c r="A503"/>
      <c r="B503"/>
      <c r="C503" s="56"/>
      <c r="D503"/>
      <c r="E503" s="57"/>
      <c r="F503"/>
      <c r="G503"/>
      <c r="H503"/>
      <c r="I503"/>
      <c r="J503"/>
      <c r="K503"/>
      <c r="L503" s="50">
        <f t="shared" si="15"/>
        <v>0</v>
      </c>
      <c r="M503" s="50" t="str">
        <f t="shared" si="14"/>
        <v xml:space="preserve"> </v>
      </c>
    </row>
    <row r="504" spans="1:13" ht="15">
      <c r="A504"/>
      <c r="B504"/>
      <c r="C504" s="56"/>
      <c r="D504"/>
      <c r="E504" s="57"/>
      <c r="F504"/>
      <c r="G504"/>
      <c r="H504"/>
      <c r="I504"/>
      <c r="J504"/>
      <c r="K504"/>
      <c r="L504" s="50">
        <f t="shared" si="15"/>
        <v>0</v>
      </c>
      <c r="M504" s="50" t="str">
        <f t="shared" si="14"/>
        <v xml:space="preserve"> </v>
      </c>
    </row>
    <row r="505" spans="1:13" ht="15">
      <c r="A505"/>
      <c r="B505"/>
      <c r="C505" s="56"/>
      <c r="D505"/>
      <c r="E505" s="57"/>
      <c r="F505"/>
      <c r="G505"/>
      <c r="H505"/>
      <c r="I505"/>
      <c r="J505"/>
      <c r="K505"/>
      <c r="L505" s="50">
        <f t="shared" si="15"/>
        <v>0</v>
      </c>
      <c r="M505" s="50" t="str">
        <f t="shared" si="14"/>
        <v xml:space="preserve"> </v>
      </c>
    </row>
    <row r="506" spans="1:13" ht="15">
      <c r="A506"/>
      <c r="B506"/>
      <c r="C506" s="56"/>
      <c r="D506"/>
      <c r="E506" s="57"/>
      <c r="F506"/>
      <c r="G506"/>
      <c r="H506"/>
      <c r="I506"/>
      <c r="J506"/>
      <c r="K506"/>
      <c r="L506" s="50">
        <f t="shared" si="15"/>
        <v>0</v>
      </c>
      <c r="M506" s="50" t="str">
        <f t="shared" si="14"/>
        <v xml:space="preserve"> </v>
      </c>
    </row>
    <row r="507" spans="1:13" ht="15">
      <c r="A507"/>
      <c r="B507"/>
      <c r="C507" s="56"/>
      <c r="D507"/>
      <c r="E507" s="57"/>
      <c r="F507"/>
      <c r="G507"/>
      <c r="H507"/>
      <c r="I507"/>
      <c r="J507"/>
      <c r="K507"/>
      <c r="L507" s="50">
        <f t="shared" si="15"/>
        <v>0</v>
      </c>
      <c r="M507" s="50" t="str">
        <f t="shared" si="14"/>
        <v xml:space="preserve"> </v>
      </c>
    </row>
    <row r="508" spans="1:13" ht="15">
      <c r="A508"/>
      <c r="B508"/>
      <c r="C508" s="56"/>
      <c r="D508"/>
      <c r="E508" s="57"/>
      <c r="F508"/>
      <c r="G508"/>
      <c r="H508"/>
      <c r="I508"/>
      <c r="J508"/>
      <c r="K508"/>
      <c r="L508" s="50">
        <f t="shared" si="15"/>
        <v>0</v>
      </c>
      <c r="M508" s="50" t="str">
        <f t="shared" si="14"/>
        <v xml:space="preserve"> </v>
      </c>
    </row>
    <row r="509" spans="1:13" ht="15">
      <c r="A509"/>
      <c r="B509"/>
      <c r="C509" s="56"/>
      <c r="D509"/>
      <c r="E509" s="57"/>
      <c r="F509"/>
      <c r="G509"/>
      <c r="H509"/>
      <c r="I509"/>
      <c r="J509"/>
      <c r="K509"/>
      <c r="L509" s="50">
        <f t="shared" si="15"/>
        <v>0</v>
      </c>
      <c r="M509" s="50" t="str">
        <f t="shared" si="14"/>
        <v xml:space="preserve"> </v>
      </c>
    </row>
    <row r="510" spans="1:13" ht="15">
      <c r="A510"/>
      <c r="B510"/>
      <c r="C510" s="56"/>
      <c r="D510"/>
      <c r="E510" s="57"/>
      <c r="F510"/>
      <c r="G510"/>
      <c r="H510"/>
      <c r="I510"/>
      <c r="J510"/>
      <c r="K510"/>
      <c r="L510" s="50">
        <f t="shared" si="15"/>
        <v>0</v>
      </c>
      <c r="M510" s="50" t="str">
        <f t="shared" si="14"/>
        <v xml:space="preserve"> </v>
      </c>
    </row>
    <row r="511" spans="1:13" ht="15">
      <c r="A511"/>
      <c r="B511"/>
      <c r="C511" s="56"/>
      <c r="D511"/>
      <c r="E511" s="57"/>
      <c r="F511"/>
      <c r="G511"/>
      <c r="H511"/>
      <c r="I511"/>
      <c r="J511"/>
      <c r="K511"/>
      <c r="L511" s="50">
        <f t="shared" si="15"/>
        <v>0</v>
      </c>
      <c r="M511" s="50" t="str">
        <f t="shared" si="14"/>
        <v xml:space="preserve"> </v>
      </c>
    </row>
    <row r="512" spans="1:13" ht="15">
      <c r="A512"/>
      <c r="B512"/>
      <c r="C512" s="56"/>
      <c r="D512"/>
      <c r="E512" s="57"/>
      <c r="F512"/>
      <c r="G512"/>
      <c r="H512"/>
      <c r="I512"/>
      <c r="J512"/>
      <c r="K512"/>
      <c r="L512" s="50">
        <f t="shared" si="15"/>
        <v>0</v>
      </c>
      <c r="M512" s="50" t="str">
        <f t="shared" si="14"/>
        <v xml:space="preserve"> </v>
      </c>
    </row>
    <row r="513" spans="1:13" ht="15">
      <c r="A513"/>
      <c r="B513"/>
      <c r="C513" s="56"/>
      <c r="D513"/>
      <c r="E513" s="57"/>
      <c r="F513"/>
      <c r="G513"/>
      <c r="H513"/>
      <c r="I513"/>
      <c r="J513"/>
      <c r="K513"/>
      <c r="L513" s="50">
        <f t="shared" si="15"/>
        <v>0</v>
      </c>
      <c r="M513" s="50" t="str">
        <f t="shared" si="14"/>
        <v xml:space="preserve"> </v>
      </c>
    </row>
    <row r="514" spans="1:13" ht="15">
      <c r="A514"/>
      <c r="B514"/>
      <c r="C514" s="56"/>
      <c r="D514"/>
      <c r="E514" s="57"/>
      <c r="F514"/>
      <c r="G514"/>
      <c r="H514"/>
      <c r="I514"/>
      <c r="J514"/>
      <c r="K514"/>
      <c r="L514" s="50">
        <f t="shared" si="15"/>
        <v>0</v>
      </c>
      <c r="M514" s="50" t="str">
        <f t="shared" ref="M514:M577" si="16">CONCATENATE(J514," ",I514)</f>
        <v xml:space="preserve"> </v>
      </c>
    </row>
    <row r="515" spans="1:13" ht="15">
      <c r="A515"/>
      <c r="B515"/>
      <c r="C515" s="56"/>
      <c r="D515"/>
      <c r="E515" s="57"/>
      <c r="F515"/>
      <c r="G515"/>
      <c r="H515"/>
      <c r="I515"/>
      <c r="J515"/>
      <c r="K515"/>
      <c r="L515" s="50">
        <f t="shared" ref="L515:L578" si="17">K515/100</f>
        <v>0</v>
      </c>
      <c r="M515" s="50" t="str">
        <f t="shared" si="16"/>
        <v xml:space="preserve"> </v>
      </c>
    </row>
    <row r="516" spans="1:13" ht="15">
      <c r="A516"/>
      <c r="B516"/>
      <c r="C516" s="56"/>
      <c r="D516"/>
      <c r="E516" s="57"/>
      <c r="F516"/>
      <c r="G516"/>
      <c r="H516"/>
      <c r="I516"/>
      <c r="J516"/>
      <c r="K516"/>
      <c r="L516" s="50">
        <f t="shared" si="17"/>
        <v>0</v>
      </c>
      <c r="M516" s="50" t="str">
        <f t="shared" si="16"/>
        <v xml:space="preserve"> </v>
      </c>
    </row>
    <row r="517" spans="1:13" ht="15">
      <c r="A517"/>
      <c r="B517"/>
      <c r="C517" s="56"/>
      <c r="D517"/>
      <c r="E517" s="57"/>
      <c r="F517"/>
      <c r="G517"/>
      <c r="H517"/>
      <c r="I517"/>
      <c r="J517"/>
      <c r="K517"/>
      <c r="L517" s="50">
        <f t="shared" si="17"/>
        <v>0</v>
      </c>
      <c r="M517" s="50" t="str">
        <f t="shared" si="16"/>
        <v xml:space="preserve"> </v>
      </c>
    </row>
    <row r="518" spans="1:13" ht="15">
      <c r="A518"/>
      <c r="B518"/>
      <c r="C518" s="56"/>
      <c r="D518"/>
      <c r="E518" s="57"/>
      <c r="F518"/>
      <c r="G518"/>
      <c r="H518"/>
      <c r="I518"/>
      <c r="J518"/>
      <c r="K518"/>
      <c r="L518" s="50">
        <f t="shared" si="17"/>
        <v>0</v>
      </c>
      <c r="M518" s="50" t="str">
        <f t="shared" si="16"/>
        <v xml:space="preserve"> </v>
      </c>
    </row>
    <row r="519" spans="1:13" ht="15">
      <c r="A519"/>
      <c r="B519"/>
      <c r="C519" s="56"/>
      <c r="D519"/>
      <c r="E519" s="57"/>
      <c r="F519"/>
      <c r="G519"/>
      <c r="H519"/>
      <c r="I519"/>
      <c r="J519"/>
      <c r="K519"/>
      <c r="L519" s="50">
        <f t="shared" si="17"/>
        <v>0</v>
      </c>
      <c r="M519" s="50" t="str">
        <f t="shared" si="16"/>
        <v xml:space="preserve"> </v>
      </c>
    </row>
    <row r="520" spans="1:13" ht="15">
      <c r="A520"/>
      <c r="B520"/>
      <c r="C520" s="56"/>
      <c r="D520"/>
      <c r="E520" s="57"/>
      <c r="F520"/>
      <c r="G520"/>
      <c r="H520"/>
      <c r="I520"/>
      <c r="J520"/>
      <c r="K520"/>
      <c r="L520" s="50">
        <f t="shared" si="17"/>
        <v>0</v>
      </c>
      <c r="M520" s="50" t="str">
        <f t="shared" si="16"/>
        <v xml:space="preserve"> </v>
      </c>
    </row>
    <row r="521" spans="1:13" ht="15">
      <c r="A521"/>
      <c r="B521"/>
      <c r="C521" s="56"/>
      <c r="D521"/>
      <c r="E521" s="57"/>
      <c r="F521"/>
      <c r="G521"/>
      <c r="H521"/>
      <c r="I521"/>
      <c r="J521"/>
      <c r="K521"/>
      <c r="L521" s="50">
        <f t="shared" si="17"/>
        <v>0</v>
      </c>
      <c r="M521" s="50" t="str">
        <f t="shared" si="16"/>
        <v xml:space="preserve"> </v>
      </c>
    </row>
    <row r="522" spans="1:13" ht="15">
      <c r="A522"/>
      <c r="B522"/>
      <c r="C522" s="56"/>
      <c r="D522"/>
      <c r="E522" s="57"/>
      <c r="F522"/>
      <c r="G522"/>
      <c r="H522"/>
      <c r="I522"/>
      <c r="J522"/>
      <c r="K522"/>
      <c r="L522" s="50">
        <f t="shared" si="17"/>
        <v>0</v>
      </c>
      <c r="M522" s="50" t="str">
        <f t="shared" si="16"/>
        <v xml:space="preserve"> </v>
      </c>
    </row>
    <row r="523" spans="1:13" ht="15">
      <c r="A523"/>
      <c r="B523"/>
      <c r="C523" s="56"/>
      <c r="D523"/>
      <c r="E523" s="57"/>
      <c r="F523"/>
      <c r="G523"/>
      <c r="H523"/>
      <c r="I523"/>
      <c r="J523"/>
      <c r="K523"/>
      <c r="L523" s="50">
        <f t="shared" si="17"/>
        <v>0</v>
      </c>
      <c r="M523" s="50" t="str">
        <f t="shared" si="16"/>
        <v xml:space="preserve"> </v>
      </c>
    </row>
    <row r="524" spans="1:13" ht="15">
      <c r="A524"/>
      <c r="B524"/>
      <c r="C524" s="56"/>
      <c r="D524"/>
      <c r="E524" s="57"/>
      <c r="F524"/>
      <c r="G524"/>
      <c r="H524"/>
      <c r="I524"/>
      <c r="J524"/>
      <c r="K524"/>
      <c r="L524" s="50">
        <f t="shared" si="17"/>
        <v>0</v>
      </c>
      <c r="M524" s="50" t="str">
        <f t="shared" si="16"/>
        <v xml:space="preserve"> </v>
      </c>
    </row>
    <row r="525" spans="1:13" ht="15">
      <c r="A525"/>
      <c r="B525"/>
      <c r="C525" s="56"/>
      <c r="D525"/>
      <c r="E525" s="57"/>
      <c r="F525"/>
      <c r="G525"/>
      <c r="H525"/>
      <c r="I525"/>
      <c r="J525"/>
      <c r="K525"/>
      <c r="L525" s="50">
        <f t="shared" si="17"/>
        <v>0</v>
      </c>
      <c r="M525" s="50" t="str">
        <f t="shared" si="16"/>
        <v xml:space="preserve"> </v>
      </c>
    </row>
    <row r="526" spans="1:13" ht="15">
      <c r="A526"/>
      <c r="B526"/>
      <c r="C526" s="56"/>
      <c r="D526"/>
      <c r="E526" s="57"/>
      <c r="F526"/>
      <c r="G526"/>
      <c r="H526"/>
      <c r="I526"/>
      <c r="J526"/>
      <c r="K526"/>
      <c r="L526" s="50">
        <f t="shared" si="17"/>
        <v>0</v>
      </c>
      <c r="M526" s="50" t="str">
        <f t="shared" si="16"/>
        <v xml:space="preserve"> </v>
      </c>
    </row>
    <row r="527" spans="1:13" ht="15">
      <c r="A527"/>
      <c r="B527"/>
      <c r="C527" s="56"/>
      <c r="D527"/>
      <c r="E527" s="57"/>
      <c r="F527"/>
      <c r="G527"/>
      <c r="H527"/>
      <c r="I527"/>
      <c r="J527"/>
      <c r="K527"/>
      <c r="L527" s="50">
        <f t="shared" si="17"/>
        <v>0</v>
      </c>
      <c r="M527" s="50" t="str">
        <f t="shared" si="16"/>
        <v xml:space="preserve"> </v>
      </c>
    </row>
    <row r="528" spans="1:13" ht="15">
      <c r="A528"/>
      <c r="B528"/>
      <c r="C528" s="56"/>
      <c r="D528"/>
      <c r="E528" s="57"/>
      <c r="F528"/>
      <c r="G528"/>
      <c r="H528"/>
      <c r="I528"/>
      <c r="J528"/>
      <c r="K528"/>
      <c r="L528" s="50">
        <f t="shared" si="17"/>
        <v>0</v>
      </c>
      <c r="M528" s="50" t="str">
        <f t="shared" si="16"/>
        <v xml:space="preserve"> </v>
      </c>
    </row>
    <row r="529" spans="1:13" ht="15">
      <c r="A529"/>
      <c r="B529"/>
      <c r="C529" s="56"/>
      <c r="D529"/>
      <c r="E529" s="57"/>
      <c r="F529"/>
      <c r="G529"/>
      <c r="H529"/>
      <c r="I529"/>
      <c r="J529"/>
      <c r="K529"/>
      <c r="L529" s="50">
        <f t="shared" si="17"/>
        <v>0</v>
      </c>
      <c r="M529" s="50" t="str">
        <f t="shared" si="16"/>
        <v xml:space="preserve"> </v>
      </c>
    </row>
    <row r="530" spans="1:13" ht="15">
      <c r="A530"/>
      <c r="B530"/>
      <c r="C530" s="56"/>
      <c r="D530"/>
      <c r="E530" s="57"/>
      <c r="F530"/>
      <c r="G530"/>
      <c r="H530"/>
      <c r="I530"/>
      <c r="J530"/>
      <c r="K530"/>
      <c r="L530" s="50">
        <f t="shared" si="17"/>
        <v>0</v>
      </c>
      <c r="M530" s="50" t="str">
        <f t="shared" si="16"/>
        <v xml:space="preserve"> </v>
      </c>
    </row>
    <row r="531" spans="1:13" ht="15">
      <c r="A531"/>
      <c r="B531"/>
      <c r="C531" s="56"/>
      <c r="D531"/>
      <c r="E531" s="57"/>
      <c r="F531"/>
      <c r="G531"/>
      <c r="H531"/>
      <c r="I531"/>
      <c r="J531"/>
      <c r="K531"/>
      <c r="L531" s="50">
        <f t="shared" si="17"/>
        <v>0</v>
      </c>
      <c r="M531" s="50" t="str">
        <f t="shared" si="16"/>
        <v xml:space="preserve"> </v>
      </c>
    </row>
    <row r="532" spans="1:13" ht="15">
      <c r="A532"/>
      <c r="B532"/>
      <c r="C532" s="56"/>
      <c r="D532"/>
      <c r="E532" s="57"/>
      <c r="F532"/>
      <c r="G532"/>
      <c r="H532"/>
      <c r="I532"/>
      <c r="J532"/>
      <c r="K532"/>
      <c r="L532" s="50">
        <f t="shared" si="17"/>
        <v>0</v>
      </c>
      <c r="M532" s="50" t="str">
        <f t="shared" si="16"/>
        <v xml:space="preserve"> </v>
      </c>
    </row>
    <row r="533" spans="1:13" ht="15">
      <c r="A533"/>
      <c r="B533"/>
      <c r="C533" s="56"/>
      <c r="D533"/>
      <c r="E533" s="57"/>
      <c r="F533"/>
      <c r="G533"/>
      <c r="H533"/>
      <c r="I533"/>
      <c r="J533"/>
      <c r="K533"/>
      <c r="L533" s="50">
        <f t="shared" si="17"/>
        <v>0</v>
      </c>
      <c r="M533" s="50" t="str">
        <f t="shared" si="16"/>
        <v xml:space="preserve"> </v>
      </c>
    </row>
    <row r="534" spans="1:13" ht="15">
      <c r="A534"/>
      <c r="B534"/>
      <c r="C534" s="56"/>
      <c r="D534"/>
      <c r="E534" s="57"/>
      <c r="F534"/>
      <c r="G534"/>
      <c r="H534"/>
      <c r="I534"/>
      <c r="J534"/>
      <c r="K534"/>
      <c r="L534" s="50">
        <f t="shared" si="17"/>
        <v>0</v>
      </c>
      <c r="M534" s="50" t="str">
        <f t="shared" si="16"/>
        <v xml:space="preserve"> </v>
      </c>
    </row>
    <row r="535" spans="1:13" ht="15">
      <c r="A535"/>
      <c r="B535"/>
      <c r="C535" s="56"/>
      <c r="D535"/>
      <c r="E535" s="57"/>
      <c r="F535"/>
      <c r="G535"/>
      <c r="H535"/>
      <c r="I535"/>
      <c r="J535"/>
      <c r="K535"/>
      <c r="L535" s="50">
        <f t="shared" si="17"/>
        <v>0</v>
      </c>
      <c r="M535" s="50" t="str">
        <f t="shared" si="16"/>
        <v xml:space="preserve"> </v>
      </c>
    </row>
    <row r="536" spans="1:13" ht="15">
      <c r="A536"/>
      <c r="B536"/>
      <c r="C536" s="56"/>
      <c r="D536"/>
      <c r="E536" s="57"/>
      <c r="F536"/>
      <c r="G536"/>
      <c r="H536"/>
      <c r="I536"/>
      <c r="J536"/>
      <c r="K536"/>
      <c r="L536" s="50">
        <f t="shared" si="17"/>
        <v>0</v>
      </c>
      <c r="M536" s="50" t="str">
        <f t="shared" si="16"/>
        <v xml:space="preserve"> </v>
      </c>
    </row>
    <row r="537" spans="1:13" ht="15">
      <c r="A537"/>
      <c r="B537"/>
      <c r="C537" s="56"/>
      <c r="D537"/>
      <c r="E537" s="57"/>
      <c r="F537"/>
      <c r="G537"/>
      <c r="H537"/>
      <c r="I537"/>
      <c r="J537"/>
      <c r="K537"/>
      <c r="L537" s="50">
        <f t="shared" si="17"/>
        <v>0</v>
      </c>
      <c r="M537" s="50" t="str">
        <f t="shared" si="16"/>
        <v xml:space="preserve"> </v>
      </c>
    </row>
    <row r="538" spans="1:13" ht="15">
      <c r="A538"/>
      <c r="B538"/>
      <c r="C538" s="56"/>
      <c r="D538"/>
      <c r="E538" s="57"/>
      <c r="F538"/>
      <c r="G538"/>
      <c r="H538"/>
      <c r="I538"/>
      <c r="J538"/>
      <c r="K538"/>
      <c r="L538" s="50">
        <f t="shared" si="17"/>
        <v>0</v>
      </c>
      <c r="M538" s="50" t="str">
        <f t="shared" si="16"/>
        <v xml:space="preserve"> </v>
      </c>
    </row>
    <row r="539" spans="1:13" ht="15">
      <c r="A539"/>
      <c r="B539"/>
      <c r="C539" s="56"/>
      <c r="D539"/>
      <c r="E539" s="57"/>
      <c r="F539"/>
      <c r="G539"/>
      <c r="H539"/>
      <c r="I539"/>
      <c r="J539"/>
      <c r="K539"/>
      <c r="L539" s="50">
        <f t="shared" si="17"/>
        <v>0</v>
      </c>
      <c r="M539" s="50" t="str">
        <f t="shared" si="16"/>
        <v xml:space="preserve"> </v>
      </c>
    </row>
    <row r="540" spans="1:13" ht="15">
      <c r="A540"/>
      <c r="B540"/>
      <c r="C540" s="56"/>
      <c r="D540"/>
      <c r="E540" s="57"/>
      <c r="F540"/>
      <c r="G540"/>
      <c r="H540"/>
      <c r="I540"/>
      <c r="J540"/>
      <c r="K540"/>
      <c r="L540" s="50">
        <f t="shared" si="17"/>
        <v>0</v>
      </c>
      <c r="M540" s="50" t="str">
        <f t="shared" si="16"/>
        <v xml:space="preserve"> </v>
      </c>
    </row>
    <row r="541" spans="1:13" ht="15">
      <c r="A541"/>
      <c r="B541"/>
      <c r="C541" s="56"/>
      <c r="D541"/>
      <c r="E541" s="57"/>
      <c r="F541"/>
      <c r="G541"/>
      <c r="H541"/>
      <c r="I541"/>
      <c r="J541"/>
      <c r="K541"/>
      <c r="L541" s="50">
        <f t="shared" si="17"/>
        <v>0</v>
      </c>
      <c r="M541" s="50" t="str">
        <f t="shared" si="16"/>
        <v xml:space="preserve"> </v>
      </c>
    </row>
    <row r="542" spans="1:13" ht="15">
      <c r="A542"/>
      <c r="B542"/>
      <c r="C542" s="56"/>
      <c r="D542"/>
      <c r="E542" s="57"/>
      <c r="F542"/>
      <c r="G542"/>
      <c r="H542"/>
      <c r="I542"/>
      <c r="J542"/>
      <c r="K542"/>
      <c r="L542" s="50">
        <f t="shared" si="17"/>
        <v>0</v>
      </c>
      <c r="M542" s="50" t="str">
        <f t="shared" si="16"/>
        <v xml:space="preserve"> </v>
      </c>
    </row>
    <row r="543" spans="1:13" ht="15">
      <c r="A543"/>
      <c r="B543"/>
      <c r="C543" s="56"/>
      <c r="D543"/>
      <c r="E543" s="57"/>
      <c r="F543"/>
      <c r="G543"/>
      <c r="H543"/>
      <c r="I543"/>
      <c r="J543"/>
      <c r="K543"/>
      <c r="L543" s="50">
        <f t="shared" si="17"/>
        <v>0</v>
      </c>
      <c r="M543" s="50" t="str">
        <f t="shared" si="16"/>
        <v xml:space="preserve"> </v>
      </c>
    </row>
    <row r="544" spans="1:13" ht="15">
      <c r="A544"/>
      <c r="B544"/>
      <c r="C544" s="56"/>
      <c r="D544"/>
      <c r="E544" s="57"/>
      <c r="F544"/>
      <c r="G544"/>
      <c r="H544"/>
      <c r="I544"/>
      <c r="J544"/>
      <c r="K544"/>
      <c r="L544" s="50">
        <f t="shared" si="17"/>
        <v>0</v>
      </c>
      <c r="M544" s="50" t="str">
        <f t="shared" si="16"/>
        <v xml:space="preserve"> </v>
      </c>
    </row>
    <row r="545" spans="1:13" ht="15">
      <c r="A545"/>
      <c r="B545"/>
      <c r="C545" s="56"/>
      <c r="D545"/>
      <c r="E545" s="57"/>
      <c r="F545"/>
      <c r="G545"/>
      <c r="H545"/>
      <c r="I545"/>
      <c r="J545"/>
      <c r="K545"/>
      <c r="L545" s="50">
        <f t="shared" si="17"/>
        <v>0</v>
      </c>
      <c r="M545" s="50" t="str">
        <f t="shared" si="16"/>
        <v xml:space="preserve"> </v>
      </c>
    </row>
    <row r="546" spans="1:13" ht="15">
      <c r="A546"/>
      <c r="B546"/>
      <c r="C546" s="56"/>
      <c r="D546"/>
      <c r="E546" s="57"/>
      <c r="F546"/>
      <c r="G546"/>
      <c r="H546"/>
      <c r="I546"/>
      <c r="J546"/>
      <c r="K546"/>
      <c r="L546" s="50">
        <f t="shared" si="17"/>
        <v>0</v>
      </c>
      <c r="M546" s="50" t="str">
        <f t="shared" si="16"/>
        <v xml:space="preserve"> </v>
      </c>
    </row>
    <row r="547" spans="1:13" ht="15">
      <c r="A547"/>
      <c r="B547"/>
      <c r="C547" s="56"/>
      <c r="D547"/>
      <c r="E547" s="57"/>
      <c r="F547"/>
      <c r="G547"/>
      <c r="H547"/>
      <c r="I547"/>
      <c r="J547"/>
      <c r="K547"/>
      <c r="L547" s="50">
        <f t="shared" si="17"/>
        <v>0</v>
      </c>
      <c r="M547" s="50" t="str">
        <f t="shared" si="16"/>
        <v xml:space="preserve"> </v>
      </c>
    </row>
    <row r="548" spans="1:13" ht="15">
      <c r="A548"/>
      <c r="B548"/>
      <c r="C548" s="56"/>
      <c r="D548"/>
      <c r="E548" s="57"/>
      <c r="F548"/>
      <c r="G548"/>
      <c r="H548"/>
      <c r="I548"/>
      <c r="J548"/>
      <c r="K548"/>
      <c r="L548" s="50">
        <f t="shared" si="17"/>
        <v>0</v>
      </c>
      <c r="M548" s="50" t="str">
        <f t="shared" si="16"/>
        <v xml:space="preserve"> </v>
      </c>
    </row>
    <row r="549" spans="1:13" ht="15">
      <c r="A549"/>
      <c r="B549"/>
      <c r="C549" s="56"/>
      <c r="D549"/>
      <c r="E549" s="57"/>
      <c r="F549"/>
      <c r="G549"/>
      <c r="H549"/>
      <c r="I549"/>
      <c r="J549"/>
      <c r="K549"/>
      <c r="L549" s="50">
        <f t="shared" si="17"/>
        <v>0</v>
      </c>
      <c r="M549" s="50" t="str">
        <f t="shared" si="16"/>
        <v xml:space="preserve"> </v>
      </c>
    </row>
    <row r="550" spans="1:13" ht="15">
      <c r="A550"/>
      <c r="B550"/>
      <c r="C550" s="56"/>
      <c r="D550"/>
      <c r="E550" s="57"/>
      <c r="F550"/>
      <c r="G550"/>
      <c r="H550"/>
      <c r="I550"/>
      <c r="J550"/>
      <c r="K550"/>
      <c r="L550" s="50">
        <f t="shared" si="17"/>
        <v>0</v>
      </c>
      <c r="M550" s="50" t="str">
        <f t="shared" si="16"/>
        <v xml:space="preserve"> </v>
      </c>
    </row>
    <row r="551" spans="1:13" ht="15">
      <c r="A551"/>
      <c r="B551"/>
      <c r="C551" s="56"/>
      <c r="D551"/>
      <c r="E551" s="57"/>
      <c r="F551"/>
      <c r="G551"/>
      <c r="H551"/>
      <c r="I551"/>
      <c r="J551"/>
      <c r="K551"/>
      <c r="L551" s="50">
        <f t="shared" si="17"/>
        <v>0</v>
      </c>
      <c r="M551" s="50" t="str">
        <f t="shared" si="16"/>
        <v xml:space="preserve"> </v>
      </c>
    </row>
    <row r="552" spans="1:13" ht="15">
      <c r="A552"/>
      <c r="B552"/>
      <c r="C552" s="56"/>
      <c r="D552"/>
      <c r="E552" s="57"/>
      <c r="F552"/>
      <c r="G552"/>
      <c r="H552"/>
      <c r="I552"/>
      <c r="J552"/>
      <c r="K552"/>
      <c r="L552" s="50">
        <f t="shared" si="17"/>
        <v>0</v>
      </c>
      <c r="M552" s="50" t="str">
        <f t="shared" si="16"/>
        <v xml:space="preserve"> </v>
      </c>
    </row>
    <row r="553" spans="1:13" ht="15">
      <c r="A553"/>
      <c r="B553"/>
      <c r="C553" s="56"/>
      <c r="D553"/>
      <c r="E553" s="57"/>
      <c r="F553"/>
      <c r="G553"/>
      <c r="H553"/>
      <c r="I553"/>
      <c r="J553"/>
      <c r="K553"/>
      <c r="L553" s="50">
        <f t="shared" si="17"/>
        <v>0</v>
      </c>
      <c r="M553" s="50" t="str">
        <f t="shared" si="16"/>
        <v xml:space="preserve"> </v>
      </c>
    </row>
    <row r="554" spans="1:13" ht="15">
      <c r="A554"/>
      <c r="B554"/>
      <c r="C554" s="56"/>
      <c r="D554"/>
      <c r="E554" s="57"/>
      <c r="F554"/>
      <c r="G554"/>
      <c r="H554"/>
      <c r="I554"/>
      <c r="J554"/>
      <c r="K554"/>
      <c r="L554" s="50">
        <f t="shared" si="17"/>
        <v>0</v>
      </c>
      <c r="M554" s="50" t="str">
        <f t="shared" si="16"/>
        <v xml:space="preserve"> </v>
      </c>
    </row>
    <row r="555" spans="1:13" ht="15">
      <c r="A555"/>
      <c r="B555"/>
      <c r="C555" s="56"/>
      <c r="D555"/>
      <c r="E555" s="57"/>
      <c r="F555"/>
      <c r="G555"/>
      <c r="H555"/>
      <c r="I555"/>
      <c r="J555"/>
      <c r="K555"/>
      <c r="L555" s="50">
        <f t="shared" si="17"/>
        <v>0</v>
      </c>
      <c r="M555" s="50" t="str">
        <f t="shared" si="16"/>
        <v xml:space="preserve"> </v>
      </c>
    </row>
    <row r="556" spans="1:13" ht="15">
      <c r="A556"/>
      <c r="B556"/>
      <c r="C556" s="56"/>
      <c r="D556"/>
      <c r="E556" s="57"/>
      <c r="F556"/>
      <c r="G556"/>
      <c r="H556"/>
      <c r="I556"/>
      <c r="J556"/>
      <c r="K556"/>
      <c r="L556" s="50">
        <f t="shared" si="17"/>
        <v>0</v>
      </c>
      <c r="M556" s="50" t="str">
        <f t="shared" si="16"/>
        <v xml:space="preserve"> </v>
      </c>
    </row>
    <row r="557" spans="1:13" ht="15">
      <c r="A557"/>
      <c r="B557"/>
      <c r="C557" s="56"/>
      <c r="D557"/>
      <c r="E557" s="57"/>
      <c r="F557"/>
      <c r="G557"/>
      <c r="H557"/>
      <c r="I557"/>
      <c r="J557"/>
      <c r="K557"/>
      <c r="L557" s="50">
        <f t="shared" si="17"/>
        <v>0</v>
      </c>
      <c r="M557" s="50" t="str">
        <f t="shared" si="16"/>
        <v xml:space="preserve"> </v>
      </c>
    </row>
    <row r="558" spans="1:13" ht="15">
      <c r="A558"/>
      <c r="B558"/>
      <c r="C558" s="56"/>
      <c r="D558"/>
      <c r="E558" s="57"/>
      <c r="F558"/>
      <c r="G558"/>
      <c r="H558"/>
      <c r="I558"/>
      <c r="J558"/>
      <c r="K558"/>
      <c r="L558" s="50">
        <f t="shared" si="17"/>
        <v>0</v>
      </c>
      <c r="M558" s="50" t="str">
        <f t="shared" si="16"/>
        <v xml:space="preserve"> </v>
      </c>
    </row>
    <row r="559" spans="1:13" ht="15">
      <c r="A559"/>
      <c r="B559"/>
      <c r="C559" s="56"/>
      <c r="D559"/>
      <c r="E559" s="57"/>
      <c r="F559"/>
      <c r="G559"/>
      <c r="H559"/>
      <c r="I559"/>
      <c r="J559"/>
      <c r="K559"/>
      <c r="L559" s="50">
        <f t="shared" si="17"/>
        <v>0</v>
      </c>
      <c r="M559" s="50" t="str">
        <f t="shared" si="16"/>
        <v xml:space="preserve"> </v>
      </c>
    </row>
    <row r="560" spans="1:13" ht="15">
      <c r="A560"/>
      <c r="B560"/>
      <c r="C560" s="56"/>
      <c r="D560"/>
      <c r="E560" s="57"/>
      <c r="F560"/>
      <c r="G560"/>
      <c r="H560"/>
      <c r="I560"/>
      <c r="J560"/>
      <c r="K560"/>
      <c r="L560" s="50">
        <f t="shared" si="17"/>
        <v>0</v>
      </c>
      <c r="M560" s="50" t="str">
        <f t="shared" si="16"/>
        <v xml:space="preserve"> </v>
      </c>
    </row>
    <row r="561" spans="1:13" ht="15">
      <c r="A561"/>
      <c r="B561"/>
      <c r="C561" s="56"/>
      <c r="D561"/>
      <c r="E561" s="57"/>
      <c r="F561"/>
      <c r="G561"/>
      <c r="H561"/>
      <c r="I561"/>
      <c r="J561"/>
      <c r="K561"/>
      <c r="L561" s="50">
        <f t="shared" si="17"/>
        <v>0</v>
      </c>
      <c r="M561" s="50" t="str">
        <f t="shared" si="16"/>
        <v xml:space="preserve"> </v>
      </c>
    </row>
    <row r="562" spans="1:13" ht="15">
      <c r="A562"/>
      <c r="B562"/>
      <c r="C562" s="56"/>
      <c r="D562"/>
      <c r="E562" s="57"/>
      <c r="F562"/>
      <c r="G562"/>
      <c r="H562"/>
      <c r="I562"/>
      <c r="J562"/>
      <c r="K562"/>
      <c r="L562" s="50">
        <f t="shared" si="17"/>
        <v>0</v>
      </c>
      <c r="M562" s="50" t="str">
        <f t="shared" si="16"/>
        <v xml:space="preserve"> </v>
      </c>
    </row>
    <row r="563" spans="1:13" ht="15">
      <c r="A563"/>
      <c r="B563"/>
      <c r="C563" s="56"/>
      <c r="D563"/>
      <c r="E563" s="57"/>
      <c r="F563"/>
      <c r="G563"/>
      <c r="H563"/>
      <c r="I563"/>
      <c r="J563"/>
      <c r="K563"/>
      <c r="L563" s="50">
        <f t="shared" si="17"/>
        <v>0</v>
      </c>
      <c r="M563" s="50" t="str">
        <f t="shared" si="16"/>
        <v xml:space="preserve"> </v>
      </c>
    </row>
    <row r="564" spans="1:13" ht="15">
      <c r="A564"/>
      <c r="B564"/>
      <c r="C564" s="56"/>
      <c r="D564"/>
      <c r="E564" s="57"/>
      <c r="F564"/>
      <c r="G564"/>
      <c r="H564"/>
      <c r="I564"/>
      <c r="J564"/>
      <c r="K564"/>
      <c r="L564" s="50">
        <f t="shared" si="17"/>
        <v>0</v>
      </c>
      <c r="M564" s="50" t="str">
        <f t="shared" si="16"/>
        <v xml:space="preserve"> </v>
      </c>
    </row>
    <row r="565" spans="1:13" ht="15">
      <c r="A565"/>
      <c r="B565"/>
      <c r="C565" s="56"/>
      <c r="D565"/>
      <c r="E565" s="57"/>
      <c r="F565"/>
      <c r="G565"/>
      <c r="H565"/>
      <c r="I565"/>
      <c r="J565"/>
      <c r="K565"/>
      <c r="L565" s="50">
        <f t="shared" si="17"/>
        <v>0</v>
      </c>
      <c r="M565" s="50" t="str">
        <f t="shared" si="16"/>
        <v xml:space="preserve"> </v>
      </c>
    </row>
    <row r="566" spans="1:13" ht="15">
      <c r="A566"/>
      <c r="B566"/>
      <c r="C566" s="56"/>
      <c r="D566"/>
      <c r="E566" s="57"/>
      <c r="F566"/>
      <c r="G566"/>
      <c r="H566"/>
      <c r="I566"/>
      <c r="J566"/>
      <c r="K566"/>
      <c r="L566" s="50">
        <f t="shared" si="17"/>
        <v>0</v>
      </c>
      <c r="M566" s="50" t="str">
        <f t="shared" si="16"/>
        <v xml:space="preserve"> </v>
      </c>
    </row>
    <row r="567" spans="1:13" ht="15">
      <c r="A567"/>
      <c r="B567"/>
      <c r="C567" s="56"/>
      <c r="D567"/>
      <c r="E567" s="57"/>
      <c r="F567"/>
      <c r="G567"/>
      <c r="H567"/>
      <c r="I567"/>
      <c r="J567"/>
      <c r="K567"/>
      <c r="L567" s="50">
        <f t="shared" si="17"/>
        <v>0</v>
      </c>
      <c r="M567" s="50" t="str">
        <f t="shared" si="16"/>
        <v xml:space="preserve"> </v>
      </c>
    </row>
    <row r="568" spans="1:13" ht="15">
      <c r="A568"/>
      <c r="B568"/>
      <c r="C568" s="56"/>
      <c r="D568"/>
      <c r="E568" s="57"/>
      <c r="F568"/>
      <c r="G568"/>
      <c r="H568"/>
      <c r="I568"/>
      <c r="J568"/>
      <c r="K568"/>
      <c r="L568" s="50">
        <f t="shared" si="17"/>
        <v>0</v>
      </c>
      <c r="M568" s="50" t="str">
        <f t="shared" si="16"/>
        <v xml:space="preserve"> </v>
      </c>
    </row>
    <row r="569" spans="1:13" ht="15">
      <c r="A569"/>
      <c r="B569"/>
      <c r="C569" s="56"/>
      <c r="D569"/>
      <c r="E569" s="57"/>
      <c r="F569"/>
      <c r="G569"/>
      <c r="H569"/>
      <c r="I569"/>
      <c r="J569"/>
      <c r="K569"/>
      <c r="L569" s="50">
        <f t="shared" si="17"/>
        <v>0</v>
      </c>
      <c r="M569" s="50" t="str">
        <f t="shared" si="16"/>
        <v xml:space="preserve"> </v>
      </c>
    </row>
    <row r="570" spans="1:13" ht="15">
      <c r="A570"/>
      <c r="B570"/>
      <c r="C570" s="56"/>
      <c r="D570"/>
      <c r="E570" s="57"/>
      <c r="F570"/>
      <c r="G570"/>
      <c r="H570"/>
      <c r="I570"/>
      <c r="J570"/>
      <c r="K570"/>
      <c r="L570" s="50">
        <f t="shared" si="17"/>
        <v>0</v>
      </c>
      <c r="M570" s="50" t="str">
        <f t="shared" si="16"/>
        <v xml:space="preserve"> </v>
      </c>
    </row>
    <row r="571" spans="1:13" ht="15">
      <c r="A571"/>
      <c r="B571"/>
      <c r="C571" s="56"/>
      <c r="D571"/>
      <c r="E571" s="57"/>
      <c r="F571"/>
      <c r="G571"/>
      <c r="H571"/>
      <c r="I571"/>
      <c r="J571"/>
      <c r="K571"/>
      <c r="L571" s="50">
        <f t="shared" si="17"/>
        <v>0</v>
      </c>
      <c r="M571" s="50" t="str">
        <f t="shared" si="16"/>
        <v xml:space="preserve"> </v>
      </c>
    </row>
    <row r="572" spans="1:13" ht="15">
      <c r="A572"/>
      <c r="B572"/>
      <c r="C572" s="56"/>
      <c r="D572"/>
      <c r="E572" s="57"/>
      <c r="F572"/>
      <c r="G572"/>
      <c r="H572"/>
      <c r="I572"/>
      <c r="J572"/>
      <c r="K572"/>
      <c r="L572" s="50">
        <f t="shared" si="17"/>
        <v>0</v>
      </c>
      <c r="M572" s="50" t="str">
        <f t="shared" si="16"/>
        <v xml:space="preserve"> </v>
      </c>
    </row>
    <row r="573" spans="1:13" ht="15">
      <c r="A573"/>
      <c r="B573"/>
      <c r="C573" s="56"/>
      <c r="D573"/>
      <c r="E573" s="57"/>
      <c r="F573"/>
      <c r="G573"/>
      <c r="H573"/>
      <c r="I573"/>
      <c r="J573"/>
      <c r="K573"/>
      <c r="L573" s="50">
        <f t="shared" si="17"/>
        <v>0</v>
      </c>
      <c r="M573" s="50" t="str">
        <f t="shared" si="16"/>
        <v xml:space="preserve"> </v>
      </c>
    </row>
    <row r="574" spans="1:13" ht="15">
      <c r="A574"/>
      <c r="B574"/>
      <c r="C574" s="56"/>
      <c r="D574"/>
      <c r="E574" s="57"/>
      <c r="F574"/>
      <c r="G574"/>
      <c r="H574"/>
      <c r="I574"/>
      <c r="J574"/>
      <c r="K574"/>
      <c r="L574" s="50">
        <f t="shared" si="17"/>
        <v>0</v>
      </c>
      <c r="M574" s="50" t="str">
        <f t="shared" si="16"/>
        <v xml:space="preserve"> </v>
      </c>
    </row>
    <row r="575" spans="1:13" ht="15">
      <c r="A575"/>
      <c r="B575"/>
      <c r="C575" s="56"/>
      <c r="D575"/>
      <c r="E575" s="57"/>
      <c r="F575"/>
      <c r="G575"/>
      <c r="H575"/>
      <c r="I575"/>
      <c r="J575"/>
      <c r="K575"/>
      <c r="L575" s="50">
        <f t="shared" si="17"/>
        <v>0</v>
      </c>
      <c r="M575" s="50" t="str">
        <f t="shared" si="16"/>
        <v xml:space="preserve"> </v>
      </c>
    </row>
    <row r="576" spans="1:13" ht="15">
      <c r="A576"/>
      <c r="B576"/>
      <c r="C576" s="56"/>
      <c r="D576"/>
      <c r="E576" s="57"/>
      <c r="F576"/>
      <c r="G576"/>
      <c r="H576"/>
      <c r="I576"/>
      <c r="J576"/>
      <c r="K576"/>
      <c r="L576" s="50">
        <f t="shared" si="17"/>
        <v>0</v>
      </c>
      <c r="M576" s="50" t="str">
        <f t="shared" si="16"/>
        <v xml:space="preserve"> </v>
      </c>
    </row>
    <row r="577" spans="1:13" ht="15">
      <c r="A577"/>
      <c r="B577"/>
      <c r="C577" s="56"/>
      <c r="D577"/>
      <c r="E577" s="57"/>
      <c r="F577"/>
      <c r="G577"/>
      <c r="H577"/>
      <c r="I577"/>
      <c r="J577"/>
      <c r="K577"/>
      <c r="L577" s="50">
        <f t="shared" si="17"/>
        <v>0</v>
      </c>
      <c r="M577" s="50" t="str">
        <f t="shared" si="16"/>
        <v xml:space="preserve"> </v>
      </c>
    </row>
    <row r="578" spans="1:13" ht="15">
      <c r="A578"/>
      <c r="B578"/>
      <c r="C578" s="56"/>
      <c r="D578"/>
      <c r="E578" s="57"/>
      <c r="F578"/>
      <c r="G578"/>
      <c r="H578"/>
      <c r="I578"/>
      <c r="J578"/>
      <c r="K578"/>
      <c r="L578" s="50">
        <f t="shared" si="17"/>
        <v>0</v>
      </c>
      <c r="M578" s="50" t="str">
        <f t="shared" ref="M578:M641" si="18">CONCATENATE(J578," ",I578)</f>
        <v xml:space="preserve"> </v>
      </c>
    </row>
    <row r="579" spans="1:13" ht="15">
      <c r="A579"/>
      <c r="B579"/>
      <c r="C579" s="56"/>
      <c r="D579"/>
      <c r="E579" s="57"/>
      <c r="F579"/>
      <c r="G579"/>
      <c r="H579"/>
      <c r="I579"/>
      <c r="J579"/>
      <c r="K579"/>
      <c r="L579" s="50">
        <f t="shared" ref="L579:L642" si="19">K579/100</f>
        <v>0</v>
      </c>
      <c r="M579" s="50" t="str">
        <f t="shared" si="18"/>
        <v xml:space="preserve"> </v>
      </c>
    </row>
    <row r="580" spans="1:13" ht="15">
      <c r="A580"/>
      <c r="B580"/>
      <c r="C580" s="56"/>
      <c r="D580"/>
      <c r="E580" s="57"/>
      <c r="F580"/>
      <c r="G580"/>
      <c r="H580"/>
      <c r="I580"/>
      <c r="J580"/>
      <c r="K580"/>
      <c r="L580" s="50">
        <f t="shared" si="19"/>
        <v>0</v>
      </c>
      <c r="M580" s="50" t="str">
        <f t="shared" si="18"/>
        <v xml:space="preserve"> </v>
      </c>
    </row>
    <row r="581" spans="1:13" ht="15">
      <c r="A581"/>
      <c r="B581"/>
      <c r="C581" s="56"/>
      <c r="D581"/>
      <c r="E581" s="57"/>
      <c r="F581"/>
      <c r="G581"/>
      <c r="H581"/>
      <c r="I581"/>
      <c r="J581"/>
      <c r="K581"/>
      <c r="L581" s="50">
        <f t="shared" si="19"/>
        <v>0</v>
      </c>
      <c r="M581" s="50" t="str">
        <f t="shared" si="18"/>
        <v xml:space="preserve"> </v>
      </c>
    </row>
    <row r="582" spans="1:13" ht="15">
      <c r="A582"/>
      <c r="B582"/>
      <c r="C582" s="56"/>
      <c r="D582"/>
      <c r="E582" s="57"/>
      <c r="F582"/>
      <c r="G582"/>
      <c r="H582"/>
      <c r="I582"/>
      <c r="J582"/>
      <c r="K582"/>
      <c r="L582" s="50">
        <f t="shared" si="19"/>
        <v>0</v>
      </c>
      <c r="M582" s="50" t="str">
        <f t="shared" si="18"/>
        <v xml:space="preserve"> </v>
      </c>
    </row>
    <row r="583" spans="1:13" ht="15">
      <c r="A583"/>
      <c r="B583"/>
      <c r="C583" s="56"/>
      <c r="D583"/>
      <c r="E583" s="57"/>
      <c r="F583"/>
      <c r="G583"/>
      <c r="H583"/>
      <c r="I583"/>
      <c r="J583"/>
      <c r="K583"/>
      <c r="L583" s="50">
        <f t="shared" si="19"/>
        <v>0</v>
      </c>
      <c r="M583" s="50" t="str">
        <f t="shared" si="18"/>
        <v xml:space="preserve"> </v>
      </c>
    </row>
    <row r="584" spans="1:13" ht="15">
      <c r="A584"/>
      <c r="B584"/>
      <c r="C584" s="56"/>
      <c r="D584"/>
      <c r="E584" s="57"/>
      <c r="F584"/>
      <c r="G584"/>
      <c r="H584"/>
      <c r="I584"/>
      <c r="J584"/>
      <c r="K584"/>
      <c r="L584" s="50">
        <f t="shared" si="19"/>
        <v>0</v>
      </c>
      <c r="M584" s="50" t="str">
        <f t="shared" si="18"/>
        <v xml:space="preserve"> </v>
      </c>
    </row>
    <row r="585" spans="1:13" ht="15">
      <c r="A585"/>
      <c r="B585"/>
      <c r="C585" s="56"/>
      <c r="D585"/>
      <c r="E585" s="57"/>
      <c r="F585"/>
      <c r="G585"/>
      <c r="H585"/>
      <c r="I585"/>
      <c r="J585"/>
      <c r="K585"/>
      <c r="L585" s="50">
        <f t="shared" si="19"/>
        <v>0</v>
      </c>
      <c r="M585" s="50" t="str">
        <f t="shared" si="18"/>
        <v xml:space="preserve"> </v>
      </c>
    </row>
    <row r="586" spans="1:13" ht="15">
      <c r="A586"/>
      <c r="B586"/>
      <c r="C586" s="56"/>
      <c r="D586"/>
      <c r="E586" s="57"/>
      <c r="F586"/>
      <c r="G586"/>
      <c r="H586"/>
      <c r="I586"/>
      <c r="J586"/>
      <c r="K586"/>
      <c r="L586" s="50">
        <f t="shared" si="19"/>
        <v>0</v>
      </c>
      <c r="M586" s="50" t="str">
        <f t="shared" si="18"/>
        <v xml:space="preserve"> </v>
      </c>
    </row>
    <row r="587" spans="1:13" ht="15">
      <c r="A587"/>
      <c r="B587"/>
      <c r="C587" s="56"/>
      <c r="D587"/>
      <c r="E587" s="57"/>
      <c r="F587"/>
      <c r="G587"/>
      <c r="H587"/>
      <c r="I587"/>
      <c r="J587"/>
      <c r="K587"/>
      <c r="L587" s="50">
        <f t="shared" si="19"/>
        <v>0</v>
      </c>
      <c r="M587" s="50" t="str">
        <f t="shared" si="18"/>
        <v xml:space="preserve"> </v>
      </c>
    </row>
    <row r="588" spans="1:13" ht="15">
      <c r="A588"/>
      <c r="B588"/>
      <c r="C588" s="56"/>
      <c r="D588"/>
      <c r="E588" s="57"/>
      <c r="F588"/>
      <c r="G588"/>
      <c r="H588"/>
      <c r="I588"/>
      <c r="J588"/>
      <c r="K588"/>
      <c r="L588" s="50">
        <f t="shared" si="19"/>
        <v>0</v>
      </c>
      <c r="M588" s="50" t="str">
        <f t="shared" si="18"/>
        <v xml:space="preserve"> </v>
      </c>
    </row>
    <row r="589" spans="1:13" ht="15">
      <c r="A589"/>
      <c r="B589"/>
      <c r="C589" s="56"/>
      <c r="D589"/>
      <c r="E589" s="57"/>
      <c r="F589"/>
      <c r="G589"/>
      <c r="H589"/>
      <c r="I589"/>
      <c r="J589"/>
      <c r="K589"/>
      <c r="L589" s="50">
        <f t="shared" si="19"/>
        <v>0</v>
      </c>
      <c r="M589" s="50" t="str">
        <f t="shared" si="18"/>
        <v xml:space="preserve"> </v>
      </c>
    </row>
    <row r="590" spans="1:13" ht="15">
      <c r="A590"/>
      <c r="B590"/>
      <c r="C590" s="56"/>
      <c r="D590"/>
      <c r="E590" s="57"/>
      <c r="F590"/>
      <c r="G590"/>
      <c r="H590"/>
      <c r="I590"/>
      <c r="J590"/>
      <c r="K590"/>
      <c r="L590" s="50">
        <f t="shared" si="19"/>
        <v>0</v>
      </c>
      <c r="M590" s="50" t="str">
        <f t="shared" si="18"/>
        <v xml:space="preserve"> </v>
      </c>
    </row>
    <row r="591" spans="1:13" ht="15">
      <c r="A591"/>
      <c r="B591"/>
      <c r="C591" s="56"/>
      <c r="D591"/>
      <c r="E591" s="57"/>
      <c r="F591"/>
      <c r="G591"/>
      <c r="H591"/>
      <c r="I591"/>
      <c r="J591"/>
      <c r="K591"/>
      <c r="L591" s="50">
        <f t="shared" si="19"/>
        <v>0</v>
      </c>
      <c r="M591" s="50" t="str">
        <f t="shared" si="18"/>
        <v xml:space="preserve"> </v>
      </c>
    </row>
    <row r="592" spans="1:13" ht="15">
      <c r="A592"/>
      <c r="B592"/>
      <c r="C592" s="56"/>
      <c r="D592"/>
      <c r="E592" s="57"/>
      <c r="F592"/>
      <c r="G592"/>
      <c r="H592"/>
      <c r="I592"/>
      <c r="J592"/>
      <c r="K592"/>
      <c r="L592" s="50">
        <f t="shared" si="19"/>
        <v>0</v>
      </c>
      <c r="M592" s="50" t="str">
        <f t="shared" si="18"/>
        <v xml:space="preserve"> </v>
      </c>
    </row>
    <row r="593" spans="1:13" ht="15">
      <c r="A593"/>
      <c r="B593"/>
      <c r="C593" s="56"/>
      <c r="D593"/>
      <c r="E593" s="57"/>
      <c r="F593"/>
      <c r="G593"/>
      <c r="H593"/>
      <c r="I593"/>
      <c r="J593"/>
      <c r="K593"/>
      <c r="L593" s="50">
        <f t="shared" si="19"/>
        <v>0</v>
      </c>
      <c r="M593" s="50" t="str">
        <f t="shared" si="18"/>
        <v xml:space="preserve"> </v>
      </c>
    </row>
    <row r="594" spans="1:13" ht="15">
      <c r="A594"/>
      <c r="B594"/>
      <c r="C594" s="56"/>
      <c r="D594"/>
      <c r="E594" s="57"/>
      <c r="F594"/>
      <c r="G594"/>
      <c r="H594"/>
      <c r="I594"/>
      <c r="J594"/>
      <c r="K594"/>
      <c r="L594" s="50">
        <f t="shared" si="19"/>
        <v>0</v>
      </c>
      <c r="M594" s="50" t="str">
        <f t="shared" si="18"/>
        <v xml:space="preserve"> </v>
      </c>
    </row>
    <row r="595" spans="1:13" ht="15">
      <c r="A595"/>
      <c r="B595"/>
      <c r="C595" s="56"/>
      <c r="D595"/>
      <c r="E595" s="57"/>
      <c r="F595"/>
      <c r="G595"/>
      <c r="H595"/>
      <c r="I595"/>
      <c r="J595"/>
      <c r="K595"/>
      <c r="L595" s="50">
        <f t="shared" si="19"/>
        <v>0</v>
      </c>
      <c r="M595" s="50" t="str">
        <f t="shared" si="18"/>
        <v xml:space="preserve"> </v>
      </c>
    </row>
    <row r="596" spans="1:13" ht="15">
      <c r="A596"/>
      <c r="B596"/>
      <c r="C596" s="56"/>
      <c r="D596"/>
      <c r="E596" s="57"/>
      <c r="F596"/>
      <c r="G596"/>
      <c r="H596"/>
      <c r="I596"/>
      <c r="J596"/>
      <c r="K596"/>
      <c r="L596" s="50">
        <f t="shared" si="19"/>
        <v>0</v>
      </c>
      <c r="M596" s="50" t="str">
        <f t="shared" si="18"/>
        <v xml:space="preserve"> </v>
      </c>
    </row>
    <row r="597" spans="1:13" ht="15">
      <c r="A597"/>
      <c r="B597"/>
      <c r="C597" s="56"/>
      <c r="D597"/>
      <c r="E597" s="57"/>
      <c r="F597"/>
      <c r="G597"/>
      <c r="H597"/>
      <c r="I597"/>
      <c r="J597"/>
      <c r="K597"/>
      <c r="L597" s="50">
        <f t="shared" si="19"/>
        <v>0</v>
      </c>
      <c r="M597" s="50" t="str">
        <f t="shared" si="18"/>
        <v xml:space="preserve"> </v>
      </c>
    </row>
    <row r="598" spans="1:13" ht="15">
      <c r="A598"/>
      <c r="B598"/>
      <c r="C598" s="56"/>
      <c r="D598"/>
      <c r="E598" s="57"/>
      <c r="F598"/>
      <c r="G598"/>
      <c r="H598"/>
      <c r="I598"/>
      <c r="J598"/>
      <c r="K598"/>
      <c r="L598" s="50">
        <f t="shared" si="19"/>
        <v>0</v>
      </c>
      <c r="M598" s="50" t="str">
        <f t="shared" si="18"/>
        <v xml:space="preserve"> </v>
      </c>
    </row>
    <row r="599" spans="1:13" ht="15">
      <c r="A599"/>
      <c r="B599"/>
      <c r="C599" s="56"/>
      <c r="D599"/>
      <c r="E599" s="57"/>
      <c r="F599"/>
      <c r="G599"/>
      <c r="H599"/>
      <c r="I599"/>
      <c r="J599"/>
      <c r="K599"/>
      <c r="L599" s="50">
        <f t="shared" si="19"/>
        <v>0</v>
      </c>
      <c r="M599" s="50" t="str">
        <f t="shared" si="18"/>
        <v xml:space="preserve"> </v>
      </c>
    </row>
    <row r="600" spans="1:13" ht="15">
      <c r="A600"/>
      <c r="B600"/>
      <c r="C600" s="56"/>
      <c r="D600"/>
      <c r="E600" s="57"/>
      <c r="F600"/>
      <c r="G600"/>
      <c r="H600"/>
      <c r="I600"/>
      <c r="J600"/>
      <c r="K600"/>
      <c r="L600" s="50">
        <f t="shared" si="19"/>
        <v>0</v>
      </c>
      <c r="M600" s="50" t="str">
        <f t="shared" si="18"/>
        <v xml:space="preserve"> </v>
      </c>
    </row>
    <row r="601" spans="1:13" ht="15">
      <c r="A601"/>
      <c r="B601"/>
      <c r="C601" s="56"/>
      <c r="D601"/>
      <c r="E601" s="57"/>
      <c r="F601"/>
      <c r="G601"/>
      <c r="H601"/>
      <c r="I601"/>
      <c r="J601"/>
      <c r="K601"/>
      <c r="L601" s="50">
        <f t="shared" si="19"/>
        <v>0</v>
      </c>
      <c r="M601" s="50" t="str">
        <f t="shared" si="18"/>
        <v xml:space="preserve"> </v>
      </c>
    </row>
    <row r="602" spans="1:13" ht="15">
      <c r="A602"/>
      <c r="B602"/>
      <c r="C602" s="56"/>
      <c r="D602"/>
      <c r="E602" s="57"/>
      <c r="F602"/>
      <c r="G602"/>
      <c r="H602"/>
      <c r="I602"/>
      <c r="J602"/>
      <c r="K602"/>
      <c r="L602" s="50">
        <f t="shared" si="19"/>
        <v>0</v>
      </c>
      <c r="M602" s="50" t="str">
        <f t="shared" si="18"/>
        <v xml:space="preserve"> </v>
      </c>
    </row>
    <row r="603" spans="1:13" ht="15">
      <c r="A603"/>
      <c r="B603"/>
      <c r="C603" s="56"/>
      <c r="D603"/>
      <c r="E603" s="57"/>
      <c r="F603"/>
      <c r="G603"/>
      <c r="H603"/>
      <c r="I603"/>
      <c r="J603"/>
      <c r="K603"/>
      <c r="L603" s="50">
        <f t="shared" si="19"/>
        <v>0</v>
      </c>
      <c r="M603" s="50" t="str">
        <f t="shared" si="18"/>
        <v xml:space="preserve"> </v>
      </c>
    </row>
    <row r="604" spans="1:13" ht="15">
      <c r="A604"/>
      <c r="B604"/>
      <c r="C604" s="56"/>
      <c r="D604"/>
      <c r="E604" s="57"/>
      <c r="F604"/>
      <c r="G604"/>
      <c r="H604"/>
      <c r="I604"/>
      <c r="J604"/>
      <c r="K604"/>
      <c r="L604" s="50">
        <f t="shared" si="19"/>
        <v>0</v>
      </c>
      <c r="M604" s="50" t="str">
        <f t="shared" si="18"/>
        <v xml:space="preserve"> </v>
      </c>
    </row>
    <row r="605" spans="1:13" ht="15">
      <c r="A605"/>
      <c r="B605"/>
      <c r="C605" s="56"/>
      <c r="D605"/>
      <c r="E605" s="57"/>
      <c r="F605"/>
      <c r="G605"/>
      <c r="H605"/>
      <c r="I605"/>
      <c r="J605"/>
      <c r="K605"/>
      <c r="L605" s="50">
        <f t="shared" si="19"/>
        <v>0</v>
      </c>
      <c r="M605" s="50" t="str">
        <f t="shared" si="18"/>
        <v xml:space="preserve"> </v>
      </c>
    </row>
    <row r="606" spans="1:13" ht="15">
      <c r="A606"/>
      <c r="B606"/>
      <c r="C606" s="56"/>
      <c r="D606"/>
      <c r="E606" s="57"/>
      <c r="F606"/>
      <c r="G606"/>
      <c r="H606"/>
      <c r="I606"/>
      <c r="J606"/>
      <c r="K606"/>
      <c r="L606" s="50">
        <f t="shared" si="19"/>
        <v>0</v>
      </c>
      <c r="M606" s="50" t="str">
        <f t="shared" si="18"/>
        <v xml:space="preserve"> </v>
      </c>
    </row>
    <row r="607" spans="1:13" ht="15">
      <c r="A607"/>
      <c r="B607"/>
      <c r="C607" s="56"/>
      <c r="D607"/>
      <c r="E607" s="57"/>
      <c r="F607"/>
      <c r="G607"/>
      <c r="H607"/>
      <c r="I607"/>
      <c r="J607"/>
      <c r="K607"/>
      <c r="L607" s="50">
        <f t="shared" si="19"/>
        <v>0</v>
      </c>
      <c r="M607" s="50" t="str">
        <f t="shared" si="18"/>
        <v xml:space="preserve"> </v>
      </c>
    </row>
    <row r="608" spans="1:13" ht="15">
      <c r="A608"/>
      <c r="B608"/>
      <c r="C608" s="56"/>
      <c r="D608"/>
      <c r="E608" s="57"/>
      <c r="F608"/>
      <c r="G608"/>
      <c r="H608"/>
      <c r="I608"/>
      <c r="J608"/>
      <c r="K608"/>
      <c r="L608" s="50">
        <f t="shared" si="19"/>
        <v>0</v>
      </c>
      <c r="M608" s="50" t="str">
        <f t="shared" si="18"/>
        <v xml:space="preserve"> </v>
      </c>
    </row>
    <row r="609" spans="1:13" ht="15">
      <c r="A609"/>
      <c r="B609"/>
      <c r="C609" s="56"/>
      <c r="D609"/>
      <c r="E609" s="57"/>
      <c r="F609"/>
      <c r="G609"/>
      <c r="H609"/>
      <c r="I609"/>
      <c r="J609"/>
      <c r="K609"/>
      <c r="L609" s="50">
        <f t="shared" si="19"/>
        <v>0</v>
      </c>
      <c r="M609" s="50" t="str">
        <f t="shared" si="18"/>
        <v xml:space="preserve"> </v>
      </c>
    </row>
    <row r="610" spans="1:13" ht="15">
      <c r="A610"/>
      <c r="B610"/>
      <c r="C610" s="56"/>
      <c r="D610"/>
      <c r="E610" s="57"/>
      <c r="F610"/>
      <c r="G610"/>
      <c r="H610"/>
      <c r="I610"/>
      <c r="J610"/>
      <c r="K610"/>
      <c r="L610" s="50">
        <f t="shared" si="19"/>
        <v>0</v>
      </c>
      <c r="M610" s="50" t="str">
        <f t="shared" si="18"/>
        <v xml:space="preserve"> </v>
      </c>
    </row>
    <row r="611" spans="1:13" ht="15">
      <c r="A611"/>
      <c r="B611"/>
      <c r="C611" s="56"/>
      <c r="D611"/>
      <c r="E611" s="57"/>
      <c r="F611"/>
      <c r="G611"/>
      <c r="H611"/>
      <c r="I611"/>
      <c r="J611"/>
      <c r="K611"/>
      <c r="L611" s="50">
        <f t="shared" si="19"/>
        <v>0</v>
      </c>
      <c r="M611" s="50" t="str">
        <f t="shared" si="18"/>
        <v xml:space="preserve"> </v>
      </c>
    </row>
    <row r="612" spans="1:13" ht="15">
      <c r="A612"/>
      <c r="B612"/>
      <c r="C612" s="56"/>
      <c r="D612"/>
      <c r="E612" s="57"/>
      <c r="F612"/>
      <c r="G612"/>
      <c r="H612"/>
      <c r="I612"/>
      <c r="J612"/>
      <c r="K612"/>
      <c r="L612" s="50">
        <f t="shared" si="19"/>
        <v>0</v>
      </c>
      <c r="M612" s="50" t="str">
        <f t="shared" si="18"/>
        <v xml:space="preserve"> </v>
      </c>
    </row>
    <row r="613" spans="1:13" ht="15">
      <c r="A613"/>
      <c r="B613"/>
      <c r="C613" s="56"/>
      <c r="D613"/>
      <c r="E613" s="57"/>
      <c r="F613"/>
      <c r="G613"/>
      <c r="H613"/>
      <c r="I613"/>
      <c r="J613"/>
      <c r="K613"/>
      <c r="L613" s="50">
        <f t="shared" si="19"/>
        <v>0</v>
      </c>
      <c r="M613" s="50" t="str">
        <f t="shared" si="18"/>
        <v xml:space="preserve"> </v>
      </c>
    </row>
    <row r="614" spans="1:13" ht="15">
      <c r="A614"/>
      <c r="B614"/>
      <c r="C614" s="56"/>
      <c r="D614"/>
      <c r="E614" s="57"/>
      <c r="F614"/>
      <c r="G614"/>
      <c r="H614"/>
      <c r="I614"/>
      <c r="J614"/>
      <c r="K614"/>
      <c r="L614" s="50">
        <f t="shared" si="19"/>
        <v>0</v>
      </c>
      <c r="M614" s="50" t="str">
        <f t="shared" si="18"/>
        <v xml:space="preserve"> </v>
      </c>
    </row>
    <row r="615" spans="1:13" ht="15">
      <c r="A615"/>
      <c r="B615"/>
      <c r="C615" s="56"/>
      <c r="D615"/>
      <c r="E615" s="57"/>
      <c r="F615"/>
      <c r="G615"/>
      <c r="H615"/>
      <c r="I615"/>
      <c r="J615"/>
      <c r="K615"/>
      <c r="L615" s="50">
        <f t="shared" si="19"/>
        <v>0</v>
      </c>
      <c r="M615" s="50" t="str">
        <f t="shared" si="18"/>
        <v xml:space="preserve"> </v>
      </c>
    </row>
    <row r="616" spans="1:13" ht="15">
      <c r="A616"/>
      <c r="B616"/>
      <c r="C616" s="56"/>
      <c r="D616"/>
      <c r="E616" s="57"/>
      <c r="F616"/>
      <c r="G616"/>
      <c r="H616"/>
      <c r="I616"/>
      <c r="J616"/>
      <c r="K616"/>
      <c r="L616" s="50">
        <f t="shared" si="19"/>
        <v>0</v>
      </c>
      <c r="M616" s="50" t="str">
        <f t="shared" si="18"/>
        <v xml:space="preserve"> </v>
      </c>
    </row>
    <row r="617" spans="1:13" ht="15">
      <c r="A617"/>
      <c r="B617"/>
      <c r="C617" s="56"/>
      <c r="D617"/>
      <c r="E617" s="57"/>
      <c r="F617"/>
      <c r="G617"/>
      <c r="H617"/>
      <c r="I617"/>
      <c r="J617"/>
      <c r="K617"/>
      <c r="L617" s="50">
        <f t="shared" si="19"/>
        <v>0</v>
      </c>
      <c r="M617" s="50" t="str">
        <f t="shared" si="18"/>
        <v xml:space="preserve"> </v>
      </c>
    </row>
    <row r="618" spans="1:13" ht="15">
      <c r="A618"/>
      <c r="B618"/>
      <c r="C618" s="56"/>
      <c r="D618"/>
      <c r="E618" s="57"/>
      <c r="F618"/>
      <c r="G618"/>
      <c r="H618"/>
      <c r="I618"/>
      <c r="J618"/>
      <c r="K618"/>
      <c r="L618" s="50">
        <f t="shared" si="19"/>
        <v>0</v>
      </c>
      <c r="M618" s="50" t="str">
        <f t="shared" si="18"/>
        <v xml:space="preserve"> </v>
      </c>
    </row>
    <row r="619" spans="1:13" ht="15">
      <c r="A619"/>
      <c r="B619"/>
      <c r="C619" s="56"/>
      <c r="D619"/>
      <c r="E619" s="57"/>
      <c r="F619"/>
      <c r="G619"/>
      <c r="H619"/>
      <c r="I619"/>
      <c r="J619"/>
      <c r="K619"/>
      <c r="L619" s="50">
        <f t="shared" si="19"/>
        <v>0</v>
      </c>
      <c r="M619" s="50" t="str">
        <f t="shared" si="18"/>
        <v xml:space="preserve"> </v>
      </c>
    </row>
    <row r="620" spans="1:13" ht="15">
      <c r="A620"/>
      <c r="B620"/>
      <c r="C620" s="56"/>
      <c r="D620"/>
      <c r="E620" s="57"/>
      <c r="F620"/>
      <c r="G620"/>
      <c r="H620"/>
      <c r="I620"/>
      <c r="J620"/>
      <c r="K620"/>
      <c r="L620" s="50">
        <f t="shared" si="19"/>
        <v>0</v>
      </c>
      <c r="M620" s="50" t="str">
        <f t="shared" si="18"/>
        <v xml:space="preserve"> </v>
      </c>
    </row>
    <row r="621" spans="1:13" ht="15">
      <c r="A621"/>
      <c r="B621"/>
      <c r="C621" s="56"/>
      <c r="D621"/>
      <c r="E621" s="57"/>
      <c r="F621"/>
      <c r="G621"/>
      <c r="H621"/>
      <c r="I621"/>
      <c r="J621"/>
      <c r="K621"/>
      <c r="L621" s="50">
        <f t="shared" si="19"/>
        <v>0</v>
      </c>
      <c r="M621" s="50" t="str">
        <f t="shared" si="18"/>
        <v xml:space="preserve"> </v>
      </c>
    </row>
    <row r="622" spans="1:13" ht="15">
      <c r="A622"/>
      <c r="B622"/>
      <c r="C622" s="56"/>
      <c r="D622"/>
      <c r="E622" s="57"/>
      <c r="F622"/>
      <c r="G622"/>
      <c r="H622"/>
      <c r="I622"/>
      <c r="J622"/>
      <c r="K622"/>
      <c r="L622" s="50">
        <f t="shared" si="19"/>
        <v>0</v>
      </c>
      <c r="M622" s="50" t="str">
        <f t="shared" si="18"/>
        <v xml:space="preserve"> </v>
      </c>
    </row>
    <row r="623" spans="1:13" ht="15">
      <c r="A623"/>
      <c r="B623"/>
      <c r="C623" s="56"/>
      <c r="D623"/>
      <c r="E623" s="57"/>
      <c r="F623"/>
      <c r="G623"/>
      <c r="H623"/>
      <c r="I623"/>
      <c r="J623"/>
      <c r="K623"/>
      <c r="L623" s="50">
        <f t="shared" si="19"/>
        <v>0</v>
      </c>
      <c r="M623" s="50" t="str">
        <f t="shared" si="18"/>
        <v xml:space="preserve"> </v>
      </c>
    </row>
    <row r="624" spans="1:13" ht="15">
      <c r="A624"/>
      <c r="B624"/>
      <c r="C624" s="56"/>
      <c r="D624"/>
      <c r="E624" s="57"/>
      <c r="F624"/>
      <c r="G624"/>
      <c r="H624"/>
      <c r="I624"/>
      <c r="J624"/>
      <c r="K624"/>
      <c r="L624" s="50">
        <f t="shared" si="19"/>
        <v>0</v>
      </c>
      <c r="M624" s="50" t="str">
        <f t="shared" si="18"/>
        <v xml:space="preserve"> </v>
      </c>
    </row>
    <row r="625" spans="1:13" ht="15">
      <c r="A625"/>
      <c r="B625"/>
      <c r="C625" s="56"/>
      <c r="D625"/>
      <c r="E625" s="57"/>
      <c r="F625"/>
      <c r="G625"/>
      <c r="H625"/>
      <c r="I625"/>
      <c r="J625"/>
      <c r="K625"/>
      <c r="L625" s="50">
        <f t="shared" si="19"/>
        <v>0</v>
      </c>
      <c r="M625" s="50" t="str">
        <f t="shared" si="18"/>
        <v xml:space="preserve"> </v>
      </c>
    </row>
    <row r="626" spans="1:13" ht="15">
      <c r="A626"/>
      <c r="B626"/>
      <c r="C626" s="56"/>
      <c r="D626"/>
      <c r="E626" s="57"/>
      <c r="F626"/>
      <c r="G626"/>
      <c r="H626"/>
      <c r="I626"/>
      <c r="J626"/>
      <c r="K626"/>
      <c r="L626" s="50">
        <f t="shared" si="19"/>
        <v>0</v>
      </c>
      <c r="M626" s="50" t="str">
        <f t="shared" si="18"/>
        <v xml:space="preserve"> </v>
      </c>
    </row>
    <row r="627" spans="1:13" ht="15">
      <c r="A627"/>
      <c r="B627"/>
      <c r="C627" s="56"/>
      <c r="D627"/>
      <c r="E627" s="57"/>
      <c r="F627"/>
      <c r="G627"/>
      <c r="H627"/>
      <c r="I627"/>
      <c r="J627"/>
      <c r="K627"/>
      <c r="L627" s="50">
        <f t="shared" si="19"/>
        <v>0</v>
      </c>
      <c r="M627" s="50" t="str">
        <f t="shared" si="18"/>
        <v xml:space="preserve"> </v>
      </c>
    </row>
    <row r="628" spans="1:13" ht="15">
      <c r="A628"/>
      <c r="B628"/>
      <c r="C628" s="56"/>
      <c r="D628"/>
      <c r="E628" s="57"/>
      <c r="F628"/>
      <c r="G628"/>
      <c r="H628"/>
      <c r="I628"/>
      <c r="J628"/>
      <c r="K628"/>
      <c r="L628" s="50">
        <f t="shared" si="19"/>
        <v>0</v>
      </c>
      <c r="M628" s="50" t="str">
        <f t="shared" si="18"/>
        <v xml:space="preserve"> </v>
      </c>
    </row>
    <row r="629" spans="1:13" ht="15">
      <c r="A629"/>
      <c r="B629"/>
      <c r="C629" s="56"/>
      <c r="D629"/>
      <c r="E629" s="57"/>
      <c r="F629"/>
      <c r="G629"/>
      <c r="H629"/>
      <c r="I629"/>
      <c r="J629"/>
      <c r="K629"/>
      <c r="L629" s="50">
        <f t="shared" si="19"/>
        <v>0</v>
      </c>
      <c r="M629" s="50" t="str">
        <f t="shared" si="18"/>
        <v xml:space="preserve"> </v>
      </c>
    </row>
    <row r="630" spans="1:13" ht="15">
      <c r="A630"/>
      <c r="B630"/>
      <c r="C630" s="56"/>
      <c r="D630"/>
      <c r="E630" s="57"/>
      <c r="F630"/>
      <c r="G630"/>
      <c r="H630"/>
      <c r="I630"/>
      <c r="J630"/>
      <c r="K630"/>
      <c r="L630" s="50">
        <f t="shared" si="19"/>
        <v>0</v>
      </c>
      <c r="M630" s="50" t="str">
        <f t="shared" si="18"/>
        <v xml:space="preserve"> </v>
      </c>
    </row>
    <row r="631" spans="1:13" ht="15">
      <c r="A631"/>
      <c r="B631"/>
      <c r="C631" s="56"/>
      <c r="D631"/>
      <c r="E631" s="57"/>
      <c r="F631"/>
      <c r="G631"/>
      <c r="H631"/>
      <c r="I631"/>
      <c r="J631"/>
      <c r="K631"/>
      <c r="L631" s="50">
        <f t="shared" si="19"/>
        <v>0</v>
      </c>
      <c r="M631" s="50" t="str">
        <f t="shared" si="18"/>
        <v xml:space="preserve"> </v>
      </c>
    </row>
    <row r="632" spans="1:13" ht="15">
      <c r="A632"/>
      <c r="B632"/>
      <c r="C632" s="56"/>
      <c r="D632"/>
      <c r="E632" s="57"/>
      <c r="F632"/>
      <c r="G632"/>
      <c r="H632"/>
      <c r="I632"/>
      <c r="J632"/>
      <c r="K632"/>
      <c r="L632" s="50">
        <f t="shared" si="19"/>
        <v>0</v>
      </c>
      <c r="M632" s="50" t="str">
        <f t="shared" si="18"/>
        <v xml:space="preserve"> </v>
      </c>
    </row>
    <row r="633" spans="1:13" ht="15">
      <c r="A633"/>
      <c r="B633"/>
      <c r="C633" s="56"/>
      <c r="D633"/>
      <c r="E633" s="57"/>
      <c r="F633"/>
      <c r="G633"/>
      <c r="H633"/>
      <c r="I633"/>
      <c r="J633"/>
      <c r="K633"/>
      <c r="L633" s="50">
        <f t="shared" si="19"/>
        <v>0</v>
      </c>
      <c r="M633" s="50" t="str">
        <f t="shared" si="18"/>
        <v xml:space="preserve"> </v>
      </c>
    </row>
    <row r="634" spans="1:13" ht="15">
      <c r="A634"/>
      <c r="B634"/>
      <c r="C634" s="56"/>
      <c r="D634"/>
      <c r="E634" s="57"/>
      <c r="F634"/>
      <c r="G634"/>
      <c r="H634"/>
      <c r="I634"/>
      <c r="J634"/>
      <c r="K634"/>
      <c r="L634" s="50">
        <f t="shared" si="19"/>
        <v>0</v>
      </c>
      <c r="M634" s="50" t="str">
        <f t="shared" si="18"/>
        <v xml:space="preserve"> </v>
      </c>
    </row>
    <row r="635" spans="1:13" ht="15">
      <c r="A635"/>
      <c r="B635"/>
      <c r="C635" s="56"/>
      <c r="D635"/>
      <c r="E635" s="57"/>
      <c r="F635"/>
      <c r="G635"/>
      <c r="H635"/>
      <c r="I635"/>
      <c r="J635"/>
      <c r="K635"/>
      <c r="L635" s="50">
        <f t="shared" si="19"/>
        <v>0</v>
      </c>
      <c r="M635" s="50" t="str">
        <f t="shared" si="18"/>
        <v xml:space="preserve"> </v>
      </c>
    </row>
    <row r="636" spans="1:13" ht="15">
      <c r="A636"/>
      <c r="B636"/>
      <c r="C636" s="56"/>
      <c r="D636"/>
      <c r="E636" s="57"/>
      <c r="F636"/>
      <c r="G636"/>
      <c r="H636"/>
      <c r="I636"/>
      <c r="J636"/>
      <c r="K636"/>
      <c r="L636" s="50">
        <f t="shared" si="19"/>
        <v>0</v>
      </c>
      <c r="M636" s="50" t="str">
        <f t="shared" si="18"/>
        <v xml:space="preserve"> </v>
      </c>
    </row>
    <row r="637" spans="1:13" ht="15">
      <c r="A637"/>
      <c r="B637"/>
      <c r="C637" s="56"/>
      <c r="D637"/>
      <c r="E637" s="57"/>
      <c r="F637"/>
      <c r="G637"/>
      <c r="H637"/>
      <c r="I637"/>
      <c r="J637"/>
      <c r="K637"/>
      <c r="L637" s="50">
        <f t="shared" si="19"/>
        <v>0</v>
      </c>
      <c r="M637" s="50" t="str">
        <f t="shared" si="18"/>
        <v xml:space="preserve"> </v>
      </c>
    </row>
    <row r="638" spans="1:13" ht="15">
      <c r="A638"/>
      <c r="B638"/>
      <c r="C638" s="56"/>
      <c r="D638"/>
      <c r="E638" s="57"/>
      <c r="F638"/>
      <c r="G638"/>
      <c r="H638"/>
      <c r="I638"/>
      <c r="J638"/>
      <c r="K638"/>
      <c r="L638" s="50">
        <f t="shared" si="19"/>
        <v>0</v>
      </c>
      <c r="M638" s="50" t="str">
        <f t="shared" si="18"/>
        <v xml:space="preserve"> </v>
      </c>
    </row>
    <row r="639" spans="1:13" ht="15">
      <c r="A639"/>
      <c r="B639"/>
      <c r="C639" s="56"/>
      <c r="D639"/>
      <c r="E639" s="57"/>
      <c r="F639"/>
      <c r="G639"/>
      <c r="H639"/>
      <c r="I639"/>
      <c r="J639"/>
      <c r="K639"/>
      <c r="L639" s="50">
        <f t="shared" si="19"/>
        <v>0</v>
      </c>
      <c r="M639" s="50" t="str">
        <f t="shared" si="18"/>
        <v xml:space="preserve"> </v>
      </c>
    </row>
    <row r="640" spans="1:13" ht="15">
      <c r="A640"/>
      <c r="B640"/>
      <c r="C640" s="56"/>
      <c r="D640"/>
      <c r="E640" s="57"/>
      <c r="F640"/>
      <c r="G640"/>
      <c r="H640"/>
      <c r="I640"/>
      <c r="J640"/>
      <c r="K640"/>
      <c r="L640" s="50">
        <f t="shared" si="19"/>
        <v>0</v>
      </c>
      <c r="M640" s="50" t="str">
        <f t="shared" si="18"/>
        <v xml:space="preserve"> </v>
      </c>
    </row>
    <row r="641" spans="1:13" ht="15">
      <c r="A641"/>
      <c r="B641"/>
      <c r="C641" s="56"/>
      <c r="D641"/>
      <c r="E641" s="57"/>
      <c r="F641"/>
      <c r="G641"/>
      <c r="H641"/>
      <c r="I641"/>
      <c r="J641"/>
      <c r="K641"/>
      <c r="L641" s="50">
        <f t="shared" si="19"/>
        <v>0</v>
      </c>
      <c r="M641" s="50" t="str">
        <f t="shared" si="18"/>
        <v xml:space="preserve"> </v>
      </c>
    </row>
    <row r="642" spans="1:13" ht="15">
      <c r="A642"/>
      <c r="B642"/>
      <c r="C642" s="56"/>
      <c r="D642"/>
      <c r="E642" s="57"/>
      <c r="F642"/>
      <c r="G642"/>
      <c r="H642"/>
      <c r="I642"/>
      <c r="J642"/>
      <c r="K642"/>
      <c r="L642" s="50">
        <f t="shared" si="19"/>
        <v>0</v>
      </c>
      <c r="M642" s="50" t="str">
        <f t="shared" ref="M642:M705" si="20">CONCATENATE(J642," ",I642)</f>
        <v xml:space="preserve"> </v>
      </c>
    </row>
    <row r="643" spans="1:13" ht="15">
      <c r="A643"/>
      <c r="B643"/>
      <c r="C643" s="56"/>
      <c r="D643"/>
      <c r="E643" s="57"/>
      <c r="F643"/>
      <c r="G643"/>
      <c r="H643"/>
      <c r="I643"/>
      <c r="J643"/>
      <c r="K643"/>
      <c r="L643" s="50">
        <f t="shared" ref="L643:L706" si="21">K643/100</f>
        <v>0</v>
      </c>
      <c r="M643" s="50" t="str">
        <f t="shared" si="20"/>
        <v xml:space="preserve"> </v>
      </c>
    </row>
    <row r="644" spans="1:13" ht="15">
      <c r="A644"/>
      <c r="B644"/>
      <c r="C644" s="56"/>
      <c r="D644"/>
      <c r="E644" s="57"/>
      <c r="F644"/>
      <c r="G644"/>
      <c r="H644"/>
      <c r="I644"/>
      <c r="J644"/>
      <c r="K644"/>
      <c r="L644" s="50">
        <f t="shared" si="21"/>
        <v>0</v>
      </c>
      <c r="M644" s="50" t="str">
        <f t="shared" si="20"/>
        <v xml:space="preserve"> </v>
      </c>
    </row>
    <row r="645" spans="1:13" ht="15">
      <c r="A645"/>
      <c r="B645"/>
      <c r="C645" s="56"/>
      <c r="D645"/>
      <c r="E645" s="57"/>
      <c r="F645"/>
      <c r="G645"/>
      <c r="H645"/>
      <c r="I645"/>
      <c r="J645"/>
      <c r="K645"/>
      <c r="L645" s="50">
        <f t="shared" si="21"/>
        <v>0</v>
      </c>
      <c r="M645" s="50" t="str">
        <f t="shared" si="20"/>
        <v xml:space="preserve"> </v>
      </c>
    </row>
    <row r="646" spans="1:13" ht="15">
      <c r="A646"/>
      <c r="B646"/>
      <c r="C646" s="56"/>
      <c r="D646"/>
      <c r="E646" s="57"/>
      <c r="F646"/>
      <c r="G646"/>
      <c r="H646"/>
      <c r="I646"/>
      <c r="J646"/>
      <c r="K646"/>
      <c r="L646" s="50">
        <f t="shared" si="21"/>
        <v>0</v>
      </c>
      <c r="M646" s="50" t="str">
        <f t="shared" si="20"/>
        <v xml:space="preserve"> </v>
      </c>
    </row>
    <row r="647" spans="1:13" ht="15">
      <c r="A647"/>
      <c r="B647"/>
      <c r="C647" s="56"/>
      <c r="D647"/>
      <c r="E647" s="57"/>
      <c r="F647"/>
      <c r="G647"/>
      <c r="H647"/>
      <c r="I647"/>
      <c r="J647"/>
      <c r="K647"/>
      <c r="L647" s="50">
        <f t="shared" si="21"/>
        <v>0</v>
      </c>
      <c r="M647" s="50" t="str">
        <f t="shared" si="20"/>
        <v xml:space="preserve"> </v>
      </c>
    </row>
    <row r="648" spans="1:13" ht="15">
      <c r="A648"/>
      <c r="B648"/>
      <c r="C648" s="56"/>
      <c r="D648"/>
      <c r="E648" s="57"/>
      <c r="F648"/>
      <c r="G648"/>
      <c r="H648"/>
      <c r="I648"/>
      <c r="J648"/>
      <c r="K648"/>
      <c r="L648" s="50">
        <f t="shared" si="21"/>
        <v>0</v>
      </c>
      <c r="M648" s="50" t="str">
        <f t="shared" si="20"/>
        <v xml:space="preserve"> </v>
      </c>
    </row>
    <row r="649" spans="1:13" ht="15">
      <c r="A649"/>
      <c r="B649"/>
      <c r="C649" s="56"/>
      <c r="D649"/>
      <c r="E649" s="57"/>
      <c r="F649"/>
      <c r="G649"/>
      <c r="H649"/>
      <c r="I649"/>
      <c r="J649"/>
      <c r="K649"/>
      <c r="L649" s="50">
        <f t="shared" si="21"/>
        <v>0</v>
      </c>
      <c r="M649" s="50" t="str">
        <f t="shared" si="20"/>
        <v xml:space="preserve"> </v>
      </c>
    </row>
    <row r="650" spans="1:13" ht="15">
      <c r="A650"/>
      <c r="B650"/>
      <c r="C650" s="56"/>
      <c r="D650"/>
      <c r="E650" s="57"/>
      <c r="F650"/>
      <c r="G650"/>
      <c r="H650"/>
      <c r="I650"/>
      <c r="J650"/>
      <c r="K650"/>
      <c r="L650" s="50">
        <f t="shared" si="21"/>
        <v>0</v>
      </c>
      <c r="M650" s="50" t="str">
        <f t="shared" si="20"/>
        <v xml:space="preserve"> </v>
      </c>
    </row>
    <row r="651" spans="1:13" ht="15">
      <c r="A651"/>
      <c r="B651"/>
      <c r="C651" s="56"/>
      <c r="D651"/>
      <c r="E651" s="57"/>
      <c r="F651"/>
      <c r="G651"/>
      <c r="H651"/>
      <c r="I651"/>
      <c r="J651"/>
      <c r="K651"/>
      <c r="L651" s="50">
        <f t="shared" si="21"/>
        <v>0</v>
      </c>
      <c r="M651" s="50" t="str">
        <f t="shared" si="20"/>
        <v xml:space="preserve"> </v>
      </c>
    </row>
    <row r="652" spans="1:13" ht="15">
      <c r="A652"/>
      <c r="B652"/>
      <c r="C652" s="56"/>
      <c r="D652"/>
      <c r="E652" s="57"/>
      <c r="F652"/>
      <c r="G652"/>
      <c r="H652"/>
      <c r="I652"/>
      <c r="J652"/>
      <c r="K652"/>
      <c r="L652" s="50">
        <f t="shared" si="21"/>
        <v>0</v>
      </c>
      <c r="M652" s="50" t="str">
        <f t="shared" si="20"/>
        <v xml:space="preserve"> </v>
      </c>
    </row>
    <row r="653" spans="1:13" ht="15">
      <c r="A653"/>
      <c r="B653"/>
      <c r="C653" s="56"/>
      <c r="D653"/>
      <c r="E653" s="57"/>
      <c r="F653"/>
      <c r="G653"/>
      <c r="H653"/>
      <c r="I653"/>
      <c r="J653"/>
      <c r="K653"/>
      <c r="L653" s="50">
        <f t="shared" si="21"/>
        <v>0</v>
      </c>
      <c r="M653" s="50" t="str">
        <f t="shared" si="20"/>
        <v xml:space="preserve"> </v>
      </c>
    </row>
    <row r="654" spans="1:13" ht="15">
      <c r="A654"/>
      <c r="B654"/>
      <c r="C654" s="56"/>
      <c r="D654"/>
      <c r="E654" s="57"/>
      <c r="F654"/>
      <c r="G654"/>
      <c r="H654"/>
      <c r="I654"/>
      <c r="J654"/>
      <c r="K654"/>
      <c r="L654" s="50">
        <f t="shared" si="21"/>
        <v>0</v>
      </c>
      <c r="M654" s="50" t="str">
        <f t="shared" si="20"/>
        <v xml:space="preserve"> </v>
      </c>
    </row>
    <row r="655" spans="1:13" ht="15">
      <c r="A655"/>
      <c r="B655"/>
      <c r="C655" s="56"/>
      <c r="D655"/>
      <c r="E655" s="57"/>
      <c r="F655"/>
      <c r="G655"/>
      <c r="H655"/>
      <c r="I655"/>
      <c r="J655"/>
      <c r="K655"/>
      <c r="L655" s="50">
        <f t="shared" si="21"/>
        <v>0</v>
      </c>
      <c r="M655" s="50" t="str">
        <f t="shared" si="20"/>
        <v xml:space="preserve"> </v>
      </c>
    </row>
    <row r="656" spans="1:13" ht="15">
      <c r="A656"/>
      <c r="B656"/>
      <c r="C656" s="56"/>
      <c r="D656"/>
      <c r="E656" s="57"/>
      <c r="F656"/>
      <c r="G656"/>
      <c r="H656"/>
      <c r="I656"/>
      <c r="J656"/>
      <c r="K656"/>
      <c r="L656" s="50">
        <f t="shared" si="21"/>
        <v>0</v>
      </c>
      <c r="M656" s="50" t="str">
        <f t="shared" si="20"/>
        <v xml:space="preserve"> </v>
      </c>
    </row>
    <row r="657" spans="1:13" ht="15">
      <c r="A657"/>
      <c r="B657"/>
      <c r="C657" s="56"/>
      <c r="D657"/>
      <c r="E657" s="57"/>
      <c r="F657"/>
      <c r="G657"/>
      <c r="H657"/>
      <c r="I657"/>
      <c r="J657"/>
      <c r="K657"/>
      <c r="L657" s="50">
        <f t="shared" si="21"/>
        <v>0</v>
      </c>
      <c r="M657" s="50" t="str">
        <f t="shared" si="20"/>
        <v xml:space="preserve"> </v>
      </c>
    </row>
    <row r="658" spans="1:13" ht="15">
      <c r="A658"/>
      <c r="B658"/>
      <c r="C658" s="56"/>
      <c r="D658"/>
      <c r="E658" s="57"/>
      <c r="F658"/>
      <c r="G658"/>
      <c r="H658"/>
      <c r="I658"/>
      <c r="J658"/>
      <c r="K658"/>
      <c r="L658" s="50">
        <f t="shared" si="21"/>
        <v>0</v>
      </c>
      <c r="M658" s="50" t="str">
        <f t="shared" si="20"/>
        <v xml:space="preserve"> </v>
      </c>
    </row>
    <row r="659" spans="1:13" ht="15">
      <c r="A659"/>
      <c r="B659"/>
      <c r="C659" s="56"/>
      <c r="D659"/>
      <c r="E659" s="57"/>
      <c r="F659"/>
      <c r="G659"/>
      <c r="H659"/>
      <c r="I659"/>
      <c r="J659"/>
      <c r="K659"/>
      <c r="L659" s="50">
        <f t="shared" si="21"/>
        <v>0</v>
      </c>
      <c r="M659" s="50" t="str">
        <f t="shared" si="20"/>
        <v xml:space="preserve"> </v>
      </c>
    </row>
    <row r="660" spans="1:13" ht="15">
      <c r="A660"/>
      <c r="B660"/>
      <c r="C660" s="56"/>
      <c r="D660"/>
      <c r="E660" s="57"/>
      <c r="F660"/>
      <c r="G660"/>
      <c r="H660"/>
      <c r="I660"/>
      <c r="J660"/>
      <c r="K660"/>
      <c r="L660" s="50">
        <f t="shared" si="21"/>
        <v>0</v>
      </c>
      <c r="M660" s="50" t="str">
        <f t="shared" si="20"/>
        <v xml:space="preserve"> </v>
      </c>
    </row>
    <row r="661" spans="1:13" ht="15">
      <c r="A661"/>
      <c r="B661"/>
      <c r="C661" s="56"/>
      <c r="D661"/>
      <c r="E661" s="57"/>
      <c r="F661"/>
      <c r="G661"/>
      <c r="H661"/>
      <c r="I661"/>
      <c r="J661"/>
      <c r="K661"/>
      <c r="L661" s="50">
        <f t="shared" si="21"/>
        <v>0</v>
      </c>
      <c r="M661" s="50" t="str">
        <f t="shared" si="20"/>
        <v xml:space="preserve"> </v>
      </c>
    </row>
    <row r="662" spans="1:13" ht="15">
      <c r="A662"/>
      <c r="B662"/>
      <c r="C662" s="56"/>
      <c r="D662"/>
      <c r="E662" s="57"/>
      <c r="F662"/>
      <c r="G662"/>
      <c r="H662"/>
      <c r="I662"/>
      <c r="J662"/>
      <c r="K662"/>
      <c r="L662" s="50">
        <f t="shared" si="21"/>
        <v>0</v>
      </c>
      <c r="M662" s="50" t="str">
        <f t="shared" si="20"/>
        <v xml:space="preserve"> </v>
      </c>
    </row>
    <row r="663" spans="1:13" ht="15">
      <c r="A663"/>
      <c r="B663"/>
      <c r="C663" s="56"/>
      <c r="D663"/>
      <c r="E663" s="57"/>
      <c r="F663"/>
      <c r="G663"/>
      <c r="H663"/>
      <c r="I663"/>
      <c r="J663"/>
      <c r="K663"/>
      <c r="L663" s="50">
        <f t="shared" si="21"/>
        <v>0</v>
      </c>
      <c r="M663" s="50" t="str">
        <f t="shared" si="20"/>
        <v xml:space="preserve"> </v>
      </c>
    </row>
    <row r="664" spans="1:13" ht="15">
      <c r="A664"/>
      <c r="B664"/>
      <c r="C664" s="56"/>
      <c r="D664"/>
      <c r="E664" s="57"/>
      <c r="F664"/>
      <c r="G664"/>
      <c r="H664"/>
      <c r="I664"/>
      <c r="J664"/>
      <c r="K664"/>
      <c r="L664" s="50">
        <f t="shared" si="21"/>
        <v>0</v>
      </c>
      <c r="M664" s="50" t="str">
        <f t="shared" si="20"/>
        <v xml:space="preserve"> </v>
      </c>
    </row>
    <row r="665" spans="1:13" ht="15">
      <c r="A665"/>
      <c r="B665"/>
      <c r="C665" s="56"/>
      <c r="D665"/>
      <c r="E665" s="57"/>
      <c r="F665"/>
      <c r="G665"/>
      <c r="H665"/>
      <c r="I665"/>
      <c r="J665"/>
      <c r="K665"/>
      <c r="L665" s="50">
        <f t="shared" si="21"/>
        <v>0</v>
      </c>
      <c r="M665" s="50" t="str">
        <f t="shared" si="20"/>
        <v xml:space="preserve"> </v>
      </c>
    </row>
    <row r="666" spans="1:13" ht="15">
      <c r="A666"/>
      <c r="B666"/>
      <c r="C666" s="56"/>
      <c r="D666"/>
      <c r="E666" s="57"/>
      <c r="F666"/>
      <c r="G666"/>
      <c r="H666"/>
      <c r="I666"/>
      <c r="J666"/>
      <c r="K666"/>
      <c r="L666" s="50">
        <f t="shared" si="21"/>
        <v>0</v>
      </c>
      <c r="M666" s="50" t="str">
        <f t="shared" si="20"/>
        <v xml:space="preserve"> </v>
      </c>
    </row>
    <row r="667" spans="1:13" ht="15">
      <c r="A667"/>
      <c r="B667"/>
      <c r="C667" s="56"/>
      <c r="D667"/>
      <c r="E667" s="57"/>
      <c r="F667"/>
      <c r="G667"/>
      <c r="H667"/>
      <c r="I667"/>
      <c r="J667"/>
      <c r="K667"/>
      <c r="L667" s="50">
        <f t="shared" si="21"/>
        <v>0</v>
      </c>
      <c r="M667" s="50" t="str">
        <f t="shared" si="20"/>
        <v xml:space="preserve"> </v>
      </c>
    </row>
    <row r="668" spans="1:13" ht="15">
      <c r="A668"/>
      <c r="B668"/>
      <c r="C668" s="56"/>
      <c r="D668"/>
      <c r="E668" s="57"/>
      <c r="F668"/>
      <c r="G668"/>
      <c r="H668"/>
      <c r="I668"/>
      <c r="J668"/>
      <c r="K668"/>
      <c r="L668" s="50">
        <f t="shared" si="21"/>
        <v>0</v>
      </c>
      <c r="M668" s="50" t="str">
        <f t="shared" si="20"/>
        <v xml:space="preserve"> </v>
      </c>
    </row>
    <row r="669" spans="1:13" ht="15">
      <c r="A669"/>
      <c r="B669"/>
      <c r="C669" s="56"/>
      <c r="D669"/>
      <c r="E669" s="57"/>
      <c r="F669"/>
      <c r="G669"/>
      <c r="H669"/>
      <c r="I669"/>
      <c r="J669"/>
      <c r="K669"/>
      <c r="L669" s="50">
        <f t="shared" si="21"/>
        <v>0</v>
      </c>
      <c r="M669" s="50" t="str">
        <f t="shared" si="20"/>
        <v xml:space="preserve"> </v>
      </c>
    </row>
    <row r="670" spans="1:13" ht="15">
      <c r="A670"/>
      <c r="B670"/>
      <c r="C670" s="56"/>
      <c r="D670"/>
      <c r="E670" s="57"/>
      <c r="F670"/>
      <c r="G670"/>
      <c r="H670"/>
      <c r="I670"/>
      <c r="J670"/>
      <c r="K670"/>
      <c r="L670" s="50">
        <f t="shared" si="21"/>
        <v>0</v>
      </c>
      <c r="M670" s="50" t="str">
        <f t="shared" si="20"/>
        <v xml:space="preserve"> </v>
      </c>
    </row>
    <row r="671" spans="1:13" ht="15">
      <c r="A671"/>
      <c r="B671"/>
      <c r="C671" s="56"/>
      <c r="D671"/>
      <c r="E671" s="57"/>
      <c r="F671"/>
      <c r="G671"/>
      <c r="H671"/>
      <c r="I671"/>
      <c r="J671"/>
      <c r="K671"/>
      <c r="L671" s="50">
        <f t="shared" si="21"/>
        <v>0</v>
      </c>
      <c r="M671" s="50" t="str">
        <f t="shared" si="20"/>
        <v xml:space="preserve"> </v>
      </c>
    </row>
    <row r="672" spans="1:13" ht="15">
      <c r="A672"/>
      <c r="B672"/>
      <c r="C672" s="56"/>
      <c r="D672"/>
      <c r="E672" s="57"/>
      <c r="F672"/>
      <c r="G672"/>
      <c r="H672"/>
      <c r="I672"/>
      <c r="J672"/>
      <c r="K672"/>
      <c r="L672" s="50">
        <f t="shared" si="21"/>
        <v>0</v>
      </c>
      <c r="M672" s="50" t="str">
        <f t="shared" si="20"/>
        <v xml:space="preserve"> </v>
      </c>
    </row>
    <row r="673" spans="1:13" ht="15">
      <c r="A673"/>
      <c r="B673"/>
      <c r="C673" s="56"/>
      <c r="D673"/>
      <c r="E673" s="57"/>
      <c r="F673"/>
      <c r="G673"/>
      <c r="H673"/>
      <c r="I673"/>
      <c r="J673"/>
      <c r="K673"/>
      <c r="L673" s="50">
        <f t="shared" si="21"/>
        <v>0</v>
      </c>
      <c r="M673" s="50" t="str">
        <f t="shared" si="20"/>
        <v xml:space="preserve"> </v>
      </c>
    </row>
    <row r="674" spans="1:13" ht="15">
      <c r="A674"/>
      <c r="B674"/>
      <c r="C674" s="56"/>
      <c r="D674"/>
      <c r="E674" s="57"/>
      <c r="F674"/>
      <c r="G674"/>
      <c r="H674"/>
      <c r="I674"/>
      <c r="J674"/>
      <c r="K674"/>
      <c r="L674" s="50">
        <f t="shared" si="21"/>
        <v>0</v>
      </c>
      <c r="M674" s="50" t="str">
        <f t="shared" si="20"/>
        <v xml:space="preserve"> </v>
      </c>
    </row>
    <row r="675" spans="1:13" ht="15">
      <c r="A675"/>
      <c r="B675"/>
      <c r="C675" s="56"/>
      <c r="D675"/>
      <c r="E675" s="57"/>
      <c r="F675"/>
      <c r="G675"/>
      <c r="H675"/>
      <c r="I675"/>
      <c r="J675"/>
      <c r="K675"/>
      <c r="L675" s="50">
        <f t="shared" si="21"/>
        <v>0</v>
      </c>
      <c r="M675" s="50" t="str">
        <f t="shared" si="20"/>
        <v xml:space="preserve"> </v>
      </c>
    </row>
    <row r="676" spans="1:13" ht="15">
      <c r="A676"/>
      <c r="B676"/>
      <c r="C676" s="56"/>
      <c r="D676"/>
      <c r="E676" s="57"/>
      <c r="F676"/>
      <c r="G676"/>
      <c r="H676"/>
      <c r="I676"/>
      <c r="J676"/>
      <c r="K676"/>
      <c r="L676" s="50">
        <f t="shared" si="21"/>
        <v>0</v>
      </c>
      <c r="M676" s="50" t="str">
        <f t="shared" si="20"/>
        <v xml:space="preserve"> </v>
      </c>
    </row>
    <row r="677" spans="1:13" ht="15">
      <c r="A677"/>
      <c r="B677"/>
      <c r="C677" s="56"/>
      <c r="D677"/>
      <c r="E677" s="57"/>
      <c r="F677"/>
      <c r="G677"/>
      <c r="H677"/>
      <c r="I677"/>
      <c r="J677"/>
      <c r="K677"/>
      <c r="L677" s="50">
        <f t="shared" si="21"/>
        <v>0</v>
      </c>
      <c r="M677" s="50" t="str">
        <f t="shared" si="20"/>
        <v xml:space="preserve"> </v>
      </c>
    </row>
    <row r="678" spans="1:13" ht="15">
      <c r="A678"/>
      <c r="B678"/>
      <c r="C678" s="56"/>
      <c r="D678"/>
      <c r="E678" s="57"/>
      <c r="F678"/>
      <c r="G678"/>
      <c r="H678"/>
      <c r="I678"/>
      <c r="J678"/>
      <c r="K678"/>
      <c r="L678" s="50">
        <f t="shared" si="21"/>
        <v>0</v>
      </c>
      <c r="M678" s="50" t="str">
        <f t="shared" si="20"/>
        <v xml:space="preserve"> </v>
      </c>
    </row>
    <row r="679" spans="1:13" ht="15">
      <c r="A679"/>
      <c r="B679"/>
      <c r="C679" s="56"/>
      <c r="D679"/>
      <c r="E679" s="57"/>
      <c r="F679"/>
      <c r="G679"/>
      <c r="H679"/>
      <c r="I679"/>
      <c r="J679"/>
      <c r="K679"/>
      <c r="L679" s="50">
        <f t="shared" si="21"/>
        <v>0</v>
      </c>
      <c r="M679" s="50" t="str">
        <f t="shared" si="20"/>
        <v xml:space="preserve"> </v>
      </c>
    </row>
    <row r="680" spans="1:13" ht="15">
      <c r="A680"/>
      <c r="B680"/>
      <c r="C680" s="56"/>
      <c r="D680"/>
      <c r="E680" s="57"/>
      <c r="F680"/>
      <c r="G680"/>
      <c r="H680"/>
      <c r="I680"/>
      <c r="J680"/>
      <c r="K680"/>
      <c r="L680" s="50">
        <f t="shared" si="21"/>
        <v>0</v>
      </c>
      <c r="M680" s="50" t="str">
        <f t="shared" si="20"/>
        <v xml:space="preserve"> </v>
      </c>
    </row>
    <row r="681" spans="1:13" ht="15">
      <c r="A681"/>
      <c r="B681"/>
      <c r="C681" s="56"/>
      <c r="D681"/>
      <c r="E681" s="57"/>
      <c r="F681"/>
      <c r="G681"/>
      <c r="H681"/>
      <c r="I681"/>
      <c r="J681"/>
      <c r="K681"/>
      <c r="L681" s="50">
        <f t="shared" si="21"/>
        <v>0</v>
      </c>
      <c r="M681" s="50" t="str">
        <f t="shared" si="20"/>
        <v xml:space="preserve"> </v>
      </c>
    </row>
    <row r="682" spans="1:13" ht="15">
      <c r="A682"/>
      <c r="B682"/>
      <c r="C682" s="56"/>
      <c r="D682"/>
      <c r="E682" s="57"/>
      <c r="F682"/>
      <c r="G682"/>
      <c r="H682"/>
      <c r="I682"/>
      <c r="J682"/>
      <c r="K682"/>
      <c r="L682" s="50">
        <f t="shared" si="21"/>
        <v>0</v>
      </c>
      <c r="M682" s="50" t="str">
        <f t="shared" si="20"/>
        <v xml:space="preserve"> </v>
      </c>
    </row>
    <row r="683" spans="1:13" ht="15">
      <c r="A683"/>
      <c r="B683"/>
      <c r="C683" s="56"/>
      <c r="D683"/>
      <c r="E683" s="57"/>
      <c r="F683"/>
      <c r="G683"/>
      <c r="H683"/>
      <c r="I683"/>
      <c r="J683"/>
      <c r="K683"/>
      <c r="L683" s="50">
        <f t="shared" si="21"/>
        <v>0</v>
      </c>
      <c r="M683" s="50" t="str">
        <f t="shared" si="20"/>
        <v xml:space="preserve"> </v>
      </c>
    </row>
    <row r="684" spans="1:13" ht="15">
      <c r="A684"/>
      <c r="B684"/>
      <c r="C684" s="56"/>
      <c r="D684"/>
      <c r="E684" s="57"/>
      <c r="F684"/>
      <c r="G684"/>
      <c r="H684"/>
      <c r="I684"/>
      <c r="J684"/>
      <c r="K684"/>
      <c r="L684" s="50">
        <f t="shared" si="21"/>
        <v>0</v>
      </c>
      <c r="M684" s="50" t="str">
        <f t="shared" si="20"/>
        <v xml:space="preserve"> </v>
      </c>
    </row>
    <row r="685" spans="1:13" ht="15">
      <c r="A685"/>
      <c r="B685"/>
      <c r="C685" s="56"/>
      <c r="D685"/>
      <c r="E685" s="57"/>
      <c r="F685"/>
      <c r="G685"/>
      <c r="H685"/>
      <c r="I685"/>
      <c r="J685"/>
      <c r="K685"/>
      <c r="L685" s="50">
        <f t="shared" si="21"/>
        <v>0</v>
      </c>
      <c r="M685" s="50" t="str">
        <f t="shared" si="20"/>
        <v xml:space="preserve"> </v>
      </c>
    </row>
    <row r="686" spans="1:13" ht="15">
      <c r="A686"/>
      <c r="B686"/>
      <c r="C686" s="56"/>
      <c r="D686"/>
      <c r="E686" s="57"/>
      <c r="F686"/>
      <c r="G686"/>
      <c r="H686"/>
      <c r="I686"/>
      <c r="J686"/>
      <c r="K686"/>
      <c r="L686" s="50">
        <f t="shared" si="21"/>
        <v>0</v>
      </c>
      <c r="M686" s="50" t="str">
        <f t="shared" si="20"/>
        <v xml:space="preserve"> </v>
      </c>
    </row>
    <row r="687" spans="1:13" ht="15">
      <c r="A687"/>
      <c r="B687"/>
      <c r="C687" s="56"/>
      <c r="D687"/>
      <c r="E687" s="57"/>
      <c r="F687"/>
      <c r="G687"/>
      <c r="H687"/>
      <c r="I687"/>
      <c r="J687"/>
      <c r="K687"/>
      <c r="L687" s="50">
        <f t="shared" si="21"/>
        <v>0</v>
      </c>
      <c r="M687" s="50" t="str">
        <f t="shared" si="20"/>
        <v xml:space="preserve"> </v>
      </c>
    </row>
    <row r="688" spans="1:13" ht="15">
      <c r="A688"/>
      <c r="B688"/>
      <c r="C688" s="56"/>
      <c r="D688"/>
      <c r="E688" s="57"/>
      <c r="F688"/>
      <c r="G688"/>
      <c r="H688"/>
      <c r="I688"/>
      <c r="J688"/>
      <c r="K688"/>
      <c r="L688" s="50">
        <f t="shared" si="21"/>
        <v>0</v>
      </c>
      <c r="M688" s="50" t="str">
        <f t="shared" si="20"/>
        <v xml:space="preserve"> </v>
      </c>
    </row>
    <row r="689" spans="1:13" ht="15">
      <c r="A689"/>
      <c r="B689"/>
      <c r="C689" s="56"/>
      <c r="D689"/>
      <c r="E689" s="57"/>
      <c r="F689"/>
      <c r="G689"/>
      <c r="H689"/>
      <c r="I689"/>
      <c r="J689"/>
      <c r="K689"/>
      <c r="L689" s="50">
        <f t="shared" si="21"/>
        <v>0</v>
      </c>
      <c r="M689" s="50" t="str">
        <f t="shared" si="20"/>
        <v xml:space="preserve"> </v>
      </c>
    </row>
    <row r="690" spans="1:13" ht="15">
      <c r="A690"/>
      <c r="B690"/>
      <c r="C690" s="56"/>
      <c r="D690"/>
      <c r="E690" s="57"/>
      <c r="F690"/>
      <c r="G690"/>
      <c r="H690"/>
      <c r="I690"/>
      <c r="J690"/>
      <c r="K690"/>
      <c r="L690" s="50">
        <f t="shared" si="21"/>
        <v>0</v>
      </c>
      <c r="M690" s="50" t="str">
        <f t="shared" si="20"/>
        <v xml:space="preserve"> </v>
      </c>
    </row>
    <row r="691" spans="1:13" ht="15">
      <c r="A691"/>
      <c r="B691"/>
      <c r="C691" s="56"/>
      <c r="D691"/>
      <c r="E691" s="57"/>
      <c r="F691"/>
      <c r="G691"/>
      <c r="H691"/>
      <c r="I691"/>
      <c r="J691"/>
      <c r="K691"/>
      <c r="L691" s="50">
        <f t="shared" si="21"/>
        <v>0</v>
      </c>
      <c r="M691" s="50" t="str">
        <f t="shared" si="20"/>
        <v xml:space="preserve"> </v>
      </c>
    </row>
    <row r="692" spans="1:13" ht="15">
      <c r="A692"/>
      <c r="B692"/>
      <c r="C692" s="56"/>
      <c r="D692"/>
      <c r="E692" s="57"/>
      <c r="F692"/>
      <c r="G692"/>
      <c r="H692"/>
      <c r="I692"/>
      <c r="J692"/>
      <c r="K692"/>
      <c r="L692" s="50">
        <f t="shared" si="21"/>
        <v>0</v>
      </c>
      <c r="M692" s="50" t="str">
        <f t="shared" si="20"/>
        <v xml:space="preserve"> </v>
      </c>
    </row>
    <row r="693" spans="1:13" ht="15">
      <c r="A693"/>
      <c r="B693"/>
      <c r="C693" s="56"/>
      <c r="D693"/>
      <c r="E693" s="57"/>
      <c r="F693"/>
      <c r="G693"/>
      <c r="H693"/>
      <c r="I693"/>
      <c r="J693"/>
      <c r="K693"/>
      <c r="L693" s="50">
        <f t="shared" si="21"/>
        <v>0</v>
      </c>
      <c r="M693" s="50" t="str">
        <f t="shared" si="20"/>
        <v xml:space="preserve"> </v>
      </c>
    </row>
    <row r="694" spans="1:13" ht="15">
      <c r="A694"/>
      <c r="B694"/>
      <c r="C694" s="56"/>
      <c r="D694"/>
      <c r="E694" s="57"/>
      <c r="F694"/>
      <c r="G694"/>
      <c r="H694"/>
      <c r="I694"/>
      <c r="J694"/>
      <c r="K694"/>
      <c r="L694" s="50">
        <f t="shared" si="21"/>
        <v>0</v>
      </c>
      <c r="M694" s="50" t="str">
        <f t="shared" si="20"/>
        <v xml:space="preserve"> </v>
      </c>
    </row>
    <row r="695" spans="1:13" ht="15">
      <c r="A695"/>
      <c r="B695"/>
      <c r="C695" s="56"/>
      <c r="D695"/>
      <c r="E695" s="57"/>
      <c r="F695"/>
      <c r="G695"/>
      <c r="H695"/>
      <c r="I695"/>
      <c r="J695"/>
      <c r="K695"/>
      <c r="L695" s="50">
        <f t="shared" si="21"/>
        <v>0</v>
      </c>
      <c r="M695" s="50" t="str">
        <f t="shared" si="20"/>
        <v xml:space="preserve"> </v>
      </c>
    </row>
    <row r="696" spans="1:13" ht="15">
      <c r="A696"/>
      <c r="B696"/>
      <c r="C696" s="56"/>
      <c r="D696"/>
      <c r="E696" s="57"/>
      <c r="F696"/>
      <c r="G696"/>
      <c r="H696"/>
      <c r="I696"/>
      <c r="J696"/>
      <c r="K696"/>
      <c r="L696" s="50">
        <f t="shared" si="21"/>
        <v>0</v>
      </c>
      <c r="M696" s="50" t="str">
        <f t="shared" si="20"/>
        <v xml:space="preserve"> </v>
      </c>
    </row>
    <row r="697" spans="1:13" ht="15">
      <c r="A697"/>
      <c r="B697"/>
      <c r="C697" s="56"/>
      <c r="D697"/>
      <c r="E697" s="57"/>
      <c r="F697"/>
      <c r="G697"/>
      <c r="H697"/>
      <c r="I697"/>
      <c r="J697"/>
      <c r="K697"/>
      <c r="L697" s="50">
        <f t="shared" si="21"/>
        <v>0</v>
      </c>
      <c r="M697" s="50" t="str">
        <f t="shared" si="20"/>
        <v xml:space="preserve"> </v>
      </c>
    </row>
    <row r="698" spans="1:13" ht="15">
      <c r="A698"/>
      <c r="B698"/>
      <c r="C698" s="56"/>
      <c r="D698"/>
      <c r="E698" s="57"/>
      <c r="F698"/>
      <c r="G698"/>
      <c r="H698"/>
      <c r="I698"/>
      <c r="J698"/>
      <c r="K698"/>
      <c r="L698" s="50">
        <f t="shared" si="21"/>
        <v>0</v>
      </c>
      <c r="M698" s="50" t="str">
        <f t="shared" si="20"/>
        <v xml:space="preserve"> </v>
      </c>
    </row>
    <row r="699" spans="1:13" ht="15">
      <c r="A699"/>
      <c r="B699"/>
      <c r="C699" s="56"/>
      <c r="D699"/>
      <c r="E699" s="57"/>
      <c r="F699"/>
      <c r="G699"/>
      <c r="H699"/>
      <c r="I699"/>
      <c r="J699"/>
      <c r="K699"/>
      <c r="L699" s="50">
        <f t="shared" si="21"/>
        <v>0</v>
      </c>
      <c r="M699" s="50" t="str">
        <f t="shared" si="20"/>
        <v xml:space="preserve"> </v>
      </c>
    </row>
    <row r="700" spans="1:13" ht="15">
      <c r="A700"/>
      <c r="B700"/>
      <c r="C700" s="56"/>
      <c r="D700"/>
      <c r="E700" s="57"/>
      <c r="F700"/>
      <c r="G700"/>
      <c r="H700"/>
      <c r="I700"/>
      <c r="J700"/>
      <c r="K700"/>
      <c r="L700" s="50">
        <f t="shared" si="21"/>
        <v>0</v>
      </c>
      <c r="M700" s="50" t="str">
        <f t="shared" si="20"/>
        <v xml:space="preserve"> </v>
      </c>
    </row>
    <row r="701" spans="1:13" ht="15">
      <c r="A701"/>
      <c r="B701"/>
      <c r="C701" s="56"/>
      <c r="D701"/>
      <c r="E701" s="57"/>
      <c r="F701"/>
      <c r="G701"/>
      <c r="H701"/>
      <c r="I701"/>
      <c r="J701"/>
      <c r="K701"/>
      <c r="L701" s="50">
        <f t="shared" si="21"/>
        <v>0</v>
      </c>
      <c r="M701" s="50" t="str">
        <f t="shared" si="20"/>
        <v xml:space="preserve"> </v>
      </c>
    </row>
    <row r="702" spans="1:13" ht="15">
      <c r="A702"/>
      <c r="B702"/>
      <c r="C702" s="56"/>
      <c r="D702"/>
      <c r="E702" s="57"/>
      <c r="F702"/>
      <c r="G702"/>
      <c r="H702"/>
      <c r="I702"/>
      <c r="J702"/>
      <c r="K702"/>
      <c r="L702" s="50">
        <f t="shared" si="21"/>
        <v>0</v>
      </c>
      <c r="M702" s="50" t="str">
        <f t="shared" si="20"/>
        <v xml:space="preserve"> </v>
      </c>
    </row>
    <row r="703" spans="1:13" ht="15">
      <c r="A703"/>
      <c r="B703"/>
      <c r="C703" s="56"/>
      <c r="D703"/>
      <c r="E703" s="57"/>
      <c r="F703"/>
      <c r="G703"/>
      <c r="H703"/>
      <c r="I703"/>
      <c r="J703"/>
      <c r="K703"/>
      <c r="L703" s="50">
        <f t="shared" si="21"/>
        <v>0</v>
      </c>
      <c r="M703" s="50" t="str">
        <f t="shared" si="20"/>
        <v xml:space="preserve"> </v>
      </c>
    </row>
    <row r="704" spans="1:13" ht="15">
      <c r="A704"/>
      <c r="B704"/>
      <c r="C704" s="56"/>
      <c r="D704"/>
      <c r="E704" s="57"/>
      <c r="F704"/>
      <c r="G704"/>
      <c r="H704"/>
      <c r="I704"/>
      <c r="J704"/>
      <c r="K704"/>
      <c r="L704" s="50">
        <f t="shared" si="21"/>
        <v>0</v>
      </c>
      <c r="M704" s="50" t="str">
        <f t="shared" si="20"/>
        <v xml:space="preserve"> </v>
      </c>
    </row>
    <row r="705" spans="1:13" ht="15">
      <c r="A705"/>
      <c r="B705"/>
      <c r="C705" s="56"/>
      <c r="D705"/>
      <c r="E705" s="57"/>
      <c r="F705"/>
      <c r="G705"/>
      <c r="H705"/>
      <c r="I705"/>
      <c r="J705"/>
      <c r="K705"/>
      <c r="L705" s="50">
        <f t="shared" si="21"/>
        <v>0</v>
      </c>
      <c r="M705" s="50" t="str">
        <f t="shared" si="20"/>
        <v xml:space="preserve"> </v>
      </c>
    </row>
    <row r="706" spans="1:13" ht="15">
      <c r="A706"/>
      <c r="B706"/>
      <c r="C706" s="56"/>
      <c r="D706"/>
      <c r="E706" s="57"/>
      <c r="F706"/>
      <c r="G706"/>
      <c r="H706"/>
      <c r="I706"/>
      <c r="J706"/>
      <c r="K706"/>
      <c r="L706" s="50">
        <f t="shared" si="21"/>
        <v>0</v>
      </c>
      <c r="M706" s="50" t="str">
        <f t="shared" ref="M706:M739" si="22">CONCATENATE(J706," ",I706)</f>
        <v xml:space="preserve"> </v>
      </c>
    </row>
    <row r="707" spans="1:13" ht="15">
      <c r="A707"/>
      <c r="B707"/>
      <c r="C707" s="56"/>
      <c r="D707"/>
      <c r="E707" s="57"/>
      <c r="F707"/>
      <c r="G707"/>
      <c r="H707"/>
      <c r="I707"/>
      <c r="J707"/>
      <c r="K707"/>
      <c r="L707" s="50">
        <f t="shared" ref="L707:L739" si="23">K707/100</f>
        <v>0</v>
      </c>
      <c r="M707" s="50" t="str">
        <f t="shared" si="22"/>
        <v xml:space="preserve"> </v>
      </c>
    </row>
    <row r="708" spans="1:13" ht="15">
      <c r="A708"/>
      <c r="B708"/>
      <c r="C708" s="56"/>
      <c r="D708"/>
      <c r="E708" s="57"/>
      <c r="F708"/>
      <c r="G708"/>
      <c r="H708"/>
      <c r="I708"/>
      <c r="J708"/>
      <c r="K708"/>
      <c r="L708" s="50">
        <f t="shared" si="23"/>
        <v>0</v>
      </c>
      <c r="M708" s="50" t="str">
        <f t="shared" si="22"/>
        <v xml:space="preserve"> </v>
      </c>
    </row>
    <row r="709" spans="1:13" ht="15">
      <c r="A709"/>
      <c r="B709"/>
      <c r="C709" s="56"/>
      <c r="D709"/>
      <c r="E709" s="57"/>
      <c r="F709"/>
      <c r="G709"/>
      <c r="H709"/>
      <c r="I709"/>
      <c r="J709"/>
      <c r="K709"/>
      <c r="L709" s="50">
        <f t="shared" si="23"/>
        <v>0</v>
      </c>
      <c r="M709" s="50" t="str">
        <f t="shared" si="22"/>
        <v xml:space="preserve"> </v>
      </c>
    </row>
    <row r="710" spans="1:13" ht="15">
      <c r="A710"/>
      <c r="B710"/>
      <c r="C710" s="56"/>
      <c r="D710"/>
      <c r="E710" s="57"/>
      <c r="F710"/>
      <c r="G710"/>
      <c r="H710"/>
      <c r="I710"/>
      <c r="J710"/>
      <c r="K710"/>
      <c r="L710" s="50">
        <f t="shared" si="23"/>
        <v>0</v>
      </c>
      <c r="M710" s="50" t="str">
        <f t="shared" si="22"/>
        <v xml:space="preserve"> </v>
      </c>
    </row>
    <row r="711" spans="1:13" ht="15">
      <c r="A711"/>
      <c r="B711"/>
      <c r="C711" s="56"/>
      <c r="D711"/>
      <c r="E711" s="57"/>
      <c r="F711"/>
      <c r="G711"/>
      <c r="H711"/>
      <c r="I711"/>
      <c r="J711"/>
      <c r="K711"/>
      <c r="L711" s="50">
        <f t="shared" si="23"/>
        <v>0</v>
      </c>
      <c r="M711" s="50" t="str">
        <f t="shared" si="22"/>
        <v xml:space="preserve"> </v>
      </c>
    </row>
    <row r="712" spans="1:13" ht="15">
      <c r="A712"/>
      <c r="B712"/>
      <c r="C712" s="56"/>
      <c r="D712"/>
      <c r="E712" s="57"/>
      <c r="F712"/>
      <c r="G712"/>
      <c r="H712"/>
      <c r="I712"/>
      <c r="J712"/>
      <c r="K712"/>
      <c r="L712" s="50">
        <f t="shared" si="23"/>
        <v>0</v>
      </c>
      <c r="M712" s="50" t="str">
        <f t="shared" si="22"/>
        <v xml:space="preserve"> </v>
      </c>
    </row>
    <row r="713" spans="1:13" ht="15">
      <c r="A713"/>
      <c r="B713"/>
      <c r="C713" s="56"/>
      <c r="D713"/>
      <c r="E713" s="57"/>
      <c r="F713"/>
      <c r="G713"/>
      <c r="H713"/>
      <c r="I713"/>
      <c r="J713"/>
      <c r="K713"/>
      <c r="L713" s="50">
        <f t="shared" si="23"/>
        <v>0</v>
      </c>
      <c r="M713" s="50" t="str">
        <f t="shared" si="22"/>
        <v xml:space="preserve"> </v>
      </c>
    </row>
    <row r="714" spans="1:13" ht="15">
      <c r="A714"/>
      <c r="B714"/>
      <c r="C714" s="56"/>
      <c r="D714"/>
      <c r="E714" s="57"/>
      <c r="F714"/>
      <c r="G714"/>
      <c r="H714"/>
      <c r="I714"/>
      <c r="J714"/>
      <c r="K714"/>
      <c r="L714" s="50">
        <f t="shared" si="23"/>
        <v>0</v>
      </c>
      <c r="M714" s="50" t="str">
        <f t="shared" si="22"/>
        <v xml:space="preserve"> </v>
      </c>
    </row>
    <row r="715" spans="1:13" ht="15">
      <c r="A715"/>
      <c r="B715"/>
      <c r="C715" s="56"/>
      <c r="D715"/>
      <c r="E715" s="57"/>
      <c r="F715"/>
      <c r="G715"/>
      <c r="H715"/>
      <c r="I715"/>
      <c r="J715"/>
      <c r="K715"/>
      <c r="L715" s="50">
        <f t="shared" si="23"/>
        <v>0</v>
      </c>
      <c r="M715" s="50" t="str">
        <f t="shared" si="22"/>
        <v xml:space="preserve"> </v>
      </c>
    </row>
    <row r="716" spans="1:13" ht="15">
      <c r="A716"/>
      <c r="B716"/>
      <c r="C716" s="56"/>
      <c r="D716"/>
      <c r="E716" s="57"/>
      <c r="F716"/>
      <c r="G716"/>
      <c r="H716"/>
      <c r="I716"/>
      <c r="J716"/>
      <c r="K716"/>
      <c r="L716" s="50">
        <f t="shared" si="23"/>
        <v>0</v>
      </c>
      <c r="M716" s="50" t="str">
        <f t="shared" si="22"/>
        <v xml:space="preserve"> </v>
      </c>
    </row>
    <row r="717" spans="1:13" ht="15">
      <c r="A717"/>
      <c r="B717"/>
      <c r="C717" s="56"/>
      <c r="D717"/>
      <c r="E717" s="57"/>
      <c r="F717"/>
      <c r="G717"/>
      <c r="H717"/>
      <c r="I717"/>
      <c r="J717"/>
      <c r="K717"/>
      <c r="L717" s="50">
        <f t="shared" si="23"/>
        <v>0</v>
      </c>
      <c r="M717" s="50" t="str">
        <f t="shared" si="22"/>
        <v xml:space="preserve"> </v>
      </c>
    </row>
    <row r="718" spans="1:13" ht="15">
      <c r="A718"/>
      <c r="B718"/>
      <c r="C718" s="56"/>
      <c r="D718"/>
      <c r="E718" s="57"/>
      <c r="F718"/>
      <c r="G718"/>
      <c r="H718"/>
      <c r="I718"/>
      <c r="J718"/>
      <c r="K718"/>
      <c r="L718" s="50">
        <f t="shared" si="23"/>
        <v>0</v>
      </c>
      <c r="M718" s="50" t="str">
        <f t="shared" si="22"/>
        <v xml:space="preserve"> </v>
      </c>
    </row>
    <row r="719" spans="1:13" ht="15">
      <c r="A719"/>
      <c r="B719"/>
      <c r="C719" s="56"/>
      <c r="D719"/>
      <c r="E719" s="57"/>
      <c r="F719"/>
      <c r="G719"/>
      <c r="H719"/>
      <c r="I719"/>
      <c r="J719"/>
      <c r="K719"/>
      <c r="L719" s="50">
        <f t="shared" si="23"/>
        <v>0</v>
      </c>
      <c r="M719" s="50" t="str">
        <f t="shared" si="22"/>
        <v xml:space="preserve"> </v>
      </c>
    </row>
    <row r="720" spans="1:13" ht="15">
      <c r="A720"/>
      <c r="B720"/>
      <c r="C720" s="56"/>
      <c r="D720"/>
      <c r="E720" s="57"/>
      <c r="F720"/>
      <c r="G720"/>
      <c r="H720"/>
      <c r="I720"/>
      <c r="J720"/>
      <c r="K720"/>
      <c r="L720" s="50">
        <f t="shared" si="23"/>
        <v>0</v>
      </c>
      <c r="M720" s="50" t="str">
        <f t="shared" si="22"/>
        <v xml:space="preserve"> </v>
      </c>
    </row>
    <row r="721" spans="1:13" ht="15">
      <c r="A721"/>
      <c r="B721"/>
      <c r="C721" s="56"/>
      <c r="D721"/>
      <c r="E721" s="57"/>
      <c r="F721"/>
      <c r="G721"/>
      <c r="H721"/>
      <c r="I721"/>
      <c r="J721"/>
      <c r="K721"/>
      <c r="L721" s="50">
        <f t="shared" si="23"/>
        <v>0</v>
      </c>
      <c r="M721" s="50" t="str">
        <f t="shared" si="22"/>
        <v xml:space="preserve"> </v>
      </c>
    </row>
    <row r="722" spans="1:13" ht="15">
      <c r="A722"/>
      <c r="B722"/>
      <c r="C722" s="56"/>
      <c r="D722"/>
      <c r="E722" s="57"/>
      <c r="F722"/>
      <c r="G722"/>
      <c r="H722"/>
      <c r="I722"/>
      <c r="J722"/>
      <c r="K722"/>
      <c r="L722" s="50">
        <f t="shared" si="23"/>
        <v>0</v>
      </c>
      <c r="M722" s="50" t="str">
        <f t="shared" si="22"/>
        <v xml:space="preserve"> </v>
      </c>
    </row>
    <row r="723" spans="1:13" ht="15">
      <c r="A723"/>
      <c r="B723"/>
      <c r="C723" s="56"/>
      <c r="D723"/>
      <c r="E723" s="57"/>
      <c r="F723"/>
      <c r="G723"/>
      <c r="H723"/>
      <c r="I723"/>
      <c r="J723"/>
      <c r="K723"/>
      <c r="L723" s="50">
        <f t="shared" si="23"/>
        <v>0</v>
      </c>
      <c r="M723" s="50" t="str">
        <f t="shared" si="22"/>
        <v xml:space="preserve"> </v>
      </c>
    </row>
    <row r="724" spans="1:13" ht="15">
      <c r="A724"/>
      <c r="B724"/>
      <c r="C724" s="56"/>
      <c r="D724"/>
      <c r="E724" s="57"/>
      <c r="F724"/>
      <c r="G724"/>
      <c r="H724"/>
      <c r="I724"/>
      <c r="J724"/>
      <c r="K724"/>
      <c r="L724" s="50">
        <f t="shared" si="23"/>
        <v>0</v>
      </c>
      <c r="M724" s="50" t="str">
        <f t="shared" si="22"/>
        <v xml:space="preserve"> </v>
      </c>
    </row>
    <row r="725" spans="1:13" ht="15">
      <c r="A725"/>
      <c r="B725"/>
      <c r="C725" s="56"/>
      <c r="D725"/>
      <c r="E725" s="57"/>
      <c r="F725"/>
      <c r="G725"/>
      <c r="H725"/>
      <c r="I725"/>
      <c r="J725"/>
      <c r="K725"/>
      <c r="L725" s="50">
        <f t="shared" si="23"/>
        <v>0</v>
      </c>
      <c r="M725" s="50" t="str">
        <f t="shared" si="22"/>
        <v xml:space="preserve"> </v>
      </c>
    </row>
    <row r="726" spans="1:13" ht="15">
      <c r="A726"/>
      <c r="B726"/>
      <c r="C726" s="56"/>
      <c r="D726"/>
      <c r="E726" s="57"/>
      <c r="F726"/>
      <c r="G726"/>
      <c r="H726"/>
      <c r="I726"/>
      <c r="J726"/>
      <c r="K726"/>
      <c r="L726" s="50">
        <f t="shared" si="23"/>
        <v>0</v>
      </c>
      <c r="M726" s="50" t="str">
        <f t="shared" si="22"/>
        <v xml:space="preserve"> </v>
      </c>
    </row>
    <row r="727" spans="1:13" ht="15">
      <c r="A727"/>
      <c r="B727"/>
      <c r="C727" s="56"/>
      <c r="D727"/>
      <c r="E727" s="57"/>
      <c r="F727"/>
      <c r="G727"/>
      <c r="H727"/>
      <c r="I727"/>
      <c r="J727"/>
      <c r="K727"/>
      <c r="L727" s="50">
        <f t="shared" si="23"/>
        <v>0</v>
      </c>
      <c r="M727" s="50" t="str">
        <f t="shared" si="22"/>
        <v xml:space="preserve"> </v>
      </c>
    </row>
    <row r="728" spans="1:13" ht="15">
      <c r="A728"/>
      <c r="B728"/>
      <c r="C728" s="56"/>
      <c r="D728"/>
      <c r="E728" s="57"/>
      <c r="F728"/>
      <c r="G728"/>
      <c r="H728"/>
      <c r="I728"/>
      <c r="J728"/>
      <c r="K728"/>
      <c r="L728" s="50">
        <f t="shared" si="23"/>
        <v>0</v>
      </c>
      <c r="M728" s="50" t="str">
        <f t="shared" si="22"/>
        <v xml:space="preserve"> </v>
      </c>
    </row>
    <row r="729" spans="1:13" ht="15">
      <c r="A729"/>
      <c r="B729"/>
      <c r="C729" s="56"/>
      <c r="D729"/>
      <c r="E729" s="57"/>
      <c r="F729"/>
      <c r="G729"/>
      <c r="H729"/>
      <c r="I729"/>
      <c r="J729"/>
      <c r="K729"/>
      <c r="L729" s="50">
        <f t="shared" si="23"/>
        <v>0</v>
      </c>
      <c r="M729" s="50" t="str">
        <f t="shared" si="22"/>
        <v xml:space="preserve"> </v>
      </c>
    </row>
    <row r="730" spans="1:13" ht="15">
      <c r="A730"/>
      <c r="B730"/>
      <c r="C730" s="56"/>
      <c r="D730"/>
      <c r="E730" s="57"/>
      <c r="F730"/>
      <c r="G730"/>
      <c r="H730"/>
      <c r="I730"/>
      <c r="J730"/>
      <c r="K730"/>
      <c r="L730" s="50">
        <f t="shared" si="23"/>
        <v>0</v>
      </c>
      <c r="M730" s="50" t="str">
        <f t="shared" si="22"/>
        <v xml:space="preserve"> </v>
      </c>
    </row>
    <row r="731" spans="1:13" ht="15">
      <c r="A731"/>
      <c r="B731"/>
      <c r="C731" s="56"/>
      <c r="D731"/>
      <c r="E731" s="57"/>
      <c r="F731"/>
      <c r="G731"/>
      <c r="H731"/>
      <c r="I731"/>
      <c r="J731"/>
      <c r="K731"/>
      <c r="L731" s="50">
        <f t="shared" si="23"/>
        <v>0</v>
      </c>
      <c r="M731" s="50" t="str">
        <f t="shared" si="22"/>
        <v xml:space="preserve"> </v>
      </c>
    </row>
    <row r="732" spans="1:13" ht="15">
      <c r="A732"/>
      <c r="B732"/>
      <c r="C732" s="56"/>
      <c r="D732"/>
      <c r="E732" s="57"/>
      <c r="F732"/>
      <c r="G732"/>
      <c r="H732"/>
      <c r="I732"/>
      <c r="J732"/>
      <c r="K732"/>
      <c r="L732" s="50">
        <f t="shared" si="23"/>
        <v>0</v>
      </c>
      <c r="M732" s="50" t="str">
        <f t="shared" si="22"/>
        <v xml:space="preserve"> </v>
      </c>
    </row>
    <row r="733" spans="1:13" ht="15">
      <c r="A733"/>
      <c r="B733"/>
      <c r="C733" s="56"/>
      <c r="D733"/>
      <c r="E733" s="57"/>
      <c r="F733"/>
      <c r="G733"/>
      <c r="H733"/>
      <c r="I733"/>
      <c r="J733"/>
      <c r="K733"/>
      <c r="L733" s="50">
        <f t="shared" si="23"/>
        <v>0</v>
      </c>
      <c r="M733" s="50" t="str">
        <f t="shared" si="22"/>
        <v xml:space="preserve"> </v>
      </c>
    </row>
    <row r="734" spans="1:13" ht="15">
      <c r="A734"/>
      <c r="B734"/>
      <c r="C734" s="56"/>
      <c r="D734"/>
      <c r="E734" s="57"/>
      <c r="F734"/>
      <c r="G734"/>
      <c r="H734"/>
      <c r="I734"/>
      <c r="J734"/>
      <c r="K734"/>
      <c r="L734" s="50">
        <f t="shared" si="23"/>
        <v>0</v>
      </c>
      <c r="M734" s="50" t="str">
        <f t="shared" si="22"/>
        <v xml:space="preserve"> </v>
      </c>
    </row>
    <row r="735" spans="1:13" ht="15">
      <c r="A735"/>
      <c r="B735"/>
      <c r="C735" s="56"/>
      <c r="D735"/>
      <c r="E735" s="57"/>
      <c r="F735"/>
      <c r="G735"/>
      <c r="H735"/>
      <c r="I735"/>
      <c r="J735"/>
      <c r="K735"/>
      <c r="L735" s="50">
        <f t="shared" si="23"/>
        <v>0</v>
      </c>
      <c r="M735" s="50" t="str">
        <f t="shared" si="22"/>
        <v xml:space="preserve"> </v>
      </c>
    </row>
    <row r="736" spans="1:13" ht="15">
      <c r="A736"/>
      <c r="B736"/>
      <c r="C736" s="56"/>
      <c r="D736"/>
      <c r="E736" s="57"/>
      <c r="F736"/>
      <c r="G736"/>
      <c r="H736"/>
      <c r="I736"/>
      <c r="J736"/>
      <c r="K736"/>
      <c r="L736" s="50">
        <f t="shared" si="23"/>
        <v>0</v>
      </c>
      <c r="M736" s="50" t="str">
        <f t="shared" si="22"/>
        <v xml:space="preserve"> </v>
      </c>
    </row>
    <row r="737" spans="1:13" ht="15">
      <c r="A737"/>
      <c r="B737"/>
      <c r="C737" s="56"/>
      <c r="D737"/>
      <c r="E737" s="57"/>
      <c r="F737"/>
      <c r="G737"/>
      <c r="H737"/>
      <c r="I737"/>
      <c r="J737"/>
      <c r="K737"/>
      <c r="L737" s="50">
        <f t="shared" si="23"/>
        <v>0</v>
      </c>
      <c r="M737" s="50" t="str">
        <f t="shared" si="22"/>
        <v xml:space="preserve"> </v>
      </c>
    </row>
    <row r="738" spans="1:13" ht="15">
      <c r="A738"/>
      <c r="B738"/>
      <c r="C738" s="56"/>
      <c r="D738"/>
      <c r="E738" s="57"/>
      <c r="F738"/>
      <c r="G738"/>
      <c r="H738"/>
      <c r="I738"/>
      <c r="J738"/>
      <c r="K738"/>
      <c r="L738" s="50">
        <f t="shared" si="23"/>
        <v>0</v>
      </c>
      <c r="M738" s="50" t="str">
        <f t="shared" si="22"/>
        <v xml:space="preserve"> </v>
      </c>
    </row>
    <row r="739" spans="1:13" ht="15">
      <c r="A739"/>
      <c r="B739"/>
      <c r="C739" s="56"/>
      <c r="D739"/>
      <c r="E739" s="57"/>
      <c r="F739"/>
      <c r="G739"/>
      <c r="H739"/>
      <c r="I739"/>
      <c r="J739"/>
      <c r="K739"/>
      <c r="L739" s="50">
        <f t="shared" si="23"/>
        <v>0</v>
      </c>
      <c r="M739" s="50" t="str">
        <f t="shared" si="22"/>
        <v xml:space="preserve"> </v>
      </c>
    </row>
  </sheetData>
  <autoFilter ref="A1:M4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9"/>
  <sheetViews>
    <sheetView zoomScale="70" zoomScaleNormal="70" workbookViewId="0">
      <selection activeCell="H57" sqref="H57"/>
    </sheetView>
  </sheetViews>
  <sheetFormatPr defaultRowHeight="15"/>
  <cols>
    <col min="1" max="1" width="34.28515625" customWidth="1" collapsed="1"/>
    <col min="2" max="2" width="16.28515625" customWidth="1" collapsed="1"/>
    <col min="3" max="3" width="19.42578125" customWidth="1" collapsed="1"/>
    <col min="4" max="4" width="16.5703125" customWidth="1" collapsed="1"/>
    <col min="5" max="5" width="15.85546875" customWidth="1" collapsed="1"/>
    <col min="6" max="6" width="20.85546875" customWidth="1" collapsed="1"/>
    <col min="7" max="7" width="12" customWidth="1" collapsed="1"/>
    <col min="8" max="8" width="22.140625" bestFit="1" customWidth="1" collapsed="1"/>
    <col min="9" max="9" width="12" customWidth="1" collapsed="1"/>
    <col min="10" max="10" width="13.140625" customWidth="1" collapsed="1"/>
    <col min="11" max="11" width="12" customWidth="1" collapsed="1"/>
    <col min="12" max="12" width="21.5703125" bestFit="1" customWidth="1" collapsed="1"/>
    <col min="13" max="13" width="22.7109375" bestFit="1" customWidth="1" collapsed="1"/>
  </cols>
  <sheetData>
    <row r="1" spans="1:7">
      <c r="A1" s="53" t="s">
        <v>100</v>
      </c>
      <c r="B1" s="53" t="s">
        <v>101</v>
      </c>
    </row>
    <row r="2" spans="1:7">
      <c r="A2" s="53" t="s">
        <v>102</v>
      </c>
      <c r="B2" t="s">
        <v>250</v>
      </c>
      <c r="C2" t="s">
        <v>251</v>
      </c>
      <c r="D2" t="s">
        <v>252</v>
      </c>
      <c r="E2" t="s">
        <v>253</v>
      </c>
      <c r="F2" t="s">
        <v>254</v>
      </c>
      <c r="G2" t="s">
        <v>103</v>
      </c>
    </row>
    <row r="3" spans="1:7">
      <c r="A3" s="52" t="s">
        <v>24</v>
      </c>
      <c r="B3" s="61">
        <v>0.69000990099999993</v>
      </c>
      <c r="C3" s="61">
        <v>0.67341503270000003</v>
      </c>
      <c r="D3" s="61">
        <v>0.67309294870000003</v>
      </c>
      <c r="E3" s="61">
        <v>0.60110482529999998</v>
      </c>
      <c r="F3" s="61">
        <v>0.49362241890000003</v>
      </c>
      <c r="G3" s="54">
        <v>3.1312451266000005</v>
      </c>
    </row>
    <row r="4" spans="1:7">
      <c r="A4" s="52" t="s">
        <v>8</v>
      </c>
      <c r="B4" s="61">
        <v>0.63371621619999996</v>
      </c>
      <c r="C4" s="61">
        <v>0.59731418920000001</v>
      </c>
      <c r="D4" s="61">
        <v>0.58378378379999996</v>
      </c>
      <c r="E4" s="61">
        <v>0.50453900709999999</v>
      </c>
      <c r="F4" s="61">
        <v>0.3921174295</v>
      </c>
      <c r="G4" s="54">
        <v>2.7114706257999996</v>
      </c>
    </row>
    <row r="5" spans="1:7">
      <c r="A5" s="52" t="s">
        <v>27</v>
      </c>
      <c r="B5" s="61">
        <v>0.61212380249999998</v>
      </c>
      <c r="C5" s="61">
        <v>0.68565841340000011</v>
      </c>
      <c r="D5" s="61">
        <v>0.64640532760000002</v>
      </c>
      <c r="E5" s="61">
        <v>0.56954169799999999</v>
      </c>
      <c r="F5" s="61">
        <v>0.58381955699999999</v>
      </c>
      <c r="G5" s="54">
        <v>3.0975487985000001</v>
      </c>
    </row>
    <row r="6" spans="1:7">
      <c r="A6" s="52" t="s">
        <v>25</v>
      </c>
      <c r="B6" s="61">
        <v>0.6347747748</v>
      </c>
      <c r="C6" s="61">
        <v>0.68076018520000003</v>
      </c>
      <c r="D6" s="61">
        <v>0.66175250279999998</v>
      </c>
      <c r="E6" s="61">
        <v>0.57040792539999996</v>
      </c>
      <c r="F6" s="61">
        <v>0.53195519349999998</v>
      </c>
      <c r="G6" s="54">
        <v>3.0796505816999997</v>
      </c>
    </row>
    <row r="7" spans="1:7">
      <c r="A7" s="52" t="s">
        <v>66</v>
      </c>
      <c r="B7" s="61">
        <v>0.66080332409999998</v>
      </c>
      <c r="C7" s="61">
        <v>0.60455764079999996</v>
      </c>
      <c r="D7" s="61">
        <v>0.61626016260000005</v>
      </c>
      <c r="E7" s="61">
        <v>0.52082191779999998</v>
      </c>
      <c r="F7" s="61">
        <v>0.3982142857</v>
      </c>
      <c r="G7" s="54">
        <v>2.800657331</v>
      </c>
    </row>
    <row r="8" spans="1:7">
      <c r="A8" s="52" t="s">
        <v>98</v>
      </c>
      <c r="B8" s="61">
        <v>0.62645739909999998</v>
      </c>
      <c r="C8" s="61">
        <v>0.58842794759999995</v>
      </c>
      <c r="D8" s="61">
        <v>0.61696035240000002</v>
      </c>
      <c r="E8" s="61">
        <v>0.51600000000000001</v>
      </c>
      <c r="F8" s="61">
        <v>0.34084967319999998</v>
      </c>
      <c r="G8" s="54">
        <v>2.6886953723000002</v>
      </c>
    </row>
    <row r="9" spans="1:7">
      <c r="A9" s="52" t="s">
        <v>5</v>
      </c>
      <c r="B9" s="61">
        <v>0.49857142860000003</v>
      </c>
      <c r="C9" s="61">
        <v>0.69296296299999993</v>
      </c>
      <c r="D9" s="61">
        <v>0.65481481480000003</v>
      </c>
      <c r="E9" s="61">
        <v>0.642962963</v>
      </c>
      <c r="F9" s="61">
        <v>0.59753086420000001</v>
      </c>
      <c r="G9" s="54">
        <v>3.0868430335999997</v>
      </c>
    </row>
    <row r="10" spans="1:7">
      <c r="A10" s="52" t="s">
        <v>26</v>
      </c>
      <c r="B10" s="61">
        <v>0.56562352939999994</v>
      </c>
      <c r="C10" s="61">
        <v>0.57170853269999999</v>
      </c>
      <c r="D10" s="61">
        <v>0.59193411759999992</v>
      </c>
      <c r="E10" s="61">
        <v>0.5564808362</v>
      </c>
      <c r="F10" s="61">
        <v>0.46478219699999995</v>
      </c>
      <c r="G10" s="54">
        <v>2.7505292129000001</v>
      </c>
    </row>
    <row r="11" spans="1:7">
      <c r="A11" s="52" t="s">
        <v>11</v>
      </c>
      <c r="B11" s="61">
        <v>0.60372361809999997</v>
      </c>
      <c r="C11" s="61">
        <v>0.62947077409999996</v>
      </c>
      <c r="D11" s="61">
        <v>0.66771428570000002</v>
      </c>
      <c r="E11" s="61">
        <v>0.58955665020000003</v>
      </c>
      <c r="F11" s="61">
        <v>0.4508706468</v>
      </c>
      <c r="G11" s="54">
        <v>2.9413359748999999</v>
      </c>
    </row>
    <row r="12" spans="1:7">
      <c r="A12" s="52" t="s">
        <v>99</v>
      </c>
      <c r="B12" s="61">
        <v>0.63633333329999997</v>
      </c>
      <c r="C12" s="61">
        <v>0.68181818179999998</v>
      </c>
      <c r="D12" s="61">
        <v>0.56792452830000006</v>
      </c>
      <c r="E12" s="61">
        <v>0.51867088610000001</v>
      </c>
      <c r="F12" s="61">
        <v>0.46553398060000001</v>
      </c>
      <c r="G12" s="54">
        <v>2.8702809101</v>
      </c>
    </row>
    <row r="13" spans="1:7">
      <c r="A13" s="52" t="s">
        <v>10</v>
      </c>
      <c r="B13" s="61">
        <v>0.54785373609999999</v>
      </c>
      <c r="C13" s="61">
        <v>0.65202492210000007</v>
      </c>
      <c r="D13" s="61">
        <v>0.64867601250000007</v>
      </c>
      <c r="E13" s="61">
        <v>0.56892697469999998</v>
      </c>
      <c r="F13" s="61">
        <v>0.54299674269999998</v>
      </c>
      <c r="G13" s="54">
        <v>2.9604783881000003</v>
      </c>
    </row>
    <row r="14" spans="1:7">
      <c r="A14" s="52" t="s">
        <v>9</v>
      </c>
      <c r="B14" s="61">
        <v>0.6</v>
      </c>
      <c r="C14" s="61">
        <v>0.55000000000000004</v>
      </c>
      <c r="D14" s="61">
        <v>0.64</v>
      </c>
      <c r="E14" s="61">
        <v>0</v>
      </c>
      <c r="F14" s="61">
        <v>0.3</v>
      </c>
      <c r="G14" s="54">
        <v>2.09</v>
      </c>
    </row>
    <row r="15" spans="1:7">
      <c r="A15" s="52" t="s">
        <v>4</v>
      </c>
      <c r="B15" s="61">
        <v>0.61820646769999998</v>
      </c>
      <c r="C15" s="61">
        <v>0.66992875780000005</v>
      </c>
      <c r="D15" s="61">
        <v>0.65635770869999999</v>
      </c>
      <c r="E15" s="61">
        <v>0.5659223041</v>
      </c>
      <c r="F15" s="61">
        <v>0.52570660049999995</v>
      </c>
      <c r="G15" s="54">
        <v>3.0361218387999998</v>
      </c>
    </row>
    <row r="16" spans="1:7">
      <c r="A16" s="52" t="s">
        <v>103</v>
      </c>
      <c r="B16" s="54">
        <v>7.9281975309000003</v>
      </c>
      <c r="C16" s="54">
        <v>8.2780475403999993</v>
      </c>
      <c r="D16" s="54">
        <v>8.2256765455000007</v>
      </c>
      <c r="E16" s="54">
        <v>6.7249359879000004</v>
      </c>
      <c r="F16" s="54">
        <v>6.087999589599999</v>
      </c>
      <c r="G16" s="54">
        <v>37.244857194299996</v>
      </c>
    </row>
    <row r="17" spans="1:20">
      <c r="B17" s="372" t="s">
        <v>104</v>
      </c>
      <c r="C17" s="372"/>
      <c r="D17" s="372"/>
      <c r="E17" s="372"/>
      <c r="F17" s="372"/>
    </row>
    <row r="19" spans="1:20">
      <c r="B19" s="36" t="s">
        <v>363</v>
      </c>
      <c r="C19" s="36" t="s">
        <v>655</v>
      </c>
      <c r="D19" s="36" t="s">
        <v>656</v>
      </c>
      <c r="E19" s="36" t="s">
        <v>657</v>
      </c>
      <c r="F19" s="36" t="s">
        <v>658</v>
      </c>
      <c r="G19" s="36">
        <v>0</v>
      </c>
      <c r="H19" s="36">
        <v>0</v>
      </c>
      <c r="I19" s="36">
        <v>0</v>
      </c>
      <c r="J19" s="36">
        <f t="shared" ref="J19:T19" si="0">J2</f>
        <v>0</v>
      </c>
      <c r="K19" s="36">
        <f t="shared" si="0"/>
        <v>0</v>
      </c>
      <c r="L19" s="36">
        <f t="shared" si="0"/>
        <v>0</v>
      </c>
      <c r="M19" s="36">
        <f t="shared" si="0"/>
        <v>0</v>
      </c>
      <c r="N19" s="36">
        <f t="shared" si="0"/>
        <v>0</v>
      </c>
      <c r="O19" s="36">
        <f t="shared" si="0"/>
        <v>0</v>
      </c>
      <c r="P19" s="36">
        <f t="shared" si="0"/>
        <v>0</v>
      </c>
      <c r="Q19" s="36">
        <f t="shared" si="0"/>
        <v>0</v>
      </c>
      <c r="R19" s="36">
        <f t="shared" si="0"/>
        <v>0</v>
      </c>
      <c r="S19" s="36">
        <f t="shared" si="0"/>
        <v>0</v>
      </c>
      <c r="T19" s="36">
        <f t="shared" si="0"/>
        <v>0</v>
      </c>
    </row>
    <row r="20" spans="1:20">
      <c r="A20" s="55" t="s">
        <v>24</v>
      </c>
      <c r="B20" s="61">
        <v>0.69000990099999993</v>
      </c>
      <c r="C20" s="61">
        <v>0.67341503270000003</v>
      </c>
      <c r="D20" s="61">
        <v>0.67309294870000003</v>
      </c>
      <c r="E20" s="61">
        <v>0.60110482529999998</v>
      </c>
      <c r="F20" s="61">
        <v>0.49362241890000003</v>
      </c>
      <c r="G20" s="6"/>
      <c r="H20" s="6"/>
      <c r="I20" s="6"/>
      <c r="J20" s="6"/>
      <c r="K20" s="6"/>
      <c r="L20" s="6"/>
      <c r="M20" s="6"/>
      <c r="N20" s="6"/>
      <c r="O20" s="6"/>
      <c r="P20" s="6"/>
      <c r="Q20" s="6"/>
      <c r="R20" s="6"/>
      <c r="S20" s="6"/>
      <c r="T20" s="6"/>
    </row>
    <row r="21" spans="1:20">
      <c r="A21" s="55" t="s">
        <v>8</v>
      </c>
      <c r="B21" s="61">
        <v>0.63371621619999996</v>
      </c>
      <c r="C21" s="61">
        <v>0.59731418920000001</v>
      </c>
      <c r="D21" s="61">
        <v>0.58378378379999996</v>
      </c>
      <c r="E21" s="61">
        <v>0.50453900709999999</v>
      </c>
      <c r="F21" s="61">
        <v>0.3921174295</v>
      </c>
      <c r="G21" s="6"/>
      <c r="H21" s="6"/>
      <c r="I21" s="6"/>
      <c r="J21" s="6"/>
      <c r="K21" s="6"/>
      <c r="L21" s="6"/>
      <c r="M21" s="6"/>
      <c r="N21" s="6"/>
      <c r="O21" s="6"/>
      <c r="P21" s="6"/>
      <c r="Q21" s="6"/>
      <c r="R21" s="6"/>
      <c r="S21" s="6"/>
      <c r="T21" s="6"/>
    </row>
    <row r="22" spans="1:20">
      <c r="A22" s="55" t="s">
        <v>27</v>
      </c>
      <c r="B22" s="61">
        <v>0.61212380249999998</v>
      </c>
      <c r="C22" s="61">
        <v>0.68565841340000011</v>
      </c>
      <c r="D22" s="61">
        <v>0.64640532760000002</v>
      </c>
      <c r="E22" s="61">
        <v>0.56954169799999999</v>
      </c>
      <c r="F22" s="61">
        <v>0.58381955699999999</v>
      </c>
      <c r="G22" s="6"/>
      <c r="H22" s="6"/>
      <c r="I22" s="6"/>
      <c r="J22" s="6"/>
      <c r="K22" s="6"/>
      <c r="L22" s="6"/>
      <c r="M22" s="6"/>
      <c r="N22" s="6"/>
      <c r="O22" s="6"/>
      <c r="P22" s="6"/>
      <c r="Q22" s="6"/>
      <c r="R22" s="6"/>
      <c r="S22" s="6"/>
      <c r="T22" s="6"/>
    </row>
    <row r="23" spans="1:20">
      <c r="A23" s="55" t="s">
        <v>25</v>
      </c>
      <c r="B23" s="61">
        <v>0.6347747748</v>
      </c>
      <c r="C23" s="61">
        <v>0.68076018520000003</v>
      </c>
      <c r="D23" s="61">
        <v>0.66175250279999998</v>
      </c>
      <c r="E23" s="61">
        <v>0.57040792539999996</v>
      </c>
      <c r="F23" s="61">
        <v>0.53195519349999998</v>
      </c>
      <c r="G23" s="6"/>
      <c r="H23" s="6"/>
      <c r="I23" s="6"/>
      <c r="J23" s="6"/>
      <c r="K23" s="6"/>
      <c r="L23" s="6"/>
      <c r="M23" s="6"/>
      <c r="N23" s="6"/>
      <c r="O23" s="6"/>
      <c r="P23" s="6"/>
      <c r="Q23" s="6"/>
      <c r="R23" s="6"/>
      <c r="S23" s="6"/>
      <c r="T23" s="6"/>
    </row>
    <row r="24" spans="1:20">
      <c r="A24" s="55" t="s">
        <v>66</v>
      </c>
      <c r="B24" s="61">
        <v>0.66080332409999998</v>
      </c>
      <c r="C24" s="61">
        <v>0.60455764079999996</v>
      </c>
      <c r="D24" s="61">
        <v>0.61626016260000005</v>
      </c>
      <c r="E24" s="61">
        <v>0.52082191779999998</v>
      </c>
      <c r="F24" s="61">
        <v>0.3982142857</v>
      </c>
      <c r="G24" s="6"/>
      <c r="H24" s="6"/>
      <c r="I24" s="6"/>
      <c r="J24" s="6"/>
      <c r="K24" s="6"/>
      <c r="L24" s="6"/>
      <c r="M24" s="6"/>
      <c r="N24" s="6"/>
      <c r="O24" s="6"/>
      <c r="P24" s="6"/>
      <c r="Q24" s="6"/>
      <c r="R24" s="6"/>
      <c r="S24" s="6"/>
      <c r="T24" s="6"/>
    </row>
    <row r="25" spans="1:20">
      <c r="A25" s="55" t="s">
        <v>98</v>
      </c>
      <c r="B25" s="61">
        <v>0.62645739909999998</v>
      </c>
      <c r="C25" s="61">
        <v>0.58842794759999995</v>
      </c>
      <c r="D25" s="61">
        <v>0.61696035240000002</v>
      </c>
      <c r="E25" s="61">
        <v>0.51600000000000001</v>
      </c>
      <c r="F25" s="61">
        <v>0.34084967319999998</v>
      </c>
      <c r="G25" s="6"/>
      <c r="H25" s="6"/>
      <c r="I25" s="6"/>
      <c r="J25" s="6"/>
      <c r="K25" s="6"/>
      <c r="L25" s="6"/>
      <c r="M25" s="6"/>
      <c r="N25" s="6"/>
      <c r="O25" s="6"/>
      <c r="P25" s="6"/>
      <c r="Q25" s="6"/>
      <c r="R25" s="6"/>
      <c r="S25" s="6"/>
      <c r="T25" s="6"/>
    </row>
    <row r="26" spans="1:20">
      <c r="A26" s="55" t="s">
        <v>5</v>
      </c>
      <c r="B26" s="61">
        <v>0.49857142860000003</v>
      </c>
      <c r="C26" s="61">
        <v>0.69296296299999993</v>
      </c>
      <c r="D26" s="61">
        <v>0.65481481480000003</v>
      </c>
      <c r="E26" s="61">
        <v>0.642962963</v>
      </c>
      <c r="F26" s="61">
        <v>0.59753086420000001</v>
      </c>
      <c r="G26" s="6"/>
      <c r="H26" s="6"/>
      <c r="I26" s="6"/>
      <c r="J26" s="6"/>
      <c r="K26" s="6"/>
      <c r="L26" s="6"/>
      <c r="M26" s="6"/>
      <c r="N26" s="6"/>
      <c r="O26" s="6"/>
      <c r="P26" s="6"/>
      <c r="Q26" s="6"/>
      <c r="R26" s="6"/>
      <c r="S26" s="6"/>
      <c r="T26" s="6"/>
    </row>
    <row r="27" spans="1:20">
      <c r="A27" s="55" t="s">
        <v>26</v>
      </c>
      <c r="B27" s="61">
        <v>0.56562352939999994</v>
      </c>
      <c r="C27" s="61">
        <v>0.57170853269999999</v>
      </c>
      <c r="D27" s="61">
        <v>0.59193411759999992</v>
      </c>
      <c r="E27" s="61">
        <v>0.5564808362</v>
      </c>
      <c r="F27" s="61">
        <v>0.46478219699999995</v>
      </c>
      <c r="G27" s="6"/>
      <c r="H27" s="6"/>
      <c r="I27" s="6"/>
      <c r="J27" s="6"/>
      <c r="K27" s="6"/>
      <c r="L27" s="6"/>
      <c r="M27" s="6"/>
      <c r="N27" s="6"/>
      <c r="O27" s="6"/>
      <c r="P27" s="6"/>
      <c r="Q27" s="6"/>
      <c r="R27" s="6"/>
      <c r="S27" s="6"/>
      <c r="T27" s="6"/>
    </row>
    <row r="28" spans="1:20">
      <c r="A28" s="55" t="s">
        <v>11</v>
      </c>
      <c r="B28" s="61">
        <v>0.60372361809999997</v>
      </c>
      <c r="C28" s="61">
        <v>0.62947077409999996</v>
      </c>
      <c r="D28" s="61">
        <v>0.66771428570000002</v>
      </c>
      <c r="E28" s="61">
        <v>0.58955665020000003</v>
      </c>
      <c r="F28" s="61">
        <v>0.4508706468</v>
      </c>
      <c r="G28" s="6"/>
      <c r="H28" s="6"/>
      <c r="I28" s="6"/>
      <c r="J28" s="6"/>
      <c r="K28" s="6"/>
      <c r="L28" s="6"/>
      <c r="M28" s="6"/>
      <c r="N28" s="6"/>
      <c r="O28" s="6"/>
      <c r="P28" s="6"/>
      <c r="Q28" s="6"/>
      <c r="R28" s="6"/>
      <c r="S28" s="6"/>
      <c r="T28" s="6"/>
    </row>
    <row r="29" spans="1:20">
      <c r="A29" s="55" t="s">
        <v>99</v>
      </c>
      <c r="B29" s="61">
        <v>0.63633333329999997</v>
      </c>
      <c r="C29" s="61">
        <v>0.68181818179999998</v>
      </c>
      <c r="D29" s="61">
        <v>0.56792452830000006</v>
      </c>
      <c r="E29" s="61">
        <v>0.51867088610000001</v>
      </c>
      <c r="F29" s="61">
        <v>0.46553398060000001</v>
      </c>
      <c r="G29" s="6"/>
      <c r="H29" s="6"/>
      <c r="I29" s="6"/>
      <c r="J29" s="6"/>
      <c r="K29" s="6"/>
      <c r="L29" s="6"/>
      <c r="M29" s="6"/>
      <c r="N29" s="6"/>
      <c r="O29" s="6"/>
      <c r="P29" s="6"/>
      <c r="Q29" s="6"/>
      <c r="R29" s="6"/>
      <c r="S29" s="6"/>
      <c r="T29" s="6"/>
    </row>
    <row r="30" spans="1:20">
      <c r="A30" s="55" t="s">
        <v>10</v>
      </c>
      <c r="B30" s="61">
        <v>0.54785373609999999</v>
      </c>
      <c r="C30" s="61">
        <v>0.65202492210000007</v>
      </c>
      <c r="D30" s="61">
        <v>0.64867601250000007</v>
      </c>
      <c r="E30" s="61">
        <v>0.56892697469999998</v>
      </c>
      <c r="F30" s="61">
        <v>0.54299674269999998</v>
      </c>
      <c r="G30" s="6"/>
      <c r="H30" s="6"/>
      <c r="I30" s="6"/>
      <c r="J30" s="6"/>
      <c r="K30" s="6"/>
      <c r="L30" s="6"/>
      <c r="M30" s="6"/>
      <c r="N30" s="6"/>
      <c r="O30" s="6"/>
      <c r="P30" s="6"/>
      <c r="Q30" s="6"/>
      <c r="R30" s="6"/>
      <c r="S30" s="6"/>
      <c r="T30" s="6"/>
    </row>
    <row r="31" spans="1:20">
      <c r="A31" s="55" t="s">
        <v>9</v>
      </c>
      <c r="B31" s="61">
        <v>0.6</v>
      </c>
      <c r="C31" s="61">
        <v>0.55000000000000004</v>
      </c>
      <c r="D31" s="61">
        <v>0.64</v>
      </c>
      <c r="E31" s="61">
        <v>0</v>
      </c>
      <c r="F31" s="61">
        <v>0.3</v>
      </c>
      <c r="G31" s="6"/>
      <c r="H31" s="6"/>
      <c r="I31" s="6"/>
      <c r="J31" s="6"/>
      <c r="K31" s="6"/>
      <c r="L31" s="6"/>
      <c r="M31" s="6"/>
      <c r="N31" s="6"/>
      <c r="O31" s="6"/>
      <c r="P31" s="6"/>
      <c r="Q31" s="6"/>
      <c r="R31" s="6"/>
      <c r="S31" s="6"/>
      <c r="T31" s="6"/>
    </row>
    <row r="32" spans="1:20">
      <c r="A32" s="55" t="s">
        <v>4</v>
      </c>
      <c r="B32" s="61">
        <v>0.61820646769999998</v>
      </c>
      <c r="C32" s="61">
        <v>0.66992875780000005</v>
      </c>
      <c r="D32" s="61">
        <v>0.65635770869999999</v>
      </c>
      <c r="E32" s="61">
        <v>0.5659223041</v>
      </c>
      <c r="F32" s="61">
        <v>0.52570660049999995</v>
      </c>
      <c r="G32" s="6"/>
      <c r="H32" s="6"/>
      <c r="I32" s="6"/>
      <c r="J32" s="6"/>
      <c r="K32" s="6"/>
      <c r="L32" s="6"/>
      <c r="M32" s="6"/>
      <c r="N32" s="6"/>
      <c r="O32" s="6"/>
      <c r="P32" s="6"/>
      <c r="Q32" s="6"/>
      <c r="R32" s="6"/>
      <c r="S32" s="6"/>
      <c r="T32" s="6"/>
    </row>
    <row r="34" spans="1:20">
      <c r="B34" s="379" t="s">
        <v>115</v>
      </c>
      <c r="C34" s="379"/>
      <c r="D34" s="379"/>
      <c r="E34" s="379"/>
      <c r="F34" s="379"/>
      <c r="G34" s="379"/>
      <c r="H34" s="379"/>
      <c r="I34" s="379"/>
      <c r="J34" s="379"/>
      <c r="K34" s="379"/>
      <c r="L34" s="379"/>
      <c r="M34" s="379"/>
      <c r="N34" s="379"/>
      <c r="O34" s="379"/>
      <c r="P34" s="379"/>
      <c r="Q34" s="379"/>
      <c r="R34" s="379"/>
      <c r="S34" s="379"/>
      <c r="T34" s="379"/>
    </row>
    <row r="36" spans="1:20">
      <c r="B36" s="36" t="s">
        <v>363</v>
      </c>
      <c r="C36" s="36" t="s">
        <v>655</v>
      </c>
      <c r="D36" s="36" t="s">
        <v>656</v>
      </c>
      <c r="E36" s="36" t="s">
        <v>657</v>
      </c>
      <c r="F36" s="36" t="s">
        <v>658</v>
      </c>
      <c r="G36" s="36"/>
      <c r="H36" s="36"/>
      <c r="I36" s="36"/>
      <c r="J36" s="36"/>
      <c r="K36" s="36"/>
      <c r="L36" s="36"/>
      <c r="M36" s="36"/>
      <c r="N36" s="36"/>
      <c r="O36" s="36"/>
      <c r="P36" s="36"/>
      <c r="Q36" s="36"/>
      <c r="R36" s="36"/>
      <c r="S36" s="36"/>
      <c r="T36" s="36"/>
    </row>
    <row r="37" spans="1:20">
      <c r="A37" s="55" t="s">
        <v>24</v>
      </c>
      <c r="B37" s="61"/>
      <c r="C37" s="61"/>
      <c r="D37" s="61"/>
      <c r="E37" s="61"/>
      <c r="F37" s="61"/>
      <c r="G37" s="6"/>
      <c r="H37" s="6"/>
      <c r="I37" s="6"/>
      <c r="J37" s="6"/>
      <c r="K37" s="6"/>
      <c r="L37" s="6"/>
      <c r="M37" s="6"/>
      <c r="N37" s="6"/>
      <c r="O37" s="6"/>
      <c r="P37" s="6"/>
      <c r="Q37" s="6"/>
      <c r="R37" s="6"/>
      <c r="S37" s="6"/>
      <c r="T37" s="6"/>
    </row>
    <row r="38" spans="1:20">
      <c r="A38" s="55" t="s">
        <v>8</v>
      </c>
      <c r="B38" s="61"/>
      <c r="C38" s="61"/>
      <c r="D38" s="61"/>
      <c r="E38" s="61"/>
      <c r="F38" s="61"/>
      <c r="G38" s="6"/>
      <c r="H38" s="6"/>
      <c r="I38" s="6"/>
      <c r="J38" s="6"/>
      <c r="K38" s="6"/>
      <c r="L38" s="6"/>
      <c r="M38" s="6"/>
      <c r="N38" s="6"/>
      <c r="O38" s="6"/>
      <c r="P38" s="6"/>
      <c r="Q38" s="6"/>
      <c r="R38" s="6"/>
      <c r="S38" s="6"/>
      <c r="T38" s="6"/>
    </row>
    <row r="39" spans="1:20">
      <c r="A39" s="55" t="s">
        <v>27</v>
      </c>
      <c r="B39" s="61"/>
      <c r="C39" s="61"/>
      <c r="D39" s="61"/>
      <c r="E39" s="61"/>
      <c r="F39" s="61"/>
      <c r="G39" s="6"/>
      <c r="H39" s="6"/>
      <c r="I39" s="6"/>
      <c r="J39" s="6"/>
      <c r="K39" s="6"/>
      <c r="L39" s="6"/>
      <c r="M39" s="6"/>
      <c r="N39" s="6"/>
      <c r="O39" s="6"/>
      <c r="P39" s="6"/>
      <c r="Q39" s="6"/>
      <c r="R39" s="6"/>
      <c r="S39" s="6"/>
      <c r="T39" s="6"/>
    </row>
    <row r="40" spans="1:20">
      <c r="A40" s="55" t="s">
        <v>25</v>
      </c>
      <c r="B40" s="61"/>
      <c r="C40" s="61"/>
      <c r="D40" s="61"/>
      <c r="E40" s="61"/>
      <c r="F40" s="61"/>
      <c r="G40" s="6"/>
      <c r="H40" s="6"/>
      <c r="I40" s="6"/>
      <c r="J40" s="6"/>
      <c r="K40" s="6"/>
      <c r="L40" s="6"/>
      <c r="M40" s="6"/>
      <c r="N40" s="6"/>
      <c r="O40" s="6"/>
      <c r="P40" s="6"/>
      <c r="Q40" s="6"/>
      <c r="R40" s="6"/>
      <c r="S40" s="6"/>
      <c r="T40" s="6"/>
    </row>
    <row r="41" spans="1:20">
      <c r="A41" s="55" t="s">
        <v>66</v>
      </c>
      <c r="B41" s="61"/>
      <c r="C41" s="61"/>
      <c r="D41" s="61"/>
      <c r="E41" s="61"/>
      <c r="F41" s="61"/>
      <c r="G41" s="6"/>
      <c r="H41" s="6"/>
      <c r="I41" s="6"/>
      <c r="J41" s="6"/>
      <c r="K41" s="6"/>
      <c r="L41" s="6"/>
      <c r="M41" s="6"/>
      <c r="N41" s="6"/>
      <c r="O41" s="6"/>
      <c r="P41" s="6"/>
      <c r="Q41" s="6"/>
      <c r="R41" s="6"/>
      <c r="S41" s="6"/>
      <c r="T41" s="6"/>
    </row>
    <row r="42" spans="1:20">
      <c r="A42" s="55" t="s">
        <v>98</v>
      </c>
      <c r="B42" s="61"/>
      <c r="C42" s="61"/>
      <c r="D42" s="61"/>
      <c r="E42" s="61"/>
      <c r="F42" s="61"/>
      <c r="G42" s="6"/>
      <c r="H42" s="6"/>
      <c r="I42" s="6"/>
      <c r="J42" s="6"/>
      <c r="K42" s="6"/>
      <c r="L42" s="6"/>
      <c r="M42" s="6"/>
      <c r="N42" s="6"/>
      <c r="O42" s="6"/>
      <c r="P42" s="6"/>
      <c r="Q42" s="6"/>
      <c r="R42" s="6"/>
      <c r="S42" s="6"/>
      <c r="T42" s="6"/>
    </row>
    <row r="43" spans="1:20">
      <c r="A43" s="55" t="s">
        <v>5</v>
      </c>
      <c r="B43" s="61"/>
      <c r="C43" s="61"/>
      <c r="D43" s="61"/>
      <c r="E43" s="61"/>
      <c r="F43" s="61"/>
      <c r="G43" s="6"/>
      <c r="H43" s="6"/>
      <c r="I43" s="6"/>
      <c r="J43" s="6"/>
      <c r="K43" s="6"/>
      <c r="L43" s="6"/>
      <c r="M43" s="6"/>
      <c r="N43" s="6"/>
      <c r="O43" s="6"/>
      <c r="P43" s="6"/>
      <c r="Q43" s="6"/>
      <c r="R43" s="6"/>
      <c r="S43" s="6"/>
      <c r="T43" s="6"/>
    </row>
    <row r="44" spans="1:20">
      <c r="A44" s="55" t="s">
        <v>26</v>
      </c>
      <c r="B44" s="61"/>
      <c r="C44" s="61"/>
      <c r="D44" s="61"/>
      <c r="E44" s="61"/>
      <c r="F44" s="61"/>
      <c r="G44" s="6"/>
      <c r="H44" s="6"/>
      <c r="I44" s="6"/>
      <c r="J44" s="6"/>
      <c r="K44" s="6"/>
      <c r="L44" s="6"/>
      <c r="M44" s="6"/>
      <c r="N44" s="6"/>
      <c r="O44" s="6"/>
      <c r="P44" s="6"/>
      <c r="Q44" s="6"/>
      <c r="R44" s="6"/>
      <c r="S44" s="6"/>
      <c r="T44" s="6"/>
    </row>
    <row r="45" spans="1:20">
      <c r="A45" s="55" t="s">
        <v>11</v>
      </c>
      <c r="B45" s="61"/>
      <c r="C45" s="61"/>
      <c r="D45" s="61"/>
      <c r="E45" s="61"/>
      <c r="F45" s="61"/>
      <c r="G45" s="6"/>
      <c r="H45" s="6"/>
      <c r="I45" s="6"/>
      <c r="J45" s="6"/>
      <c r="K45" s="6"/>
      <c r="L45" s="6"/>
      <c r="M45" s="6"/>
      <c r="N45" s="6"/>
      <c r="O45" s="6"/>
      <c r="P45" s="6"/>
      <c r="Q45" s="6"/>
      <c r="R45" s="6"/>
      <c r="S45" s="6"/>
      <c r="T45" s="6"/>
    </row>
    <row r="46" spans="1:20">
      <c r="A46" s="55" t="s">
        <v>99</v>
      </c>
      <c r="B46" s="61"/>
      <c r="C46" s="61"/>
      <c r="D46" s="61"/>
      <c r="E46" s="61"/>
      <c r="F46" s="61"/>
      <c r="G46" s="6"/>
      <c r="H46" s="6"/>
      <c r="I46" s="6"/>
      <c r="J46" s="6"/>
      <c r="K46" s="6"/>
      <c r="L46" s="6"/>
      <c r="M46" s="6"/>
      <c r="N46" s="6"/>
      <c r="O46" s="6"/>
      <c r="P46" s="6"/>
      <c r="Q46" s="6"/>
      <c r="R46" s="6"/>
      <c r="S46" s="6"/>
      <c r="T46" s="6"/>
    </row>
    <row r="47" spans="1:20">
      <c r="A47" s="55" t="s">
        <v>10</v>
      </c>
      <c r="B47" s="61"/>
      <c r="C47" s="61"/>
      <c r="D47" s="61"/>
      <c r="E47" s="61"/>
      <c r="F47" s="61"/>
      <c r="G47" s="6"/>
      <c r="H47" s="6"/>
      <c r="I47" s="6"/>
      <c r="J47" s="6"/>
      <c r="K47" s="6"/>
      <c r="L47" s="6"/>
      <c r="M47" s="6"/>
      <c r="N47" s="6"/>
      <c r="O47" s="6"/>
      <c r="P47" s="6"/>
      <c r="Q47" s="6"/>
      <c r="R47" s="6"/>
      <c r="S47" s="6"/>
      <c r="T47" s="6"/>
    </row>
    <row r="48" spans="1:20">
      <c r="A48" s="55" t="s">
        <v>9</v>
      </c>
      <c r="B48" s="61"/>
      <c r="C48" s="61"/>
      <c r="D48" s="61"/>
      <c r="E48" s="61"/>
      <c r="F48" s="61"/>
      <c r="G48" s="6"/>
      <c r="H48" s="6"/>
      <c r="I48" s="6"/>
      <c r="J48" s="6"/>
      <c r="K48" s="6"/>
      <c r="L48" s="6"/>
      <c r="M48" s="6"/>
      <c r="N48" s="6"/>
      <c r="O48" s="6"/>
      <c r="P48" s="6"/>
      <c r="Q48" s="6"/>
      <c r="R48" s="6"/>
      <c r="S48" s="6"/>
      <c r="T48" s="6"/>
    </row>
    <row r="49" spans="1:20">
      <c r="A49" s="55" t="s">
        <v>4</v>
      </c>
      <c r="B49" s="61"/>
      <c r="C49" s="61"/>
      <c r="D49" s="61"/>
      <c r="E49" s="61"/>
      <c r="F49" s="61"/>
      <c r="G49" s="6"/>
      <c r="H49" s="6"/>
      <c r="I49" s="6"/>
      <c r="J49" s="6"/>
      <c r="K49" s="6"/>
      <c r="L49" s="6"/>
      <c r="M49" s="6"/>
      <c r="N49" s="6"/>
      <c r="O49" s="6"/>
      <c r="P49" s="6"/>
      <c r="Q49" s="6"/>
      <c r="R49" s="6"/>
      <c r="S49" s="6"/>
      <c r="T49" s="6"/>
    </row>
  </sheetData>
  <mergeCells count="2">
    <mergeCell ref="B17:F17"/>
    <mergeCell ref="B34:T34"/>
  </mergeCells>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53"/>
  <sheetViews>
    <sheetView zoomScale="70" zoomScaleNormal="70" workbookViewId="0">
      <pane ySplit="1" topLeftCell="A2" activePane="bottomLeft" state="frozen"/>
      <selection pane="bottomLeft" activeCell="J36" sqref="J36"/>
    </sheetView>
  </sheetViews>
  <sheetFormatPr defaultColWidth="8.7109375" defaultRowHeight="15"/>
  <cols>
    <col min="1" max="1" width="4.42578125" style="69" customWidth="1" collapsed="1"/>
    <col min="2" max="2" width="16.140625" style="69" customWidth="1" collapsed="1"/>
    <col min="3" max="22" width="8.7109375" style="69" collapsed="1"/>
    <col min="23" max="23" width="8.7109375" style="145" collapsed="1"/>
    <col min="24" max="16384" width="8.7109375" style="69" collapsed="1"/>
  </cols>
  <sheetData>
    <row r="1" spans="1:27">
      <c r="A1" s="9"/>
      <c r="B1" s="69" t="s">
        <v>23</v>
      </c>
      <c r="C1" s="69" t="str">
        <f ca="1">'TESTING v1'!C1</f>
        <v>CPhI</v>
      </c>
      <c r="D1" s="69" t="str">
        <f ca="1">'TESTING v1'!D1</f>
        <v>Fi Global</v>
      </c>
      <c r="E1" s="69" t="str">
        <f ca="1">'TESTING v1'!E1</f>
        <v>Sleep and Eat</v>
      </c>
      <c r="F1" s="69" t="str">
        <f ca="1">'TESTING v1'!F1</f>
        <v>Decorex</v>
      </c>
      <c r="G1" s="69" t="str">
        <f ca="1">'TESTING v1'!G1</f>
        <v>Slas Europe</v>
      </c>
      <c r="H1" s="69" t="str">
        <f ca="1">'TESTING v1'!H1</f>
        <v>Africa's Big</v>
      </c>
      <c r="I1" s="69" t="str">
        <f ca="1">'TESTING v1'!I1</f>
        <v>BLLA</v>
      </c>
      <c r="J1" s="69" t="str">
        <f ca="1">'TESTING v1'!J1</f>
        <v>AIA</v>
      </c>
      <c r="K1" s="69">
        <f ca="1">'TESTING v1'!K1</f>
        <v>0</v>
      </c>
      <c r="L1" s="69">
        <f ca="1">'TESTING v1'!L1</f>
        <v>0</v>
      </c>
      <c r="M1" s="69">
        <f ca="1">'TESTING v1'!M1</f>
        <v>0</v>
      </c>
      <c r="N1" s="69">
        <f ca="1">'TESTING v1'!N1</f>
        <v>0</v>
      </c>
      <c r="O1" s="69">
        <f ca="1">'TESTING v1'!O1</f>
        <v>0</v>
      </c>
      <c r="P1" s="69">
        <f ca="1">'TESTING v1'!P1</f>
        <v>0</v>
      </c>
      <c r="Q1" s="69">
        <f ca="1">'TESTING v1'!Q1</f>
        <v>0</v>
      </c>
      <c r="R1" s="69">
        <f ca="1">'TESTING v1'!R1</f>
        <v>0</v>
      </c>
      <c r="S1" s="69">
        <f ca="1">'TESTING v1'!S1</f>
        <v>0</v>
      </c>
      <c r="T1" s="69">
        <f ca="1">'TESTING v1'!T1</f>
        <v>0</v>
      </c>
      <c r="U1" s="69">
        <f ca="1">'TESTING v1'!U1</f>
        <v>0</v>
      </c>
      <c r="V1" s="69">
        <f ca="1">'TESTING v1'!V1</f>
        <v>0</v>
      </c>
      <c r="W1" s="98" t="s">
        <v>340</v>
      </c>
      <c r="X1" s="23" t="s">
        <v>341</v>
      </c>
      <c r="Y1" s="69" t="s">
        <v>342</v>
      </c>
      <c r="Z1" s="69" t="s">
        <v>343</v>
      </c>
      <c r="AA1" s="69" t="s">
        <v>340</v>
      </c>
    </row>
    <row r="2" spans="1:27">
      <c r="A2" s="9"/>
      <c r="B2" s="69" t="str">
        <f>ANALYSIS!B2</f>
        <v>Initial Consideration</v>
      </c>
      <c r="C2" s="99">
        <v>0</v>
      </c>
      <c r="D2" s="99">
        <v>0</v>
      </c>
      <c r="E2" s="99">
        <v>0</v>
      </c>
      <c r="F2" s="99">
        <v>0</v>
      </c>
      <c r="G2" s="99">
        <v>0</v>
      </c>
      <c r="H2" s="99">
        <v>0</v>
      </c>
      <c r="I2" s="99">
        <v>0</v>
      </c>
      <c r="J2" s="99">
        <v>0</v>
      </c>
      <c r="K2" s="99">
        <v>0</v>
      </c>
      <c r="L2" s="99">
        <v>0</v>
      </c>
      <c r="M2" s="99">
        <v>0</v>
      </c>
      <c r="N2" s="99">
        <v>0</v>
      </c>
      <c r="O2" s="99">
        <v>0</v>
      </c>
      <c r="P2" s="99">
        <v>0</v>
      </c>
      <c r="Q2" s="99">
        <v>0</v>
      </c>
      <c r="R2" s="99">
        <v>0</v>
      </c>
      <c r="S2" s="99">
        <v>0</v>
      </c>
      <c r="T2" s="99">
        <v>0</v>
      </c>
      <c r="U2" s="99">
        <v>0</v>
      </c>
      <c r="V2" s="99">
        <v>0</v>
      </c>
      <c r="W2" s="100">
        <f>AA2</f>
        <v>0</v>
      </c>
      <c r="X2" s="21">
        <f>MAX(COUNTIF(C2:V2,"&gt;0")-1,0)</f>
        <v>0</v>
      </c>
      <c r="Y2" s="10">
        <f>SMALL(C2:V2,(20-X2))</f>
        <v>0</v>
      </c>
      <c r="Z2" s="10">
        <f>MAX(C2:V2)</f>
        <v>0</v>
      </c>
      <c r="AA2" s="10">
        <f>Z2-Y2</f>
        <v>0</v>
      </c>
    </row>
    <row r="3" spans="1:27">
      <c r="A3" s="9"/>
      <c r="B3" s="69" t="str">
        <f>ANALYSIS!B3</f>
        <v>Active Evaluation</v>
      </c>
      <c r="C3" s="99">
        <v>0</v>
      </c>
      <c r="D3" s="99">
        <v>0</v>
      </c>
      <c r="E3" s="99">
        <v>0</v>
      </c>
      <c r="F3" s="99">
        <v>0</v>
      </c>
      <c r="G3" s="99">
        <v>0</v>
      </c>
      <c r="H3" s="99">
        <v>0</v>
      </c>
      <c r="I3" s="99">
        <v>0</v>
      </c>
      <c r="J3" s="99">
        <v>0</v>
      </c>
      <c r="K3" s="99">
        <v>0</v>
      </c>
      <c r="L3" s="99">
        <v>0</v>
      </c>
      <c r="M3" s="99">
        <v>0</v>
      </c>
      <c r="N3" s="99">
        <v>0</v>
      </c>
      <c r="O3" s="99">
        <v>0</v>
      </c>
      <c r="P3" s="99">
        <v>0</v>
      </c>
      <c r="Q3" s="99">
        <v>0</v>
      </c>
      <c r="R3" s="99">
        <v>0</v>
      </c>
      <c r="S3" s="99">
        <v>0</v>
      </c>
      <c r="T3" s="99">
        <v>0</v>
      </c>
      <c r="U3" s="99">
        <v>0</v>
      </c>
      <c r="V3" s="99">
        <v>0</v>
      </c>
      <c r="W3" s="100">
        <f t="shared" ref="W3:W5" si="0">AA3</f>
        <v>0</v>
      </c>
      <c r="X3" s="21">
        <f t="shared" ref="X3:X5" si="1">MAX(COUNTIF(C3:V3,"&gt;0")-1,0)</f>
        <v>0</v>
      </c>
      <c r="Y3" s="10">
        <f t="shared" ref="Y3:Y5" si="2">SMALL(C3:V3,(20-X3))</f>
        <v>0</v>
      </c>
      <c r="Z3" s="10">
        <f t="shared" ref="Z3:Z5" si="3">MAX(C3:V3)</f>
        <v>0</v>
      </c>
      <c r="AA3" s="10">
        <f t="shared" ref="AA3:AA5" si="4">Z3-Y3</f>
        <v>0</v>
      </c>
    </row>
    <row r="4" spans="1:27">
      <c r="A4" s="9"/>
      <c r="B4" s="69" t="str">
        <f>ANALYSIS!B4</f>
        <v>Conversion</v>
      </c>
      <c r="C4" s="99">
        <v>0</v>
      </c>
      <c r="D4" s="99">
        <v>0</v>
      </c>
      <c r="E4" s="99">
        <v>0</v>
      </c>
      <c r="F4" s="99">
        <v>0</v>
      </c>
      <c r="G4" s="99">
        <v>0</v>
      </c>
      <c r="H4" s="99">
        <v>0</v>
      </c>
      <c r="I4" s="99">
        <v>0</v>
      </c>
      <c r="J4" s="99">
        <v>0</v>
      </c>
      <c r="K4" s="99">
        <v>0</v>
      </c>
      <c r="L4" s="99">
        <v>0</v>
      </c>
      <c r="M4" s="99">
        <v>0</v>
      </c>
      <c r="N4" s="99">
        <v>0</v>
      </c>
      <c r="O4" s="99">
        <v>0</v>
      </c>
      <c r="P4" s="99">
        <v>0</v>
      </c>
      <c r="Q4" s="99">
        <v>0</v>
      </c>
      <c r="R4" s="99">
        <v>0</v>
      </c>
      <c r="S4" s="99">
        <v>0</v>
      </c>
      <c r="T4" s="99">
        <v>0</v>
      </c>
      <c r="U4" s="99">
        <v>0</v>
      </c>
      <c r="V4" s="99">
        <v>0</v>
      </c>
      <c r="W4" s="100">
        <f t="shared" si="0"/>
        <v>0</v>
      </c>
      <c r="X4" s="21">
        <f t="shared" si="1"/>
        <v>0</v>
      </c>
      <c r="Y4" s="10">
        <f t="shared" si="2"/>
        <v>0</v>
      </c>
      <c r="Z4" s="10">
        <f t="shared" si="3"/>
        <v>0</v>
      </c>
      <c r="AA4" s="10">
        <f t="shared" si="4"/>
        <v>0</v>
      </c>
    </row>
    <row r="5" spans="1:27">
      <c r="A5" s="9"/>
      <c r="B5" s="69" t="str">
        <f>ANALYSIS!B5</f>
        <v>Experience &amp; Loyalty</v>
      </c>
      <c r="C5" s="99">
        <v>0</v>
      </c>
      <c r="D5" s="99">
        <v>0</v>
      </c>
      <c r="E5" s="99">
        <v>0</v>
      </c>
      <c r="F5" s="99">
        <v>0</v>
      </c>
      <c r="G5" s="99">
        <v>0</v>
      </c>
      <c r="H5" s="99">
        <v>0</v>
      </c>
      <c r="I5" s="99">
        <v>0</v>
      </c>
      <c r="J5" s="99">
        <v>0</v>
      </c>
      <c r="K5" s="99">
        <v>0</v>
      </c>
      <c r="L5" s="99">
        <v>0</v>
      </c>
      <c r="M5" s="99">
        <v>0</v>
      </c>
      <c r="N5" s="99">
        <v>0</v>
      </c>
      <c r="O5" s="99">
        <v>0</v>
      </c>
      <c r="P5" s="99">
        <v>0</v>
      </c>
      <c r="Q5" s="99">
        <v>0</v>
      </c>
      <c r="R5" s="99">
        <v>0</v>
      </c>
      <c r="S5" s="99">
        <v>0</v>
      </c>
      <c r="T5" s="99">
        <v>0</v>
      </c>
      <c r="U5" s="99">
        <v>0</v>
      </c>
      <c r="V5" s="99">
        <v>0</v>
      </c>
      <c r="W5" s="100">
        <f t="shared" si="0"/>
        <v>0</v>
      </c>
      <c r="X5" s="21">
        <f t="shared" si="1"/>
        <v>0</v>
      </c>
      <c r="Y5" s="10">
        <f t="shared" si="2"/>
        <v>0</v>
      </c>
      <c r="Z5" s="10">
        <f t="shared" si="3"/>
        <v>0</v>
      </c>
      <c r="AA5" s="10">
        <f t="shared" si="4"/>
        <v>0</v>
      </c>
    </row>
    <row r="6" spans="1:27" hidden="1">
      <c r="A6" s="9"/>
      <c r="C6" s="101"/>
      <c r="D6" s="101"/>
      <c r="E6" s="101"/>
      <c r="F6" s="101"/>
      <c r="G6" s="101"/>
      <c r="H6" s="101"/>
      <c r="I6" s="101"/>
      <c r="J6" s="101"/>
      <c r="K6" s="101"/>
      <c r="L6" s="101"/>
      <c r="M6" s="101"/>
      <c r="N6" s="101"/>
      <c r="O6" s="101"/>
      <c r="P6" s="101"/>
      <c r="Q6" s="101"/>
      <c r="R6" s="101"/>
      <c r="S6" s="101"/>
      <c r="T6" s="101"/>
      <c r="U6" s="101"/>
      <c r="V6" s="101"/>
      <c r="W6" s="100"/>
      <c r="X6" s="21"/>
      <c r="Y6" s="10"/>
      <c r="Z6" s="10"/>
      <c r="AA6" s="10"/>
    </row>
    <row r="7" spans="1:27" hidden="1">
      <c r="A7" s="9"/>
      <c r="B7" s="69" t="s">
        <v>344</v>
      </c>
      <c r="C7" s="101">
        <f>(C2*0.8+C3+C4+C5*0.3)/3.1</f>
        <v>0</v>
      </c>
      <c r="D7" s="101">
        <f t="shared" ref="D7:V7" si="5">(D2*0.8+D3+D4+D5*0.3)/3.1</f>
        <v>0</v>
      </c>
      <c r="E7" s="101">
        <f t="shared" si="5"/>
        <v>0</v>
      </c>
      <c r="F7" s="101">
        <f t="shared" si="5"/>
        <v>0</v>
      </c>
      <c r="G7" s="101">
        <f t="shared" si="5"/>
        <v>0</v>
      </c>
      <c r="H7" s="101">
        <f t="shared" si="5"/>
        <v>0</v>
      </c>
      <c r="I7" s="101">
        <f t="shared" si="5"/>
        <v>0</v>
      </c>
      <c r="J7" s="101">
        <f t="shared" si="5"/>
        <v>0</v>
      </c>
      <c r="K7" s="101">
        <f t="shared" si="5"/>
        <v>0</v>
      </c>
      <c r="L7" s="101">
        <f t="shared" si="5"/>
        <v>0</v>
      </c>
      <c r="M7" s="101">
        <f t="shared" si="5"/>
        <v>0</v>
      </c>
      <c r="N7" s="101">
        <f t="shared" si="5"/>
        <v>0</v>
      </c>
      <c r="O7" s="101">
        <f t="shared" si="5"/>
        <v>0</v>
      </c>
      <c r="P7" s="101">
        <f t="shared" si="5"/>
        <v>0</v>
      </c>
      <c r="Q7" s="101">
        <f t="shared" si="5"/>
        <v>0</v>
      </c>
      <c r="R7" s="101">
        <f t="shared" si="5"/>
        <v>0</v>
      </c>
      <c r="S7" s="101">
        <f t="shared" si="5"/>
        <v>0</v>
      </c>
      <c r="T7" s="101">
        <f t="shared" si="5"/>
        <v>0</v>
      </c>
      <c r="U7" s="101">
        <f t="shared" si="5"/>
        <v>0</v>
      </c>
      <c r="V7" s="101">
        <f t="shared" si="5"/>
        <v>0</v>
      </c>
      <c r="W7" s="100"/>
      <c r="X7" s="21"/>
      <c r="Y7" s="10"/>
      <c r="Z7" s="10"/>
      <c r="AA7" s="10"/>
    </row>
    <row r="8" spans="1:27" hidden="1">
      <c r="A8" s="9"/>
      <c r="B8" s="69" t="s">
        <v>345</v>
      </c>
      <c r="C8" s="102" t="e">
        <f>_xlfn.RANK.AVG(C7,$C$7:$V$7,0)/COUNTIF($C$7:$V$7,"&gt;0")</f>
        <v>#DIV/0!</v>
      </c>
      <c r="D8" s="102" t="e">
        <f t="shared" ref="D8:V8" si="6">_xlfn.RANK.AVG(D7,$C$7:$V$7,0)/COUNTIF($C$7:$V$7,"&gt;0")</f>
        <v>#DIV/0!</v>
      </c>
      <c r="E8" s="102" t="e">
        <f t="shared" si="6"/>
        <v>#DIV/0!</v>
      </c>
      <c r="F8" s="102" t="e">
        <f t="shared" si="6"/>
        <v>#DIV/0!</v>
      </c>
      <c r="G8" s="102" t="e">
        <f t="shared" si="6"/>
        <v>#DIV/0!</v>
      </c>
      <c r="H8" s="102" t="e">
        <f t="shared" si="6"/>
        <v>#DIV/0!</v>
      </c>
      <c r="I8" s="102" t="e">
        <f t="shared" si="6"/>
        <v>#DIV/0!</v>
      </c>
      <c r="J8" s="102" t="e">
        <f t="shared" si="6"/>
        <v>#DIV/0!</v>
      </c>
      <c r="K8" s="102" t="e">
        <f t="shared" si="6"/>
        <v>#DIV/0!</v>
      </c>
      <c r="L8" s="102" t="e">
        <f t="shared" si="6"/>
        <v>#DIV/0!</v>
      </c>
      <c r="M8" s="102" t="e">
        <f t="shared" si="6"/>
        <v>#DIV/0!</v>
      </c>
      <c r="N8" s="102" t="e">
        <f t="shared" si="6"/>
        <v>#DIV/0!</v>
      </c>
      <c r="O8" s="102" t="e">
        <f t="shared" si="6"/>
        <v>#DIV/0!</v>
      </c>
      <c r="P8" s="102" t="e">
        <f t="shared" si="6"/>
        <v>#DIV/0!</v>
      </c>
      <c r="Q8" s="102" t="e">
        <f t="shared" si="6"/>
        <v>#DIV/0!</v>
      </c>
      <c r="R8" s="102" t="e">
        <f t="shared" si="6"/>
        <v>#DIV/0!</v>
      </c>
      <c r="S8" s="102" t="e">
        <f t="shared" si="6"/>
        <v>#DIV/0!</v>
      </c>
      <c r="T8" s="102" t="e">
        <f t="shared" si="6"/>
        <v>#DIV/0!</v>
      </c>
      <c r="U8" s="102" t="e">
        <f t="shared" si="6"/>
        <v>#DIV/0!</v>
      </c>
      <c r="V8" s="102" t="e">
        <f t="shared" si="6"/>
        <v>#DIV/0!</v>
      </c>
      <c r="W8" s="100"/>
      <c r="X8" s="21"/>
      <c r="Y8" s="10"/>
      <c r="Z8" s="10"/>
      <c r="AA8" s="10"/>
    </row>
    <row r="9" spans="1:27" hidden="1">
      <c r="A9" s="9"/>
      <c r="C9" s="102"/>
      <c r="D9" s="102"/>
      <c r="E9" s="102"/>
      <c r="F9" s="102"/>
      <c r="G9" s="102"/>
      <c r="H9" s="102"/>
      <c r="I9" s="102"/>
      <c r="J9" s="102"/>
      <c r="K9" s="102"/>
      <c r="L9" s="102"/>
      <c r="M9" s="102"/>
      <c r="N9" s="102"/>
      <c r="O9" s="102"/>
      <c r="P9" s="102"/>
      <c r="Q9" s="102"/>
      <c r="R9" s="102"/>
      <c r="S9" s="102"/>
      <c r="T9" s="102"/>
      <c r="U9" s="102"/>
      <c r="V9" s="102"/>
      <c r="W9" s="100"/>
      <c r="X9" s="21"/>
      <c r="Y9" s="10"/>
      <c r="Z9" s="10"/>
      <c r="AA9" s="10"/>
    </row>
    <row r="10" spans="1:27" hidden="1">
      <c r="A10" s="9"/>
      <c r="B10" s="69" t="s">
        <v>346</v>
      </c>
      <c r="C10" s="102">
        <f>(0.8*C2+1*C3)/1.8</f>
        <v>0</v>
      </c>
      <c r="D10" s="102">
        <f t="shared" ref="D10:V10" si="7">(0.8*D2+1*D3)/1.8</f>
        <v>0</v>
      </c>
      <c r="E10" s="102">
        <f t="shared" si="7"/>
        <v>0</v>
      </c>
      <c r="F10" s="102">
        <f t="shared" si="7"/>
        <v>0</v>
      </c>
      <c r="G10" s="102">
        <f t="shared" si="7"/>
        <v>0</v>
      </c>
      <c r="H10" s="102">
        <f t="shared" si="7"/>
        <v>0</v>
      </c>
      <c r="I10" s="102">
        <f t="shared" si="7"/>
        <v>0</v>
      </c>
      <c r="J10" s="102">
        <f t="shared" si="7"/>
        <v>0</v>
      </c>
      <c r="K10" s="102">
        <f t="shared" si="7"/>
        <v>0</v>
      </c>
      <c r="L10" s="102">
        <f t="shared" si="7"/>
        <v>0</v>
      </c>
      <c r="M10" s="102">
        <f t="shared" si="7"/>
        <v>0</v>
      </c>
      <c r="N10" s="102">
        <f t="shared" si="7"/>
        <v>0</v>
      </c>
      <c r="O10" s="102">
        <f t="shared" si="7"/>
        <v>0</v>
      </c>
      <c r="P10" s="102">
        <f t="shared" si="7"/>
        <v>0</v>
      </c>
      <c r="Q10" s="102">
        <f t="shared" si="7"/>
        <v>0</v>
      </c>
      <c r="R10" s="102">
        <f t="shared" si="7"/>
        <v>0</v>
      </c>
      <c r="S10" s="102">
        <f t="shared" si="7"/>
        <v>0</v>
      </c>
      <c r="T10" s="102">
        <f t="shared" si="7"/>
        <v>0</v>
      </c>
      <c r="U10" s="102">
        <f t="shared" si="7"/>
        <v>0</v>
      </c>
      <c r="V10" s="102">
        <f t="shared" si="7"/>
        <v>0</v>
      </c>
      <c r="W10" s="100"/>
      <c r="X10" s="21"/>
      <c r="Y10" s="10"/>
      <c r="Z10" s="10"/>
      <c r="AA10" s="10"/>
    </row>
    <row r="11" spans="1:27" hidden="1">
      <c r="A11" s="9"/>
      <c r="B11" s="69" t="s">
        <v>347</v>
      </c>
      <c r="C11" s="102">
        <f>(1*C4+0.3*C5)/1.3</f>
        <v>0</v>
      </c>
      <c r="D11" s="102">
        <f t="shared" ref="D11:V11" si="8">(1*D4+0.3*D5)/1.3</f>
        <v>0</v>
      </c>
      <c r="E11" s="102">
        <f t="shared" si="8"/>
        <v>0</v>
      </c>
      <c r="F11" s="102">
        <f t="shared" si="8"/>
        <v>0</v>
      </c>
      <c r="G11" s="102">
        <f t="shared" si="8"/>
        <v>0</v>
      </c>
      <c r="H11" s="102">
        <f t="shared" si="8"/>
        <v>0</v>
      </c>
      <c r="I11" s="102">
        <f t="shared" si="8"/>
        <v>0</v>
      </c>
      <c r="J11" s="102">
        <f t="shared" si="8"/>
        <v>0</v>
      </c>
      <c r="K11" s="102">
        <f t="shared" si="8"/>
        <v>0</v>
      </c>
      <c r="L11" s="102">
        <f t="shared" si="8"/>
        <v>0</v>
      </c>
      <c r="M11" s="102">
        <f t="shared" si="8"/>
        <v>0</v>
      </c>
      <c r="N11" s="102">
        <f t="shared" si="8"/>
        <v>0</v>
      </c>
      <c r="O11" s="102">
        <f t="shared" si="8"/>
        <v>0</v>
      </c>
      <c r="P11" s="102">
        <f t="shared" si="8"/>
        <v>0</v>
      </c>
      <c r="Q11" s="102">
        <f t="shared" si="8"/>
        <v>0</v>
      </c>
      <c r="R11" s="102">
        <f t="shared" si="8"/>
        <v>0</v>
      </c>
      <c r="S11" s="102">
        <f t="shared" si="8"/>
        <v>0</v>
      </c>
      <c r="T11" s="102">
        <f t="shared" si="8"/>
        <v>0</v>
      </c>
      <c r="U11" s="102">
        <f t="shared" si="8"/>
        <v>0</v>
      </c>
      <c r="V11" s="102">
        <f t="shared" si="8"/>
        <v>0</v>
      </c>
      <c r="W11" s="100"/>
      <c r="X11" s="21"/>
      <c r="Y11" s="10"/>
      <c r="Z11" s="10"/>
      <c r="AA11" s="10"/>
    </row>
    <row r="12" spans="1:27">
      <c r="A12" s="9"/>
      <c r="C12" s="324" t="s">
        <v>348</v>
      </c>
      <c r="D12" s="324"/>
      <c r="E12" s="324"/>
      <c r="F12" s="324"/>
      <c r="G12" s="324"/>
      <c r="H12" s="324"/>
      <c r="I12" s="324"/>
      <c r="J12" s="324"/>
      <c r="K12" s="324"/>
      <c r="L12" s="324"/>
      <c r="M12" s="324"/>
      <c r="N12" s="324"/>
      <c r="O12" s="324"/>
      <c r="P12" s="324"/>
      <c r="Q12" s="324"/>
      <c r="R12" s="324"/>
      <c r="S12" s="324"/>
      <c r="T12" s="324"/>
      <c r="U12" s="324"/>
      <c r="V12" s="324"/>
      <c r="W12" s="32"/>
    </row>
    <row r="13" spans="1:27">
      <c r="A13" s="9"/>
      <c r="B13" s="69" t="str">
        <f>ANALYSIS!B14</f>
        <v>Search Engine Optimization</v>
      </c>
      <c r="C13" s="99">
        <v>0</v>
      </c>
      <c r="D13" s="99">
        <v>0</v>
      </c>
      <c r="E13" s="99">
        <v>0</v>
      </c>
      <c r="F13" s="99">
        <v>0</v>
      </c>
      <c r="G13" s="99">
        <v>0</v>
      </c>
      <c r="H13" s="99">
        <v>0</v>
      </c>
      <c r="I13" s="99">
        <v>0</v>
      </c>
      <c r="J13" s="99">
        <v>0</v>
      </c>
      <c r="K13" s="99">
        <v>0</v>
      </c>
      <c r="L13" s="99">
        <v>0</v>
      </c>
      <c r="M13" s="99">
        <v>0</v>
      </c>
      <c r="N13" s="99">
        <v>0</v>
      </c>
      <c r="O13" s="99">
        <v>0</v>
      </c>
      <c r="P13" s="99">
        <v>0</v>
      </c>
      <c r="Q13" s="99">
        <v>0</v>
      </c>
      <c r="R13" s="99">
        <v>0</v>
      </c>
      <c r="S13" s="99">
        <v>0</v>
      </c>
      <c r="T13" s="99">
        <v>0</v>
      </c>
      <c r="U13" s="99">
        <v>0</v>
      </c>
      <c r="V13" s="99">
        <v>0</v>
      </c>
      <c r="W13" s="100">
        <f t="shared" ref="W13:W23" si="9">AA13</f>
        <v>0</v>
      </c>
      <c r="X13" s="21">
        <f t="shared" ref="X13:X23" si="10">MAX(COUNTIF(C13:V13,"&gt;0")-1,0)</f>
        <v>0</v>
      </c>
      <c r="Y13" s="10">
        <f t="shared" ref="Y13:Y23" si="11">SMALL(C13:V13,(20-X13))</f>
        <v>0</v>
      </c>
      <c r="Z13" s="10">
        <f t="shared" ref="Z13:Z23" si="12">MAX(C13:V13)</f>
        <v>0</v>
      </c>
      <c r="AA13" s="10">
        <f t="shared" ref="AA13:AA23" si="13">Z13-Y13</f>
        <v>0</v>
      </c>
    </row>
    <row r="14" spans="1:27">
      <c r="A14" s="9"/>
      <c r="B14" s="69" t="str">
        <f>ANALYSIS!B15</f>
        <v>Mobile Experience</v>
      </c>
      <c r="C14" s="99">
        <v>0</v>
      </c>
      <c r="D14" s="99">
        <v>0</v>
      </c>
      <c r="E14" s="99">
        <v>0</v>
      </c>
      <c r="F14" s="99">
        <v>0</v>
      </c>
      <c r="G14" s="99">
        <v>0</v>
      </c>
      <c r="H14" s="99">
        <v>0</v>
      </c>
      <c r="I14" s="99">
        <v>0</v>
      </c>
      <c r="J14" s="99">
        <v>0</v>
      </c>
      <c r="K14" s="99">
        <v>0</v>
      </c>
      <c r="L14" s="99">
        <v>0</v>
      </c>
      <c r="M14" s="99">
        <v>0</v>
      </c>
      <c r="N14" s="99">
        <v>0</v>
      </c>
      <c r="O14" s="99">
        <v>0</v>
      </c>
      <c r="P14" s="99">
        <v>0</v>
      </c>
      <c r="Q14" s="99">
        <v>0</v>
      </c>
      <c r="R14" s="99">
        <v>0</v>
      </c>
      <c r="S14" s="99">
        <v>0</v>
      </c>
      <c r="T14" s="99">
        <v>0</v>
      </c>
      <c r="U14" s="99">
        <v>0</v>
      </c>
      <c r="V14" s="99">
        <v>0</v>
      </c>
      <c r="W14" s="100">
        <f t="shared" si="9"/>
        <v>0</v>
      </c>
      <c r="X14" s="21">
        <f t="shared" si="10"/>
        <v>0</v>
      </c>
      <c r="Y14" s="10">
        <f t="shared" si="11"/>
        <v>0</v>
      </c>
      <c r="Z14" s="10">
        <f t="shared" si="12"/>
        <v>0</v>
      </c>
      <c r="AA14" s="10">
        <f t="shared" si="13"/>
        <v>0</v>
      </c>
    </row>
    <row r="15" spans="1:27">
      <c r="A15" s="9"/>
      <c r="B15" s="69" t="str">
        <f>ANALYSIS!B16</f>
        <v>Website Technical &amp; Functional</v>
      </c>
      <c r="C15" s="99">
        <v>0</v>
      </c>
      <c r="D15" s="99">
        <v>0</v>
      </c>
      <c r="E15" s="99">
        <v>0</v>
      </c>
      <c r="F15" s="99">
        <v>0</v>
      </c>
      <c r="G15" s="99">
        <v>0</v>
      </c>
      <c r="H15" s="99">
        <v>0</v>
      </c>
      <c r="I15" s="99">
        <v>0</v>
      </c>
      <c r="J15" s="99">
        <v>0</v>
      </c>
      <c r="K15" s="99">
        <v>0</v>
      </c>
      <c r="L15" s="99">
        <v>0</v>
      </c>
      <c r="M15" s="99">
        <v>0</v>
      </c>
      <c r="N15" s="99">
        <v>0</v>
      </c>
      <c r="O15" s="99">
        <v>0</v>
      </c>
      <c r="P15" s="99">
        <v>0</v>
      </c>
      <c r="Q15" s="99">
        <v>0</v>
      </c>
      <c r="R15" s="99">
        <v>0</v>
      </c>
      <c r="S15" s="99">
        <v>0</v>
      </c>
      <c r="T15" s="99">
        <v>0</v>
      </c>
      <c r="U15" s="99">
        <v>0</v>
      </c>
      <c r="V15" s="99">
        <v>0</v>
      </c>
      <c r="W15" s="100">
        <f t="shared" si="9"/>
        <v>0</v>
      </c>
      <c r="X15" s="21">
        <f t="shared" si="10"/>
        <v>0</v>
      </c>
      <c r="Y15" s="10">
        <f t="shared" si="11"/>
        <v>0</v>
      </c>
      <c r="Z15" s="10">
        <f t="shared" si="12"/>
        <v>0</v>
      </c>
      <c r="AA15" s="10">
        <f t="shared" si="13"/>
        <v>0</v>
      </c>
    </row>
    <row r="16" spans="1:27">
      <c r="A16" s="9"/>
      <c r="B16" s="69" t="str">
        <f>ANALYSIS!B17</f>
        <v xml:space="preserve">Content Marketing </v>
      </c>
      <c r="C16" s="99">
        <v>0</v>
      </c>
      <c r="D16" s="99">
        <v>0</v>
      </c>
      <c r="E16" s="99">
        <v>0</v>
      </c>
      <c r="F16" s="99">
        <v>0</v>
      </c>
      <c r="G16" s="99">
        <v>0</v>
      </c>
      <c r="H16" s="99">
        <v>0</v>
      </c>
      <c r="I16" s="99">
        <v>0</v>
      </c>
      <c r="J16" s="99">
        <v>0</v>
      </c>
      <c r="K16" s="99">
        <v>0</v>
      </c>
      <c r="L16" s="99">
        <v>0</v>
      </c>
      <c r="M16" s="99">
        <v>0</v>
      </c>
      <c r="N16" s="99">
        <v>0</v>
      </c>
      <c r="O16" s="99">
        <v>0</v>
      </c>
      <c r="P16" s="99">
        <v>0</v>
      </c>
      <c r="Q16" s="99">
        <v>0</v>
      </c>
      <c r="R16" s="99">
        <v>0</v>
      </c>
      <c r="S16" s="99">
        <v>0</v>
      </c>
      <c r="T16" s="99">
        <v>0</v>
      </c>
      <c r="U16" s="99">
        <v>0</v>
      </c>
      <c r="V16" s="99">
        <v>0</v>
      </c>
      <c r="W16" s="100">
        <f t="shared" si="9"/>
        <v>0</v>
      </c>
      <c r="X16" s="21">
        <f t="shared" si="10"/>
        <v>0</v>
      </c>
      <c r="Y16" s="10">
        <f t="shared" si="11"/>
        <v>0</v>
      </c>
      <c r="Z16" s="10">
        <f t="shared" si="12"/>
        <v>0</v>
      </c>
      <c r="AA16" s="10">
        <f t="shared" si="13"/>
        <v>0</v>
      </c>
    </row>
    <row r="17" spans="1:27">
      <c r="A17" s="9"/>
      <c r="B17" s="69" t="str">
        <f>ANALYSIS!B18</f>
        <v>Product Discovery</v>
      </c>
      <c r="C17" s="99">
        <v>0</v>
      </c>
      <c r="D17" s="99">
        <v>0</v>
      </c>
      <c r="E17" s="99">
        <v>0</v>
      </c>
      <c r="F17" s="99">
        <v>0</v>
      </c>
      <c r="G17" s="99">
        <v>0</v>
      </c>
      <c r="H17" s="99">
        <v>0</v>
      </c>
      <c r="I17" s="99">
        <v>0</v>
      </c>
      <c r="J17" s="99">
        <v>0</v>
      </c>
      <c r="K17" s="99">
        <v>0</v>
      </c>
      <c r="L17" s="99">
        <v>0</v>
      </c>
      <c r="M17" s="99">
        <v>0</v>
      </c>
      <c r="N17" s="99">
        <v>0</v>
      </c>
      <c r="O17" s="99">
        <v>0</v>
      </c>
      <c r="P17" s="99">
        <v>0</v>
      </c>
      <c r="Q17" s="99">
        <v>0</v>
      </c>
      <c r="R17" s="99">
        <v>0</v>
      </c>
      <c r="S17" s="99">
        <v>0</v>
      </c>
      <c r="T17" s="99">
        <v>0</v>
      </c>
      <c r="U17" s="99">
        <v>0</v>
      </c>
      <c r="V17" s="99">
        <v>0</v>
      </c>
      <c r="W17" s="100">
        <f t="shared" si="9"/>
        <v>0</v>
      </c>
      <c r="X17" s="21">
        <f t="shared" si="10"/>
        <v>0</v>
      </c>
      <c r="Y17" s="10">
        <f t="shared" si="11"/>
        <v>0</v>
      </c>
      <c r="Z17" s="10">
        <f t="shared" si="12"/>
        <v>0</v>
      </c>
      <c r="AA17" s="10">
        <f t="shared" si="13"/>
        <v>0</v>
      </c>
    </row>
    <row r="18" spans="1:27">
      <c r="A18" s="9"/>
      <c r="B18" s="69" t="str">
        <f>ANALYSIS!B19</f>
        <v xml:space="preserve">Product Merchandising </v>
      </c>
      <c r="C18" s="99">
        <v>0</v>
      </c>
      <c r="D18" s="99">
        <v>0</v>
      </c>
      <c r="E18" s="99">
        <v>0</v>
      </c>
      <c r="F18" s="99">
        <v>0</v>
      </c>
      <c r="G18" s="99">
        <v>0</v>
      </c>
      <c r="H18" s="99">
        <v>0</v>
      </c>
      <c r="I18" s="99">
        <v>0</v>
      </c>
      <c r="J18" s="99">
        <v>0</v>
      </c>
      <c r="K18" s="99">
        <v>0</v>
      </c>
      <c r="L18" s="99">
        <v>0</v>
      </c>
      <c r="M18" s="99">
        <v>0</v>
      </c>
      <c r="N18" s="99">
        <v>0</v>
      </c>
      <c r="O18" s="99">
        <v>0</v>
      </c>
      <c r="P18" s="99">
        <v>0</v>
      </c>
      <c r="Q18" s="99">
        <v>0</v>
      </c>
      <c r="R18" s="99">
        <v>0</v>
      </c>
      <c r="S18" s="99">
        <v>0</v>
      </c>
      <c r="T18" s="99">
        <v>0</v>
      </c>
      <c r="U18" s="99">
        <v>0</v>
      </c>
      <c r="V18" s="99">
        <v>0</v>
      </c>
      <c r="W18" s="100">
        <f t="shared" si="9"/>
        <v>0</v>
      </c>
      <c r="X18" s="21">
        <f t="shared" si="10"/>
        <v>0</v>
      </c>
      <c r="Y18" s="10">
        <f t="shared" si="11"/>
        <v>0</v>
      </c>
      <c r="Z18" s="10">
        <f t="shared" si="12"/>
        <v>0</v>
      </c>
      <c r="AA18" s="10">
        <f t="shared" si="13"/>
        <v>0</v>
      </c>
    </row>
    <row r="19" spans="1:27">
      <c r="A19" s="9"/>
      <c r="B19" s="69" t="str">
        <f>ANALYSIS!B20</f>
        <v>E-Commerce Functionality</v>
      </c>
      <c r="C19" s="99">
        <v>0</v>
      </c>
      <c r="D19" s="99">
        <v>0</v>
      </c>
      <c r="E19" s="99">
        <v>0</v>
      </c>
      <c r="F19" s="99">
        <v>0</v>
      </c>
      <c r="G19" s="99">
        <v>0</v>
      </c>
      <c r="H19" s="99">
        <v>0</v>
      </c>
      <c r="I19" s="99">
        <v>0</v>
      </c>
      <c r="J19" s="99">
        <v>0</v>
      </c>
      <c r="K19" s="99">
        <v>0</v>
      </c>
      <c r="L19" s="99">
        <v>0</v>
      </c>
      <c r="M19" s="99">
        <v>0</v>
      </c>
      <c r="N19" s="99">
        <v>0</v>
      </c>
      <c r="O19" s="99">
        <v>0</v>
      </c>
      <c r="P19" s="99">
        <v>0</v>
      </c>
      <c r="Q19" s="99">
        <v>0</v>
      </c>
      <c r="R19" s="99">
        <v>0</v>
      </c>
      <c r="S19" s="99">
        <v>0</v>
      </c>
      <c r="T19" s="99">
        <v>0</v>
      </c>
      <c r="U19" s="99">
        <v>0</v>
      </c>
      <c r="V19" s="99">
        <v>0</v>
      </c>
      <c r="W19" s="100">
        <f t="shared" si="9"/>
        <v>0</v>
      </c>
      <c r="X19" s="21">
        <f t="shared" si="10"/>
        <v>0</v>
      </c>
      <c r="Y19" s="10">
        <f t="shared" si="11"/>
        <v>0</v>
      </c>
      <c r="Z19" s="10">
        <f t="shared" si="12"/>
        <v>0</v>
      </c>
      <c r="AA19" s="10">
        <f t="shared" si="13"/>
        <v>0</v>
      </c>
    </row>
    <row r="20" spans="1:27">
      <c r="A20" s="9"/>
      <c r="B20" s="69" t="str">
        <f>ANALYSIS!B21</f>
        <v>User Registration</v>
      </c>
      <c r="C20" s="99">
        <v>0</v>
      </c>
      <c r="D20" s="99">
        <v>0</v>
      </c>
      <c r="E20" s="99">
        <v>0</v>
      </c>
      <c r="F20" s="99">
        <v>0</v>
      </c>
      <c r="G20" s="99">
        <v>0</v>
      </c>
      <c r="H20" s="99">
        <v>0</v>
      </c>
      <c r="I20" s="99">
        <v>0</v>
      </c>
      <c r="J20" s="99">
        <v>0</v>
      </c>
      <c r="K20" s="99">
        <v>0</v>
      </c>
      <c r="L20" s="99">
        <v>0</v>
      </c>
      <c r="M20" s="99">
        <v>0</v>
      </c>
      <c r="N20" s="99">
        <v>0</v>
      </c>
      <c r="O20" s="99">
        <v>0</v>
      </c>
      <c r="P20" s="99">
        <v>0</v>
      </c>
      <c r="Q20" s="99">
        <v>0</v>
      </c>
      <c r="R20" s="99">
        <v>0</v>
      </c>
      <c r="S20" s="99">
        <v>0</v>
      </c>
      <c r="T20" s="99">
        <v>0</v>
      </c>
      <c r="U20" s="99">
        <v>0</v>
      </c>
      <c r="V20" s="99">
        <v>0</v>
      </c>
      <c r="W20" s="100">
        <f t="shared" si="9"/>
        <v>0</v>
      </c>
      <c r="X20" s="21">
        <f t="shared" si="10"/>
        <v>0</v>
      </c>
      <c r="Y20" s="10">
        <f t="shared" si="11"/>
        <v>0</v>
      </c>
      <c r="Z20" s="10">
        <f t="shared" si="12"/>
        <v>0</v>
      </c>
      <c r="AA20" s="10">
        <f t="shared" si="13"/>
        <v>0</v>
      </c>
    </row>
    <row r="21" spans="1:27">
      <c r="A21" s="9"/>
      <c r="B21" s="69" t="str">
        <f>ANALYSIS!B22</f>
        <v xml:space="preserve">E-Referral </v>
      </c>
      <c r="C21" s="99">
        <v>0</v>
      </c>
      <c r="D21" s="99">
        <v>0</v>
      </c>
      <c r="E21" s="99">
        <v>0</v>
      </c>
      <c r="F21" s="99">
        <v>0</v>
      </c>
      <c r="G21" s="99">
        <v>0</v>
      </c>
      <c r="H21" s="99">
        <v>0</v>
      </c>
      <c r="I21" s="99">
        <v>0</v>
      </c>
      <c r="J21" s="99">
        <v>0</v>
      </c>
      <c r="K21" s="99">
        <v>0</v>
      </c>
      <c r="L21" s="99">
        <v>0</v>
      </c>
      <c r="M21" s="99">
        <v>0</v>
      </c>
      <c r="N21" s="99">
        <v>0</v>
      </c>
      <c r="O21" s="99">
        <v>0</v>
      </c>
      <c r="P21" s="99">
        <v>0</v>
      </c>
      <c r="Q21" s="99">
        <v>0</v>
      </c>
      <c r="R21" s="99">
        <v>0</v>
      </c>
      <c r="S21" s="99">
        <v>0</v>
      </c>
      <c r="T21" s="99">
        <v>0</v>
      </c>
      <c r="U21" s="99">
        <v>0</v>
      </c>
      <c r="V21" s="99">
        <v>0</v>
      </c>
      <c r="W21" s="100">
        <f t="shared" si="9"/>
        <v>0</v>
      </c>
      <c r="X21" s="21">
        <f t="shared" si="10"/>
        <v>0</v>
      </c>
      <c r="Y21" s="10">
        <f t="shared" si="11"/>
        <v>0</v>
      </c>
      <c r="Z21" s="10">
        <f t="shared" si="12"/>
        <v>0</v>
      </c>
      <c r="AA21" s="10">
        <f t="shared" si="13"/>
        <v>0</v>
      </c>
    </row>
    <row r="22" spans="1:27">
      <c r="A22" s="9"/>
      <c r="B22" s="69" t="str">
        <f>ANALYSIS!B23</f>
        <v xml:space="preserve">Online Support </v>
      </c>
      <c r="C22" s="99">
        <v>0</v>
      </c>
      <c r="D22" s="99">
        <v>0</v>
      </c>
      <c r="E22" s="99">
        <v>0</v>
      </c>
      <c r="F22" s="99">
        <v>0</v>
      </c>
      <c r="G22" s="99">
        <v>0</v>
      </c>
      <c r="H22" s="99">
        <v>0</v>
      </c>
      <c r="I22" s="99">
        <v>0</v>
      </c>
      <c r="J22" s="99">
        <v>0</v>
      </c>
      <c r="K22" s="99">
        <v>0</v>
      </c>
      <c r="L22" s="99">
        <v>0</v>
      </c>
      <c r="M22" s="99">
        <v>0</v>
      </c>
      <c r="N22" s="99">
        <v>0</v>
      </c>
      <c r="O22" s="99">
        <v>0</v>
      </c>
      <c r="P22" s="99">
        <v>0</v>
      </c>
      <c r="Q22" s="99">
        <v>0</v>
      </c>
      <c r="R22" s="99">
        <v>0</v>
      </c>
      <c r="S22" s="99">
        <v>0</v>
      </c>
      <c r="T22" s="99">
        <v>0</v>
      </c>
      <c r="U22" s="99">
        <v>0</v>
      </c>
      <c r="V22" s="99">
        <v>0</v>
      </c>
      <c r="W22" s="100">
        <f t="shared" si="9"/>
        <v>0</v>
      </c>
      <c r="X22" s="21">
        <f t="shared" si="10"/>
        <v>0</v>
      </c>
      <c r="Y22" s="10">
        <f t="shared" si="11"/>
        <v>0</v>
      </c>
      <c r="Z22" s="10">
        <f t="shared" si="12"/>
        <v>0</v>
      </c>
      <c r="AA22" s="10">
        <f t="shared" si="13"/>
        <v>0</v>
      </c>
    </row>
    <row r="23" spans="1:27">
      <c r="A23" s="9"/>
      <c r="B23" s="69" t="str">
        <f>ANALYSIS!B24</f>
        <v>Social Media Deployment</v>
      </c>
      <c r="C23" s="99">
        <v>0</v>
      </c>
      <c r="D23" s="99">
        <v>0</v>
      </c>
      <c r="E23" s="99">
        <v>0</v>
      </c>
      <c r="F23" s="99">
        <v>0</v>
      </c>
      <c r="G23" s="99">
        <v>0</v>
      </c>
      <c r="H23" s="99">
        <v>0</v>
      </c>
      <c r="I23" s="99">
        <v>0</v>
      </c>
      <c r="J23" s="99">
        <v>0</v>
      </c>
      <c r="K23" s="99">
        <v>0</v>
      </c>
      <c r="L23" s="99">
        <v>0</v>
      </c>
      <c r="M23" s="99">
        <v>0</v>
      </c>
      <c r="N23" s="99">
        <v>0</v>
      </c>
      <c r="O23" s="99">
        <v>0</v>
      </c>
      <c r="P23" s="99">
        <v>0</v>
      </c>
      <c r="Q23" s="99">
        <v>0</v>
      </c>
      <c r="R23" s="99">
        <v>0</v>
      </c>
      <c r="S23" s="99">
        <v>0</v>
      </c>
      <c r="T23" s="99">
        <v>0</v>
      </c>
      <c r="U23" s="99">
        <v>0</v>
      </c>
      <c r="V23" s="99">
        <v>0</v>
      </c>
      <c r="W23" s="100">
        <f t="shared" si="9"/>
        <v>0</v>
      </c>
      <c r="X23" s="21">
        <f t="shared" si="10"/>
        <v>0</v>
      </c>
      <c r="Y23" s="10">
        <f t="shared" si="11"/>
        <v>0</v>
      </c>
      <c r="Z23" s="10">
        <f t="shared" si="12"/>
        <v>0</v>
      </c>
      <c r="AA23" s="10">
        <f t="shared" si="13"/>
        <v>0</v>
      </c>
    </row>
    <row r="24" spans="1:27">
      <c r="A24" s="9"/>
      <c r="W24" s="32"/>
    </row>
    <row r="25" spans="1:27" ht="15.75">
      <c r="A25" s="9"/>
      <c r="B25" s="325" t="s">
        <v>351</v>
      </c>
      <c r="C25" s="325"/>
      <c r="D25" s="325"/>
      <c r="E25" s="325"/>
      <c r="F25" s="325"/>
      <c r="G25" s="325"/>
      <c r="H25" s="325"/>
      <c r="I25" s="325"/>
      <c r="J25" s="325"/>
      <c r="K25" s="325"/>
      <c r="L25" s="325"/>
      <c r="M25" s="325"/>
      <c r="N25" s="325"/>
      <c r="O25" s="325"/>
      <c r="P25" s="325"/>
      <c r="Q25" s="325"/>
      <c r="R25" s="325"/>
      <c r="S25" s="325"/>
      <c r="T25" s="325"/>
      <c r="U25" s="325"/>
      <c r="V25" s="325"/>
      <c r="W25" s="103"/>
    </row>
    <row r="26" spans="1:27" s="31" customFormat="1" ht="15.75">
      <c r="A26" s="9"/>
      <c r="B26" s="104"/>
      <c r="C26" s="104"/>
      <c r="D26" s="104"/>
      <c r="E26" s="104"/>
      <c r="F26" s="104"/>
      <c r="G26" s="104"/>
      <c r="H26" s="104"/>
      <c r="I26" s="104"/>
      <c r="J26" s="104"/>
      <c r="K26" s="104"/>
      <c r="L26" s="104"/>
      <c r="M26" s="104"/>
      <c r="N26" s="104"/>
      <c r="O26" s="104"/>
      <c r="P26" s="104"/>
      <c r="Q26" s="104"/>
      <c r="R26" s="104"/>
      <c r="S26" s="104"/>
      <c r="T26" s="104"/>
      <c r="U26" s="104"/>
      <c r="V26" s="104"/>
      <c r="W26" s="105"/>
    </row>
    <row r="27" spans="1:27">
      <c r="A27" s="9"/>
      <c r="C27" s="69" t="str">
        <f ca="1">C1</f>
        <v>CPhI</v>
      </c>
      <c r="D27" s="69" t="str">
        <f t="shared" ref="D27:V27" ca="1" si="14">D1</f>
        <v>Fi Global</v>
      </c>
      <c r="E27" s="69" t="str">
        <f t="shared" ca="1" si="14"/>
        <v>Sleep and Eat</v>
      </c>
      <c r="F27" s="69" t="str">
        <f t="shared" ca="1" si="14"/>
        <v>Decorex</v>
      </c>
      <c r="G27" s="69" t="str">
        <f t="shared" ca="1" si="14"/>
        <v>Slas Europe</v>
      </c>
      <c r="H27" s="69" t="str">
        <f t="shared" ca="1" si="14"/>
        <v>Africa's Big</v>
      </c>
      <c r="I27" s="69" t="str">
        <f t="shared" ca="1" si="14"/>
        <v>BLLA</v>
      </c>
      <c r="J27" s="69" t="str">
        <f t="shared" ca="1" si="14"/>
        <v>AIA</v>
      </c>
      <c r="K27" s="69">
        <f t="shared" ca="1" si="14"/>
        <v>0</v>
      </c>
      <c r="L27" s="69">
        <f t="shared" ca="1" si="14"/>
        <v>0</v>
      </c>
      <c r="M27" s="69">
        <f t="shared" ca="1" si="14"/>
        <v>0</v>
      </c>
      <c r="N27" s="69">
        <f t="shared" ca="1" si="14"/>
        <v>0</v>
      </c>
      <c r="O27" s="69">
        <f t="shared" ca="1" si="14"/>
        <v>0</v>
      </c>
      <c r="P27" s="69">
        <f t="shared" ca="1" si="14"/>
        <v>0</v>
      </c>
      <c r="Q27" s="69">
        <f t="shared" ca="1" si="14"/>
        <v>0</v>
      </c>
      <c r="R27" s="69">
        <f t="shared" ca="1" si="14"/>
        <v>0</v>
      </c>
      <c r="S27" s="69">
        <f t="shared" ca="1" si="14"/>
        <v>0</v>
      </c>
      <c r="T27" s="69">
        <f t="shared" ca="1" si="14"/>
        <v>0</v>
      </c>
      <c r="U27" s="69">
        <f t="shared" ca="1" si="14"/>
        <v>0</v>
      </c>
      <c r="V27" s="69">
        <f t="shared" ca="1" si="14"/>
        <v>0</v>
      </c>
      <c r="W27" s="105"/>
    </row>
    <row r="28" spans="1:27">
      <c r="A28" s="9"/>
      <c r="B28" s="69" t="str">
        <f>B2</f>
        <v>Initial Consideration</v>
      </c>
      <c r="C28" s="107">
        <f t="shared" ref="C28:V31" si="15">_xlfn.RANK.AVG(C2,$C2:$V2,)</f>
        <v>10.5</v>
      </c>
      <c r="D28" s="107">
        <f t="shared" si="15"/>
        <v>10.5</v>
      </c>
      <c r="E28" s="107">
        <f t="shared" si="15"/>
        <v>10.5</v>
      </c>
      <c r="F28" s="107">
        <f t="shared" si="15"/>
        <v>10.5</v>
      </c>
      <c r="G28" s="107">
        <f t="shared" si="15"/>
        <v>10.5</v>
      </c>
      <c r="H28" s="107">
        <f t="shared" si="15"/>
        <v>10.5</v>
      </c>
      <c r="I28" s="107">
        <f t="shared" si="15"/>
        <v>10.5</v>
      </c>
      <c r="J28" s="107">
        <f t="shared" si="15"/>
        <v>10.5</v>
      </c>
      <c r="K28" s="107">
        <f t="shared" si="15"/>
        <v>10.5</v>
      </c>
      <c r="L28" s="107">
        <f t="shared" si="15"/>
        <v>10.5</v>
      </c>
      <c r="M28" s="107">
        <f t="shared" si="15"/>
        <v>10.5</v>
      </c>
      <c r="N28" s="107">
        <f t="shared" si="15"/>
        <v>10.5</v>
      </c>
      <c r="O28" s="107">
        <f t="shared" si="15"/>
        <v>10.5</v>
      </c>
      <c r="P28" s="107">
        <f t="shared" si="15"/>
        <v>10.5</v>
      </c>
      <c r="Q28" s="107">
        <f t="shared" si="15"/>
        <v>10.5</v>
      </c>
      <c r="R28" s="107">
        <f t="shared" si="15"/>
        <v>10.5</v>
      </c>
      <c r="S28" s="107">
        <f t="shared" si="15"/>
        <v>10.5</v>
      </c>
      <c r="T28" s="107">
        <f t="shared" si="15"/>
        <v>10.5</v>
      </c>
      <c r="U28" s="107">
        <f t="shared" si="15"/>
        <v>10.5</v>
      </c>
      <c r="V28" s="107">
        <f t="shared" si="15"/>
        <v>10.5</v>
      </c>
      <c r="W28" s="105">
        <f>W2</f>
        <v>0</v>
      </c>
    </row>
    <row r="29" spans="1:27">
      <c r="A29" s="9"/>
      <c r="B29" s="69" t="str">
        <f>B3</f>
        <v>Active Evaluation</v>
      </c>
      <c r="C29" s="107">
        <f t="shared" si="15"/>
        <v>10.5</v>
      </c>
      <c r="D29" s="107">
        <f t="shared" si="15"/>
        <v>10.5</v>
      </c>
      <c r="E29" s="107">
        <f t="shared" si="15"/>
        <v>10.5</v>
      </c>
      <c r="F29" s="107">
        <f t="shared" si="15"/>
        <v>10.5</v>
      </c>
      <c r="G29" s="107">
        <f t="shared" si="15"/>
        <v>10.5</v>
      </c>
      <c r="H29" s="107">
        <f t="shared" si="15"/>
        <v>10.5</v>
      </c>
      <c r="I29" s="107">
        <f t="shared" si="15"/>
        <v>10.5</v>
      </c>
      <c r="J29" s="107">
        <f t="shared" si="15"/>
        <v>10.5</v>
      </c>
      <c r="K29" s="107">
        <f t="shared" si="15"/>
        <v>10.5</v>
      </c>
      <c r="L29" s="107">
        <f t="shared" si="15"/>
        <v>10.5</v>
      </c>
      <c r="M29" s="107">
        <f t="shared" si="15"/>
        <v>10.5</v>
      </c>
      <c r="N29" s="107">
        <f t="shared" si="15"/>
        <v>10.5</v>
      </c>
      <c r="O29" s="107">
        <f t="shared" si="15"/>
        <v>10.5</v>
      </c>
      <c r="P29" s="107">
        <f t="shared" si="15"/>
        <v>10.5</v>
      </c>
      <c r="Q29" s="107">
        <f t="shared" si="15"/>
        <v>10.5</v>
      </c>
      <c r="R29" s="107">
        <f t="shared" si="15"/>
        <v>10.5</v>
      </c>
      <c r="S29" s="107">
        <f t="shared" si="15"/>
        <v>10.5</v>
      </c>
      <c r="T29" s="107">
        <f t="shared" si="15"/>
        <v>10.5</v>
      </c>
      <c r="U29" s="107">
        <f t="shared" si="15"/>
        <v>10.5</v>
      </c>
      <c r="V29" s="107">
        <f t="shared" si="15"/>
        <v>10.5</v>
      </c>
      <c r="W29" s="105">
        <f t="shared" ref="W29:W31" si="16">W3</f>
        <v>0</v>
      </c>
    </row>
    <row r="30" spans="1:27">
      <c r="A30" s="9"/>
      <c r="B30" s="69" t="str">
        <f>B4</f>
        <v>Conversion</v>
      </c>
      <c r="C30" s="107">
        <f t="shared" si="15"/>
        <v>10.5</v>
      </c>
      <c r="D30" s="107">
        <f t="shared" si="15"/>
        <v>10.5</v>
      </c>
      <c r="E30" s="107">
        <f t="shared" si="15"/>
        <v>10.5</v>
      </c>
      <c r="F30" s="107">
        <f t="shared" si="15"/>
        <v>10.5</v>
      </c>
      <c r="G30" s="107">
        <f t="shared" si="15"/>
        <v>10.5</v>
      </c>
      <c r="H30" s="107">
        <f t="shared" si="15"/>
        <v>10.5</v>
      </c>
      <c r="I30" s="107">
        <f t="shared" si="15"/>
        <v>10.5</v>
      </c>
      <c r="J30" s="107">
        <f t="shared" si="15"/>
        <v>10.5</v>
      </c>
      <c r="K30" s="107">
        <f t="shared" si="15"/>
        <v>10.5</v>
      </c>
      <c r="L30" s="107">
        <f t="shared" si="15"/>
        <v>10.5</v>
      </c>
      <c r="M30" s="107">
        <f t="shared" si="15"/>
        <v>10.5</v>
      </c>
      <c r="N30" s="107">
        <f t="shared" si="15"/>
        <v>10.5</v>
      </c>
      <c r="O30" s="107">
        <f t="shared" si="15"/>
        <v>10.5</v>
      </c>
      <c r="P30" s="107">
        <f t="shared" si="15"/>
        <v>10.5</v>
      </c>
      <c r="Q30" s="107">
        <f t="shared" si="15"/>
        <v>10.5</v>
      </c>
      <c r="R30" s="107">
        <f t="shared" si="15"/>
        <v>10.5</v>
      </c>
      <c r="S30" s="107">
        <f t="shared" si="15"/>
        <v>10.5</v>
      </c>
      <c r="T30" s="107">
        <f t="shared" si="15"/>
        <v>10.5</v>
      </c>
      <c r="U30" s="107">
        <f t="shared" si="15"/>
        <v>10.5</v>
      </c>
      <c r="V30" s="107">
        <f t="shared" si="15"/>
        <v>10.5</v>
      </c>
      <c r="W30" s="105">
        <f t="shared" si="16"/>
        <v>0</v>
      </c>
    </row>
    <row r="31" spans="1:27">
      <c r="A31" s="9"/>
      <c r="B31" s="69" t="str">
        <f>B5</f>
        <v>Experience &amp; Loyalty</v>
      </c>
      <c r="C31" s="107">
        <f t="shared" si="15"/>
        <v>10.5</v>
      </c>
      <c r="D31" s="107">
        <f t="shared" si="15"/>
        <v>10.5</v>
      </c>
      <c r="E31" s="107">
        <f t="shared" si="15"/>
        <v>10.5</v>
      </c>
      <c r="F31" s="107">
        <f t="shared" si="15"/>
        <v>10.5</v>
      </c>
      <c r="G31" s="107">
        <f t="shared" si="15"/>
        <v>10.5</v>
      </c>
      <c r="H31" s="107">
        <f t="shared" si="15"/>
        <v>10.5</v>
      </c>
      <c r="I31" s="107">
        <f t="shared" si="15"/>
        <v>10.5</v>
      </c>
      <c r="J31" s="107">
        <f t="shared" si="15"/>
        <v>10.5</v>
      </c>
      <c r="K31" s="107">
        <f t="shared" si="15"/>
        <v>10.5</v>
      </c>
      <c r="L31" s="107">
        <f t="shared" si="15"/>
        <v>10.5</v>
      </c>
      <c r="M31" s="107">
        <f t="shared" si="15"/>
        <v>10.5</v>
      </c>
      <c r="N31" s="107">
        <f t="shared" si="15"/>
        <v>10.5</v>
      </c>
      <c r="O31" s="107">
        <f t="shared" si="15"/>
        <v>10.5</v>
      </c>
      <c r="P31" s="107">
        <f t="shared" si="15"/>
        <v>10.5</v>
      </c>
      <c r="Q31" s="107">
        <f t="shared" si="15"/>
        <v>10.5</v>
      </c>
      <c r="R31" s="107">
        <f t="shared" si="15"/>
        <v>10.5</v>
      </c>
      <c r="S31" s="107">
        <f t="shared" si="15"/>
        <v>10.5</v>
      </c>
      <c r="T31" s="107">
        <f t="shared" si="15"/>
        <v>10.5</v>
      </c>
      <c r="U31" s="107">
        <f t="shared" si="15"/>
        <v>10.5</v>
      </c>
      <c r="V31" s="107">
        <f t="shared" si="15"/>
        <v>10.5</v>
      </c>
      <c r="W31" s="105">
        <f t="shared" si="16"/>
        <v>0</v>
      </c>
    </row>
    <row r="32" spans="1:27">
      <c r="A32" s="9"/>
      <c r="C32" s="33"/>
      <c r="D32" s="33"/>
      <c r="E32" s="33"/>
      <c r="F32" s="33"/>
      <c r="G32" s="33"/>
      <c r="H32" s="33"/>
      <c r="I32" s="33"/>
      <c r="J32" s="33"/>
      <c r="K32" s="33"/>
      <c r="L32" s="33"/>
      <c r="M32" s="33"/>
      <c r="N32" s="33"/>
      <c r="O32" s="33"/>
      <c r="P32" s="33"/>
      <c r="Q32" s="33"/>
      <c r="R32" s="33"/>
      <c r="S32" s="33"/>
      <c r="T32" s="33"/>
      <c r="U32" s="33"/>
      <c r="V32" s="33"/>
      <c r="W32" s="105"/>
    </row>
    <row r="33" spans="1:25">
      <c r="A33" s="9"/>
      <c r="B33" s="69" t="str">
        <f t="shared" ref="B33:B43" si="17">B13</f>
        <v>Search Engine Optimization</v>
      </c>
      <c r="C33" s="107">
        <f t="shared" ref="C33:V43" si="18">_xlfn.RANK.AVG(C13,$C13:$V13,)</f>
        <v>10.5</v>
      </c>
      <c r="D33" s="107">
        <f t="shared" si="18"/>
        <v>10.5</v>
      </c>
      <c r="E33" s="107">
        <f t="shared" si="18"/>
        <v>10.5</v>
      </c>
      <c r="F33" s="107">
        <f t="shared" si="18"/>
        <v>10.5</v>
      </c>
      <c r="G33" s="107">
        <f t="shared" si="18"/>
        <v>10.5</v>
      </c>
      <c r="H33" s="107">
        <f t="shared" si="18"/>
        <v>10.5</v>
      </c>
      <c r="I33" s="107">
        <f t="shared" si="18"/>
        <v>10.5</v>
      </c>
      <c r="J33" s="107">
        <f t="shared" si="18"/>
        <v>10.5</v>
      </c>
      <c r="K33" s="107">
        <f t="shared" si="18"/>
        <v>10.5</v>
      </c>
      <c r="L33" s="107">
        <f t="shared" si="18"/>
        <v>10.5</v>
      </c>
      <c r="M33" s="107">
        <f t="shared" si="18"/>
        <v>10.5</v>
      </c>
      <c r="N33" s="107">
        <f t="shared" si="18"/>
        <v>10.5</v>
      </c>
      <c r="O33" s="107">
        <f t="shared" si="18"/>
        <v>10.5</v>
      </c>
      <c r="P33" s="107">
        <f t="shared" si="18"/>
        <v>10.5</v>
      </c>
      <c r="Q33" s="107">
        <f t="shared" si="18"/>
        <v>10.5</v>
      </c>
      <c r="R33" s="107">
        <f t="shared" si="18"/>
        <v>10.5</v>
      </c>
      <c r="S33" s="107">
        <f t="shared" si="18"/>
        <v>10.5</v>
      </c>
      <c r="T33" s="107">
        <f t="shared" si="18"/>
        <v>10.5</v>
      </c>
      <c r="U33" s="107">
        <f t="shared" si="18"/>
        <v>10.5</v>
      </c>
      <c r="V33" s="107">
        <f t="shared" si="18"/>
        <v>10.5</v>
      </c>
      <c r="W33" s="105">
        <f>W13</f>
        <v>0</v>
      </c>
    </row>
    <row r="34" spans="1:25">
      <c r="A34" s="9"/>
      <c r="B34" s="69" t="str">
        <f t="shared" si="17"/>
        <v>Mobile Experience</v>
      </c>
      <c r="C34" s="107">
        <f t="shared" si="18"/>
        <v>10.5</v>
      </c>
      <c r="D34" s="107">
        <f t="shared" si="18"/>
        <v>10.5</v>
      </c>
      <c r="E34" s="107">
        <f t="shared" si="18"/>
        <v>10.5</v>
      </c>
      <c r="F34" s="107">
        <f t="shared" si="18"/>
        <v>10.5</v>
      </c>
      <c r="G34" s="107">
        <f t="shared" si="18"/>
        <v>10.5</v>
      </c>
      <c r="H34" s="107">
        <f t="shared" si="18"/>
        <v>10.5</v>
      </c>
      <c r="I34" s="107">
        <f t="shared" si="18"/>
        <v>10.5</v>
      </c>
      <c r="J34" s="107">
        <f t="shared" si="18"/>
        <v>10.5</v>
      </c>
      <c r="K34" s="107">
        <f t="shared" si="18"/>
        <v>10.5</v>
      </c>
      <c r="L34" s="107">
        <f t="shared" si="18"/>
        <v>10.5</v>
      </c>
      <c r="M34" s="107">
        <f t="shared" si="18"/>
        <v>10.5</v>
      </c>
      <c r="N34" s="107">
        <f t="shared" si="18"/>
        <v>10.5</v>
      </c>
      <c r="O34" s="107">
        <f t="shared" si="18"/>
        <v>10.5</v>
      </c>
      <c r="P34" s="107">
        <f t="shared" si="18"/>
        <v>10.5</v>
      </c>
      <c r="Q34" s="107">
        <f t="shared" si="18"/>
        <v>10.5</v>
      </c>
      <c r="R34" s="107">
        <f t="shared" si="18"/>
        <v>10.5</v>
      </c>
      <c r="S34" s="107">
        <f t="shared" si="18"/>
        <v>10.5</v>
      </c>
      <c r="T34" s="107">
        <f t="shared" si="18"/>
        <v>10.5</v>
      </c>
      <c r="U34" s="107">
        <f t="shared" si="18"/>
        <v>10.5</v>
      </c>
      <c r="V34" s="107">
        <f t="shared" si="18"/>
        <v>10.5</v>
      </c>
      <c r="W34" s="105">
        <f t="shared" ref="W34:W43" si="19">W14</f>
        <v>0</v>
      </c>
      <c r="X34" s="109" t="s">
        <v>353</v>
      </c>
      <c r="Y34" s="110">
        <v>0.6</v>
      </c>
    </row>
    <row r="35" spans="1:25">
      <c r="A35" s="9"/>
      <c r="B35" s="69" t="str">
        <f t="shared" si="17"/>
        <v>Website Technical &amp; Functional</v>
      </c>
      <c r="C35" s="107">
        <f t="shared" si="18"/>
        <v>10.5</v>
      </c>
      <c r="D35" s="107">
        <f t="shared" si="18"/>
        <v>10.5</v>
      </c>
      <c r="E35" s="107">
        <f t="shared" si="18"/>
        <v>10.5</v>
      </c>
      <c r="F35" s="107">
        <f t="shared" si="18"/>
        <v>10.5</v>
      </c>
      <c r="G35" s="107">
        <f t="shared" si="18"/>
        <v>10.5</v>
      </c>
      <c r="H35" s="107">
        <f t="shared" si="18"/>
        <v>10.5</v>
      </c>
      <c r="I35" s="107">
        <f t="shared" si="18"/>
        <v>10.5</v>
      </c>
      <c r="J35" s="107">
        <f t="shared" si="18"/>
        <v>10.5</v>
      </c>
      <c r="K35" s="107">
        <f t="shared" si="18"/>
        <v>10.5</v>
      </c>
      <c r="L35" s="107">
        <f t="shared" si="18"/>
        <v>10.5</v>
      </c>
      <c r="M35" s="107">
        <f t="shared" si="18"/>
        <v>10.5</v>
      </c>
      <c r="N35" s="107">
        <f t="shared" si="18"/>
        <v>10.5</v>
      </c>
      <c r="O35" s="107">
        <f t="shared" si="18"/>
        <v>10.5</v>
      </c>
      <c r="P35" s="107">
        <f t="shared" si="18"/>
        <v>10.5</v>
      </c>
      <c r="Q35" s="107">
        <f t="shared" si="18"/>
        <v>10.5</v>
      </c>
      <c r="R35" s="107">
        <f t="shared" si="18"/>
        <v>10.5</v>
      </c>
      <c r="S35" s="107">
        <f t="shared" si="18"/>
        <v>10.5</v>
      </c>
      <c r="T35" s="107">
        <f t="shared" si="18"/>
        <v>10.5</v>
      </c>
      <c r="U35" s="107">
        <f t="shared" si="18"/>
        <v>10.5</v>
      </c>
      <c r="V35" s="107">
        <f t="shared" si="18"/>
        <v>10.5</v>
      </c>
      <c r="W35" s="105">
        <f t="shared" si="19"/>
        <v>0</v>
      </c>
      <c r="X35" s="111" t="s">
        <v>354</v>
      </c>
      <c r="Y35" s="112">
        <v>0.7</v>
      </c>
    </row>
    <row r="36" spans="1:25">
      <c r="A36" s="9"/>
      <c r="B36" s="69" t="str">
        <f t="shared" si="17"/>
        <v xml:space="preserve">Content Marketing </v>
      </c>
      <c r="C36" s="107">
        <f t="shared" si="18"/>
        <v>10.5</v>
      </c>
      <c r="D36" s="107">
        <f t="shared" si="18"/>
        <v>10.5</v>
      </c>
      <c r="E36" s="107">
        <f t="shared" si="18"/>
        <v>10.5</v>
      </c>
      <c r="F36" s="107">
        <f t="shared" si="18"/>
        <v>10.5</v>
      </c>
      <c r="G36" s="107">
        <f t="shared" si="18"/>
        <v>10.5</v>
      </c>
      <c r="H36" s="107">
        <f t="shared" si="18"/>
        <v>10.5</v>
      </c>
      <c r="I36" s="107">
        <f t="shared" si="18"/>
        <v>10.5</v>
      </c>
      <c r="J36" s="107">
        <f t="shared" si="18"/>
        <v>10.5</v>
      </c>
      <c r="K36" s="107">
        <f t="shared" si="18"/>
        <v>10.5</v>
      </c>
      <c r="L36" s="107">
        <f t="shared" si="18"/>
        <v>10.5</v>
      </c>
      <c r="M36" s="107">
        <f t="shared" si="18"/>
        <v>10.5</v>
      </c>
      <c r="N36" s="107">
        <f t="shared" si="18"/>
        <v>10.5</v>
      </c>
      <c r="O36" s="107">
        <f t="shared" si="18"/>
        <v>10.5</v>
      </c>
      <c r="P36" s="107">
        <f t="shared" si="18"/>
        <v>10.5</v>
      </c>
      <c r="Q36" s="107">
        <f t="shared" si="18"/>
        <v>10.5</v>
      </c>
      <c r="R36" s="107">
        <f t="shared" si="18"/>
        <v>10.5</v>
      </c>
      <c r="S36" s="107">
        <f t="shared" si="18"/>
        <v>10.5</v>
      </c>
      <c r="T36" s="107">
        <f t="shared" si="18"/>
        <v>10.5</v>
      </c>
      <c r="U36" s="107">
        <f t="shared" si="18"/>
        <v>10.5</v>
      </c>
      <c r="V36" s="107">
        <f t="shared" si="18"/>
        <v>10.5</v>
      </c>
      <c r="W36" s="105">
        <f t="shared" si="19"/>
        <v>0</v>
      </c>
    </row>
    <row r="37" spans="1:25">
      <c r="A37" s="9"/>
      <c r="B37" s="69" t="str">
        <f t="shared" si="17"/>
        <v>Product Discovery</v>
      </c>
      <c r="C37" s="107">
        <f t="shared" si="18"/>
        <v>10.5</v>
      </c>
      <c r="D37" s="107">
        <f t="shared" si="18"/>
        <v>10.5</v>
      </c>
      <c r="E37" s="107">
        <f t="shared" si="18"/>
        <v>10.5</v>
      </c>
      <c r="F37" s="107">
        <f t="shared" si="18"/>
        <v>10.5</v>
      </c>
      <c r="G37" s="107">
        <f t="shared" si="18"/>
        <v>10.5</v>
      </c>
      <c r="H37" s="107">
        <f t="shared" si="18"/>
        <v>10.5</v>
      </c>
      <c r="I37" s="107">
        <f t="shared" si="18"/>
        <v>10.5</v>
      </c>
      <c r="J37" s="107">
        <f t="shared" si="18"/>
        <v>10.5</v>
      </c>
      <c r="K37" s="107">
        <f t="shared" si="18"/>
        <v>10.5</v>
      </c>
      <c r="L37" s="107">
        <f t="shared" si="18"/>
        <v>10.5</v>
      </c>
      <c r="M37" s="107">
        <f t="shared" si="18"/>
        <v>10.5</v>
      </c>
      <c r="N37" s="107">
        <f t="shared" si="18"/>
        <v>10.5</v>
      </c>
      <c r="O37" s="107">
        <f t="shared" si="18"/>
        <v>10.5</v>
      </c>
      <c r="P37" s="107">
        <f t="shared" si="18"/>
        <v>10.5</v>
      </c>
      <c r="Q37" s="107">
        <f t="shared" si="18"/>
        <v>10.5</v>
      </c>
      <c r="R37" s="107">
        <f t="shared" si="18"/>
        <v>10.5</v>
      </c>
      <c r="S37" s="107">
        <f t="shared" si="18"/>
        <v>10.5</v>
      </c>
      <c r="T37" s="107">
        <f t="shared" si="18"/>
        <v>10.5</v>
      </c>
      <c r="U37" s="107">
        <f t="shared" si="18"/>
        <v>10.5</v>
      </c>
      <c r="V37" s="107">
        <f t="shared" si="18"/>
        <v>10.5</v>
      </c>
      <c r="W37" s="105">
        <f t="shared" si="19"/>
        <v>0</v>
      </c>
    </row>
    <row r="38" spans="1:25">
      <c r="A38" s="9"/>
      <c r="B38" s="69" t="str">
        <f t="shared" si="17"/>
        <v xml:space="preserve">Product Merchandising </v>
      </c>
      <c r="C38" s="107">
        <f t="shared" si="18"/>
        <v>10.5</v>
      </c>
      <c r="D38" s="107">
        <f t="shared" si="18"/>
        <v>10.5</v>
      </c>
      <c r="E38" s="107">
        <f t="shared" si="18"/>
        <v>10.5</v>
      </c>
      <c r="F38" s="107">
        <f t="shared" si="18"/>
        <v>10.5</v>
      </c>
      <c r="G38" s="107">
        <f t="shared" si="18"/>
        <v>10.5</v>
      </c>
      <c r="H38" s="107">
        <f t="shared" si="18"/>
        <v>10.5</v>
      </c>
      <c r="I38" s="107">
        <f t="shared" si="18"/>
        <v>10.5</v>
      </c>
      <c r="J38" s="107">
        <f t="shared" si="18"/>
        <v>10.5</v>
      </c>
      <c r="K38" s="107">
        <f t="shared" si="18"/>
        <v>10.5</v>
      </c>
      <c r="L38" s="107">
        <f t="shared" si="18"/>
        <v>10.5</v>
      </c>
      <c r="M38" s="107">
        <f t="shared" si="18"/>
        <v>10.5</v>
      </c>
      <c r="N38" s="107">
        <f t="shared" si="18"/>
        <v>10.5</v>
      </c>
      <c r="O38" s="107">
        <f t="shared" si="18"/>
        <v>10.5</v>
      </c>
      <c r="P38" s="107">
        <f t="shared" si="18"/>
        <v>10.5</v>
      </c>
      <c r="Q38" s="107">
        <f t="shared" si="18"/>
        <v>10.5</v>
      </c>
      <c r="R38" s="107">
        <f t="shared" si="18"/>
        <v>10.5</v>
      </c>
      <c r="S38" s="107">
        <f t="shared" si="18"/>
        <v>10.5</v>
      </c>
      <c r="T38" s="107">
        <f t="shared" si="18"/>
        <v>10.5</v>
      </c>
      <c r="U38" s="107">
        <f t="shared" si="18"/>
        <v>10.5</v>
      </c>
      <c r="V38" s="107">
        <f t="shared" si="18"/>
        <v>10.5</v>
      </c>
      <c r="W38" s="105">
        <f t="shared" si="19"/>
        <v>0</v>
      </c>
    </row>
    <row r="39" spans="1:25">
      <c r="A39" s="9"/>
      <c r="B39" s="69" t="str">
        <f t="shared" si="17"/>
        <v>E-Commerce Functionality</v>
      </c>
      <c r="C39" s="107">
        <f t="shared" si="18"/>
        <v>10.5</v>
      </c>
      <c r="D39" s="107">
        <f t="shared" si="18"/>
        <v>10.5</v>
      </c>
      <c r="E39" s="107">
        <f t="shared" si="18"/>
        <v>10.5</v>
      </c>
      <c r="F39" s="107">
        <f t="shared" si="18"/>
        <v>10.5</v>
      </c>
      <c r="G39" s="107">
        <f t="shared" si="18"/>
        <v>10.5</v>
      </c>
      <c r="H39" s="107">
        <f t="shared" si="18"/>
        <v>10.5</v>
      </c>
      <c r="I39" s="107">
        <f t="shared" si="18"/>
        <v>10.5</v>
      </c>
      <c r="J39" s="107">
        <f t="shared" si="18"/>
        <v>10.5</v>
      </c>
      <c r="K39" s="107">
        <f t="shared" si="18"/>
        <v>10.5</v>
      </c>
      <c r="L39" s="107">
        <f t="shared" si="18"/>
        <v>10.5</v>
      </c>
      <c r="M39" s="107">
        <f t="shared" si="18"/>
        <v>10.5</v>
      </c>
      <c r="N39" s="107">
        <f t="shared" si="18"/>
        <v>10.5</v>
      </c>
      <c r="O39" s="107">
        <f t="shared" si="18"/>
        <v>10.5</v>
      </c>
      <c r="P39" s="107">
        <f t="shared" si="18"/>
        <v>10.5</v>
      </c>
      <c r="Q39" s="107">
        <f t="shared" si="18"/>
        <v>10.5</v>
      </c>
      <c r="R39" s="107">
        <f t="shared" si="18"/>
        <v>10.5</v>
      </c>
      <c r="S39" s="107">
        <f t="shared" si="18"/>
        <v>10.5</v>
      </c>
      <c r="T39" s="107">
        <f t="shared" si="18"/>
        <v>10.5</v>
      </c>
      <c r="U39" s="107">
        <f t="shared" si="18"/>
        <v>10.5</v>
      </c>
      <c r="V39" s="107">
        <f t="shared" si="18"/>
        <v>10.5</v>
      </c>
      <c r="W39" s="105">
        <f t="shared" si="19"/>
        <v>0</v>
      </c>
    </row>
    <row r="40" spans="1:25">
      <c r="A40" s="9"/>
      <c r="B40" s="69" t="str">
        <f t="shared" si="17"/>
        <v>User Registration</v>
      </c>
      <c r="C40" s="107">
        <f t="shared" si="18"/>
        <v>10.5</v>
      </c>
      <c r="D40" s="107">
        <f t="shared" si="18"/>
        <v>10.5</v>
      </c>
      <c r="E40" s="107">
        <f t="shared" si="18"/>
        <v>10.5</v>
      </c>
      <c r="F40" s="107">
        <f t="shared" si="18"/>
        <v>10.5</v>
      </c>
      <c r="G40" s="107">
        <f t="shared" si="18"/>
        <v>10.5</v>
      </c>
      <c r="H40" s="107">
        <f t="shared" si="18"/>
        <v>10.5</v>
      </c>
      <c r="I40" s="107">
        <f t="shared" si="18"/>
        <v>10.5</v>
      </c>
      <c r="J40" s="107">
        <f t="shared" si="18"/>
        <v>10.5</v>
      </c>
      <c r="K40" s="107">
        <f t="shared" si="18"/>
        <v>10.5</v>
      </c>
      <c r="L40" s="107">
        <f t="shared" si="18"/>
        <v>10.5</v>
      </c>
      <c r="M40" s="107">
        <f t="shared" si="18"/>
        <v>10.5</v>
      </c>
      <c r="N40" s="107">
        <f t="shared" si="18"/>
        <v>10.5</v>
      </c>
      <c r="O40" s="107">
        <f t="shared" si="18"/>
        <v>10.5</v>
      </c>
      <c r="P40" s="107">
        <f t="shared" si="18"/>
        <v>10.5</v>
      </c>
      <c r="Q40" s="107">
        <f t="shared" si="18"/>
        <v>10.5</v>
      </c>
      <c r="R40" s="107">
        <f t="shared" si="18"/>
        <v>10.5</v>
      </c>
      <c r="S40" s="107">
        <f t="shared" si="18"/>
        <v>10.5</v>
      </c>
      <c r="T40" s="107">
        <f t="shared" si="18"/>
        <v>10.5</v>
      </c>
      <c r="U40" s="107">
        <f t="shared" si="18"/>
        <v>10.5</v>
      </c>
      <c r="V40" s="107">
        <f t="shared" si="18"/>
        <v>10.5</v>
      </c>
      <c r="W40" s="105">
        <f t="shared" si="19"/>
        <v>0</v>
      </c>
    </row>
    <row r="41" spans="1:25">
      <c r="A41" s="9"/>
      <c r="B41" s="69" t="str">
        <f t="shared" si="17"/>
        <v xml:space="preserve">E-Referral </v>
      </c>
      <c r="C41" s="107">
        <f t="shared" si="18"/>
        <v>10.5</v>
      </c>
      <c r="D41" s="107">
        <f t="shared" si="18"/>
        <v>10.5</v>
      </c>
      <c r="E41" s="107">
        <f t="shared" si="18"/>
        <v>10.5</v>
      </c>
      <c r="F41" s="107">
        <f t="shared" si="18"/>
        <v>10.5</v>
      </c>
      <c r="G41" s="107">
        <f t="shared" si="18"/>
        <v>10.5</v>
      </c>
      <c r="H41" s="107">
        <f t="shared" si="18"/>
        <v>10.5</v>
      </c>
      <c r="I41" s="107">
        <f t="shared" si="18"/>
        <v>10.5</v>
      </c>
      <c r="J41" s="107">
        <f t="shared" si="18"/>
        <v>10.5</v>
      </c>
      <c r="K41" s="107">
        <f t="shared" si="18"/>
        <v>10.5</v>
      </c>
      <c r="L41" s="107">
        <f t="shared" si="18"/>
        <v>10.5</v>
      </c>
      <c r="M41" s="107">
        <f t="shared" si="18"/>
        <v>10.5</v>
      </c>
      <c r="N41" s="107">
        <f t="shared" si="18"/>
        <v>10.5</v>
      </c>
      <c r="O41" s="107">
        <f t="shared" si="18"/>
        <v>10.5</v>
      </c>
      <c r="P41" s="107">
        <f t="shared" si="18"/>
        <v>10.5</v>
      </c>
      <c r="Q41" s="107">
        <f t="shared" si="18"/>
        <v>10.5</v>
      </c>
      <c r="R41" s="107">
        <f t="shared" si="18"/>
        <v>10.5</v>
      </c>
      <c r="S41" s="107">
        <f t="shared" si="18"/>
        <v>10.5</v>
      </c>
      <c r="T41" s="107">
        <f t="shared" si="18"/>
        <v>10.5</v>
      </c>
      <c r="U41" s="107">
        <f t="shared" si="18"/>
        <v>10.5</v>
      </c>
      <c r="V41" s="107">
        <f t="shared" si="18"/>
        <v>10.5</v>
      </c>
      <c r="W41" s="105">
        <f t="shared" si="19"/>
        <v>0</v>
      </c>
    </row>
    <row r="42" spans="1:25">
      <c r="A42" s="9"/>
      <c r="B42" s="69" t="str">
        <f t="shared" si="17"/>
        <v xml:space="preserve">Online Support </v>
      </c>
      <c r="C42" s="107">
        <f>_xlfn.RANK.AVG(C22,$C22:$V22,)</f>
        <v>10.5</v>
      </c>
      <c r="D42" s="107">
        <f>_xlfn.RANK.AVG(D22,$C22:$V22,)</f>
        <v>10.5</v>
      </c>
      <c r="E42" s="107">
        <f>_xlfn.RANK.AVG(E22,$C22:$V22,)</f>
        <v>10.5</v>
      </c>
      <c r="F42" s="107">
        <f>_xlfn.RANK.AVG(F22,$C22:$V22,)</f>
        <v>10.5</v>
      </c>
      <c r="G42" s="107">
        <f>_xlfn.RANK.AVG(G22,$C22:$V22,)</f>
        <v>10.5</v>
      </c>
      <c r="H42" s="107">
        <f t="shared" si="18"/>
        <v>10.5</v>
      </c>
      <c r="I42" s="107">
        <f t="shared" si="18"/>
        <v>10.5</v>
      </c>
      <c r="J42" s="107">
        <f t="shared" si="18"/>
        <v>10.5</v>
      </c>
      <c r="K42" s="107">
        <f t="shared" si="18"/>
        <v>10.5</v>
      </c>
      <c r="L42" s="107">
        <f t="shared" si="18"/>
        <v>10.5</v>
      </c>
      <c r="M42" s="107">
        <f t="shared" si="18"/>
        <v>10.5</v>
      </c>
      <c r="N42" s="107">
        <f t="shared" si="18"/>
        <v>10.5</v>
      </c>
      <c r="O42" s="107">
        <f t="shared" si="18"/>
        <v>10.5</v>
      </c>
      <c r="P42" s="107">
        <f t="shared" si="18"/>
        <v>10.5</v>
      </c>
      <c r="Q42" s="107">
        <f t="shared" si="18"/>
        <v>10.5</v>
      </c>
      <c r="R42" s="107">
        <f t="shared" si="18"/>
        <v>10.5</v>
      </c>
      <c r="S42" s="107">
        <f t="shared" si="18"/>
        <v>10.5</v>
      </c>
      <c r="T42" s="107">
        <f t="shared" si="18"/>
        <v>10.5</v>
      </c>
      <c r="U42" s="107">
        <f t="shared" si="18"/>
        <v>10.5</v>
      </c>
      <c r="V42" s="107">
        <f t="shared" si="18"/>
        <v>10.5</v>
      </c>
      <c r="W42" s="105">
        <f t="shared" si="19"/>
        <v>0</v>
      </c>
    </row>
    <row r="43" spans="1:25">
      <c r="A43" s="9"/>
      <c r="B43" s="69" t="str">
        <f t="shared" si="17"/>
        <v>Social Media Deployment</v>
      </c>
      <c r="C43" s="107">
        <f>_xlfn.RANK.AVG(C23,$C23:$V23,)</f>
        <v>10.5</v>
      </c>
      <c r="D43" s="107">
        <f t="shared" si="18"/>
        <v>10.5</v>
      </c>
      <c r="E43" s="107">
        <f t="shared" si="18"/>
        <v>10.5</v>
      </c>
      <c r="F43" s="107">
        <f t="shared" si="18"/>
        <v>10.5</v>
      </c>
      <c r="G43" s="107">
        <f t="shared" si="18"/>
        <v>10.5</v>
      </c>
      <c r="H43" s="107">
        <f t="shared" si="18"/>
        <v>10.5</v>
      </c>
      <c r="I43" s="107">
        <f t="shared" si="18"/>
        <v>10.5</v>
      </c>
      <c r="J43" s="107">
        <f t="shared" si="18"/>
        <v>10.5</v>
      </c>
      <c r="K43" s="107">
        <f t="shared" si="18"/>
        <v>10.5</v>
      </c>
      <c r="L43" s="107">
        <f t="shared" si="18"/>
        <v>10.5</v>
      </c>
      <c r="M43" s="107">
        <f t="shared" si="18"/>
        <v>10.5</v>
      </c>
      <c r="N43" s="107">
        <f t="shared" si="18"/>
        <v>10.5</v>
      </c>
      <c r="O43" s="107">
        <f t="shared" si="18"/>
        <v>10.5</v>
      </c>
      <c r="P43" s="107">
        <f t="shared" si="18"/>
        <v>10.5</v>
      </c>
      <c r="Q43" s="107">
        <f t="shared" si="18"/>
        <v>10.5</v>
      </c>
      <c r="R43" s="107">
        <f t="shared" si="18"/>
        <v>10.5</v>
      </c>
      <c r="S43" s="107">
        <f t="shared" si="18"/>
        <v>10.5</v>
      </c>
      <c r="T43" s="107">
        <f t="shared" si="18"/>
        <v>10.5</v>
      </c>
      <c r="U43" s="107">
        <f t="shared" si="18"/>
        <v>10.5</v>
      </c>
      <c r="V43" s="107">
        <f t="shared" si="18"/>
        <v>10.5</v>
      </c>
      <c r="W43" s="105">
        <f t="shared" si="19"/>
        <v>0</v>
      </c>
    </row>
    <row r="44" spans="1:25">
      <c r="A44" s="9"/>
      <c r="C44" s="33"/>
      <c r="D44" s="33"/>
      <c r="E44" s="33"/>
      <c r="F44" s="33"/>
      <c r="G44" s="33"/>
      <c r="H44" s="33"/>
      <c r="I44" s="33"/>
      <c r="J44" s="33"/>
      <c r="K44" s="33"/>
      <c r="L44" s="33"/>
      <c r="M44" s="33"/>
      <c r="N44" s="33"/>
      <c r="O44" s="33"/>
      <c r="P44" s="33"/>
      <c r="Q44" s="33"/>
      <c r="R44" s="33"/>
      <c r="S44" s="33"/>
      <c r="T44" s="33"/>
      <c r="U44" s="33"/>
      <c r="V44" s="33"/>
      <c r="W44" s="105"/>
    </row>
    <row r="45" spans="1:25" ht="15.75">
      <c r="A45" s="9"/>
      <c r="B45" s="325"/>
      <c r="C45" s="325"/>
      <c r="D45" s="325"/>
      <c r="E45" s="325"/>
      <c r="F45" s="325"/>
      <c r="G45" s="325"/>
      <c r="H45" s="325"/>
      <c r="I45" s="325"/>
      <c r="J45" s="325"/>
      <c r="K45" s="325"/>
      <c r="L45" s="325"/>
      <c r="M45" s="325"/>
      <c r="N45" s="325"/>
      <c r="O45" s="325"/>
      <c r="P45" s="325"/>
      <c r="Q45" s="325"/>
      <c r="R45" s="325"/>
      <c r="S45" s="325"/>
      <c r="T45" s="325"/>
      <c r="U45" s="325"/>
      <c r="V45" s="325"/>
      <c r="W45" s="103"/>
    </row>
    <row r="53" spans="13:13">
      <c r="M53" s="69" t="s">
        <v>485</v>
      </c>
    </row>
  </sheetData>
  <mergeCells count="3">
    <mergeCell ref="C12:V12"/>
    <mergeCell ref="B25:V25"/>
    <mergeCell ref="B45:V45"/>
  </mergeCells>
  <conditionalFormatting sqref="C33:V43 D32:V32">
    <cfRule type="expression" dxfId="20" priority="2">
      <formula>C12=0</formula>
    </cfRule>
    <cfRule type="expression" dxfId="19" priority="4">
      <formula>C12&gt;=$Y$35</formula>
    </cfRule>
    <cfRule type="expression" dxfId="18" priority="5">
      <formula>C12&lt;$Y$34</formula>
    </cfRule>
  </conditionalFormatting>
  <conditionalFormatting sqref="C13:V23 C2:V11">
    <cfRule type="cellIs" dxfId="17" priority="3" operator="equal">
      <formula>0</formula>
    </cfRule>
  </conditionalFormatting>
  <conditionalFormatting sqref="C28:V31">
    <cfRule type="expression" dxfId="16" priority="7">
      <formula>C2=0</formula>
    </cfRule>
    <cfRule type="expression" dxfId="15" priority="8">
      <formula>C2&gt;=$Y$35</formula>
    </cfRule>
    <cfRule type="expression" dxfId="14" priority="9">
      <formula>C2&lt;$Y$34</formula>
    </cfRule>
  </conditionalFormatting>
  <conditionalFormatting sqref="C12">
    <cfRule type="cellIs" dxfId="13" priority="1" operator="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73"/>
  <sheetViews>
    <sheetView zoomScale="85" zoomScaleNormal="85" workbookViewId="0">
      <pane ySplit="1" topLeftCell="A41" activePane="bottomLeft" state="frozen"/>
      <selection pane="bottomLeft" activeCell="B47" sqref="B47"/>
    </sheetView>
  </sheetViews>
  <sheetFormatPr defaultColWidth="8.7109375" defaultRowHeight="15"/>
  <cols>
    <col min="1" max="1" width="16.85546875" style="69" customWidth="1" collapsed="1"/>
    <col min="2" max="2" width="8.7109375" style="69" collapsed="1"/>
    <col min="3" max="3" width="58.140625" style="69" customWidth="1" collapsed="1"/>
    <col min="4" max="5" width="8.7109375" style="69" collapsed="1"/>
    <col min="6" max="6" width="11.42578125" style="69" customWidth="1" collapsed="1"/>
    <col min="7" max="7" width="11.5703125" style="69" customWidth="1" collapsed="1"/>
    <col min="8" max="21" width="8.7109375" style="69" collapsed="1"/>
    <col min="22" max="22" width="8.7109375" style="145" collapsed="1"/>
    <col min="23" max="16384" width="8.7109375" style="69" collapsed="1"/>
  </cols>
  <sheetData>
    <row r="1" spans="1:37">
      <c r="A1" s="69" t="s">
        <v>23</v>
      </c>
      <c r="B1" s="69" t="str">
        <f ca="1">ANALYSIS!C1</f>
        <v>CPhI</v>
      </c>
      <c r="C1" s="69">
        <f ca="1">ANALYSIS!D1</f>
        <v>0</v>
      </c>
      <c r="D1" s="69">
        <f ca="1">ANALYSIS!E1</f>
        <v>0</v>
      </c>
      <c r="E1" s="69">
        <f ca="1">ANALYSIS!F1</f>
        <v>0</v>
      </c>
      <c r="F1" s="69">
        <f ca="1">ANALYSIS!G1</f>
        <v>0</v>
      </c>
      <c r="G1" s="69">
        <f ca="1">ANALYSIS!H1</f>
        <v>0</v>
      </c>
      <c r="H1" s="69">
        <f ca="1">ANALYSIS!I1</f>
        <v>0</v>
      </c>
      <c r="I1" s="69">
        <f ca="1">ANALYSIS!J1</f>
        <v>0</v>
      </c>
      <c r="J1" s="69">
        <f ca="1">ANALYSIS!K1</f>
        <v>0</v>
      </c>
      <c r="K1" s="69">
        <f ca="1">ANALYSIS!L1</f>
        <v>0</v>
      </c>
      <c r="L1" s="69" t="str">
        <f ca="1">ANALYSIS!M1</f>
        <v>Fi Global</v>
      </c>
      <c r="M1" s="69">
        <f ca="1">ANALYSIS!N1</f>
        <v>0</v>
      </c>
      <c r="N1" s="69">
        <f ca="1">ANALYSIS!O1</f>
        <v>0</v>
      </c>
      <c r="O1" s="69">
        <f ca="1">ANALYSIS!P1</f>
        <v>0</v>
      </c>
      <c r="P1" s="69">
        <f ca="1">ANALYSIS!Q1</f>
        <v>0</v>
      </c>
      <c r="Q1" s="69">
        <f ca="1">ANALYSIS!R1</f>
        <v>0</v>
      </c>
      <c r="R1" s="69">
        <f ca="1">ANALYSIS!S1</f>
        <v>0</v>
      </c>
      <c r="S1" s="69">
        <f ca="1">ANALYSIS!T1</f>
        <v>0</v>
      </c>
      <c r="T1" s="69">
        <f ca="1">ANALYSIS!U1</f>
        <v>0</v>
      </c>
      <c r="U1" s="69">
        <f ca="1">ANALYSIS!V1</f>
        <v>0</v>
      </c>
      <c r="V1" s="98" t="s">
        <v>340</v>
      </c>
      <c r="W1" s="23" t="s">
        <v>341</v>
      </c>
      <c r="X1" s="69" t="s">
        <v>342</v>
      </c>
      <c r="Y1" s="69" t="s">
        <v>343</v>
      </c>
      <c r="Z1" s="69" t="s">
        <v>340</v>
      </c>
      <c r="AA1" s="69" t="s">
        <v>55</v>
      </c>
      <c r="AB1" s="17" t="s">
        <v>31</v>
      </c>
      <c r="AC1" s="17" t="s">
        <v>501</v>
      </c>
      <c r="AD1" s="13" t="s">
        <v>32</v>
      </c>
      <c r="AE1" s="13" t="s">
        <v>33</v>
      </c>
      <c r="AF1" s="13" t="s">
        <v>34</v>
      </c>
      <c r="AG1" s="13" t="s">
        <v>35</v>
      </c>
      <c r="AH1" s="13" t="s">
        <v>36</v>
      </c>
      <c r="AI1" s="13" t="s">
        <v>37</v>
      </c>
      <c r="AJ1" s="69" t="s">
        <v>38</v>
      </c>
    </row>
    <row r="2" spans="1:37">
      <c r="A2" s="69" t="str">
        <f>ANALYSIS!B2</f>
        <v>Initial Consideration</v>
      </c>
      <c r="B2" s="99">
        <f ca="1">ANALYSIS!C2</f>
        <v>0</v>
      </c>
      <c r="C2" s="99">
        <f ca="1">ANALYSIS!D2</f>
        <v>0</v>
      </c>
      <c r="D2" s="99">
        <f ca="1">ANALYSIS!E2</f>
        <v>0</v>
      </c>
      <c r="E2" s="99">
        <f ca="1">ANALYSIS!F2</f>
        <v>0</v>
      </c>
      <c r="F2" s="99">
        <f ca="1">ANALYSIS!G2</f>
        <v>0</v>
      </c>
      <c r="G2" s="99">
        <f ca="1">ANALYSIS!H2</f>
        <v>0</v>
      </c>
      <c r="H2" s="99">
        <f ca="1">ANALYSIS!I2</f>
        <v>0</v>
      </c>
      <c r="I2" s="99">
        <f ca="1">ANALYSIS!J2</f>
        <v>0</v>
      </c>
      <c r="J2" s="99">
        <f ca="1">ANALYSIS!K2</f>
        <v>0</v>
      </c>
      <c r="K2" s="99">
        <f ca="1">ANALYSIS!L2</f>
        <v>0</v>
      </c>
      <c r="L2" s="99">
        <f ca="1">ANALYSIS!M2</f>
        <v>0</v>
      </c>
      <c r="M2" s="99">
        <f ca="1">ANALYSIS!N2</f>
        <v>0</v>
      </c>
      <c r="N2" s="99">
        <f ca="1">ANALYSIS!O2</f>
        <v>0</v>
      </c>
      <c r="O2" s="99">
        <f ca="1">ANALYSIS!P2</f>
        <v>0</v>
      </c>
      <c r="P2" s="99">
        <f ca="1">ANALYSIS!Q2</f>
        <v>0</v>
      </c>
      <c r="Q2" s="99">
        <f ca="1">ANALYSIS!R2</f>
        <v>0</v>
      </c>
      <c r="R2" s="99">
        <f ca="1">ANALYSIS!S2</f>
        <v>0</v>
      </c>
      <c r="S2" s="99">
        <f ca="1">ANALYSIS!T2</f>
        <v>0</v>
      </c>
      <c r="T2" s="99">
        <f ca="1">ANALYSIS!U2</f>
        <v>0</v>
      </c>
      <c r="U2" s="99">
        <f ca="1">ANALYSIS!V2</f>
        <v>0</v>
      </c>
      <c r="V2" s="100">
        <f ca="1">Z2</f>
        <v>0</v>
      </c>
      <c r="W2" s="21">
        <f ca="1">MAX(COUNTIF(B2:U2,"&gt;0")-1,0)</f>
        <v>0</v>
      </c>
      <c r="X2" s="10">
        <f ca="1">SMALL(B2:U2,(20-W2))</f>
        <v>0</v>
      </c>
      <c r="Y2" s="10">
        <f ca="1">MAX(B2:U2)</f>
        <v>0</v>
      </c>
      <c r="Z2" s="10">
        <f ca="1">Y2-X2</f>
        <v>0</v>
      </c>
      <c r="AA2" s="10">
        <f ca="1">B2</f>
        <v>0</v>
      </c>
      <c r="AB2" s="10" t="e">
        <f ca="1">AVERAGEIF(B2:U2, "&gt;0")</f>
        <v>#DIV/0!</v>
      </c>
      <c r="AC2" s="10" t="e">
        <f ca="1">AB2</f>
        <v>#DIV/0!</v>
      </c>
      <c r="AD2" s="69" t="e">
        <f ca="1">IF(AA2&gt;AC2,3,0)</f>
        <v>#DIV/0!</v>
      </c>
      <c r="AE2" s="69">
        <f ca="1">IF(AA2&gt;=0.6,1,0)</f>
        <v>0</v>
      </c>
      <c r="AF2" s="21">
        <f ca="1">MAX((COUNTIF(B2:U2,"&lt;" &amp; AA2) - (19-$X$25)),0)</f>
        <v>0</v>
      </c>
      <c r="AG2" s="21">
        <f ca="1">$X$25</f>
        <v>0</v>
      </c>
      <c r="AH2" s="10" t="e">
        <f ca="1">AF2/AG2</f>
        <v>#DIV/0!</v>
      </c>
      <c r="AI2" s="69" t="e">
        <f ca="1">IF(AH2&gt;0.5,1,0)</f>
        <v>#DIV/0!</v>
      </c>
      <c r="AJ2" s="69" t="e">
        <f t="shared" ref="AJ2:AJ5" ca="1" si="0">AD2+AE2+AI2</f>
        <v>#DIV/0!</v>
      </c>
    </row>
    <row r="3" spans="1:37">
      <c r="A3" s="69" t="str">
        <f>ANALYSIS!B3</f>
        <v>Active Evaluation</v>
      </c>
      <c r="B3" s="99">
        <f ca="1">ANALYSIS!C3</f>
        <v>4.3520000000000003E-2</v>
      </c>
      <c r="C3" s="99">
        <f ca="1">ANALYSIS!D3</f>
        <v>0</v>
      </c>
      <c r="D3" s="99">
        <f ca="1">ANALYSIS!E3</f>
        <v>0</v>
      </c>
      <c r="E3" s="99">
        <f ca="1">ANALYSIS!F3</f>
        <v>0</v>
      </c>
      <c r="F3" s="99">
        <f ca="1">ANALYSIS!G3</f>
        <v>0</v>
      </c>
      <c r="G3" s="99">
        <f ca="1">ANALYSIS!H3</f>
        <v>0</v>
      </c>
      <c r="H3" s="99">
        <f ca="1">ANALYSIS!I3</f>
        <v>0</v>
      </c>
      <c r="I3" s="99">
        <f ca="1">ANALYSIS!J3</f>
        <v>0</v>
      </c>
      <c r="J3" s="99">
        <f ca="1">ANALYSIS!K3</f>
        <v>0</v>
      </c>
      <c r="K3" s="99">
        <f ca="1">ANALYSIS!L3</f>
        <v>0</v>
      </c>
      <c r="L3" s="99">
        <f ca="1">ANALYSIS!M3</f>
        <v>0</v>
      </c>
      <c r="M3" s="99">
        <f ca="1">ANALYSIS!N3</f>
        <v>0</v>
      </c>
      <c r="N3" s="99">
        <f ca="1">ANALYSIS!O3</f>
        <v>0</v>
      </c>
      <c r="O3" s="99">
        <f ca="1">ANALYSIS!P3</f>
        <v>0</v>
      </c>
      <c r="P3" s="99">
        <f ca="1">ANALYSIS!Q3</f>
        <v>0</v>
      </c>
      <c r="Q3" s="99">
        <f ca="1">ANALYSIS!R3</f>
        <v>0</v>
      </c>
      <c r="R3" s="99">
        <f ca="1">ANALYSIS!S3</f>
        <v>0</v>
      </c>
      <c r="S3" s="99">
        <f ca="1">ANALYSIS!T3</f>
        <v>0</v>
      </c>
      <c r="T3" s="99">
        <f ca="1">ANALYSIS!U3</f>
        <v>0</v>
      </c>
      <c r="U3" s="99">
        <f ca="1">ANALYSIS!V3</f>
        <v>0</v>
      </c>
      <c r="V3" s="100">
        <f t="shared" ref="V3:V5" ca="1" si="1">Z3</f>
        <v>0</v>
      </c>
      <c r="W3" s="21">
        <f t="shared" ref="W3:W5" ca="1" si="2">MAX(COUNTIF(B3:U3,"&gt;0")-1,0)</f>
        <v>0</v>
      </c>
      <c r="X3" s="10">
        <f t="shared" ref="X3:X5" ca="1" si="3">SMALL(B3:U3,(20-W3))</f>
        <v>4.3520000000000003E-2</v>
      </c>
      <c r="Y3" s="10">
        <f t="shared" ref="Y3:Y5" ca="1" si="4">MAX(B3:U3)</f>
        <v>4.3520000000000003E-2</v>
      </c>
      <c r="Z3" s="10">
        <f t="shared" ref="Z3:Z5" ca="1" si="5">Y3-X3</f>
        <v>0</v>
      </c>
      <c r="AA3" s="10">
        <f t="shared" ref="AA3:AA5" ca="1" si="6">B3</f>
        <v>4.3520000000000003E-2</v>
      </c>
      <c r="AB3" s="10">
        <f t="shared" ref="AB3:AB5" ca="1" si="7">AVERAGEIF(B3:U3, "&gt;0")</f>
        <v>4.3520000000000003E-2</v>
      </c>
      <c r="AC3" s="10">
        <f t="shared" ref="AC3:AC5" ca="1" si="8">AB3</f>
        <v>4.3520000000000003E-2</v>
      </c>
      <c r="AD3" s="69">
        <f t="shared" ref="AD3:AD5" ca="1" si="9">IF(AA3&gt;AC3,3,0)</f>
        <v>0</v>
      </c>
      <c r="AE3" s="69">
        <f t="shared" ref="AE3:AE5" ca="1" si="10">IF(AA3&gt;=0.6,1,0)</f>
        <v>0</v>
      </c>
      <c r="AF3" s="21">
        <f t="shared" ref="AF3:AF5" ca="1" si="11">MAX((COUNTIF(B3:U3,"&lt;" &amp; AA3) - (19-$X$25)),0)</f>
        <v>0</v>
      </c>
      <c r="AG3" s="21">
        <f t="shared" ref="AG3:AG7" ca="1" si="12">$X$25</f>
        <v>0</v>
      </c>
      <c r="AH3" s="10" t="e">
        <f t="shared" ref="AH3:AH5" ca="1" si="13">AF3/AG3</f>
        <v>#DIV/0!</v>
      </c>
      <c r="AI3" s="69" t="e">
        <f t="shared" ref="AI3:AI7" ca="1" si="14">IF(AH3&gt;0.5,1,0)</f>
        <v>#DIV/0!</v>
      </c>
      <c r="AJ3" s="69" t="e">
        <f t="shared" ca="1" si="0"/>
        <v>#DIV/0!</v>
      </c>
    </row>
    <row r="4" spans="1:37">
      <c r="A4" s="69" t="str">
        <f>ANALYSIS!B4</f>
        <v>Conversion</v>
      </c>
      <c r="B4" s="99">
        <f ca="1">ANALYSIS!C4</f>
        <v>0</v>
      </c>
      <c r="C4" s="99">
        <f ca="1">ANALYSIS!D4</f>
        <v>0</v>
      </c>
      <c r="D4" s="99">
        <f ca="1">ANALYSIS!E4</f>
        <v>0</v>
      </c>
      <c r="E4" s="99">
        <f ca="1">ANALYSIS!F4</f>
        <v>0</v>
      </c>
      <c r="F4" s="99">
        <f ca="1">ANALYSIS!G4</f>
        <v>0</v>
      </c>
      <c r="G4" s="99">
        <f ca="1">ANALYSIS!H4</f>
        <v>0</v>
      </c>
      <c r="H4" s="99">
        <f ca="1">ANALYSIS!I4</f>
        <v>0</v>
      </c>
      <c r="I4" s="99">
        <f ca="1">ANALYSIS!J4</f>
        <v>0</v>
      </c>
      <c r="J4" s="99">
        <f ca="1">ANALYSIS!K4</f>
        <v>0</v>
      </c>
      <c r="K4" s="99">
        <f ca="1">ANALYSIS!L4</f>
        <v>0</v>
      </c>
      <c r="L4" s="99">
        <f ca="1">ANALYSIS!M4</f>
        <v>0</v>
      </c>
      <c r="M4" s="99">
        <f ca="1">ANALYSIS!N4</f>
        <v>0</v>
      </c>
      <c r="N4" s="99">
        <f ca="1">ANALYSIS!O4</f>
        <v>0</v>
      </c>
      <c r="O4" s="99">
        <f ca="1">ANALYSIS!P4</f>
        <v>0</v>
      </c>
      <c r="P4" s="99">
        <f ca="1">ANALYSIS!Q4</f>
        <v>0</v>
      </c>
      <c r="Q4" s="99">
        <f ca="1">ANALYSIS!R4</f>
        <v>0</v>
      </c>
      <c r="R4" s="99">
        <f ca="1">ANALYSIS!S4</f>
        <v>0</v>
      </c>
      <c r="S4" s="99">
        <f ca="1">ANALYSIS!T4</f>
        <v>0</v>
      </c>
      <c r="T4" s="99">
        <f ca="1">ANALYSIS!U4</f>
        <v>0</v>
      </c>
      <c r="U4" s="99">
        <f ca="1">ANALYSIS!V4</f>
        <v>0</v>
      </c>
      <c r="V4" s="100">
        <f t="shared" ca="1" si="1"/>
        <v>0</v>
      </c>
      <c r="W4" s="21">
        <f t="shared" ca="1" si="2"/>
        <v>0</v>
      </c>
      <c r="X4" s="10">
        <f t="shared" ca="1" si="3"/>
        <v>0</v>
      </c>
      <c r="Y4" s="10">
        <f t="shared" ca="1" si="4"/>
        <v>0</v>
      </c>
      <c r="Z4" s="10">
        <f t="shared" ca="1" si="5"/>
        <v>0</v>
      </c>
      <c r="AA4" s="10">
        <f t="shared" ca="1" si="6"/>
        <v>0</v>
      </c>
      <c r="AB4" s="10" t="e">
        <f t="shared" ca="1" si="7"/>
        <v>#DIV/0!</v>
      </c>
      <c r="AC4" s="10" t="e">
        <f t="shared" ca="1" si="8"/>
        <v>#DIV/0!</v>
      </c>
      <c r="AD4" s="69" t="e">
        <f t="shared" ca="1" si="9"/>
        <v>#DIV/0!</v>
      </c>
      <c r="AE4" s="69">
        <f t="shared" ca="1" si="10"/>
        <v>0</v>
      </c>
      <c r="AF4" s="21">
        <f t="shared" ca="1" si="11"/>
        <v>0</v>
      </c>
      <c r="AG4" s="21">
        <f t="shared" ca="1" si="12"/>
        <v>0</v>
      </c>
      <c r="AH4" s="10" t="e">
        <f t="shared" ca="1" si="13"/>
        <v>#DIV/0!</v>
      </c>
      <c r="AI4" s="69" t="e">
        <f t="shared" ca="1" si="14"/>
        <v>#DIV/0!</v>
      </c>
      <c r="AJ4" s="69" t="e">
        <f t="shared" ca="1" si="0"/>
        <v>#DIV/0!</v>
      </c>
    </row>
    <row r="5" spans="1:37">
      <c r="A5" s="69" t="str">
        <f>ANALYSIS!B5</f>
        <v>Experience &amp; Loyalty</v>
      </c>
      <c r="B5" s="99">
        <f ca="1">ANALYSIS!C5</f>
        <v>1.536E-2</v>
      </c>
      <c r="C5" s="99">
        <f ca="1">ANALYSIS!D5</f>
        <v>0</v>
      </c>
      <c r="D5" s="99">
        <f ca="1">ANALYSIS!E5</f>
        <v>0</v>
      </c>
      <c r="E5" s="99">
        <f ca="1">ANALYSIS!F5</f>
        <v>0</v>
      </c>
      <c r="F5" s="99">
        <f ca="1">ANALYSIS!G5</f>
        <v>0</v>
      </c>
      <c r="G5" s="99">
        <f ca="1">ANALYSIS!H5</f>
        <v>0</v>
      </c>
      <c r="H5" s="99">
        <f ca="1">ANALYSIS!I5</f>
        <v>0</v>
      </c>
      <c r="I5" s="99">
        <f ca="1">ANALYSIS!J5</f>
        <v>0</v>
      </c>
      <c r="J5" s="99">
        <f ca="1">ANALYSIS!K5</f>
        <v>0</v>
      </c>
      <c r="K5" s="99">
        <f ca="1">ANALYSIS!L5</f>
        <v>0</v>
      </c>
      <c r="L5" s="99">
        <f ca="1">ANALYSIS!M5</f>
        <v>0</v>
      </c>
      <c r="M5" s="99">
        <f ca="1">ANALYSIS!N5</f>
        <v>0</v>
      </c>
      <c r="N5" s="99">
        <f ca="1">ANALYSIS!O5</f>
        <v>0</v>
      </c>
      <c r="O5" s="99">
        <f ca="1">ANALYSIS!P5</f>
        <v>0</v>
      </c>
      <c r="P5" s="99">
        <f ca="1">ANALYSIS!Q5</f>
        <v>0</v>
      </c>
      <c r="Q5" s="99">
        <f ca="1">ANALYSIS!R5</f>
        <v>0</v>
      </c>
      <c r="R5" s="99">
        <f ca="1">ANALYSIS!S5</f>
        <v>0</v>
      </c>
      <c r="S5" s="99">
        <f ca="1">ANALYSIS!T5</f>
        <v>0</v>
      </c>
      <c r="T5" s="99">
        <f ca="1">ANALYSIS!U5</f>
        <v>0</v>
      </c>
      <c r="U5" s="99">
        <f ca="1">ANALYSIS!V5</f>
        <v>0</v>
      </c>
      <c r="V5" s="100">
        <f t="shared" ca="1" si="1"/>
        <v>0</v>
      </c>
      <c r="W5" s="21">
        <f t="shared" ca="1" si="2"/>
        <v>0</v>
      </c>
      <c r="X5" s="10">
        <f t="shared" ca="1" si="3"/>
        <v>1.536E-2</v>
      </c>
      <c r="Y5" s="10">
        <f t="shared" ca="1" si="4"/>
        <v>1.536E-2</v>
      </c>
      <c r="Z5" s="10">
        <f t="shared" ca="1" si="5"/>
        <v>0</v>
      </c>
      <c r="AA5" s="10">
        <f t="shared" ca="1" si="6"/>
        <v>1.536E-2</v>
      </c>
      <c r="AB5" s="10">
        <f t="shared" ca="1" si="7"/>
        <v>1.536E-2</v>
      </c>
      <c r="AC5" s="10">
        <f t="shared" ca="1" si="8"/>
        <v>1.536E-2</v>
      </c>
      <c r="AD5" s="69">
        <f t="shared" ca="1" si="9"/>
        <v>0</v>
      </c>
      <c r="AE5" s="69">
        <f t="shared" ca="1" si="10"/>
        <v>0</v>
      </c>
      <c r="AF5" s="21">
        <f t="shared" ca="1" si="11"/>
        <v>0</v>
      </c>
      <c r="AG5" s="21">
        <f t="shared" ca="1" si="12"/>
        <v>0</v>
      </c>
      <c r="AH5" s="10" t="e">
        <f t="shared" ca="1" si="13"/>
        <v>#DIV/0!</v>
      </c>
      <c r="AI5" s="69" t="e">
        <f t="shared" ca="1" si="14"/>
        <v>#DIV/0!</v>
      </c>
      <c r="AJ5" s="69" t="e">
        <f t="shared" ca="1" si="0"/>
        <v>#DIV/0!</v>
      </c>
    </row>
    <row r="6" spans="1:37">
      <c r="B6" s="101"/>
      <c r="C6" s="101"/>
      <c r="D6" s="101"/>
      <c r="E6" s="101"/>
      <c r="F6" s="101"/>
      <c r="G6" s="101"/>
      <c r="H6" s="101"/>
      <c r="I6" s="101"/>
      <c r="J6" s="101"/>
      <c r="K6" s="101"/>
      <c r="L6" s="101"/>
      <c r="M6" s="101"/>
      <c r="N6" s="101"/>
      <c r="O6" s="101"/>
      <c r="P6" s="101"/>
      <c r="Q6" s="101"/>
      <c r="R6" s="101"/>
      <c r="S6" s="101"/>
      <c r="T6" s="101"/>
      <c r="U6" s="101"/>
      <c r="V6" s="100"/>
      <c r="W6" s="21"/>
      <c r="X6" s="10"/>
      <c r="Y6" s="10"/>
      <c r="Z6" s="10"/>
    </row>
    <row r="7" spans="1:37">
      <c r="A7" s="69" t="s">
        <v>344</v>
      </c>
      <c r="B7" s="101">
        <f ca="1">(B2*0.8+B3+B4+B5*0.3)/3.1</f>
        <v>1.5525161290322581E-2</v>
      </c>
      <c r="C7" s="101">
        <f t="shared" ref="C7:U7" ca="1" si="15">(C2*0.8+C3+C4+C5*0.3)/3.1</f>
        <v>0</v>
      </c>
      <c r="D7" s="101">
        <f t="shared" ca="1" si="15"/>
        <v>0</v>
      </c>
      <c r="E7" s="101">
        <f t="shared" ca="1" si="15"/>
        <v>0</v>
      </c>
      <c r="F7" s="101">
        <f t="shared" ca="1" si="15"/>
        <v>0</v>
      </c>
      <c r="G7" s="101">
        <f t="shared" ca="1" si="15"/>
        <v>0</v>
      </c>
      <c r="H7" s="101">
        <f t="shared" ca="1" si="15"/>
        <v>0</v>
      </c>
      <c r="I7" s="101">
        <f t="shared" ca="1" si="15"/>
        <v>0</v>
      </c>
      <c r="J7" s="101">
        <f t="shared" ca="1" si="15"/>
        <v>0</v>
      </c>
      <c r="K7" s="101">
        <f t="shared" ca="1" si="15"/>
        <v>0</v>
      </c>
      <c r="L7" s="101">
        <f t="shared" ca="1" si="15"/>
        <v>0</v>
      </c>
      <c r="M7" s="101">
        <f t="shared" ca="1" si="15"/>
        <v>0</v>
      </c>
      <c r="N7" s="101">
        <f t="shared" ca="1" si="15"/>
        <v>0</v>
      </c>
      <c r="O7" s="101">
        <f t="shared" ca="1" si="15"/>
        <v>0</v>
      </c>
      <c r="P7" s="101">
        <f t="shared" ca="1" si="15"/>
        <v>0</v>
      </c>
      <c r="Q7" s="101">
        <f t="shared" ca="1" si="15"/>
        <v>0</v>
      </c>
      <c r="R7" s="101">
        <f t="shared" ca="1" si="15"/>
        <v>0</v>
      </c>
      <c r="S7" s="101">
        <f t="shared" ca="1" si="15"/>
        <v>0</v>
      </c>
      <c r="T7" s="101">
        <f t="shared" ca="1" si="15"/>
        <v>0</v>
      </c>
      <c r="U7" s="101">
        <f t="shared" ca="1" si="15"/>
        <v>0</v>
      </c>
      <c r="V7" s="100"/>
      <c r="W7" s="21">
        <f t="shared" ref="W7" ca="1" si="16">MAX(COUNTIF(B7:U7,"&gt;0")-1,0)</f>
        <v>0</v>
      </c>
      <c r="X7" s="10">
        <f t="shared" ref="X7" ca="1" si="17">SMALL(B7:U7,(20-W7))</f>
        <v>1.5525161290322581E-2</v>
      </c>
      <c r="Y7" s="10">
        <f t="shared" ref="Y7" ca="1" si="18">MAX(B7:U7)</f>
        <v>1.5525161290322581E-2</v>
      </c>
      <c r="Z7" s="10">
        <f t="shared" ref="Z7" ca="1" si="19">Y7-X7</f>
        <v>0</v>
      </c>
      <c r="AA7" s="10">
        <f t="shared" ref="AA7" ca="1" si="20">B7</f>
        <v>1.5525161290322581E-2</v>
      </c>
      <c r="AB7" s="10">
        <f t="shared" ref="AB7" ca="1" si="21">AVERAGEIF(B7:U7, "&gt;0")</f>
        <v>1.5525161290322581E-2</v>
      </c>
      <c r="AC7" s="10">
        <f ca="1">AB7</f>
        <v>1.5525161290322581E-2</v>
      </c>
      <c r="AD7" s="69">
        <f t="shared" ref="AD7" ca="1" si="22">IF(AA7&gt;AC7,3,0)</f>
        <v>0</v>
      </c>
      <c r="AE7" s="69">
        <f t="shared" ref="AE7" ca="1" si="23">IF(AA7&gt;=0.6,1,0)</f>
        <v>0</v>
      </c>
      <c r="AF7" s="21">
        <f t="shared" ref="AF7" ca="1" si="24">MAX((COUNTIF(B7:U7,"&lt;" &amp; AA7) - (19-$X$25)),0)</f>
        <v>0</v>
      </c>
      <c r="AG7" s="21">
        <f t="shared" ca="1" si="12"/>
        <v>0</v>
      </c>
      <c r="AH7" s="10" t="e">
        <f t="shared" ref="AH7" ca="1" si="25">AF7/AG7</f>
        <v>#DIV/0!</v>
      </c>
      <c r="AI7" s="69" t="e">
        <f t="shared" ca="1" si="14"/>
        <v>#DIV/0!</v>
      </c>
      <c r="AJ7" s="69" t="e">
        <f t="shared" ref="AJ7" ca="1" si="26">AD7+AE7+AI7</f>
        <v>#DIV/0!</v>
      </c>
    </row>
    <row r="8" spans="1:37">
      <c r="A8" s="69" t="s">
        <v>345</v>
      </c>
      <c r="B8" s="102">
        <f ca="1">_xlfn.RANK.AVG(B7,$B$7:$U$7,0)/COUNTIF($B$7:$U$7,"&gt;0")</f>
        <v>1</v>
      </c>
      <c r="C8" s="102">
        <f t="shared" ref="C8:U8" ca="1" si="27">_xlfn.RANK.AVG(C7,$B$7:$U$7,0)/COUNTIF($B$7:$U$7,"&gt;0")</f>
        <v>11</v>
      </c>
      <c r="D8" s="102">
        <f t="shared" ca="1" si="27"/>
        <v>11</v>
      </c>
      <c r="E8" s="102">
        <f t="shared" ca="1" si="27"/>
        <v>11</v>
      </c>
      <c r="F8" s="102">
        <f t="shared" ca="1" si="27"/>
        <v>11</v>
      </c>
      <c r="G8" s="102">
        <f t="shared" ca="1" si="27"/>
        <v>11</v>
      </c>
      <c r="H8" s="102">
        <f t="shared" ca="1" si="27"/>
        <v>11</v>
      </c>
      <c r="I8" s="102">
        <f t="shared" ca="1" si="27"/>
        <v>11</v>
      </c>
      <c r="J8" s="102">
        <f t="shared" ca="1" si="27"/>
        <v>11</v>
      </c>
      <c r="K8" s="102">
        <f t="shared" ca="1" si="27"/>
        <v>11</v>
      </c>
      <c r="L8" s="102">
        <f t="shared" ca="1" si="27"/>
        <v>11</v>
      </c>
      <c r="M8" s="102">
        <f t="shared" ca="1" si="27"/>
        <v>11</v>
      </c>
      <c r="N8" s="102">
        <f t="shared" ca="1" si="27"/>
        <v>11</v>
      </c>
      <c r="O8" s="102">
        <f t="shared" ca="1" si="27"/>
        <v>11</v>
      </c>
      <c r="P8" s="102">
        <f t="shared" ca="1" si="27"/>
        <v>11</v>
      </c>
      <c r="Q8" s="102">
        <f t="shared" ca="1" si="27"/>
        <v>11</v>
      </c>
      <c r="R8" s="102">
        <f t="shared" ca="1" si="27"/>
        <v>11</v>
      </c>
      <c r="S8" s="102">
        <f t="shared" ca="1" si="27"/>
        <v>11</v>
      </c>
      <c r="T8" s="102">
        <f t="shared" ca="1" si="27"/>
        <v>11</v>
      </c>
      <c r="U8" s="102">
        <f t="shared" ca="1" si="27"/>
        <v>11</v>
      </c>
      <c r="V8" s="100"/>
      <c r="W8" s="21"/>
      <c r="X8" s="10"/>
      <c r="Y8" s="10"/>
      <c r="Z8" s="10"/>
    </row>
    <row r="9" spans="1:37">
      <c r="B9" s="102"/>
      <c r="C9" s="102"/>
      <c r="D9" s="102"/>
      <c r="E9" s="102"/>
      <c r="F9" s="102"/>
      <c r="G9" s="102"/>
      <c r="H9" s="102"/>
      <c r="I9" s="102"/>
      <c r="J9" s="102"/>
      <c r="K9" s="102"/>
      <c r="L9" s="102"/>
      <c r="M9" s="102"/>
      <c r="N9" s="102"/>
      <c r="O9" s="102"/>
      <c r="P9" s="102"/>
      <c r="Q9" s="102"/>
      <c r="R9" s="102"/>
      <c r="S9" s="102"/>
      <c r="T9" s="102"/>
      <c r="U9" s="102"/>
      <c r="V9" s="100"/>
      <c r="W9" s="21"/>
      <c r="X9" s="10"/>
      <c r="Y9" s="10"/>
      <c r="Z9" s="10"/>
    </row>
    <row r="10" spans="1:37">
      <c r="A10" s="69" t="s">
        <v>346</v>
      </c>
      <c r="B10" s="102">
        <f ca="1">(0.8*B2+1*B3)/1.8</f>
        <v>2.4177777777777777E-2</v>
      </c>
      <c r="C10" s="102">
        <f t="shared" ref="C10:U10" ca="1" si="28">(0.8*C2+1*C3)/1.8</f>
        <v>0</v>
      </c>
      <c r="D10" s="102">
        <f t="shared" ca="1" si="28"/>
        <v>0</v>
      </c>
      <c r="E10" s="102">
        <f t="shared" ca="1" si="28"/>
        <v>0</v>
      </c>
      <c r="F10" s="102">
        <f t="shared" ca="1" si="28"/>
        <v>0</v>
      </c>
      <c r="G10" s="102">
        <f t="shared" ca="1" si="28"/>
        <v>0</v>
      </c>
      <c r="H10" s="102">
        <f t="shared" ca="1" si="28"/>
        <v>0</v>
      </c>
      <c r="I10" s="102">
        <f t="shared" ca="1" si="28"/>
        <v>0</v>
      </c>
      <c r="J10" s="102">
        <f t="shared" ca="1" si="28"/>
        <v>0</v>
      </c>
      <c r="K10" s="102">
        <f t="shared" ca="1" si="28"/>
        <v>0</v>
      </c>
      <c r="L10" s="102">
        <f t="shared" ca="1" si="28"/>
        <v>0</v>
      </c>
      <c r="M10" s="102">
        <f t="shared" ca="1" si="28"/>
        <v>0</v>
      </c>
      <c r="N10" s="102">
        <f t="shared" ca="1" si="28"/>
        <v>0</v>
      </c>
      <c r="O10" s="102">
        <f t="shared" ca="1" si="28"/>
        <v>0</v>
      </c>
      <c r="P10" s="102">
        <f t="shared" ca="1" si="28"/>
        <v>0</v>
      </c>
      <c r="Q10" s="102">
        <f t="shared" ca="1" si="28"/>
        <v>0</v>
      </c>
      <c r="R10" s="102">
        <f t="shared" ca="1" si="28"/>
        <v>0</v>
      </c>
      <c r="S10" s="102">
        <f t="shared" ca="1" si="28"/>
        <v>0</v>
      </c>
      <c r="T10" s="102">
        <f t="shared" ca="1" si="28"/>
        <v>0</v>
      </c>
      <c r="U10" s="102">
        <f t="shared" ca="1" si="28"/>
        <v>0</v>
      </c>
      <c r="V10" s="100"/>
      <c r="W10" s="21"/>
      <c r="X10" s="10"/>
      <c r="Y10" s="10"/>
      <c r="Z10" s="10"/>
    </row>
    <row r="11" spans="1:37">
      <c r="A11" s="69" t="s">
        <v>347</v>
      </c>
      <c r="B11" s="102">
        <f ca="1">(1*B4+0.3*B5)/1.3</f>
        <v>3.5446153846153848E-3</v>
      </c>
      <c r="C11" s="102">
        <f t="shared" ref="C11:U11" ca="1" si="29">(1*C4+0.3*C5)/1.3</f>
        <v>0</v>
      </c>
      <c r="D11" s="102">
        <f t="shared" ca="1" si="29"/>
        <v>0</v>
      </c>
      <c r="E11" s="102">
        <f t="shared" ca="1" si="29"/>
        <v>0</v>
      </c>
      <c r="F11" s="102">
        <f t="shared" ca="1" si="29"/>
        <v>0</v>
      </c>
      <c r="G11" s="102">
        <f t="shared" ca="1" si="29"/>
        <v>0</v>
      </c>
      <c r="H11" s="102">
        <f t="shared" ca="1" si="29"/>
        <v>0</v>
      </c>
      <c r="I11" s="102">
        <f t="shared" ca="1" si="29"/>
        <v>0</v>
      </c>
      <c r="J11" s="102">
        <f t="shared" ca="1" si="29"/>
        <v>0</v>
      </c>
      <c r="K11" s="102">
        <f t="shared" ca="1" si="29"/>
        <v>0</v>
      </c>
      <c r="L11" s="102">
        <f t="shared" ca="1" si="29"/>
        <v>0</v>
      </c>
      <c r="M11" s="102">
        <f t="shared" ca="1" si="29"/>
        <v>0</v>
      </c>
      <c r="N11" s="102">
        <f t="shared" ca="1" si="29"/>
        <v>0</v>
      </c>
      <c r="O11" s="102">
        <f t="shared" ca="1" si="29"/>
        <v>0</v>
      </c>
      <c r="P11" s="102">
        <f t="shared" ca="1" si="29"/>
        <v>0</v>
      </c>
      <c r="Q11" s="102">
        <f t="shared" ca="1" si="29"/>
        <v>0</v>
      </c>
      <c r="R11" s="102">
        <f t="shared" ca="1" si="29"/>
        <v>0</v>
      </c>
      <c r="S11" s="102">
        <f t="shared" ca="1" si="29"/>
        <v>0</v>
      </c>
      <c r="T11" s="102">
        <f t="shared" ca="1" si="29"/>
        <v>0</v>
      </c>
      <c r="U11" s="102">
        <f t="shared" ca="1" si="29"/>
        <v>0</v>
      </c>
      <c r="V11" s="100"/>
      <c r="W11" s="21"/>
      <c r="X11" s="10"/>
      <c r="Y11" s="10"/>
      <c r="Z11" s="10"/>
    </row>
    <row r="12" spans="1:37">
      <c r="B12" s="324" t="s">
        <v>414</v>
      </c>
      <c r="C12" s="324"/>
      <c r="D12" s="324"/>
      <c r="E12" s="324"/>
      <c r="F12" s="324"/>
      <c r="G12" s="324"/>
      <c r="H12" s="324"/>
      <c r="I12" s="324"/>
      <c r="J12" s="324"/>
      <c r="K12" s="324"/>
      <c r="L12" s="324"/>
      <c r="M12" s="324"/>
      <c r="N12" s="324"/>
      <c r="O12" s="324"/>
      <c r="P12" s="324"/>
      <c r="Q12" s="324"/>
      <c r="R12" s="324"/>
      <c r="S12" s="324"/>
      <c r="T12" s="324"/>
      <c r="U12" s="324"/>
      <c r="V12" s="32"/>
    </row>
    <row r="13" spans="1:37">
      <c r="A13" s="165" t="str">
        <f>ANALYSIS!B14</f>
        <v>Search Engine Optimization</v>
      </c>
      <c r="B13" s="99">
        <f ca="1">ANALYSIS!C14</f>
        <v>0</v>
      </c>
      <c r="C13" s="99">
        <f ca="1">ANALYSIS!D14</f>
        <v>0</v>
      </c>
      <c r="D13" s="99">
        <f ca="1">ANALYSIS!E14</f>
        <v>0</v>
      </c>
      <c r="E13" s="99">
        <f ca="1">ANALYSIS!F14</f>
        <v>0</v>
      </c>
      <c r="F13" s="99">
        <f ca="1">ANALYSIS!G14</f>
        <v>0</v>
      </c>
      <c r="G13" s="99">
        <f ca="1">ANALYSIS!H14</f>
        <v>0</v>
      </c>
      <c r="H13" s="99">
        <f ca="1">ANALYSIS!I14</f>
        <v>0</v>
      </c>
      <c r="I13" s="99">
        <f ca="1">ANALYSIS!J14</f>
        <v>0</v>
      </c>
      <c r="J13" s="99">
        <f ca="1">ANALYSIS!K14</f>
        <v>0</v>
      </c>
      <c r="K13" s="99">
        <f ca="1">ANALYSIS!L14</f>
        <v>0</v>
      </c>
      <c r="L13" s="99">
        <f ca="1">ANALYSIS!M14</f>
        <v>0</v>
      </c>
      <c r="M13" s="99">
        <f ca="1">ANALYSIS!N14</f>
        <v>0</v>
      </c>
      <c r="N13" s="99">
        <f ca="1">ANALYSIS!O14</f>
        <v>0</v>
      </c>
      <c r="O13" s="99">
        <f ca="1">ANALYSIS!P14</f>
        <v>0</v>
      </c>
      <c r="P13" s="99">
        <f ca="1">ANALYSIS!Q14</f>
        <v>0</v>
      </c>
      <c r="Q13" s="99">
        <f ca="1">ANALYSIS!R14</f>
        <v>0</v>
      </c>
      <c r="R13" s="99">
        <f ca="1">ANALYSIS!S14</f>
        <v>0</v>
      </c>
      <c r="S13" s="99">
        <f ca="1">ANALYSIS!T14</f>
        <v>0</v>
      </c>
      <c r="T13" s="99">
        <f ca="1">ANALYSIS!U14</f>
        <v>0</v>
      </c>
      <c r="U13" s="99">
        <f ca="1">ANALYSIS!V14</f>
        <v>0</v>
      </c>
      <c r="V13" s="100">
        <f t="shared" ref="V13:V23" ca="1" si="30">Z13</f>
        <v>0</v>
      </c>
      <c r="W13" s="21">
        <f t="shared" ref="W13:W23" ca="1" si="31">MAX(COUNTIF(B13:U13,"&gt;0")-1,0)</f>
        <v>0</v>
      </c>
      <c r="X13" s="10">
        <f t="shared" ref="X13:X23" ca="1" si="32">SMALL(B13:U13,(20-W13))</f>
        <v>0</v>
      </c>
      <c r="Y13" s="10">
        <f t="shared" ref="Y13:Y23" ca="1" si="33">MAX(B13:U13)</f>
        <v>0</v>
      </c>
      <c r="Z13" s="10">
        <f t="shared" ref="Z13:Z23" ca="1" si="34">Y13-X13</f>
        <v>0</v>
      </c>
      <c r="AA13" s="10">
        <f t="shared" ref="AA13:AA23" ca="1" si="35">B13</f>
        <v>0</v>
      </c>
      <c r="AB13" s="10" t="e">
        <f t="shared" ref="AB13:AB23" ca="1" si="36">AVERAGEIF(B13:U13, "&gt;0")</f>
        <v>#DIV/0!</v>
      </c>
      <c r="AC13" s="10" t="e">
        <f ca="1">AB13</f>
        <v>#DIV/0!</v>
      </c>
      <c r="AD13" s="69" t="e">
        <f ca="1">IF(AA13&gt;AC13,3,0)</f>
        <v>#DIV/0!</v>
      </c>
      <c r="AE13" s="69">
        <f t="shared" ref="AE13:AE23" ca="1" si="37">IF(AA13&gt;=0.6,1,0)</f>
        <v>0</v>
      </c>
      <c r="AF13" s="21">
        <f t="shared" ref="AF13:AF23" ca="1" si="38">MAX((COUNTIF(B13:U13,"&lt;" &amp; AA13) - (19-$X$25)),0)</f>
        <v>0</v>
      </c>
      <c r="AG13" s="21">
        <f t="shared" ref="AG13:AG23" ca="1" si="39">$X$25</f>
        <v>0</v>
      </c>
      <c r="AH13" s="10" t="e">
        <f t="shared" ref="AH13:AH23" ca="1" si="40">AF13/AG13</f>
        <v>#DIV/0!</v>
      </c>
      <c r="AI13" s="69" t="e">
        <f t="shared" ref="AI13:AI23" ca="1" si="41">IF(AH13&gt;0.5,1,0)</f>
        <v>#DIV/0!</v>
      </c>
      <c r="AJ13" s="69" t="e">
        <f t="shared" ref="AJ13:AJ23" ca="1" si="42">AD13+AE13+AI13</f>
        <v>#DIV/0!</v>
      </c>
      <c r="AK13" s="22" t="s">
        <v>39</v>
      </c>
    </row>
    <row r="14" spans="1:37">
      <c r="A14" s="165" t="str">
        <f>ANALYSIS!B15</f>
        <v>Mobile Experience</v>
      </c>
      <c r="B14" s="99">
        <f ca="1">ANALYSIS!C15</f>
        <v>0.25600000000000001</v>
      </c>
      <c r="C14" s="99">
        <f ca="1">ANALYSIS!D15</f>
        <v>0</v>
      </c>
      <c r="D14" s="99">
        <f ca="1">ANALYSIS!E15</f>
        <v>0</v>
      </c>
      <c r="E14" s="99">
        <f ca="1">ANALYSIS!F15</f>
        <v>0</v>
      </c>
      <c r="F14" s="99">
        <f ca="1">ANALYSIS!G15</f>
        <v>0</v>
      </c>
      <c r="G14" s="99">
        <f ca="1">ANALYSIS!H15</f>
        <v>0</v>
      </c>
      <c r="H14" s="99">
        <f ca="1">ANALYSIS!I15</f>
        <v>0</v>
      </c>
      <c r="I14" s="99">
        <f ca="1">ANALYSIS!J15</f>
        <v>0</v>
      </c>
      <c r="J14" s="99">
        <f ca="1">ANALYSIS!K15</f>
        <v>0</v>
      </c>
      <c r="K14" s="99">
        <f ca="1">ANALYSIS!L15</f>
        <v>0</v>
      </c>
      <c r="L14" s="99">
        <f ca="1">ANALYSIS!M15</f>
        <v>0</v>
      </c>
      <c r="M14" s="99">
        <f ca="1">ANALYSIS!N15</f>
        <v>0</v>
      </c>
      <c r="N14" s="99">
        <f ca="1">ANALYSIS!O15</f>
        <v>0</v>
      </c>
      <c r="O14" s="99">
        <f ca="1">ANALYSIS!P15</f>
        <v>0</v>
      </c>
      <c r="P14" s="99">
        <f ca="1">ANALYSIS!Q15</f>
        <v>0</v>
      </c>
      <c r="Q14" s="99">
        <f ca="1">ANALYSIS!R15</f>
        <v>0</v>
      </c>
      <c r="R14" s="99">
        <f ca="1">ANALYSIS!S15</f>
        <v>0</v>
      </c>
      <c r="S14" s="99">
        <f ca="1">ANALYSIS!T15</f>
        <v>0</v>
      </c>
      <c r="T14" s="99">
        <f ca="1">ANALYSIS!U15</f>
        <v>0</v>
      </c>
      <c r="U14" s="99">
        <f ca="1">ANALYSIS!V15</f>
        <v>0</v>
      </c>
      <c r="V14" s="100">
        <f t="shared" ca="1" si="30"/>
        <v>0</v>
      </c>
      <c r="W14" s="21">
        <f t="shared" ca="1" si="31"/>
        <v>0</v>
      </c>
      <c r="X14" s="10">
        <f t="shared" ca="1" si="32"/>
        <v>0.25600000000000001</v>
      </c>
      <c r="Y14" s="10">
        <f t="shared" ca="1" si="33"/>
        <v>0.25600000000000001</v>
      </c>
      <c r="Z14" s="10">
        <f t="shared" ca="1" si="34"/>
        <v>0</v>
      </c>
      <c r="AA14" s="10">
        <f t="shared" ca="1" si="35"/>
        <v>0.25600000000000001</v>
      </c>
      <c r="AB14" s="10">
        <f t="shared" ca="1" si="36"/>
        <v>0.25600000000000001</v>
      </c>
      <c r="AC14" s="10">
        <f t="shared" ref="AC14:AC23" ca="1" si="43">AB14</f>
        <v>0.25600000000000001</v>
      </c>
      <c r="AD14" s="69">
        <f t="shared" ref="AD14:AD23" ca="1" si="44">IF(AA14&gt;AC14,3,0)</f>
        <v>0</v>
      </c>
      <c r="AE14" s="69">
        <f t="shared" ca="1" si="37"/>
        <v>0</v>
      </c>
      <c r="AF14" s="21">
        <f t="shared" ca="1" si="38"/>
        <v>0</v>
      </c>
      <c r="AG14" s="21">
        <f t="shared" ca="1" si="39"/>
        <v>0</v>
      </c>
      <c r="AH14" s="10" t="e">
        <f t="shared" ca="1" si="40"/>
        <v>#DIV/0!</v>
      </c>
      <c r="AI14" s="69" t="e">
        <f t="shared" ca="1" si="41"/>
        <v>#DIV/0!</v>
      </c>
      <c r="AJ14" s="69" t="e">
        <f t="shared" ca="1" si="42"/>
        <v>#DIV/0!</v>
      </c>
      <c r="AK14" s="22" t="s">
        <v>40</v>
      </c>
    </row>
    <row r="15" spans="1:37">
      <c r="A15" s="165" t="str">
        <f>ANALYSIS!B16</f>
        <v>Website Technical &amp; Functional</v>
      </c>
      <c r="B15" s="99">
        <f ca="1">ANALYSIS!C16</f>
        <v>0</v>
      </c>
      <c r="C15" s="99">
        <f ca="1">ANALYSIS!D16</f>
        <v>0</v>
      </c>
      <c r="D15" s="99">
        <f ca="1">ANALYSIS!E16</f>
        <v>0</v>
      </c>
      <c r="E15" s="99">
        <f ca="1">ANALYSIS!F16</f>
        <v>0</v>
      </c>
      <c r="F15" s="99">
        <f ca="1">ANALYSIS!G16</f>
        <v>0</v>
      </c>
      <c r="G15" s="99">
        <f ca="1">ANALYSIS!H16</f>
        <v>0</v>
      </c>
      <c r="H15" s="99">
        <f ca="1">ANALYSIS!I16</f>
        <v>0</v>
      </c>
      <c r="I15" s="99">
        <f ca="1">ANALYSIS!J16</f>
        <v>0</v>
      </c>
      <c r="J15" s="99">
        <f ca="1">ANALYSIS!K16</f>
        <v>0</v>
      </c>
      <c r="K15" s="99">
        <f ca="1">ANALYSIS!L16</f>
        <v>0</v>
      </c>
      <c r="L15" s="99">
        <f ca="1">ANALYSIS!M16</f>
        <v>0</v>
      </c>
      <c r="M15" s="99">
        <f ca="1">ANALYSIS!N16</f>
        <v>0</v>
      </c>
      <c r="N15" s="99">
        <f ca="1">ANALYSIS!O16</f>
        <v>0</v>
      </c>
      <c r="O15" s="99">
        <f ca="1">ANALYSIS!P16</f>
        <v>0</v>
      </c>
      <c r="P15" s="99">
        <f ca="1">ANALYSIS!Q16</f>
        <v>0</v>
      </c>
      <c r="Q15" s="99">
        <f ca="1">ANALYSIS!R16</f>
        <v>0</v>
      </c>
      <c r="R15" s="99">
        <f ca="1">ANALYSIS!S16</f>
        <v>0</v>
      </c>
      <c r="S15" s="99">
        <f ca="1">ANALYSIS!T16</f>
        <v>0</v>
      </c>
      <c r="T15" s="99">
        <f ca="1">ANALYSIS!U16</f>
        <v>0</v>
      </c>
      <c r="U15" s="99">
        <f ca="1">ANALYSIS!V16</f>
        <v>0</v>
      </c>
      <c r="V15" s="100">
        <f t="shared" ca="1" si="30"/>
        <v>0</v>
      </c>
      <c r="W15" s="21">
        <f t="shared" ca="1" si="31"/>
        <v>0</v>
      </c>
      <c r="X15" s="10">
        <f t="shared" ca="1" si="32"/>
        <v>0</v>
      </c>
      <c r="Y15" s="10">
        <f t="shared" ca="1" si="33"/>
        <v>0</v>
      </c>
      <c r="Z15" s="10">
        <f t="shared" ca="1" si="34"/>
        <v>0</v>
      </c>
      <c r="AA15" s="10">
        <f t="shared" ca="1" si="35"/>
        <v>0</v>
      </c>
      <c r="AB15" s="10" t="e">
        <f t="shared" ca="1" si="36"/>
        <v>#DIV/0!</v>
      </c>
      <c r="AC15" s="10" t="e">
        <f t="shared" ca="1" si="43"/>
        <v>#DIV/0!</v>
      </c>
      <c r="AD15" s="69" t="e">
        <f t="shared" ca="1" si="44"/>
        <v>#DIV/0!</v>
      </c>
      <c r="AE15" s="69">
        <f t="shared" ca="1" si="37"/>
        <v>0</v>
      </c>
      <c r="AF15" s="21">
        <f t="shared" ca="1" si="38"/>
        <v>0</v>
      </c>
      <c r="AG15" s="21">
        <f t="shared" ca="1" si="39"/>
        <v>0</v>
      </c>
      <c r="AH15" s="10" t="e">
        <f t="shared" ca="1" si="40"/>
        <v>#DIV/0!</v>
      </c>
      <c r="AI15" s="69" t="e">
        <f t="shared" ca="1" si="41"/>
        <v>#DIV/0!</v>
      </c>
      <c r="AJ15" s="69" t="e">
        <f t="shared" ca="1" si="42"/>
        <v>#DIV/0!</v>
      </c>
      <c r="AK15" s="22" t="s">
        <v>41</v>
      </c>
    </row>
    <row r="16" spans="1:37">
      <c r="A16" s="165" t="str">
        <f>ANALYSIS!B17</f>
        <v xml:space="preserve">Content Marketing </v>
      </c>
      <c r="B16" s="99">
        <f ca="1">ANALYSIS!C17</f>
        <v>0</v>
      </c>
      <c r="C16" s="203">
        <f ca="1">ANALYSIS!D21</f>
        <v>0</v>
      </c>
      <c r="D16" s="99">
        <f ca="1">ANALYSIS!E17</f>
        <v>0</v>
      </c>
      <c r="E16" s="99">
        <f ca="1">ANALYSIS!F17</f>
        <v>0</v>
      </c>
      <c r="F16" s="99">
        <f ca="1">ANALYSIS!G17</f>
        <v>0</v>
      </c>
      <c r="G16" s="99">
        <f ca="1">ANALYSIS!H17</f>
        <v>0</v>
      </c>
      <c r="H16" s="99">
        <f ca="1">ANALYSIS!I17</f>
        <v>0</v>
      </c>
      <c r="I16" s="99">
        <f ca="1">ANALYSIS!J17</f>
        <v>0</v>
      </c>
      <c r="J16" s="99">
        <f ca="1">ANALYSIS!K17</f>
        <v>0</v>
      </c>
      <c r="K16" s="99">
        <f ca="1">ANALYSIS!L17</f>
        <v>0</v>
      </c>
      <c r="L16" s="99">
        <f ca="1">ANALYSIS!M17</f>
        <v>0</v>
      </c>
      <c r="M16" s="99">
        <f ca="1">ANALYSIS!N17</f>
        <v>0</v>
      </c>
      <c r="N16" s="99">
        <f ca="1">ANALYSIS!O17</f>
        <v>0</v>
      </c>
      <c r="O16" s="99">
        <f ca="1">ANALYSIS!P17</f>
        <v>0</v>
      </c>
      <c r="P16" s="99">
        <f ca="1">ANALYSIS!Q17</f>
        <v>0</v>
      </c>
      <c r="Q16" s="99">
        <f ca="1">ANALYSIS!R17</f>
        <v>0</v>
      </c>
      <c r="R16" s="99">
        <f ca="1">ANALYSIS!S17</f>
        <v>0</v>
      </c>
      <c r="S16" s="99">
        <f ca="1">ANALYSIS!T17</f>
        <v>0</v>
      </c>
      <c r="T16" s="99">
        <f ca="1">ANALYSIS!U17</f>
        <v>0</v>
      </c>
      <c r="U16" s="99">
        <f ca="1">ANALYSIS!V17</f>
        <v>0</v>
      </c>
      <c r="V16" s="100">
        <f t="shared" ca="1" si="30"/>
        <v>0</v>
      </c>
      <c r="W16" s="21">
        <f t="shared" ca="1" si="31"/>
        <v>0</v>
      </c>
      <c r="X16" s="10">
        <f t="shared" ca="1" si="32"/>
        <v>0</v>
      </c>
      <c r="Y16" s="10">
        <f t="shared" ca="1" si="33"/>
        <v>0</v>
      </c>
      <c r="Z16" s="10">
        <f t="shared" ca="1" si="34"/>
        <v>0</v>
      </c>
      <c r="AA16" s="10">
        <f t="shared" ca="1" si="35"/>
        <v>0</v>
      </c>
      <c r="AB16" s="10" t="e">
        <f t="shared" ca="1" si="36"/>
        <v>#DIV/0!</v>
      </c>
      <c r="AC16" s="10" t="e">
        <f t="shared" ca="1" si="43"/>
        <v>#DIV/0!</v>
      </c>
      <c r="AD16" s="69" t="e">
        <f t="shared" ca="1" si="44"/>
        <v>#DIV/0!</v>
      </c>
      <c r="AE16" s="69">
        <f t="shared" ca="1" si="37"/>
        <v>0</v>
      </c>
      <c r="AF16" s="21">
        <f t="shared" ca="1" si="38"/>
        <v>0</v>
      </c>
      <c r="AG16" s="21">
        <f t="shared" ca="1" si="39"/>
        <v>0</v>
      </c>
      <c r="AH16" s="10" t="e">
        <f t="shared" ca="1" si="40"/>
        <v>#DIV/0!</v>
      </c>
      <c r="AI16" s="69" t="e">
        <f t="shared" ca="1" si="41"/>
        <v>#DIV/0!</v>
      </c>
      <c r="AJ16" s="69" t="e">
        <f t="shared" ca="1" si="42"/>
        <v>#DIV/0!</v>
      </c>
      <c r="AK16" s="22" t="s">
        <v>42</v>
      </c>
    </row>
    <row r="17" spans="1:36">
      <c r="A17" s="165" t="str">
        <f>ANALYSIS!B18</f>
        <v>Product Discovery</v>
      </c>
      <c r="B17" s="99">
        <f ca="1">ANALYSIS!C18</f>
        <v>0</v>
      </c>
      <c r="C17" s="99">
        <f ca="1">ANALYSIS!D18</f>
        <v>0</v>
      </c>
      <c r="D17" s="99">
        <f ca="1">ANALYSIS!E18</f>
        <v>0</v>
      </c>
      <c r="E17" s="99">
        <f ca="1">ANALYSIS!F18</f>
        <v>0</v>
      </c>
      <c r="F17" s="99">
        <f ca="1">ANALYSIS!G18</f>
        <v>0</v>
      </c>
      <c r="G17" s="99">
        <f ca="1">ANALYSIS!H18</f>
        <v>0</v>
      </c>
      <c r="H17" s="99">
        <f ca="1">ANALYSIS!I18</f>
        <v>0</v>
      </c>
      <c r="I17" s="99">
        <f ca="1">ANALYSIS!J18</f>
        <v>0</v>
      </c>
      <c r="J17" s="99">
        <f ca="1">ANALYSIS!K18</f>
        <v>0</v>
      </c>
      <c r="K17" s="99">
        <f ca="1">ANALYSIS!L18</f>
        <v>0</v>
      </c>
      <c r="L17" s="99">
        <f ca="1">ANALYSIS!M18</f>
        <v>0</v>
      </c>
      <c r="M17" s="99">
        <f ca="1">ANALYSIS!N18</f>
        <v>0</v>
      </c>
      <c r="N17" s="99">
        <f ca="1">ANALYSIS!O18</f>
        <v>0</v>
      </c>
      <c r="O17" s="99">
        <f ca="1">ANALYSIS!P18</f>
        <v>0</v>
      </c>
      <c r="P17" s="99">
        <f ca="1">ANALYSIS!Q18</f>
        <v>0</v>
      </c>
      <c r="Q17" s="99">
        <f ca="1">ANALYSIS!R18</f>
        <v>0</v>
      </c>
      <c r="R17" s="99">
        <f ca="1">ANALYSIS!S18</f>
        <v>0</v>
      </c>
      <c r="S17" s="99">
        <f ca="1">ANALYSIS!T18</f>
        <v>0</v>
      </c>
      <c r="T17" s="99">
        <f ca="1">ANALYSIS!U18</f>
        <v>0</v>
      </c>
      <c r="U17" s="99">
        <f ca="1">ANALYSIS!V18</f>
        <v>0</v>
      </c>
      <c r="V17" s="100">
        <f t="shared" ca="1" si="30"/>
        <v>0</v>
      </c>
      <c r="W17" s="21">
        <f t="shared" ca="1" si="31"/>
        <v>0</v>
      </c>
      <c r="X17" s="10">
        <f t="shared" ca="1" si="32"/>
        <v>0</v>
      </c>
      <c r="Y17" s="10">
        <f t="shared" ca="1" si="33"/>
        <v>0</v>
      </c>
      <c r="Z17" s="10">
        <f t="shared" ca="1" si="34"/>
        <v>0</v>
      </c>
      <c r="AA17" s="10">
        <f t="shared" ca="1" si="35"/>
        <v>0</v>
      </c>
      <c r="AB17" s="10" t="e">
        <f t="shared" ca="1" si="36"/>
        <v>#DIV/0!</v>
      </c>
      <c r="AC17" s="10" t="e">
        <f t="shared" ca="1" si="43"/>
        <v>#DIV/0!</v>
      </c>
      <c r="AD17" s="69" t="e">
        <f t="shared" ca="1" si="44"/>
        <v>#DIV/0!</v>
      </c>
      <c r="AE17" s="69">
        <f t="shared" ca="1" si="37"/>
        <v>0</v>
      </c>
      <c r="AF17" s="21">
        <f t="shared" ca="1" si="38"/>
        <v>0</v>
      </c>
      <c r="AG17" s="21">
        <f t="shared" ca="1" si="39"/>
        <v>0</v>
      </c>
      <c r="AH17" s="10" t="e">
        <f t="shared" ca="1" si="40"/>
        <v>#DIV/0!</v>
      </c>
      <c r="AI17" s="69" t="e">
        <f t="shared" ca="1" si="41"/>
        <v>#DIV/0!</v>
      </c>
      <c r="AJ17" s="69" t="e">
        <f t="shared" ca="1" si="42"/>
        <v>#DIV/0!</v>
      </c>
    </row>
    <row r="18" spans="1:36">
      <c r="A18" s="165" t="str">
        <f>ANALYSIS!B19</f>
        <v xml:space="preserve">Product Merchandising </v>
      </c>
      <c r="B18" s="99">
        <f ca="1">ANALYSIS!C19</f>
        <v>0</v>
      </c>
      <c r="C18" s="99">
        <f ca="1">ANALYSIS!D19</f>
        <v>0</v>
      </c>
      <c r="D18" s="99">
        <f ca="1">ANALYSIS!E19</f>
        <v>0</v>
      </c>
      <c r="E18" s="99">
        <f ca="1">ANALYSIS!F19</f>
        <v>0</v>
      </c>
      <c r="F18" s="99">
        <f ca="1">ANALYSIS!G19</f>
        <v>0</v>
      </c>
      <c r="G18" s="99">
        <f ca="1">ANALYSIS!H19</f>
        <v>0</v>
      </c>
      <c r="H18" s="99">
        <f ca="1">ANALYSIS!I19</f>
        <v>0</v>
      </c>
      <c r="I18" s="99">
        <f ca="1">ANALYSIS!J19</f>
        <v>0</v>
      </c>
      <c r="J18" s="99">
        <f ca="1">ANALYSIS!K19</f>
        <v>0</v>
      </c>
      <c r="K18" s="99">
        <f ca="1">ANALYSIS!L19</f>
        <v>0</v>
      </c>
      <c r="L18" s="99">
        <f ca="1">ANALYSIS!M19</f>
        <v>0</v>
      </c>
      <c r="M18" s="99">
        <f ca="1">ANALYSIS!N19</f>
        <v>0</v>
      </c>
      <c r="N18" s="99">
        <f ca="1">ANALYSIS!O19</f>
        <v>0</v>
      </c>
      <c r="O18" s="99">
        <f ca="1">ANALYSIS!P19</f>
        <v>0</v>
      </c>
      <c r="P18" s="99">
        <f ca="1">ANALYSIS!Q19</f>
        <v>0</v>
      </c>
      <c r="Q18" s="99">
        <f ca="1">ANALYSIS!R19</f>
        <v>0</v>
      </c>
      <c r="R18" s="99">
        <f ca="1">ANALYSIS!S19</f>
        <v>0</v>
      </c>
      <c r="S18" s="99">
        <f ca="1">ANALYSIS!T19</f>
        <v>0</v>
      </c>
      <c r="T18" s="99">
        <f ca="1">ANALYSIS!U19</f>
        <v>0</v>
      </c>
      <c r="U18" s="99">
        <f ca="1">ANALYSIS!V19</f>
        <v>0</v>
      </c>
      <c r="V18" s="100">
        <f t="shared" ca="1" si="30"/>
        <v>0</v>
      </c>
      <c r="W18" s="21">
        <f t="shared" ca="1" si="31"/>
        <v>0</v>
      </c>
      <c r="X18" s="10">
        <f t="shared" ca="1" si="32"/>
        <v>0</v>
      </c>
      <c r="Y18" s="10">
        <f t="shared" ca="1" si="33"/>
        <v>0</v>
      </c>
      <c r="Z18" s="10">
        <f t="shared" ca="1" si="34"/>
        <v>0</v>
      </c>
      <c r="AA18" s="10">
        <f t="shared" ca="1" si="35"/>
        <v>0</v>
      </c>
      <c r="AB18" s="10" t="e">
        <f t="shared" ca="1" si="36"/>
        <v>#DIV/0!</v>
      </c>
      <c r="AC18" s="10" t="e">
        <f t="shared" ca="1" si="43"/>
        <v>#DIV/0!</v>
      </c>
      <c r="AD18" s="69" t="e">
        <f t="shared" ca="1" si="44"/>
        <v>#DIV/0!</v>
      </c>
      <c r="AE18" s="69">
        <f t="shared" ca="1" si="37"/>
        <v>0</v>
      </c>
      <c r="AF18" s="21">
        <f t="shared" ca="1" si="38"/>
        <v>0</v>
      </c>
      <c r="AG18" s="21">
        <f t="shared" ca="1" si="39"/>
        <v>0</v>
      </c>
      <c r="AH18" s="10" t="e">
        <f t="shared" ca="1" si="40"/>
        <v>#DIV/0!</v>
      </c>
      <c r="AI18" s="69" t="e">
        <f t="shared" ca="1" si="41"/>
        <v>#DIV/0!</v>
      </c>
      <c r="AJ18" s="69" t="e">
        <f t="shared" ca="1" si="42"/>
        <v>#DIV/0!</v>
      </c>
    </row>
    <row r="19" spans="1:36">
      <c r="A19" s="165" t="str">
        <f>ANALYSIS!B20</f>
        <v>E-Commerce Functionality</v>
      </c>
      <c r="B19" s="99">
        <f ca="1">ANALYSIS!C20</f>
        <v>0</v>
      </c>
      <c r="C19" s="99">
        <f ca="1">ANALYSIS!D20</f>
        <v>0</v>
      </c>
      <c r="D19" s="99">
        <f ca="1">ANALYSIS!E20</f>
        <v>0</v>
      </c>
      <c r="E19" s="99">
        <f ca="1">ANALYSIS!F20</f>
        <v>0</v>
      </c>
      <c r="F19" s="99">
        <f ca="1">ANALYSIS!G20</f>
        <v>0</v>
      </c>
      <c r="G19" s="99">
        <f ca="1">ANALYSIS!H20</f>
        <v>0</v>
      </c>
      <c r="H19" s="99">
        <f ca="1">ANALYSIS!I20</f>
        <v>0</v>
      </c>
      <c r="I19" s="99">
        <f ca="1">ANALYSIS!J20</f>
        <v>0</v>
      </c>
      <c r="J19" s="99">
        <f ca="1">ANALYSIS!K20</f>
        <v>0</v>
      </c>
      <c r="K19" s="99">
        <f ca="1">ANALYSIS!L20</f>
        <v>0</v>
      </c>
      <c r="L19" s="99">
        <f ca="1">ANALYSIS!M20</f>
        <v>0</v>
      </c>
      <c r="M19" s="99">
        <f ca="1">ANALYSIS!N20</f>
        <v>0</v>
      </c>
      <c r="N19" s="99">
        <f ca="1">ANALYSIS!O20</f>
        <v>0</v>
      </c>
      <c r="O19" s="99">
        <f ca="1">ANALYSIS!P20</f>
        <v>0</v>
      </c>
      <c r="P19" s="99">
        <f ca="1">ANALYSIS!Q20</f>
        <v>0</v>
      </c>
      <c r="Q19" s="99">
        <f ca="1">ANALYSIS!R20</f>
        <v>0</v>
      </c>
      <c r="R19" s="99">
        <f ca="1">ANALYSIS!S20</f>
        <v>0</v>
      </c>
      <c r="S19" s="99">
        <f ca="1">ANALYSIS!T20</f>
        <v>0</v>
      </c>
      <c r="T19" s="99">
        <f ca="1">ANALYSIS!U20</f>
        <v>0</v>
      </c>
      <c r="U19" s="99">
        <f ca="1">ANALYSIS!V20</f>
        <v>0</v>
      </c>
      <c r="V19" s="100">
        <f t="shared" ca="1" si="30"/>
        <v>0</v>
      </c>
      <c r="W19" s="21">
        <f t="shared" ca="1" si="31"/>
        <v>0</v>
      </c>
      <c r="X19" s="10">
        <f t="shared" ca="1" si="32"/>
        <v>0</v>
      </c>
      <c r="Y19" s="10">
        <f t="shared" ca="1" si="33"/>
        <v>0</v>
      </c>
      <c r="Z19" s="10">
        <f t="shared" ca="1" si="34"/>
        <v>0</v>
      </c>
      <c r="AA19" s="10">
        <f t="shared" ca="1" si="35"/>
        <v>0</v>
      </c>
      <c r="AB19" s="10" t="e">
        <f t="shared" ca="1" si="36"/>
        <v>#DIV/0!</v>
      </c>
      <c r="AC19" s="10" t="e">
        <f t="shared" ca="1" si="43"/>
        <v>#DIV/0!</v>
      </c>
      <c r="AD19" s="69" t="e">
        <f t="shared" ca="1" si="44"/>
        <v>#DIV/0!</v>
      </c>
      <c r="AE19" s="69">
        <f t="shared" ca="1" si="37"/>
        <v>0</v>
      </c>
      <c r="AF19" s="21">
        <f t="shared" ca="1" si="38"/>
        <v>0</v>
      </c>
      <c r="AG19" s="21">
        <f t="shared" ca="1" si="39"/>
        <v>0</v>
      </c>
      <c r="AH19" s="10" t="e">
        <f t="shared" ca="1" si="40"/>
        <v>#DIV/0!</v>
      </c>
      <c r="AI19" s="69" t="e">
        <f t="shared" ca="1" si="41"/>
        <v>#DIV/0!</v>
      </c>
      <c r="AJ19" s="69" t="e">
        <f t="shared" ca="1" si="42"/>
        <v>#DIV/0!</v>
      </c>
    </row>
    <row r="20" spans="1:36">
      <c r="A20" s="165" t="str">
        <f>ANALYSIS!B21</f>
        <v>User Registration</v>
      </c>
      <c r="B20" s="99">
        <f ca="1">ANALYSIS!C21</f>
        <v>0</v>
      </c>
      <c r="C20" s="99">
        <f ca="1">ANALYSIS!D21</f>
        <v>0</v>
      </c>
      <c r="D20" s="99">
        <f ca="1">ANALYSIS!E21</f>
        <v>0</v>
      </c>
      <c r="E20" s="99">
        <f ca="1">ANALYSIS!F21</f>
        <v>0</v>
      </c>
      <c r="F20" s="99">
        <f ca="1">ANALYSIS!G21</f>
        <v>0</v>
      </c>
      <c r="G20" s="99">
        <f ca="1">ANALYSIS!H21</f>
        <v>0</v>
      </c>
      <c r="H20" s="99">
        <f ca="1">ANALYSIS!I21</f>
        <v>0</v>
      </c>
      <c r="I20" s="99">
        <f ca="1">ANALYSIS!J21</f>
        <v>0</v>
      </c>
      <c r="J20" s="99">
        <f ca="1">ANALYSIS!K21</f>
        <v>0</v>
      </c>
      <c r="K20" s="99">
        <f ca="1">ANALYSIS!L21</f>
        <v>0</v>
      </c>
      <c r="L20" s="99">
        <f ca="1">ANALYSIS!M21</f>
        <v>0</v>
      </c>
      <c r="M20" s="99">
        <f ca="1">ANALYSIS!N21</f>
        <v>0</v>
      </c>
      <c r="N20" s="99">
        <f ca="1">ANALYSIS!O21</f>
        <v>0</v>
      </c>
      <c r="O20" s="99">
        <f ca="1">ANALYSIS!P21</f>
        <v>0</v>
      </c>
      <c r="P20" s="99">
        <f ca="1">ANALYSIS!Q21</f>
        <v>0</v>
      </c>
      <c r="Q20" s="99">
        <f ca="1">ANALYSIS!R21</f>
        <v>0</v>
      </c>
      <c r="R20" s="99">
        <f ca="1">ANALYSIS!S21</f>
        <v>0</v>
      </c>
      <c r="S20" s="99">
        <f ca="1">ANALYSIS!T21</f>
        <v>0</v>
      </c>
      <c r="T20" s="99">
        <f ca="1">ANALYSIS!U21</f>
        <v>0</v>
      </c>
      <c r="U20" s="99">
        <f ca="1">ANALYSIS!V21</f>
        <v>0</v>
      </c>
      <c r="V20" s="100">
        <f t="shared" ca="1" si="30"/>
        <v>0</v>
      </c>
      <c r="W20" s="21">
        <f t="shared" ca="1" si="31"/>
        <v>0</v>
      </c>
      <c r="X20" s="10">
        <f t="shared" ca="1" si="32"/>
        <v>0</v>
      </c>
      <c r="Y20" s="10">
        <f t="shared" ca="1" si="33"/>
        <v>0</v>
      </c>
      <c r="Z20" s="10">
        <f t="shared" ca="1" si="34"/>
        <v>0</v>
      </c>
      <c r="AA20" s="10">
        <f t="shared" ca="1" si="35"/>
        <v>0</v>
      </c>
      <c r="AB20" s="10" t="e">
        <f t="shared" ca="1" si="36"/>
        <v>#DIV/0!</v>
      </c>
      <c r="AC20" s="10" t="e">
        <f t="shared" ca="1" si="43"/>
        <v>#DIV/0!</v>
      </c>
      <c r="AD20" s="69" t="e">
        <f t="shared" ca="1" si="44"/>
        <v>#DIV/0!</v>
      </c>
      <c r="AE20" s="69">
        <f t="shared" ca="1" si="37"/>
        <v>0</v>
      </c>
      <c r="AF20" s="21">
        <f t="shared" ca="1" si="38"/>
        <v>0</v>
      </c>
      <c r="AG20" s="21">
        <f t="shared" ca="1" si="39"/>
        <v>0</v>
      </c>
      <c r="AH20" s="10" t="e">
        <f t="shared" ca="1" si="40"/>
        <v>#DIV/0!</v>
      </c>
      <c r="AI20" s="69" t="e">
        <f t="shared" ca="1" si="41"/>
        <v>#DIV/0!</v>
      </c>
      <c r="AJ20" s="69" t="e">
        <f t="shared" ca="1" si="42"/>
        <v>#DIV/0!</v>
      </c>
    </row>
    <row r="21" spans="1:36">
      <c r="A21" s="165" t="str">
        <f>ANALYSIS!B22</f>
        <v xml:space="preserve">E-Referral </v>
      </c>
      <c r="B21" s="99">
        <f ca="1">ANALYSIS!C22</f>
        <v>0</v>
      </c>
      <c r="C21" s="99">
        <f ca="1">ANALYSIS!D22</f>
        <v>0</v>
      </c>
      <c r="D21" s="99">
        <f ca="1">ANALYSIS!E22</f>
        <v>0</v>
      </c>
      <c r="E21" s="99">
        <f ca="1">ANALYSIS!F22</f>
        <v>0</v>
      </c>
      <c r="F21" s="99">
        <f ca="1">ANALYSIS!G22</f>
        <v>0</v>
      </c>
      <c r="G21" s="99">
        <f ca="1">ANALYSIS!H22</f>
        <v>0</v>
      </c>
      <c r="H21" s="99">
        <f ca="1">ANALYSIS!I22</f>
        <v>0</v>
      </c>
      <c r="I21" s="99">
        <f ca="1">ANALYSIS!J22</f>
        <v>0</v>
      </c>
      <c r="J21" s="99">
        <f ca="1">ANALYSIS!K22</f>
        <v>0</v>
      </c>
      <c r="K21" s="99">
        <f ca="1">ANALYSIS!L22</f>
        <v>0</v>
      </c>
      <c r="L21" s="99">
        <f ca="1">ANALYSIS!M22</f>
        <v>0</v>
      </c>
      <c r="M21" s="99">
        <f ca="1">ANALYSIS!N22</f>
        <v>0</v>
      </c>
      <c r="N21" s="99">
        <f ca="1">ANALYSIS!O22</f>
        <v>0</v>
      </c>
      <c r="O21" s="99">
        <f ca="1">ANALYSIS!P22</f>
        <v>0</v>
      </c>
      <c r="P21" s="99">
        <f ca="1">ANALYSIS!Q22</f>
        <v>0</v>
      </c>
      <c r="Q21" s="99">
        <f ca="1">ANALYSIS!R22</f>
        <v>0</v>
      </c>
      <c r="R21" s="99">
        <f ca="1">ANALYSIS!S22</f>
        <v>0</v>
      </c>
      <c r="S21" s="99">
        <f ca="1">ANALYSIS!T22</f>
        <v>0</v>
      </c>
      <c r="T21" s="99">
        <f ca="1">ANALYSIS!U22</f>
        <v>0</v>
      </c>
      <c r="U21" s="99">
        <f ca="1">ANALYSIS!V22</f>
        <v>0</v>
      </c>
      <c r="V21" s="100">
        <f t="shared" ca="1" si="30"/>
        <v>0</v>
      </c>
      <c r="W21" s="21">
        <f t="shared" ca="1" si="31"/>
        <v>0</v>
      </c>
      <c r="X21" s="10">
        <f t="shared" ca="1" si="32"/>
        <v>0</v>
      </c>
      <c r="Y21" s="10">
        <f t="shared" ca="1" si="33"/>
        <v>0</v>
      </c>
      <c r="Z21" s="10">
        <f t="shared" ca="1" si="34"/>
        <v>0</v>
      </c>
      <c r="AA21" s="10">
        <f t="shared" ca="1" si="35"/>
        <v>0</v>
      </c>
      <c r="AB21" s="10" t="e">
        <f t="shared" ca="1" si="36"/>
        <v>#DIV/0!</v>
      </c>
      <c r="AC21" s="10" t="e">
        <f t="shared" ca="1" si="43"/>
        <v>#DIV/0!</v>
      </c>
      <c r="AD21" s="69" t="e">
        <f t="shared" ca="1" si="44"/>
        <v>#DIV/0!</v>
      </c>
      <c r="AE21" s="69">
        <f t="shared" ca="1" si="37"/>
        <v>0</v>
      </c>
      <c r="AF21" s="21">
        <f t="shared" ca="1" si="38"/>
        <v>0</v>
      </c>
      <c r="AG21" s="21">
        <f t="shared" ca="1" si="39"/>
        <v>0</v>
      </c>
      <c r="AH21" s="10" t="e">
        <f t="shared" ca="1" si="40"/>
        <v>#DIV/0!</v>
      </c>
      <c r="AI21" s="69" t="e">
        <f t="shared" ca="1" si="41"/>
        <v>#DIV/0!</v>
      </c>
      <c r="AJ21" s="69" t="e">
        <f t="shared" ca="1" si="42"/>
        <v>#DIV/0!</v>
      </c>
    </row>
    <row r="22" spans="1:36">
      <c r="A22" s="165" t="str">
        <f>ANALYSIS!B23</f>
        <v xml:space="preserve">Online Support </v>
      </c>
      <c r="B22" s="99">
        <f ca="1">ANALYSIS!C23</f>
        <v>0</v>
      </c>
      <c r="C22" s="99">
        <f ca="1">ANALYSIS!D23</f>
        <v>0</v>
      </c>
      <c r="D22" s="99">
        <f ca="1">ANALYSIS!E23</f>
        <v>0</v>
      </c>
      <c r="E22" s="99">
        <f ca="1">ANALYSIS!F23</f>
        <v>0</v>
      </c>
      <c r="F22" s="99">
        <f ca="1">ANALYSIS!G23</f>
        <v>0</v>
      </c>
      <c r="G22" s="99">
        <f ca="1">ANALYSIS!H23</f>
        <v>0</v>
      </c>
      <c r="H22" s="99">
        <f ca="1">ANALYSIS!I23</f>
        <v>0</v>
      </c>
      <c r="I22" s="99">
        <f ca="1">ANALYSIS!J23</f>
        <v>0</v>
      </c>
      <c r="J22" s="99">
        <f ca="1">ANALYSIS!K23</f>
        <v>0</v>
      </c>
      <c r="K22" s="99">
        <f ca="1">ANALYSIS!L23</f>
        <v>0</v>
      </c>
      <c r="L22" s="99">
        <f ca="1">ANALYSIS!M23</f>
        <v>0</v>
      </c>
      <c r="M22" s="99">
        <f ca="1">ANALYSIS!N23</f>
        <v>0</v>
      </c>
      <c r="N22" s="99">
        <f ca="1">ANALYSIS!O23</f>
        <v>0</v>
      </c>
      <c r="O22" s="99">
        <f ca="1">ANALYSIS!P23</f>
        <v>0</v>
      </c>
      <c r="P22" s="99">
        <f ca="1">ANALYSIS!Q23</f>
        <v>0</v>
      </c>
      <c r="Q22" s="99">
        <f ca="1">ANALYSIS!R23</f>
        <v>0</v>
      </c>
      <c r="R22" s="99">
        <f ca="1">ANALYSIS!S23</f>
        <v>0</v>
      </c>
      <c r="S22" s="99">
        <f ca="1">ANALYSIS!T23</f>
        <v>0</v>
      </c>
      <c r="T22" s="99">
        <f ca="1">ANALYSIS!U23</f>
        <v>0</v>
      </c>
      <c r="U22" s="99">
        <f ca="1">ANALYSIS!V23</f>
        <v>0</v>
      </c>
      <c r="V22" s="100">
        <f t="shared" ca="1" si="30"/>
        <v>0</v>
      </c>
      <c r="W22" s="21">
        <f t="shared" ca="1" si="31"/>
        <v>0</v>
      </c>
      <c r="X22" s="10">
        <f t="shared" ca="1" si="32"/>
        <v>0</v>
      </c>
      <c r="Y22" s="10">
        <f t="shared" ca="1" si="33"/>
        <v>0</v>
      </c>
      <c r="Z22" s="10">
        <f t="shared" ca="1" si="34"/>
        <v>0</v>
      </c>
      <c r="AA22" s="10">
        <f t="shared" ca="1" si="35"/>
        <v>0</v>
      </c>
      <c r="AB22" s="10" t="e">
        <f t="shared" ca="1" si="36"/>
        <v>#DIV/0!</v>
      </c>
      <c r="AC22" s="10" t="e">
        <f t="shared" ca="1" si="43"/>
        <v>#DIV/0!</v>
      </c>
      <c r="AD22" s="69" t="e">
        <f t="shared" ca="1" si="44"/>
        <v>#DIV/0!</v>
      </c>
      <c r="AE22" s="69">
        <f t="shared" ca="1" si="37"/>
        <v>0</v>
      </c>
      <c r="AF22" s="21">
        <f t="shared" ca="1" si="38"/>
        <v>0</v>
      </c>
      <c r="AG22" s="21">
        <f t="shared" ca="1" si="39"/>
        <v>0</v>
      </c>
      <c r="AH22" s="10" t="e">
        <f t="shared" ca="1" si="40"/>
        <v>#DIV/0!</v>
      </c>
      <c r="AI22" s="69" t="e">
        <f t="shared" ca="1" si="41"/>
        <v>#DIV/0!</v>
      </c>
      <c r="AJ22" s="69" t="e">
        <f t="shared" ca="1" si="42"/>
        <v>#DIV/0!</v>
      </c>
    </row>
    <row r="23" spans="1:36">
      <c r="A23" s="165" t="str">
        <f>ANALYSIS!B24</f>
        <v>Social Media Deployment</v>
      </c>
      <c r="B23" s="99">
        <f ca="1">ANALYSIS!C24</f>
        <v>0</v>
      </c>
      <c r="C23" s="99">
        <f ca="1">ANALYSIS!D24</f>
        <v>0</v>
      </c>
      <c r="D23" s="99">
        <f ca="1">ANALYSIS!E24</f>
        <v>0</v>
      </c>
      <c r="E23" s="99">
        <f ca="1">ANALYSIS!F24</f>
        <v>0</v>
      </c>
      <c r="F23" s="99">
        <f ca="1">ANALYSIS!G24</f>
        <v>0</v>
      </c>
      <c r="G23" s="99">
        <f ca="1">ANALYSIS!H24</f>
        <v>0</v>
      </c>
      <c r="H23" s="99">
        <f ca="1">ANALYSIS!I24</f>
        <v>0</v>
      </c>
      <c r="I23" s="99">
        <f ca="1">ANALYSIS!J24</f>
        <v>0</v>
      </c>
      <c r="J23" s="99">
        <f ca="1">ANALYSIS!K24</f>
        <v>0</v>
      </c>
      <c r="K23" s="99">
        <f ca="1">ANALYSIS!L24</f>
        <v>0</v>
      </c>
      <c r="L23" s="99">
        <f ca="1">ANALYSIS!M24</f>
        <v>0</v>
      </c>
      <c r="M23" s="99">
        <f ca="1">ANALYSIS!N24</f>
        <v>0</v>
      </c>
      <c r="N23" s="99">
        <f ca="1">ANALYSIS!O24</f>
        <v>0</v>
      </c>
      <c r="O23" s="99">
        <f ca="1">ANALYSIS!P24</f>
        <v>0</v>
      </c>
      <c r="P23" s="99">
        <f ca="1">ANALYSIS!Q24</f>
        <v>0</v>
      </c>
      <c r="Q23" s="99">
        <f ca="1">ANALYSIS!R24</f>
        <v>0</v>
      </c>
      <c r="R23" s="99">
        <f ca="1">ANALYSIS!S24</f>
        <v>0</v>
      </c>
      <c r="S23" s="99">
        <f ca="1">ANALYSIS!T24</f>
        <v>0</v>
      </c>
      <c r="T23" s="99">
        <f ca="1">ANALYSIS!U24</f>
        <v>0</v>
      </c>
      <c r="U23" s="99">
        <f ca="1">ANALYSIS!V24</f>
        <v>0</v>
      </c>
      <c r="V23" s="100">
        <f t="shared" ca="1" si="30"/>
        <v>0</v>
      </c>
      <c r="W23" s="21">
        <f t="shared" ca="1" si="31"/>
        <v>0</v>
      </c>
      <c r="X23" s="10">
        <f t="shared" ca="1" si="32"/>
        <v>0</v>
      </c>
      <c r="Y23" s="10">
        <f t="shared" ca="1" si="33"/>
        <v>0</v>
      </c>
      <c r="Z23" s="10">
        <f t="shared" ca="1" si="34"/>
        <v>0</v>
      </c>
      <c r="AA23" s="10">
        <f t="shared" ca="1" si="35"/>
        <v>0</v>
      </c>
      <c r="AB23" s="10" t="e">
        <f t="shared" ca="1" si="36"/>
        <v>#DIV/0!</v>
      </c>
      <c r="AC23" s="10" t="e">
        <f t="shared" ca="1" si="43"/>
        <v>#DIV/0!</v>
      </c>
      <c r="AD23" s="69" t="e">
        <f t="shared" ca="1" si="44"/>
        <v>#DIV/0!</v>
      </c>
      <c r="AE23" s="69">
        <f t="shared" ca="1" si="37"/>
        <v>0</v>
      </c>
      <c r="AF23" s="21">
        <f t="shared" ca="1" si="38"/>
        <v>0</v>
      </c>
      <c r="AG23" s="21">
        <f t="shared" ca="1" si="39"/>
        <v>0</v>
      </c>
      <c r="AH23" s="10" t="e">
        <f t="shared" ca="1" si="40"/>
        <v>#DIV/0!</v>
      </c>
      <c r="AI23" s="69" t="e">
        <f t="shared" ca="1" si="41"/>
        <v>#DIV/0!</v>
      </c>
      <c r="AJ23" s="69" t="e">
        <f t="shared" ca="1" si="42"/>
        <v>#DIV/0!</v>
      </c>
    </row>
    <row r="25" spans="1:36">
      <c r="W25" s="113" t="s">
        <v>415</v>
      </c>
      <c r="X25" s="21">
        <f ca="1">COUNTIF(B3:U3, "&gt;0")-1</f>
        <v>0</v>
      </c>
    </row>
    <row r="26" spans="1:36">
      <c r="A26" s="69" t="s">
        <v>416</v>
      </c>
      <c r="B26" s="146" t="s">
        <v>417</v>
      </c>
      <c r="C26" s="33" t="s">
        <v>359</v>
      </c>
      <c r="D26" s="147" t="s">
        <v>418</v>
      </c>
      <c r="F26" s="69" t="s">
        <v>419</v>
      </c>
      <c r="G26" s="69" t="s">
        <v>420</v>
      </c>
      <c r="I26" s="69" t="s">
        <v>416</v>
      </c>
      <c r="J26" s="69" t="s">
        <v>421</v>
      </c>
      <c r="K26" s="69" t="s">
        <v>422</v>
      </c>
      <c r="L26" s="69" t="s">
        <v>423</v>
      </c>
      <c r="M26" s="69" t="s">
        <v>424</v>
      </c>
      <c r="N26" s="69" t="s">
        <v>425</v>
      </c>
      <c r="O26" s="69" t="s">
        <v>426</v>
      </c>
      <c r="P26" s="69" t="s">
        <v>427</v>
      </c>
      <c r="Q26" s="69" t="s">
        <v>428</v>
      </c>
      <c r="S26" s="69" t="s">
        <v>429</v>
      </c>
      <c r="T26" s="10">
        <f ca="1">MAX(C27:C30)-MIN(C27:C30)</f>
        <v>4.3520000000000003E-2</v>
      </c>
      <c r="V26" s="69"/>
      <c r="AC26" s="145"/>
    </row>
    <row r="27" spans="1:36">
      <c r="A27" s="69" t="str">
        <f>A2</f>
        <v>Initial Consideration</v>
      </c>
      <c r="B27" s="148">
        <f ca="1">X2</f>
        <v>0</v>
      </c>
      <c r="C27" s="99">
        <f ca="1">B2</f>
        <v>0</v>
      </c>
      <c r="D27" s="149">
        <f ca="1">Y2</f>
        <v>0</v>
      </c>
      <c r="F27" s="69" t="str">
        <f ca="1">IFERROR(AJ2, "")</f>
        <v/>
      </c>
      <c r="G27" s="108" t="str">
        <f ca="1">IF(Z2=0,"",IF(Z2&gt;0.2, "HIGH", IF(Z2&lt;0.1, "LOW", "MED")))</f>
        <v/>
      </c>
      <c r="I27" s="69" t="str">
        <f>A27</f>
        <v>Initial Consideration</v>
      </c>
      <c r="J27" s="69">
        <v>0</v>
      </c>
      <c r="K27" s="69">
        <v>2</v>
      </c>
      <c r="L27" s="69">
        <f ca="1">IF(OR(F27=3,F27=4),1,0)</f>
        <v>0</v>
      </c>
      <c r="M27" s="69">
        <f ca="1">IF(F27&lt;=2,1,0)</f>
        <v>0</v>
      </c>
      <c r="N27" s="69">
        <f ca="1">K27*M27</f>
        <v>0</v>
      </c>
      <c r="O27" s="69">
        <f ca="1">L27*K27</f>
        <v>0</v>
      </c>
      <c r="P27" s="69">
        <f ca="1">(L27+M27*2)*K27</f>
        <v>0</v>
      </c>
      <c r="Q27" s="69">
        <f ca="1">IF(AND(C27=D27,C27&gt;0),1,0)</f>
        <v>0</v>
      </c>
      <c r="S27" s="69" t="s">
        <v>430</v>
      </c>
      <c r="T27" s="10">
        <f ca="1">MAX(C34:C44)-SMALL(C34:C44,COUNTIF(C34:C44,0)+1)</f>
        <v>0</v>
      </c>
      <c r="V27" s="69"/>
      <c r="AC27" s="145"/>
    </row>
    <row r="28" spans="1:36">
      <c r="A28" s="69" t="str">
        <f t="shared" ref="A28:A30" si="45">A3</f>
        <v>Active Evaluation</v>
      </c>
      <c r="B28" s="148">
        <f t="shared" ref="B28:B30" ca="1" si="46">X3</f>
        <v>4.3520000000000003E-2</v>
      </c>
      <c r="C28" s="99">
        <f t="shared" ref="C28:C30" ca="1" si="47">B3</f>
        <v>4.3520000000000003E-2</v>
      </c>
      <c r="D28" s="149">
        <f t="shared" ref="D28:D30" ca="1" si="48">Y3</f>
        <v>4.3520000000000003E-2</v>
      </c>
      <c r="F28" s="69" t="str">
        <f t="shared" ref="F28:F30" ca="1" si="49">IFERROR(AJ3, "")</f>
        <v/>
      </c>
      <c r="G28" s="108" t="str">
        <f t="shared" ref="G28:G30" ca="1" si="50">IF(Z3=0,"",IF(Z3&gt;0.2, "HIGH", IF(Z3&lt;0.1, "LOW", "MED")))</f>
        <v/>
      </c>
      <c r="I28" s="69" t="str">
        <f t="shared" ref="I28:I30" si="51">A28</f>
        <v>Active Evaluation</v>
      </c>
      <c r="J28" s="69">
        <v>1</v>
      </c>
      <c r="K28" s="69">
        <v>4</v>
      </c>
      <c r="L28" s="69">
        <f ca="1">IF(OR(F28=3,F28=4),1,0)</f>
        <v>0</v>
      </c>
      <c r="M28" s="69">
        <f t="shared" ref="M28:M30" ca="1" si="52">IF(F28&lt;=2,1,0)</f>
        <v>0</v>
      </c>
      <c r="N28" s="69">
        <f t="shared" ref="N28:N30" ca="1" si="53">K28*M28</f>
        <v>0</v>
      </c>
      <c r="O28" s="69">
        <f t="shared" ref="O28:O30" ca="1" si="54">L28*K28</f>
        <v>0</v>
      </c>
      <c r="P28" s="69">
        <f t="shared" ref="P28:P30" ca="1" si="55">(L28+M28*2)*K28</f>
        <v>0</v>
      </c>
      <c r="Q28" s="69">
        <f ca="1">IF(AND(C28=D28,C28&gt;0),1,0)</f>
        <v>1</v>
      </c>
      <c r="V28" s="69"/>
      <c r="AC28" s="145"/>
    </row>
    <row r="29" spans="1:36">
      <c r="A29" s="69" t="str">
        <f t="shared" si="45"/>
        <v>Conversion</v>
      </c>
      <c r="B29" s="148">
        <f t="shared" ca="1" si="46"/>
        <v>0</v>
      </c>
      <c r="C29" s="99">
        <f t="shared" ca="1" si="47"/>
        <v>0</v>
      </c>
      <c r="D29" s="149">
        <f t="shared" ca="1" si="48"/>
        <v>0</v>
      </c>
      <c r="F29" s="69" t="str">
        <f t="shared" ca="1" si="49"/>
        <v/>
      </c>
      <c r="G29" s="108" t="str">
        <f t="shared" ca="1" si="50"/>
        <v/>
      </c>
      <c r="I29" s="69" t="str">
        <f t="shared" si="51"/>
        <v>Conversion</v>
      </c>
      <c r="J29" s="69">
        <v>1</v>
      </c>
      <c r="K29" s="69">
        <v>3</v>
      </c>
      <c r="L29" s="69">
        <f ca="1">IF(OR(F29=3,F29=4),1,0)</f>
        <v>0</v>
      </c>
      <c r="M29" s="69">
        <f t="shared" ca="1" si="52"/>
        <v>0</v>
      </c>
      <c r="N29" s="69">
        <f t="shared" ca="1" si="53"/>
        <v>0</v>
      </c>
      <c r="O29" s="69">
        <f t="shared" ca="1" si="54"/>
        <v>0</v>
      </c>
      <c r="P29" s="69">
        <f t="shared" ca="1" si="55"/>
        <v>0</v>
      </c>
      <c r="Q29" s="69">
        <f ca="1">IF(AND(C29=D29,C29&gt;0),1,0)</f>
        <v>0</v>
      </c>
      <c r="S29" s="69" t="s">
        <v>431</v>
      </c>
      <c r="T29" s="69">
        <f ca="1">_xlfn.STDEV.P(C27:C30)</f>
        <v>1.7770807522450974E-2</v>
      </c>
      <c r="V29" s="69"/>
      <c r="AC29" s="145"/>
    </row>
    <row r="30" spans="1:36">
      <c r="A30" s="69" t="str">
        <f t="shared" si="45"/>
        <v>Experience &amp; Loyalty</v>
      </c>
      <c r="B30" s="148">
        <f t="shared" ca="1" si="46"/>
        <v>1.536E-2</v>
      </c>
      <c r="C30" s="99">
        <f t="shared" ca="1" si="47"/>
        <v>1.536E-2</v>
      </c>
      <c r="D30" s="149">
        <f t="shared" ca="1" si="48"/>
        <v>1.536E-2</v>
      </c>
      <c r="F30" s="69" t="str">
        <f t="shared" ca="1" si="49"/>
        <v/>
      </c>
      <c r="G30" s="108" t="str">
        <f t="shared" ca="1" si="50"/>
        <v/>
      </c>
      <c r="I30" s="69" t="str">
        <f t="shared" si="51"/>
        <v>Experience &amp; Loyalty</v>
      </c>
      <c r="J30" s="69">
        <v>0</v>
      </c>
      <c r="K30" s="69">
        <v>1</v>
      </c>
      <c r="L30" s="69">
        <f ca="1">IF(OR(F30=3,F30=4),1,0)</f>
        <v>0</v>
      </c>
      <c r="M30" s="69">
        <f t="shared" ca="1" si="52"/>
        <v>0</v>
      </c>
      <c r="N30" s="69">
        <f t="shared" ca="1" si="53"/>
        <v>0</v>
      </c>
      <c r="O30" s="69">
        <f t="shared" ca="1" si="54"/>
        <v>0</v>
      </c>
      <c r="P30" s="69">
        <f t="shared" ca="1" si="55"/>
        <v>0</v>
      </c>
      <c r="Q30" s="69">
        <f ca="1">IF(AND(C30=D30,C30&gt;0),1,0)</f>
        <v>1</v>
      </c>
      <c r="S30" s="69" t="s">
        <v>432</v>
      </c>
      <c r="T30" s="69">
        <f t="array" aca="1" ref="T30" ca="1">_xlfn.STDEV.P(IF(C34:C44&lt;&gt;0,C34:C44))</f>
        <v>0</v>
      </c>
      <c r="V30" s="69"/>
      <c r="AC30" s="145"/>
    </row>
    <row r="31" spans="1:36">
      <c r="B31" s="128"/>
      <c r="C31" s="101"/>
      <c r="D31" s="150"/>
      <c r="E31" s="151"/>
      <c r="G31" s="152"/>
      <c r="V31" s="69"/>
      <c r="AC31" s="145"/>
    </row>
    <row r="32" spans="1:36">
      <c r="A32" s="69" t="s">
        <v>344</v>
      </c>
      <c r="B32" s="148">
        <f ca="1">(B27*0.8+B28+B29+B30*0.3)/3.1</f>
        <v>1.5525161290322581E-2</v>
      </c>
      <c r="C32" s="99">
        <f t="shared" ref="C32:D32" ca="1" si="56">(C27*0.8+C28+C29+C30*0.3)/3.1</f>
        <v>1.5525161290322581E-2</v>
      </c>
      <c r="D32" s="149">
        <f t="shared" ca="1" si="56"/>
        <v>1.5525161290322581E-2</v>
      </c>
      <c r="G32" s="152"/>
      <c r="V32" s="69"/>
      <c r="AC32" s="145"/>
    </row>
    <row r="33" spans="1:29">
      <c r="B33" s="128"/>
      <c r="C33" s="101"/>
      <c r="D33" s="150"/>
      <c r="V33" s="69"/>
      <c r="AC33" s="145"/>
    </row>
    <row r="34" spans="1:29">
      <c r="A34" s="165" t="str">
        <f>A13</f>
        <v>Search Engine Optimization</v>
      </c>
      <c r="B34" s="148">
        <f ca="1">X13</f>
        <v>0</v>
      </c>
      <c r="C34" s="99">
        <f ca="1">B13</f>
        <v>0</v>
      </c>
      <c r="D34" s="149">
        <f ca="1">Y13</f>
        <v>0</v>
      </c>
      <c r="F34" s="69" t="str">
        <f ca="1">IFERROR(AJ13,"")</f>
        <v/>
      </c>
      <c r="G34" s="108" t="str">
        <f ca="1">IF(Z13=0,"",IF(Z13&gt;0.2, "HIGH", IF(Z13&lt;0.1, "LOW", "MED")))</f>
        <v/>
      </c>
      <c r="I34" s="69" t="str">
        <f t="shared" ref="I34:I44" si="57">A34</f>
        <v>Search Engine Optimization</v>
      </c>
      <c r="J34" s="69">
        <v>1</v>
      </c>
      <c r="K34" s="69">
        <v>4</v>
      </c>
      <c r="L34" s="69">
        <f t="shared" ref="L34:L44" ca="1" si="58">IF(OR(F34=3,F34=4),1,0)</f>
        <v>0</v>
      </c>
      <c r="M34" s="69">
        <f t="shared" ref="M34:M44" ca="1" si="59">IF(F34&lt;=2,1,0)</f>
        <v>0</v>
      </c>
      <c r="N34" s="69">
        <f t="shared" ref="N34:N44" ca="1" si="60">K34*M34</f>
        <v>0</v>
      </c>
      <c r="O34" s="69">
        <f t="shared" ref="O34:O44" ca="1" si="61">L34*K34</f>
        <v>0</v>
      </c>
      <c r="P34" s="69">
        <f t="shared" ref="P34:P44" ca="1" si="62">(L34+M34*2)*K34</f>
        <v>0</v>
      </c>
      <c r="Q34" s="69">
        <f ca="1">IF(AND(C34=D34,C34&gt;0),1,0)</f>
        <v>0</v>
      </c>
      <c r="S34" s="69" t="s">
        <v>433</v>
      </c>
      <c r="T34" s="69" t="str">
        <f ca="1">INDEX($A$34:$A$44,MATCH(LARGE($P$34:$P$44,1),$P$34:$P$44,0))</f>
        <v>Search Engine Optimization</v>
      </c>
      <c r="V34" s="69"/>
      <c r="AC34" s="145"/>
    </row>
    <row r="35" spans="1:29">
      <c r="A35" s="165" t="str">
        <f t="shared" ref="A35:A44" si="63">A14</f>
        <v>Mobile Experience</v>
      </c>
      <c r="B35" s="148">
        <f t="shared" ref="B35:B44" ca="1" si="64">X14</f>
        <v>0.25600000000000001</v>
      </c>
      <c r="C35" s="99">
        <f t="shared" ref="C35:C44" ca="1" si="65">B14</f>
        <v>0.25600000000000001</v>
      </c>
      <c r="D35" s="149">
        <f t="shared" ref="D35:D44" ca="1" si="66">Y14</f>
        <v>0.25600000000000001</v>
      </c>
      <c r="F35" s="69" t="str">
        <f t="shared" ref="F35:F44" ca="1" si="67">IFERROR(AJ14,"")</f>
        <v/>
      </c>
      <c r="G35" s="108" t="str">
        <f t="shared" ref="G35:G44" ca="1" si="68">IF(Z14=0,"",IF(Z14&gt;0.2, "HIGH", IF(Z14&lt;0.1, "LOW", "MED")))</f>
        <v/>
      </c>
      <c r="I35" s="69" t="str">
        <f t="shared" si="57"/>
        <v>Mobile Experience</v>
      </c>
      <c r="J35" s="69">
        <v>1</v>
      </c>
      <c r="K35" s="69">
        <v>10</v>
      </c>
      <c r="L35" s="69">
        <f t="shared" ca="1" si="58"/>
        <v>0</v>
      </c>
      <c r="M35" s="69">
        <f t="shared" ca="1" si="59"/>
        <v>0</v>
      </c>
      <c r="N35" s="69">
        <f t="shared" ca="1" si="60"/>
        <v>0</v>
      </c>
      <c r="O35" s="69">
        <f t="shared" ca="1" si="61"/>
        <v>0</v>
      </c>
      <c r="P35" s="69">
        <f t="shared" ca="1" si="62"/>
        <v>0</v>
      </c>
      <c r="Q35" s="69">
        <f t="shared" ref="Q35:Q44" ca="1" si="69">IF(AND(C35=D35,C35&gt;0),1,0)</f>
        <v>1</v>
      </c>
      <c r="S35" s="69" t="s">
        <v>434</v>
      </c>
      <c r="T35" s="69" t="str">
        <f ca="1">INDEX($A$34:$A$44,MATCH(LARGE($P$34:$P$44,2),$P$34:$P$44,0))</f>
        <v>Search Engine Optimization</v>
      </c>
      <c r="V35" s="69"/>
      <c r="AC35" s="145"/>
    </row>
    <row r="36" spans="1:29">
      <c r="A36" s="165" t="str">
        <f t="shared" si="63"/>
        <v>Website Technical &amp; Functional</v>
      </c>
      <c r="B36" s="148">
        <f t="shared" ca="1" si="64"/>
        <v>0</v>
      </c>
      <c r="C36" s="99">
        <f t="shared" ca="1" si="65"/>
        <v>0</v>
      </c>
      <c r="D36" s="149">
        <f t="shared" ca="1" si="66"/>
        <v>0</v>
      </c>
      <c r="F36" s="69" t="str">
        <f t="shared" ca="1" si="67"/>
        <v/>
      </c>
      <c r="G36" s="108" t="str">
        <f t="shared" ca="1" si="68"/>
        <v/>
      </c>
      <c r="I36" s="69" t="str">
        <f t="shared" si="57"/>
        <v>Website Technical &amp; Functional</v>
      </c>
      <c r="J36" s="69">
        <v>1</v>
      </c>
      <c r="K36" s="69">
        <v>8</v>
      </c>
      <c r="L36" s="69">
        <f t="shared" ca="1" si="58"/>
        <v>0</v>
      </c>
      <c r="M36" s="69">
        <f t="shared" ca="1" si="59"/>
        <v>0</v>
      </c>
      <c r="N36" s="69">
        <f t="shared" ca="1" si="60"/>
        <v>0</v>
      </c>
      <c r="O36" s="69">
        <f t="shared" ca="1" si="61"/>
        <v>0</v>
      </c>
      <c r="P36" s="69">
        <f t="shared" ca="1" si="62"/>
        <v>0</v>
      </c>
      <c r="Q36" s="69">
        <f t="shared" ca="1" si="69"/>
        <v>0</v>
      </c>
      <c r="S36" s="69" t="s">
        <v>435</v>
      </c>
      <c r="T36" s="69" t="str">
        <f ca="1">INDEX($A$34:$A$44,MATCH(LARGE($P$34:$P$44,3),$P$34:$P$44,0))</f>
        <v>Search Engine Optimization</v>
      </c>
      <c r="V36" s="69"/>
      <c r="AC36" s="145"/>
    </row>
    <row r="37" spans="1:29">
      <c r="A37" s="165" t="str">
        <f t="shared" si="63"/>
        <v xml:space="preserve">Content Marketing </v>
      </c>
      <c r="B37" s="148">
        <f t="shared" ca="1" si="64"/>
        <v>0</v>
      </c>
      <c r="C37" s="99">
        <f t="shared" ca="1" si="65"/>
        <v>0</v>
      </c>
      <c r="D37" s="149">
        <f t="shared" ca="1" si="66"/>
        <v>0</v>
      </c>
      <c r="F37" s="69" t="str">
        <f t="shared" ca="1" si="67"/>
        <v/>
      </c>
      <c r="G37" s="108" t="str">
        <f t="shared" ca="1" si="68"/>
        <v/>
      </c>
      <c r="H37" s="10"/>
      <c r="I37" s="69" t="str">
        <f t="shared" si="57"/>
        <v xml:space="preserve">Content Marketing </v>
      </c>
      <c r="J37" s="69">
        <v>1</v>
      </c>
      <c r="K37" s="69">
        <v>7</v>
      </c>
      <c r="L37" s="69">
        <f t="shared" ca="1" si="58"/>
        <v>0</v>
      </c>
      <c r="M37" s="69">
        <f t="shared" ca="1" si="59"/>
        <v>0</v>
      </c>
      <c r="N37" s="69">
        <f t="shared" ca="1" si="60"/>
        <v>0</v>
      </c>
      <c r="O37" s="69">
        <f t="shared" ca="1" si="61"/>
        <v>0</v>
      </c>
      <c r="P37" s="69">
        <f t="shared" ca="1" si="62"/>
        <v>0</v>
      </c>
      <c r="Q37" s="69">
        <f t="shared" ca="1" si="69"/>
        <v>0</v>
      </c>
      <c r="S37" s="69" t="s">
        <v>436</v>
      </c>
      <c r="T37" s="69" t="str">
        <f ca="1">INDEX($A$34:$A$44,MATCH(LARGE($P$34:$P$44,4),$P$34:$P$44,0))</f>
        <v>Search Engine Optimization</v>
      </c>
      <c r="V37" s="69"/>
      <c r="AC37" s="145"/>
    </row>
    <row r="38" spans="1:29">
      <c r="A38" s="165" t="str">
        <f t="shared" si="63"/>
        <v>Product Discovery</v>
      </c>
      <c r="B38" s="148">
        <f t="shared" ca="1" si="64"/>
        <v>0</v>
      </c>
      <c r="C38" s="99">
        <f t="shared" ca="1" si="65"/>
        <v>0</v>
      </c>
      <c r="D38" s="149">
        <f t="shared" ca="1" si="66"/>
        <v>0</v>
      </c>
      <c r="F38" s="69" t="str">
        <f t="shared" ca="1" si="67"/>
        <v/>
      </c>
      <c r="G38" s="108" t="str">
        <f t="shared" ca="1" si="68"/>
        <v/>
      </c>
      <c r="I38" s="69" t="str">
        <f t="shared" si="57"/>
        <v>Product Discovery</v>
      </c>
      <c r="J38" s="69">
        <v>1</v>
      </c>
      <c r="K38" s="69">
        <v>9</v>
      </c>
      <c r="L38" s="69">
        <f t="shared" ca="1" si="58"/>
        <v>0</v>
      </c>
      <c r="M38" s="69">
        <f t="shared" ca="1" si="59"/>
        <v>0</v>
      </c>
      <c r="N38" s="69">
        <f t="shared" ca="1" si="60"/>
        <v>0</v>
      </c>
      <c r="O38" s="69">
        <f t="shared" ca="1" si="61"/>
        <v>0</v>
      </c>
      <c r="P38" s="69">
        <f t="shared" ca="1" si="62"/>
        <v>0</v>
      </c>
      <c r="Q38" s="69">
        <f t="shared" ca="1" si="69"/>
        <v>0</v>
      </c>
      <c r="V38" s="69"/>
      <c r="AC38" s="145"/>
    </row>
    <row r="39" spans="1:29">
      <c r="A39" s="165" t="str">
        <f t="shared" si="63"/>
        <v xml:space="preserve">Product Merchandising </v>
      </c>
      <c r="B39" s="148">
        <f t="shared" ca="1" si="64"/>
        <v>0</v>
      </c>
      <c r="C39" s="99">
        <f t="shared" ca="1" si="65"/>
        <v>0</v>
      </c>
      <c r="D39" s="149">
        <f t="shared" ca="1" si="66"/>
        <v>0</v>
      </c>
      <c r="F39" s="69" t="str">
        <f t="shared" ca="1" si="67"/>
        <v/>
      </c>
      <c r="G39" s="108" t="str">
        <f t="shared" ca="1" si="68"/>
        <v/>
      </c>
      <c r="I39" s="69" t="str">
        <f t="shared" si="57"/>
        <v xml:space="preserve">Product Merchandising </v>
      </c>
      <c r="J39" s="69">
        <v>1</v>
      </c>
      <c r="K39" s="69">
        <v>11</v>
      </c>
      <c r="L39" s="69">
        <f t="shared" ca="1" si="58"/>
        <v>0</v>
      </c>
      <c r="M39" s="69">
        <f t="shared" ca="1" si="59"/>
        <v>0</v>
      </c>
      <c r="N39" s="69">
        <f t="shared" ca="1" si="60"/>
        <v>0</v>
      </c>
      <c r="O39" s="69">
        <f t="shared" ca="1" si="61"/>
        <v>0</v>
      </c>
      <c r="P39" s="69">
        <f t="shared" ca="1" si="62"/>
        <v>0</v>
      </c>
      <c r="Q39" s="69">
        <f t="shared" ca="1" si="69"/>
        <v>0</v>
      </c>
      <c r="V39" s="69"/>
      <c r="AC39" s="145"/>
    </row>
    <row r="40" spans="1:29">
      <c r="A40" s="165" t="str">
        <f t="shared" si="63"/>
        <v>E-Commerce Functionality</v>
      </c>
      <c r="B40" s="148">
        <f t="shared" ca="1" si="64"/>
        <v>0</v>
      </c>
      <c r="C40" s="99">
        <f t="shared" ca="1" si="65"/>
        <v>0</v>
      </c>
      <c r="D40" s="149">
        <f t="shared" ca="1" si="66"/>
        <v>0</v>
      </c>
      <c r="F40" s="69" t="str">
        <f t="shared" ca="1" si="67"/>
        <v/>
      </c>
      <c r="G40" s="108" t="str">
        <f t="shared" ca="1" si="68"/>
        <v/>
      </c>
      <c r="I40" s="69" t="str">
        <f t="shared" si="57"/>
        <v>E-Commerce Functionality</v>
      </c>
      <c r="J40" s="69">
        <v>1</v>
      </c>
      <c r="K40" s="69">
        <v>5</v>
      </c>
      <c r="L40" s="69">
        <f t="shared" ca="1" si="58"/>
        <v>0</v>
      </c>
      <c r="M40" s="69">
        <f t="shared" ca="1" si="59"/>
        <v>0</v>
      </c>
      <c r="N40" s="69">
        <f t="shared" ca="1" si="60"/>
        <v>0</v>
      </c>
      <c r="O40" s="69">
        <f t="shared" ca="1" si="61"/>
        <v>0</v>
      </c>
      <c r="P40" s="69">
        <f t="shared" ca="1" si="62"/>
        <v>0</v>
      </c>
      <c r="Q40" s="69">
        <f t="shared" ca="1" si="69"/>
        <v>0</v>
      </c>
      <c r="V40" s="69"/>
      <c r="AC40" s="145"/>
    </row>
    <row r="41" spans="1:29">
      <c r="A41" s="165" t="str">
        <f t="shared" si="63"/>
        <v>User Registration</v>
      </c>
      <c r="B41" s="148">
        <f t="shared" ca="1" si="64"/>
        <v>0</v>
      </c>
      <c r="C41" s="99">
        <f t="shared" ca="1" si="65"/>
        <v>0</v>
      </c>
      <c r="D41" s="149">
        <f t="shared" ca="1" si="66"/>
        <v>0</v>
      </c>
      <c r="F41" s="69" t="str">
        <f t="shared" ca="1" si="67"/>
        <v/>
      </c>
      <c r="G41" s="108" t="str">
        <f t="shared" ca="1" si="68"/>
        <v/>
      </c>
      <c r="I41" s="69" t="str">
        <f t="shared" si="57"/>
        <v>User Registration</v>
      </c>
      <c r="J41" s="69">
        <v>1</v>
      </c>
      <c r="K41" s="69">
        <v>6</v>
      </c>
      <c r="L41" s="69">
        <f t="shared" ca="1" si="58"/>
        <v>0</v>
      </c>
      <c r="M41" s="69">
        <f t="shared" ca="1" si="59"/>
        <v>0</v>
      </c>
      <c r="N41" s="69">
        <f t="shared" ca="1" si="60"/>
        <v>0</v>
      </c>
      <c r="O41" s="69">
        <f t="shared" ca="1" si="61"/>
        <v>0</v>
      </c>
      <c r="P41" s="69">
        <f t="shared" ca="1" si="62"/>
        <v>0</v>
      </c>
      <c r="Q41" s="69">
        <f t="shared" ca="1" si="69"/>
        <v>0</v>
      </c>
      <c r="V41" s="69"/>
      <c r="AC41" s="145"/>
    </row>
    <row r="42" spans="1:29">
      <c r="A42" s="165" t="str">
        <f>A21</f>
        <v xml:space="preserve">E-Referral </v>
      </c>
      <c r="B42" s="148">
        <f t="shared" ca="1" si="64"/>
        <v>0</v>
      </c>
      <c r="C42" s="99">
        <f t="shared" ca="1" si="65"/>
        <v>0</v>
      </c>
      <c r="D42" s="149">
        <f t="shared" ca="1" si="66"/>
        <v>0</v>
      </c>
      <c r="F42" s="69" t="str">
        <f t="shared" ca="1" si="67"/>
        <v/>
      </c>
      <c r="G42" s="108" t="str">
        <f t="shared" ca="1" si="68"/>
        <v/>
      </c>
      <c r="I42" s="69" t="str">
        <f t="shared" si="57"/>
        <v xml:space="preserve">E-Referral </v>
      </c>
      <c r="J42" s="69">
        <v>0</v>
      </c>
      <c r="K42" s="69">
        <v>3</v>
      </c>
      <c r="L42" s="69">
        <f t="shared" ca="1" si="58"/>
        <v>0</v>
      </c>
      <c r="M42" s="69">
        <f t="shared" ca="1" si="59"/>
        <v>0</v>
      </c>
      <c r="N42" s="69">
        <f t="shared" ca="1" si="60"/>
        <v>0</v>
      </c>
      <c r="O42" s="69">
        <f t="shared" ca="1" si="61"/>
        <v>0</v>
      </c>
      <c r="P42" s="69">
        <f t="shared" ca="1" si="62"/>
        <v>0</v>
      </c>
      <c r="Q42" s="69">
        <f t="shared" ca="1" si="69"/>
        <v>0</v>
      </c>
      <c r="V42" s="69"/>
      <c r="AC42" s="145"/>
    </row>
    <row r="43" spans="1:29">
      <c r="A43" s="165" t="str">
        <f t="shared" si="63"/>
        <v xml:space="preserve">Online Support </v>
      </c>
      <c r="B43" s="148">
        <f t="shared" ca="1" si="64"/>
        <v>0</v>
      </c>
      <c r="C43" s="99">
        <f t="shared" ca="1" si="65"/>
        <v>0</v>
      </c>
      <c r="D43" s="149">
        <f t="shared" ca="1" si="66"/>
        <v>0</v>
      </c>
      <c r="F43" s="69" t="str">
        <f t="shared" ca="1" si="67"/>
        <v/>
      </c>
      <c r="G43" s="108" t="str">
        <f t="shared" ca="1" si="68"/>
        <v/>
      </c>
      <c r="I43" s="69" t="str">
        <f t="shared" si="57"/>
        <v xml:space="preserve">Online Support </v>
      </c>
      <c r="J43" s="69">
        <v>1</v>
      </c>
      <c r="K43" s="69">
        <v>2</v>
      </c>
      <c r="L43" s="69">
        <f t="shared" ca="1" si="58"/>
        <v>0</v>
      </c>
      <c r="M43" s="69">
        <f t="shared" ca="1" si="59"/>
        <v>0</v>
      </c>
      <c r="N43" s="69">
        <f t="shared" ca="1" si="60"/>
        <v>0</v>
      </c>
      <c r="O43" s="69">
        <f t="shared" ca="1" si="61"/>
        <v>0</v>
      </c>
      <c r="P43" s="69">
        <f t="shared" ca="1" si="62"/>
        <v>0</v>
      </c>
      <c r="Q43" s="69">
        <f t="shared" ca="1" si="69"/>
        <v>0</v>
      </c>
      <c r="V43" s="69"/>
      <c r="AC43" s="145"/>
    </row>
    <row r="44" spans="1:29">
      <c r="A44" s="165" t="str">
        <f t="shared" si="63"/>
        <v>Social Media Deployment</v>
      </c>
      <c r="B44" s="148">
        <f t="shared" ca="1" si="64"/>
        <v>0</v>
      </c>
      <c r="C44" s="99">
        <f t="shared" ca="1" si="65"/>
        <v>0</v>
      </c>
      <c r="D44" s="149">
        <f t="shared" ca="1" si="66"/>
        <v>0</v>
      </c>
      <c r="F44" s="69" t="str">
        <f t="shared" ca="1" si="67"/>
        <v/>
      </c>
      <c r="G44" s="108" t="str">
        <f t="shared" ca="1" si="68"/>
        <v/>
      </c>
      <c r="I44" s="69" t="str">
        <f t="shared" si="57"/>
        <v>Social Media Deployment</v>
      </c>
      <c r="J44" s="69">
        <v>0</v>
      </c>
      <c r="K44" s="69">
        <v>0</v>
      </c>
      <c r="L44" s="69">
        <f t="shared" ca="1" si="58"/>
        <v>0</v>
      </c>
      <c r="M44" s="69">
        <f t="shared" ca="1" si="59"/>
        <v>0</v>
      </c>
      <c r="N44" s="69">
        <f t="shared" ca="1" si="60"/>
        <v>0</v>
      </c>
      <c r="O44" s="69">
        <f t="shared" ca="1" si="61"/>
        <v>0</v>
      </c>
      <c r="P44" s="69">
        <f t="shared" ca="1" si="62"/>
        <v>0</v>
      </c>
      <c r="Q44" s="69">
        <f t="shared" ca="1" si="69"/>
        <v>0</v>
      </c>
      <c r="V44" s="69"/>
      <c r="AC44" s="145"/>
    </row>
    <row r="46" spans="1:29">
      <c r="A46" s="69" t="s">
        <v>23</v>
      </c>
      <c r="B46" s="69" t="s">
        <v>401</v>
      </c>
      <c r="C46" s="69" t="s">
        <v>437</v>
      </c>
      <c r="D46" s="69" t="s">
        <v>438</v>
      </c>
      <c r="E46" s="69" t="s">
        <v>439</v>
      </c>
      <c r="F46" s="69" t="s">
        <v>440</v>
      </c>
      <c r="G46" s="69" t="s">
        <v>441</v>
      </c>
      <c r="H46" s="69" t="s">
        <v>442</v>
      </c>
      <c r="J46" s="69" t="s">
        <v>443</v>
      </c>
    </row>
    <row r="47" spans="1:29" ht="30">
      <c r="A47" s="69" t="s">
        <v>444</v>
      </c>
      <c r="B47" s="69">
        <v>10</v>
      </c>
      <c r="C47" s="26" t="s">
        <v>445</v>
      </c>
      <c r="D47" s="69" t="s">
        <v>446</v>
      </c>
      <c r="E47" s="69" t="b">
        <f ca="1">AND(C32&gt;=0.5,(D32-C32)&gt;=0.08)</f>
        <v>0</v>
      </c>
      <c r="F47" s="69" t="str">
        <f>C47</f>
        <v>Are functional but lack refinement and perform at levels below those of key competitors</v>
      </c>
      <c r="G47" s="69">
        <f ca="1">B47*E47</f>
        <v>0</v>
      </c>
      <c r="J47" s="69" t="s">
        <v>447</v>
      </c>
      <c r="K47" s="69" t="str">
        <f ca="1">INDEX(F47:F54,MATCH(MAX(G47:G54),G47:G54,0))</f>
        <v>Are functional but lack refinement and perform at levels below those of key competitors</v>
      </c>
    </row>
    <row r="48" spans="1:29" ht="45">
      <c r="A48" s="69" t="s">
        <v>444</v>
      </c>
      <c r="B48" s="69">
        <v>9</v>
      </c>
      <c r="C48" s="26" t="s">
        <v>448</v>
      </c>
      <c r="D48" s="69" t="s">
        <v>449</v>
      </c>
      <c r="E48" s="69" t="b">
        <f ca="1">AND(COUNTIF(F27:F30, "&lt;=2")=4, (D32-C32)&gt;=0.09)</f>
        <v>0</v>
      </c>
      <c r="F48" s="69" t="str">
        <f t="shared" ref="F48:F54" si="70">C48</f>
        <v>Perform at levels significantly below those of competitive [industry players, e.g., "banking and financial service providers]</v>
      </c>
      <c r="G48" s="69">
        <f ca="1">B48*E48</f>
        <v>0</v>
      </c>
      <c r="J48" s="69" t="s">
        <v>450</v>
      </c>
      <c r="K48" s="69" t="str">
        <f ca="1">IF(SUM(G56:G60)=0,"",INDEX(F56:F60,MATCH(MAX(G56:G60),G56:G60,0)))</f>
        <v>Have no areas of distinction or relative strength</v>
      </c>
    </row>
    <row r="49" spans="1:23" ht="30">
      <c r="A49" s="69" t="s">
        <v>444</v>
      </c>
      <c r="B49" s="69">
        <v>8</v>
      </c>
      <c r="C49" s="26" t="s">
        <v>451</v>
      </c>
      <c r="D49" s="69" t="s">
        <v>452</v>
      </c>
      <c r="E49" s="69" t="b">
        <f ca="1">AND(SUM(Q27:Q30)&gt;=3,C32&lt;0.6)</f>
        <v>0</v>
      </c>
      <c r="F49" s="69" t="str">
        <f t="shared" si="70"/>
        <v>Perform at levels higher than those of analyzed competitors but at levels well lower than those of global leaders</v>
      </c>
      <c r="G49" s="69">
        <f ca="1">B49*E49</f>
        <v>0</v>
      </c>
      <c r="J49" s="69" t="s">
        <v>453</v>
      </c>
      <c r="K49" s="69" t="str">
        <f ca="1">INDEX(F62:F64,MATCH(MAX(G62:G64),G62:G64,0))</f>
        <v>Have opportunities in key areas including Search Engine Optimization, Search Engine Optimization, and Search Engine Optimization</v>
      </c>
    </row>
    <row r="50" spans="1:23" ht="30">
      <c r="A50" s="69" t="s">
        <v>444</v>
      </c>
      <c r="B50" s="69">
        <v>7</v>
      </c>
      <c r="C50" s="26" t="s">
        <v>454</v>
      </c>
      <c r="D50" s="69" t="s">
        <v>446</v>
      </c>
      <c r="E50" s="69" t="b">
        <f ca="1">AND(C32&gt;=0.5,(D32-C32)&gt;=0.08)</f>
        <v>0</v>
      </c>
      <c r="F50" s="69" t="str">
        <f t="shared" si="70"/>
        <v>Are functional but lack advanced capabilities and perform at levels below those of key competitors</v>
      </c>
      <c r="G50" s="69">
        <f t="shared" ref="G50:G66" ca="1" si="71">B50*E50</f>
        <v>0</v>
      </c>
      <c r="J50" s="69" t="s">
        <v>455</v>
      </c>
      <c r="K50" s="69" t="str">
        <f>INDEX(F66,MATCH(MAX(G66),G66,0))</f>
        <v xml:space="preserve">Possess significant opportunities to increase KPI performance and financial impact </v>
      </c>
    </row>
    <row r="51" spans="1:23">
      <c r="A51" s="69" t="s">
        <v>444</v>
      </c>
      <c r="B51" s="69">
        <v>6</v>
      </c>
      <c r="C51" s="26" t="s">
        <v>456</v>
      </c>
      <c r="D51" s="69" t="s">
        <v>457</v>
      </c>
      <c r="E51" s="69" t="b">
        <f ca="1">AND(T26&lt;0.08,T27&lt;0.1,C32&lt;0.6,COUNTIF(F27:F30,"&lt;=2")&gt;=2)</f>
        <v>0</v>
      </c>
      <c r="F51" s="69" t="str">
        <f t="shared" si="70"/>
        <v>Have a balanced set of capabilities but lack refinement</v>
      </c>
      <c r="G51" s="69">
        <f t="shared" ca="1" si="71"/>
        <v>0</v>
      </c>
    </row>
    <row r="52" spans="1:23" ht="30.75" thickBot="1">
      <c r="A52" s="69" t="s">
        <v>444</v>
      </c>
      <c r="B52" s="69">
        <v>5</v>
      </c>
      <c r="C52" s="26" t="s">
        <v>458</v>
      </c>
      <c r="D52" s="69" t="s">
        <v>459</v>
      </c>
      <c r="E52" s="69" t="b">
        <f ca="1">AND(AND(B8&gt;0.4,B8&lt;0.6),SUM(L27:L30)=4)</f>
        <v>0</v>
      </c>
      <c r="F52" s="69" t="str">
        <f t="shared" si="70"/>
        <v>Have a solid founcation and are "mid-pack" relative to the analyzed competitiors</v>
      </c>
      <c r="G52" s="69">
        <f t="shared" ca="1" si="71"/>
        <v>0</v>
      </c>
    </row>
    <row r="53" spans="1:23">
      <c r="A53" s="69" t="s">
        <v>444</v>
      </c>
      <c r="B53" s="69">
        <v>4</v>
      </c>
      <c r="C53" s="26" t="s">
        <v>460</v>
      </c>
      <c r="D53" s="69" t="s">
        <v>461</v>
      </c>
      <c r="E53" s="69" t="b">
        <f ca="1">AND(COUNTIF(F27:F30,"&lt;=2")&gt;=3, (D32-C32)&gt;=0.08)</f>
        <v>0</v>
      </c>
      <c r="F53" s="69" t="str">
        <f t="shared" si="70"/>
        <v>Perform at levels below those of key competitors</v>
      </c>
      <c r="G53" s="69">
        <f t="shared" ca="1" si="71"/>
        <v>0</v>
      </c>
      <c r="J53" s="153" t="str">
        <f ca="1">B1 &amp; "'s " &amp; "digital marketing programs:"</f>
        <v>CPhI's digital marketing programs:</v>
      </c>
      <c r="K53" s="154"/>
      <c r="L53" s="154"/>
      <c r="M53" s="154"/>
      <c r="N53" s="154"/>
      <c r="O53" s="154"/>
      <c r="P53" s="154"/>
      <c r="Q53" s="154"/>
      <c r="R53" s="154"/>
      <c r="S53" s="154"/>
      <c r="T53" s="154"/>
      <c r="U53" s="154"/>
      <c r="V53" s="155"/>
      <c r="W53" s="156"/>
    </row>
    <row r="54" spans="1:23">
      <c r="A54" s="69" t="s">
        <v>444</v>
      </c>
      <c r="B54" s="69">
        <v>3</v>
      </c>
      <c r="C54" s="26" t="s">
        <v>462</v>
      </c>
      <c r="D54" s="69" t="s">
        <v>463</v>
      </c>
      <c r="E54" s="69" t="b">
        <f ca="1">AND(T26&lt;0.08,T27&lt;0.1,C32&gt;0.55,COUNTIF(F27:F30,"&lt;=2")=0)</f>
        <v>0</v>
      </c>
      <c r="F54" s="69" t="str">
        <f t="shared" si="70"/>
        <v>Have a balanced, capable digital foundation</v>
      </c>
      <c r="G54" s="69">
        <f t="shared" ca="1" si="71"/>
        <v>0</v>
      </c>
      <c r="J54" s="157"/>
      <c r="K54" s="158"/>
      <c r="L54" s="158"/>
      <c r="M54" s="158"/>
      <c r="N54" s="158"/>
      <c r="O54" s="158"/>
      <c r="P54" s="158"/>
      <c r="Q54" s="158"/>
      <c r="R54" s="158"/>
      <c r="S54" s="158"/>
      <c r="T54" s="158"/>
      <c r="U54" s="158"/>
      <c r="V54" s="159"/>
      <c r="W54" s="160"/>
    </row>
    <row r="55" spans="1:23">
      <c r="C55" s="26"/>
      <c r="J55" s="157" t="str">
        <f ca="1">"&gt; " &amp; K47</f>
        <v>&gt; Are functional but lack refinement and perform at levels below those of key competitors</v>
      </c>
      <c r="K55" s="158"/>
      <c r="L55" s="158"/>
      <c r="M55" s="158"/>
      <c r="N55" s="158"/>
      <c r="O55" s="158"/>
      <c r="P55" s="158"/>
      <c r="Q55" s="158"/>
      <c r="R55" s="158"/>
      <c r="S55" s="158"/>
      <c r="T55" s="158"/>
      <c r="U55" s="158"/>
      <c r="V55" s="159"/>
      <c r="W55" s="160"/>
    </row>
    <row r="56" spans="1:23" ht="30">
      <c r="A56" s="69" t="s">
        <v>332</v>
      </c>
      <c r="B56" s="69">
        <v>9</v>
      </c>
      <c r="C56" s="26" t="s">
        <v>464</v>
      </c>
      <c r="D56" s="69" t="s">
        <v>465</v>
      </c>
      <c r="E56" s="69" t="b">
        <f ca="1">AND(T26&gt;0.1,T29&gt;0.045)</f>
        <v>0</v>
      </c>
      <c r="F56" s="69" t="str">
        <f t="shared" ref="F56:F60" si="72">C56</f>
        <v>Have widely-varying, inconsistent levels of capability and performance across the four Customer Digital Journey areas</v>
      </c>
      <c r="G56" s="69">
        <f t="shared" ca="1" si="71"/>
        <v>0</v>
      </c>
      <c r="J56" s="157" t="str">
        <f ca="1">"&gt; "&amp;K48</f>
        <v>&gt; Have no areas of distinction or relative strength</v>
      </c>
      <c r="K56" s="158"/>
      <c r="L56" s="158"/>
      <c r="M56" s="158"/>
      <c r="N56" s="158"/>
      <c r="O56" s="158"/>
      <c r="P56" s="158"/>
      <c r="Q56" s="158"/>
      <c r="R56" s="158"/>
      <c r="S56" s="158"/>
      <c r="T56" s="158"/>
      <c r="U56" s="158"/>
      <c r="V56" s="159"/>
      <c r="W56" s="160"/>
    </row>
    <row r="57" spans="1:23" ht="30">
      <c r="A57" s="69" t="s">
        <v>332</v>
      </c>
      <c r="B57" s="69">
        <v>10</v>
      </c>
      <c r="C57" s="26" t="s">
        <v>466</v>
      </c>
      <c r="D57" s="69" t="s">
        <v>467</v>
      </c>
      <c r="E57" s="69" t="b">
        <f ca="1">AND(C28+0.01&lt;MIN(C27,C30),C29+0.01&lt;MIN(C27,C30))</f>
        <v>0</v>
      </c>
      <c r="F57" s="69" t="str">
        <f t="shared" si="72"/>
        <v>Are weakest in the areas of greatest importance - Active Evaluation and Conversion</v>
      </c>
      <c r="G57" s="69">
        <f t="shared" ca="1" si="71"/>
        <v>0</v>
      </c>
      <c r="J57" s="157" t="str">
        <f ca="1">"&gt; "&amp;K49</f>
        <v>&gt; Have opportunities in key areas including Search Engine Optimization, Search Engine Optimization, and Search Engine Optimization</v>
      </c>
      <c r="K57" s="158"/>
      <c r="L57" s="158"/>
      <c r="M57" s="158"/>
      <c r="N57" s="158"/>
      <c r="O57" s="158"/>
      <c r="P57" s="158"/>
      <c r="Q57" s="158"/>
      <c r="R57" s="158"/>
      <c r="S57" s="158"/>
      <c r="T57" s="158"/>
      <c r="U57" s="158"/>
      <c r="V57" s="159"/>
      <c r="W57" s="160"/>
    </row>
    <row r="58" spans="1:23" ht="30.75" thickBot="1">
      <c r="A58" s="69" t="s">
        <v>332</v>
      </c>
      <c r="B58" s="69">
        <v>6</v>
      </c>
      <c r="C58" s="26" t="s">
        <v>468</v>
      </c>
      <c r="D58" s="69" t="s">
        <v>469</v>
      </c>
      <c r="E58" s="69" t="b">
        <f ca="1">AND(C29+0.01&lt;MIN(C27,C30),C29+0.01&lt;MIN(C27,C30), COUNTIF(F34:F37,"&lt;=2")=0)</f>
        <v>0</v>
      </c>
      <c r="F58" s="69" t="str">
        <f t="shared" si="72"/>
        <v>Are strongest in the customer journey functions that hold the least value (Initial Consideration and Loyalty &amp; Experience)</v>
      </c>
      <c r="G58" s="69">
        <f t="shared" ca="1" si="71"/>
        <v>0</v>
      </c>
      <c r="J58" s="161" t="str">
        <f>"&gt; "&amp;K50</f>
        <v xml:space="preserve">&gt; Possess significant opportunities to increase KPI performance and financial impact </v>
      </c>
      <c r="K58" s="162"/>
      <c r="L58" s="162"/>
      <c r="M58" s="162"/>
      <c r="N58" s="162"/>
      <c r="O58" s="162"/>
      <c r="P58" s="162"/>
      <c r="Q58" s="162"/>
      <c r="R58" s="162"/>
      <c r="S58" s="162"/>
      <c r="T58" s="162"/>
      <c r="U58" s="162"/>
      <c r="V58" s="163"/>
      <c r="W58" s="164"/>
    </row>
    <row r="59" spans="1:23" ht="45">
      <c r="A59" s="69" t="s">
        <v>332</v>
      </c>
      <c r="B59" s="69">
        <v>7</v>
      </c>
      <c r="C59" s="26" t="s">
        <v>470</v>
      </c>
      <c r="D59" s="69" t="s">
        <v>471</v>
      </c>
      <c r="E59" s="69" t="b">
        <f ca="1">C29=D29</f>
        <v>1</v>
      </c>
      <c r="F59" s="69" t="str">
        <f t="shared" si="72"/>
        <v>Are strongest at converting visitors compared to other analyzed [industry players, e.g., "banking and financial service providers]</v>
      </c>
      <c r="G59" s="69">
        <f t="shared" ca="1" si="71"/>
        <v>7</v>
      </c>
    </row>
    <row r="60" spans="1:23">
      <c r="A60" s="69" t="s">
        <v>332</v>
      </c>
      <c r="B60" s="69">
        <v>8</v>
      </c>
      <c r="C60" s="26" t="s">
        <v>472</v>
      </c>
      <c r="D60" s="69" t="s">
        <v>473</v>
      </c>
      <c r="E60" s="69" t="b">
        <f ca="1">COUNTIF(C34:C44,"&gt;.53")=0</f>
        <v>1</v>
      </c>
      <c r="F60" s="69" t="str">
        <f t="shared" si="72"/>
        <v>Have no areas of distinction or relative strength</v>
      </c>
      <c r="G60" s="69">
        <f t="shared" ca="1" si="71"/>
        <v>8</v>
      </c>
    </row>
    <row r="62" spans="1:23" ht="30">
      <c r="A62" s="69" t="s">
        <v>419</v>
      </c>
      <c r="B62" s="69">
        <v>10</v>
      </c>
      <c r="C62" s="26" t="s">
        <v>474</v>
      </c>
      <c r="D62" s="69" t="s">
        <v>475</v>
      </c>
      <c r="E62" s="69" t="b">
        <f ca="1">COUNTIF(F34:F44,"&lt;=2")&gt;=3</f>
        <v>0</v>
      </c>
      <c r="F62" s="13" t="str">
        <f ca="1">"Have significant shortcomings in critical areas including " &amp; $T$34 &amp; ", " &amp; $T$35 &amp; ", " &amp; "and " &amp; $T$36</f>
        <v>Have significant shortcomings in critical areas including Search Engine Optimization, Search Engine Optimization, and Search Engine Optimization</v>
      </c>
      <c r="G62" s="69">
        <f t="shared" ca="1" si="71"/>
        <v>0</v>
      </c>
    </row>
    <row r="63" spans="1:23" ht="30">
      <c r="A63" s="69" t="s">
        <v>419</v>
      </c>
      <c r="B63" s="69">
        <v>9</v>
      </c>
      <c r="C63" s="26" t="s">
        <v>476</v>
      </c>
      <c r="D63" s="69" t="s">
        <v>477</v>
      </c>
      <c r="E63" s="69" t="b">
        <f ca="1">COUNTIF(P34:P44,"&gt;0")&gt;=3</f>
        <v>0</v>
      </c>
      <c r="F63" s="13" t="str">
        <f ca="1">"Have challenges in key areas including " &amp; $T$34 &amp; ", " &amp; $T$35 &amp; ", " &amp; "and " &amp; $T$36</f>
        <v>Have challenges in key areas including Search Engine Optimization, Search Engine Optimization, and Search Engine Optimization</v>
      </c>
      <c r="G63" s="69">
        <f t="shared" ca="1" si="71"/>
        <v>0</v>
      </c>
    </row>
    <row r="64" spans="1:23" ht="30">
      <c r="A64" s="69" t="s">
        <v>419</v>
      </c>
      <c r="B64" s="69">
        <v>8</v>
      </c>
      <c r="C64" s="26" t="s">
        <v>478</v>
      </c>
      <c r="D64" s="69" t="s">
        <v>479</v>
      </c>
      <c r="E64" s="69" t="b">
        <f ca="1">COUNTIF(P35:P45,"&gt;0")&lt;3</f>
        <v>1</v>
      </c>
      <c r="F64" s="13" t="str">
        <f ca="1">"Have opportunities in key areas including " &amp; $T$34 &amp; ", " &amp; $T$35 &amp; ", " &amp; "and " &amp; $T$36</f>
        <v>Have opportunities in key areas including Search Engine Optimization, Search Engine Optimization, and Search Engine Optimization</v>
      </c>
      <c r="G64" s="69">
        <f t="shared" ca="1" si="71"/>
        <v>8</v>
      </c>
    </row>
    <row r="66" spans="1:7" ht="30">
      <c r="A66" s="69" t="s">
        <v>480</v>
      </c>
      <c r="B66" s="69">
        <v>10</v>
      </c>
      <c r="C66" s="26" t="s">
        <v>481</v>
      </c>
      <c r="D66" s="69" t="s">
        <v>482</v>
      </c>
      <c r="E66" s="69" t="b">
        <f>TRUE</f>
        <v>1</v>
      </c>
      <c r="F66" s="69" t="str">
        <f>C66</f>
        <v xml:space="preserve">Possess significant opportunities to increase KPI performance and financial impact </v>
      </c>
      <c r="G66" s="69">
        <f t="shared" si="71"/>
        <v>10</v>
      </c>
    </row>
    <row r="72" spans="1:7">
      <c r="C72" s="69" t="s">
        <v>483</v>
      </c>
    </row>
    <row r="73" spans="1:7">
      <c r="C73" s="69" t="s">
        <v>484</v>
      </c>
    </row>
  </sheetData>
  <mergeCells count="1">
    <mergeCell ref="B12:U12"/>
  </mergeCells>
  <conditionalFormatting sqref="B12 B2:U11 B13:U23">
    <cfRule type="cellIs" dxfId="12" priority="16" operator="equal">
      <formula>0</formula>
    </cfRule>
  </conditionalFormatting>
  <conditionalFormatting sqref="B27:D31 B33:D44">
    <cfRule type="cellIs" dxfId="11" priority="15" operator="equal">
      <formula>0</formula>
    </cfRule>
  </conditionalFormatting>
  <conditionalFormatting sqref="AJ2:AJ5">
    <cfRule type="iconSet" priority="14">
      <iconSet>
        <cfvo type="percent" val="0"/>
        <cfvo type="num" val="3"/>
        <cfvo type="num" val="5"/>
      </iconSet>
    </cfRule>
  </conditionalFormatting>
  <conditionalFormatting sqref="AJ13:AJ23">
    <cfRule type="iconSet" priority="13">
      <iconSet>
        <cfvo type="percent" val="0"/>
        <cfvo type="num" val="3"/>
        <cfvo type="num" val="5"/>
      </iconSet>
    </cfRule>
  </conditionalFormatting>
  <conditionalFormatting sqref="F27:F32 F34:F44">
    <cfRule type="iconSet" priority="12">
      <iconSet>
        <cfvo type="percent" val="0"/>
        <cfvo type="num" val="3"/>
        <cfvo type="num" val="5"/>
      </iconSet>
    </cfRule>
  </conditionalFormatting>
  <conditionalFormatting sqref="G27:G32">
    <cfRule type="cellIs" dxfId="10" priority="10" operator="equal">
      <formula>"LOW"</formula>
    </cfRule>
    <cfRule type="cellIs" dxfId="9" priority="11" operator="equal">
      <formula>"HIGH"</formula>
    </cfRule>
  </conditionalFormatting>
  <conditionalFormatting sqref="G35:G44">
    <cfRule type="cellIs" dxfId="8" priority="8" operator="equal">
      <formula>"LOW"</formula>
    </cfRule>
    <cfRule type="cellIs" dxfId="7" priority="9" operator="equal">
      <formula>"HIGH"</formula>
    </cfRule>
  </conditionalFormatting>
  <conditionalFormatting sqref="G35:G44">
    <cfRule type="cellIs" dxfId="6" priority="6" operator="equal">
      <formula>"LOW"</formula>
    </cfRule>
    <cfRule type="cellIs" dxfId="5" priority="7" operator="equal">
      <formula>"HIGH"</formula>
    </cfRule>
  </conditionalFormatting>
  <conditionalFormatting sqref="G34:G44">
    <cfRule type="cellIs" dxfId="4" priority="4" operator="equal">
      <formula>"LOW"</formula>
    </cfRule>
    <cfRule type="cellIs" dxfId="3" priority="5" operator="equal">
      <formula>"HIGH"</formula>
    </cfRule>
  </conditionalFormatting>
  <conditionalFormatting sqref="B32:D32">
    <cfRule type="cellIs" dxfId="2" priority="3" operator="equal">
      <formula>0</formula>
    </cfRule>
  </conditionalFormatting>
  <conditionalFormatting sqref="AJ7">
    <cfRule type="iconSet" priority="2">
      <iconSet>
        <cfvo type="percent" val="0"/>
        <cfvo type="num" val="3"/>
        <cfvo type="num" val="5"/>
      </iconSet>
    </cfRule>
  </conditionalFormatting>
  <conditionalFormatting sqref="C47:C60 C62:C103">
    <cfRule type="expression" dxfId="1" priority="1">
      <formula>E47=TRUE</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61"/>
  <sheetViews>
    <sheetView workbookViewId="0">
      <pane xSplit="2" ySplit="2" topLeftCell="D3" activePane="bottomRight" state="frozen"/>
      <selection pane="topRight" activeCell="C1" sqref="C1"/>
      <selection pane="bottomLeft" activeCell="A3" sqref="A3"/>
      <selection pane="bottomRight" activeCell="F39" sqref="F39"/>
    </sheetView>
  </sheetViews>
  <sheetFormatPr defaultRowHeight="15"/>
  <cols>
    <col min="2" max="2" width="28.85546875" customWidth="1" collapsed="1"/>
    <col min="3" max="3" width="28.85546875" style="69" customWidth="1" collapsed="1"/>
    <col min="4" max="4" width="19.42578125" bestFit="1" customWidth="1" collapsed="1"/>
    <col min="5" max="5" width="13.140625" style="69" customWidth="1" collapsed="1"/>
  </cols>
  <sheetData>
    <row r="1" spans="1:25" s="165" customFormat="1" ht="12.75">
      <c r="A1" s="171" t="s">
        <v>73</v>
      </c>
      <c r="B1" s="172" t="s">
        <v>486</v>
      </c>
      <c r="C1" s="172" t="s">
        <v>486</v>
      </c>
      <c r="D1" s="172" t="s">
        <v>486</v>
      </c>
      <c r="E1" s="172"/>
      <c r="F1" s="173" t="s">
        <v>487</v>
      </c>
      <c r="G1" s="173" t="s">
        <v>487</v>
      </c>
      <c r="H1" s="173" t="s">
        <v>487</v>
      </c>
      <c r="I1" s="173" t="s">
        <v>487</v>
      </c>
      <c r="J1" s="173" t="s">
        <v>487</v>
      </c>
      <c r="K1" s="173" t="s">
        <v>487</v>
      </c>
      <c r="L1" s="173" t="s">
        <v>487</v>
      </c>
      <c r="M1" s="173" t="s">
        <v>487</v>
      </c>
      <c r="N1" s="173" t="s">
        <v>487</v>
      </c>
      <c r="O1" s="173" t="s">
        <v>487</v>
      </c>
      <c r="P1" s="173" t="s">
        <v>487</v>
      </c>
      <c r="Q1" s="173" t="s">
        <v>487</v>
      </c>
      <c r="R1" s="173" t="s">
        <v>487</v>
      </c>
      <c r="S1" s="173" t="s">
        <v>487</v>
      </c>
      <c r="T1" s="173" t="s">
        <v>487</v>
      </c>
      <c r="U1" s="173" t="s">
        <v>487</v>
      </c>
      <c r="V1" s="173" t="s">
        <v>487</v>
      </c>
      <c r="W1" s="173" t="s">
        <v>487</v>
      </c>
      <c r="X1" s="173" t="s">
        <v>487</v>
      </c>
    </row>
    <row r="2" spans="1:25" s="169" customFormat="1" ht="15.75" thickBot="1">
      <c r="A2" s="168" t="s">
        <v>73</v>
      </c>
      <c r="B2" s="169" t="s">
        <v>529</v>
      </c>
      <c r="C2" s="169" t="s">
        <v>527</v>
      </c>
      <c r="D2" s="169" t="s">
        <v>488</v>
      </c>
      <c r="E2" s="169" t="s">
        <v>543</v>
      </c>
      <c r="F2" s="170" t="s">
        <v>0</v>
      </c>
      <c r="G2" s="170" t="s">
        <v>1</v>
      </c>
      <c r="H2" s="170" t="s">
        <v>2</v>
      </c>
      <c r="I2" s="170" t="s">
        <v>3</v>
      </c>
      <c r="J2" s="169" t="s">
        <v>11</v>
      </c>
      <c r="K2" s="169" t="s">
        <v>5</v>
      </c>
      <c r="L2" s="169" t="s">
        <v>4</v>
      </c>
      <c r="M2" s="169" t="s">
        <v>8</v>
      </c>
      <c r="N2" s="169" t="s">
        <v>539</v>
      </c>
      <c r="O2" s="169" t="s">
        <v>7</v>
      </c>
      <c r="P2" s="169" t="s">
        <v>12</v>
      </c>
      <c r="Q2" s="169" t="s">
        <v>349</v>
      </c>
      <c r="R2" s="169" t="s">
        <v>350</v>
      </c>
      <c r="S2" s="169" t="s">
        <v>10</v>
      </c>
      <c r="T2" s="169" t="s">
        <v>6</v>
      </c>
      <c r="U2" s="170" t="s">
        <v>489</v>
      </c>
      <c r="V2" s="170" t="s">
        <v>490</v>
      </c>
      <c r="W2" s="170" t="s">
        <v>491</v>
      </c>
      <c r="X2" s="170" t="s">
        <v>541</v>
      </c>
    </row>
    <row r="3" spans="1:25">
      <c r="A3" s="33">
        <v>1</v>
      </c>
      <c r="B3" s="63" t="s">
        <v>492</v>
      </c>
      <c r="C3" s="63" t="s">
        <v>528</v>
      </c>
      <c r="F3" s="33"/>
      <c r="G3" s="33"/>
      <c r="H3" s="33"/>
      <c r="I3" s="33"/>
      <c r="J3" s="33"/>
      <c r="K3" s="33"/>
      <c r="L3" s="33"/>
      <c r="M3" s="33"/>
      <c r="N3" s="33"/>
      <c r="O3" s="33"/>
      <c r="P3" s="33"/>
      <c r="Q3" s="33"/>
      <c r="R3" s="33"/>
      <c r="S3" s="33"/>
      <c r="T3" s="33"/>
    </row>
    <row r="4" spans="1:25">
      <c r="A4" s="33">
        <v>2</v>
      </c>
      <c r="B4" s="63" t="s">
        <v>507</v>
      </c>
      <c r="C4" s="63" t="s">
        <v>528</v>
      </c>
      <c r="D4" s="69" t="s">
        <v>553</v>
      </c>
      <c r="E4" s="69" t="s">
        <v>552</v>
      </c>
      <c r="F4" s="33">
        <v>3</v>
      </c>
      <c r="G4" s="33">
        <v>5</v>
      </c>
      <c r="H4" s="33">
        <v>3</v>
      </c>
      <c r="I4" s="33">
        <v>2</v>
      </c>
      <c r="J4" s="33">
        <v>3</v>
      </c>
      <c r="K4" s="33">
        <v>5</v>
      </c>
      <c r="L4" s="33">
        <v>5</v>
      </c>
      <c r="M4" s="33">
        <v>4</v>
      </c>
      <c r="N4" s="33">
        <v>5</v>
      </c>
      <c r="O4" s="33">
        <v>5</v>
      </c>
      <c r="P4" s="33" t="s">
        <v>74</v>
      </c>
      <c r="Q4" s="33">
        <v>3</v>
      </c>
      <c r="R4" s="33">
        <v>3</v>
      </c>
      <c r="S4" s="33">
        <v>2</v>
      </c>
      <c r="T4" s="33">
        <v>2</v>
      </c>
      <c r="U4" s="51" t="s">
        <v>574</v>
      </c>
      <c r="V4" s="51" t="s">
        <v>575</v>
      </c>
      <c r="W4" s="51" t="s">
        <v>576</v>
      </c>
      <c r="X4" s="51" t="s">
        <v>577</v>
      </c>
    </row>
    <row r="5" spans="1:25">
      <c r="A5" s="33">
        <v>3</v>
      </c>
      <c r="B5" s="63" t="s">
        <v>508</v>
      </c>
      <c r="C5" s="63" t="s">
        <v>528</v>
      </c>
      <c r="D5" s="69" t="s">
        <v>540</v>
      </c>
      <c r="E5" s="69" t="s">
        <v>545</v>
      </c>
      <c r="F5" s="33">
        <v>3</v>
      </c>
      <c r="G5" s="33">
        <v>5</v>
      </c>
      <c r="H5" s="33">
        <v>4</v>
      </c>
      <c r="I5" s="33">
        <v>2</v>
      </c>
      <c r="J5" s="33">
        <v>3</v>
      </c>
      <c r="K5" s="33">
        <v>5</v>
      </c>
      <c r="L5" s="33">
        <v>5</v>
      </c>
      <c r="M5" s="33">
        <v>3</v>
      </c>
      <c r="N5" s="33">
        <v>5</v>
      </c>
      <c r="O5" s="33">
        <v>5</v>
      </c>
      <c r="P5" s="33" t="s">
        <v>74</v>
      </c>
      <c r="Q5" s="33">
        <v>5</v>
      </c>
      <c r="R5" s="33">
        <v>3</v>
      </c>
      <c r="S5" s="33">
        <v>3</v>
      </c>
      <c r="T5" s="33">
        <v>2</v>
      </c>
      <c r="U5" s="51" t="s">
        <v>578</v>
      </c>
      <c r="V5" s="51" t="s">
        <v>579</v>
      </c>
      <c r="W5" s="51" t="s">
        <v>580</v>
      </c>
      <c r="X5" s="51" t="s">
        <v>581</v>
      </c>
    </row>
    <row r="6" spans="1:25">
      <c r="A6" s="33">
        <v>4</v>
      </c>
      <c r="B6" s="63" t="s">
        <v>509</v>
      </c>
      <c r="C6" s="63" t="s">
        <v>528</v>
      </c>
      <c r="D6" s="69"/>
      <c r="F6" s="33"/>
      <c r="G6" s="33"/>
      <c r="H6" s="33"/>
      <c r="I6" s="33"/>
      <c r="J6" s="33"/>
      <c r="K6" s="33"/>
      <c r="L6" s="33"/>
      <c r="M6" s="33"/>
      <c r="N6" s="33"/>
      <c r="O6" s="33"/>
      <c r="P6" s="33"/>
      <c r="Q6" s="33"/>
      <c r="R6" s="33"/>
      <c r="S6" s="33"/>
      <c r="T6" s="33"/>
      <c r="U6" s="51"/>
      <c r="V6" s="51"/>
      <c r="W6" s="51"/>
      <c r="X6" s="51"/>
    </row>
    <row r="7" spans="1:25">
      <c r="A7" s="33">
        <v>5</v>
      </c>
      <c r="B7" s="69" t="s">
        <v>510</v>
      </c>
      <c r="C7" s="63" t="s">
        <v>528</v>
      </c>
      <c r="D7" s="69"/>
      <c r="F7" s="33"/>
      <c r="G7" s="33"/>
      <c r="H7" s="33"/>
      <c r="I7" s="33"/>
      <c r="J7" s="33"/>
      <c r="K7" s="33"/>
      <c r="L7" s="33"/>
      <c r="M7" s="33"/>
      <c r="N7" s="33"/>
      <c r="O7" s="33"/>
      <c r="P7" s="33"/>
      <c r="Q7" s="33"/>
      <c r="R7" s="33"/>
      <c r="S7" s="33"/>
      <c r="T7" s="33"/>
      <c r="U7" s="51"/>
      <c r="V7" s="51"/>
      <c r="W7" s="51"/>
      <c r="X7" s="51"/>
    </row>
    <row r="8" spans="1:25">
      <c r="A8" s="33">
        <v>6</v>
      </c>
      <c r="B8" s="69" t="s">
        <v>511</v>
      </c>
      <c r="C8" s="69" t="s">
        <v>66</v>
      </c>
      <c r="F8" s="33"/>
      <c r="G8" s="33"/>
      <c r="H8" s="33"/>
      <c r="I8" s="33"/>
      <c r="J8" s="33"/>
      <c r="K8" s="33"/>
      <c r="L8" s="33"/>
      <c r="M8" s="33"/>
      <c r="N8" s="33"/>
      <c r="O8" s="33"/>
      <c r="P8" s="33"/>
      <c r="Q8" s="33"/>
      <c r="R8" s="33"/>
      <c r="S8" s="33"/>
      <c r="T8" s="33"/>
      <c r="U8" s="51"/>
      <c r="V8" s="51"/>
      <c r="W8" s="51"/>
      <c r="X8" s="51"/>
    </row>
    <row r="9" spans="1:25">
      <c r="A9" s="33">
        <v>7</v>
      </c>
      <c r="B9" s="69" t="s">
        <v>512</v>
      </c>
      <c r="C9" s="63" t="s">
        <v>528</v>
      </c>
      <c r="D9" s="69"/>
      <c r="F9" s="33"/>
      <c r="G9" s="33"/>
      <c r="H9" s="33"/>
      <c r="I9" s="33"/>
      <c r="J9" s="33"/>
      <c r="K9" s="33"/>
      <c r="L9" s="33"/>
      <c r="M9" s="33"/>
      <c r="N9" s="33"/>
      <c r="O9" s="33"/>
      <c r="P9" s="33"/>
      <c r="Q9" s="33"/>
      <c r="R9" s="33"/>
      <c r="S9" s="33"/>
      <c r="T9" s="33"/>
      <c r="U9" s="51"/>
      <c r="V9" s="51"/>
      <c r="W9" s="51"/>
      <c r="X9" s="51"/>
    </row>
    <row r="10" spans="1:25">
      <c r="A10" s="33">
        <v>8</v>
      </c>
      <c r="B10" s="69" t="s">
        <v>513</v>
      </c>
      <c r="C10" s="69" t="s">
        <v>66</v>
      </c>
      <c r="D10" t="s">
        <v>561</v>
      </c>
      <c r="E10" s="69" t="s">
        <v>560</v>
      </c>
      <c r="F10" s="33">
        <v>3</v>
      </c>
      <c r="G10" s="33">
        <v>5</v>
      </c>
      <c r="H10" s="33">
        <v>5</v>
      </c>
      <c r="I10" s="33">
        <v>3</v>
      </c>
      <c r="J10" s="33">
        <v>3</v>
      </c>
      <c r="K10" s="33">
        <v>5</v>
      </c>
      <c r="L10" s="33">
        <v>5</v>
      </c>
      <c r="M10" s="33">
        <v>3</v>
      </c>
      <c r="N10" s="33">
        <v>5</v>
      </c>
      <c r="O10" s="33">
        <v>5</v>
      </c>
      <c r="P10" s="33">
        <v>5</v>
      </c>
      <c r="Q10" s="33">
        <v>4</v>
      </c>
      <c r="R10" s="33">
        <v>4</v>
      </c>
      <c r="S10" s="33">
        <v>3</v>
      </c>
      <c r="T10" s="33">
        <v>2</v>
      </c>
      <c r="U10" s="51" t="s">
        <v>582</v>
      </c>
      <c r="V10" s="51" t="s">
        <v>583</v>
      </c>
      <c r="W10" s="51" t="s">
        <v>584</v>
      </c>
      <c r="X10" s="51"/>
      <c r="Y10" s="63"/>
    </row>
    <row r="11" spans="1:25">
      <c r="A11" s="33">
        <v>9</v>
      </c>
      <c r="B11" s="69" t="s">
        <v>514</v>
      </c>
      <c r="C11" s="63" t="s">
        <v>528</v>
      </c>
      <c r="D11" s="69" t="s">
        <v>559</v>
      </c>
      <c r="E11" s="63" t="s">
        <v>558</v>
      </c>
      <c r="F11" s="33">
        <v>3</v>
      </c>
      <c r="G11" s="33">
        <v>5</v>
      </c>
      <c r="H11" s="33">
        <v>4</v>
      </c>
      <c r="I11" s="193">
        <v>3</v>
      </c>
      <c r="J11" s="33">
        <v>3</v>
      </c>
      <c r="K11" s="33">
        <v>5</v>
      </c>
      <c r="L11" s="33">
        <v>5</v>
      </c>
      <c r="M11" s="33">
        <v>4</v>
      </c>
      <c r="N11" s="33">
        <v>4</v>
      </c>
      <c r="O11" s="33">
        <v>5</v>
      </c>
      <c r="P11" s="33">
        <v>4</v>
      </c>
      <c r="Q11" s="33">
        <v>4</v>
      </c>
      <c r="R11" s="33" t="s">
        <v>74</v>
      </c>
      <c r="S11" s="33">
        <v>3</v>
      </c>
      <c r="T11" s="33">
        <v>3</v>
      </c>
      <c r="U11" s="51"/>
      <c r="V11" s="51"/>
      <c r="W11" s="51"/>
      <c r="X11" s="51"/>
    </row>
    <row r="12" spans="1:25">
      <c r="A12" s="33">
        <v>10</v>
      </c>
      <c r="B12" s="69" t="s">
        <v>515</v>
      </c>
      <c r="C12" s="63" t="s">
        <v>528</v>
      </c>
      <c r="D12" s="69" t="s">
        <v>557</v>
      </c>
      <c r="E12" s="63" t="s">
        <v>556</v>
      </c>
      <c r="F12" s="33">
        <v>3</v>
      </c>
      <c r="G12" s="33">
        <v>5</v>
      </c>
      <c r="H12" s="33">
        <v>3</v>
      </c>
      <c r="I12" s="193">
        <v>2</v>
      </c>
      <c r="J12" s="33">
        <v>3</v>
      </c>
      <c r="K12" s="33">
        <v>5</v>
      </c>
      <c r="L12" s="33">
        <v>5</v>
      </c>
      <c r="M12" s="33">
        <v>4</v>
      </c>
      <c r="N12" s="33">
        <v>5</v>
      </c>
      <c r="O12" s="33">
        <v>4</v>
      </c>
      <c r="P12" s="33" t="s">
        <v>74</v>
      </c>
      <c r="Q12" s="33">
        <v>3</v>
      </c>
      <c r="R12" s="33" t="s">
        <v>74</v>
      </c>
      <c r="S12" s="33">
        <v>2</v>
      </c>
      <c r="T12" s="33">
        <v>2</v>
      </c>
      <c r="U12" s="51" t="s">
        <v>587</v>
      </c>
      <c r="V12" s="51" t="s">
        <v>586</v>
      </c>
      <c r="W12" s="51" t="s">
        <v>585</v>
      </c>
      <c r="X12" s="51" t="s">
        <v>588</v>
      </c>
    </row>
    <row r="13" spans="1:25">
      <c r="A13" s="33">
        <v>11</v>
      </c>
      <c r="B13" s="69" t="s">
        <v>516</v>
      </c>
      <c r="C13" s="63" t="s">
        <v>528</v>
      </c>
      <c r="D13" s="69" t="s">
        <v>563</v>
      </c>
      <c r="E13" s="63" t="s">
        <v>562</v>
      </c>
      <c r="F13" s="33">
        <v>3</v>
      </c>
      <c r="G13" s="33">
        <v>5</v>
      </c>
      <c r="H13" s="33">
        <v>3</v>
      </c>
      <c r="I13" s="193">
        <v>4</v>
      </c>
      <c r="J13" s="33">
        <v>3</v>
      </c>
      <c r="K13" s="33">
        <v>5</v>
      </c>
      <c r="L13" s="33">
        <v>5</v>
      </c>
      <c r="M13" s="33">
        <v>3</v>
      </c>
      <c r="N13" s="33">
        <v>5</v>
      </c>
      <c r="O13" s="33">
        <v>4</v>
      </c>
      <c r="P13" s="33" t="s">
        <v>74</v>
      </c>
      <c r="Q13" s="33">
        <v>3</v>
      </c>
      <c r="R13" s="33">
        <v>4</v>
      </c>
      <c r="S13" s="33">
        <v>4</v>
      </c>
      <c r="T13" s="33">
        <v>2</v>
      </c>
      <c r="U13" s="51"/>
      <c r="V13" s="51"/>
      <c r="W13" s="51"/>
      <c r="X13" s="51"/>
    </row>
    <row r="14" spans="1:25">
      <c r="A14" s="33">
        <v>12</v>
      </c>
      <c r="B14" s="69" t="s">
        <v>493</v>
      </c>
      <c r="C14" s="63" t="s">
        <v>528</v>
      </c>
      <c r="D14" s="69" t="s">
        <v>547</v>
      </c>
      <c r="E14" s="63" t="s">
        <v>546</v>
      </c>
      <c r="F14" s="33">
        <v>4</v>
      </c>
      <c r="G14" s="33">
        <v>5</v>
      </c>
      <c r="H14" s="33">
        <v>3</v>
      </c>
      <c r="I14" s="193">
        <v>2</v>
      </c>
      <c r="J14" s="193">
        <v>4</v>
      </c>
      <c r="K14" s="193">
        <v>5</v>
      </c>
      <c r="L14" s="193">
        <v>5</v>
      </c>
      <c r="M14" s="193">
        <v>4</v>
      </c>
      <c r="N14" s="193">
        <v>3</v>
      </c>
      <c r="O14" s="193">
        <v>5</v>
      </c>
      <c r="P14" s="33" t="s">
        <v>74</v>
      </c>
      <c r="Q14" s="33">
        <v>3</v>
      </c>
      <c r="R14" s="33">
        <v>3</v>
      </c>
      <c r="S14" s="33">
        <v>2</v>
      </c>
      <c r="T14" s="33">
        <v>3</v>
      </c>
      <c r="U14" s="51" t="s">
        <v>589</v>
      </c>
      <c r="V14" s="51" t="s">
        <v>590</v>
      </c>
      <c r="W14" s="51" t="s">
        <v>591</v>
      </c>
      <c r="X14" s="51" t="s">
        <v>592</v>
      </c>
    </row>
    <row r="15" spans="1:25">
      <c r="A15" s="33">
        <v>13</v>
      </c>
      <c r="B15" s="69" t="s">
        <v>517</v>
      </c>
      <c r="C15" s="69" t="s">
        <v>66</v>
      </c>
      <c r="D15" s="69" t="s">
        <v>566</v>
      </c>
      <c r="E15" s="63" t="s">
        <v>567</v>
      </c>
      <c r="F15" s="33">
        <v>4</v>
      </c>
      <c r="G15" s="33">
        <v>5</v>
      </c>
      <c r="H15" s="33">
        <v>5</v>
      </c>
      <c r="I15" s="193">
        <v>3</v>
      </c>
      <c r="J15" s="33">
        <v>3</v>
      </c>
      <c r="K15" s="33">
        <v>5</v>
      </c>
      <c r="L15" s="33">
        <v>5</v>
      </c>
      <c r="M15" s="33">
        <v>4</v>
      </c>
      <c r="N15" s="33">
        <v>5</v>
      </c>
      <c r="O15" s="33">
        <v>5</v>
      </c>
      <c r="P15" s="33">
        <v>5</v>
      </c>
      <c r="Q15" s="33" t="s">
        <v>74</v>
      </c>
      <c r="R15" s="33" t="s">
        <v>74</v>
      </c>
      <c r="S15" s="33">
        <v>2</v>
      </c>
      <c r="T15" s="33">
        <v>2</v>
      </c>
      <c r="U15" s="51" t="s">
        <v>595</v>
      </c>
      <c r="V15" s="51" t="s">
        <v>594</v>
      </c>
      <c r="W15" s="51" t="s">
        <v>593</v>
      </c>
      <c r="X15" s="51"/>
    </row>
    <row r="16" spans="1:25">
      <c r="A16" s="33">
        <v>14</v>
      </c>
      <c r="B16" s="69" t="s">
        <v>518</v>
      </c>
      <c r="C16" s="69" t="s">
        <v>66</v>
      </c>
      <c r="D16" t="s">
        <v>542</v>
      </c>
      <c r="E16" s="63" t="s">
        <v>544</v>
      </c>
      <c r="F16" s="33">
        <v>3</v>
      </c>
      <c r="G16" s="33">
        <v>5</v>
      </c>
      <c r="H16" s="33">
        <v>4</v>
      </c>
      <c r="I16" s="193">
        <v>2</v>
      </c>
      <c r="J16" s="193">
        <v>3</v>
      </c>
      <c r="K16" s="193">
        <v>5</v>
      </c>
      <c r="L16" s="193">
        <v>5</v>
      </c>
      <c r="M16" s="193">
        <v>3</v>
      </c>
      <c r="N16" s="193">
        <v>5</v>
      </c>
      <c r="O16" s="193">
        <v>5</v>
      </c>
      <c r="P16" s="33" t="s">
        <v>74</v>
      </c>
      <c r="Q16" s="33">
        <v>5</v>
      </c>
      <c r="R16" s="33">
        <v>4</v>
      </c>
      <c r="S16" s="33">
        <v>3</v>
      </c>
      <c r="T16" s="33">
        <v>2</v>
      </c>
      <c r="U16" s="51" t="s">
        <v>596</v>
      </c>
      <c r="V16" s="51" t="s">
        <v>597</v>
      </c>
      <c r="W16" s="51" t="s">
        <v>598</v>
      </c>
      <c r="X16" s="51" t="s">
        <v>599</v>
      </c>
    </row>
    <row r="17" spans="1:24">
      <c r="A17" s="33">
        <v>15</v>
      </c>
      <c r="B17" s="69" t="s">
        <v>494</v>
      </c>
      <c r="C17" s="63" t="s">
        <v>528</v>
      </c>
      <c r="D17" s="69" t="s">
        <v>551</v>
      </c>
      <c r="E17" s="63" t="s">
        <v>550</v>
      </c>
      <c r="F17" s="33">
        <v>3</v>
      </c>
      <c r="G17" s="33">
        <v>4</v>
      </c>
      <c r="H17" s="33">
        <v>5</v>
      </c>
      <c r="I17" s="193">
        <v>3</v>
      </c>
      <c r="J17" s="193">
        <v>3</v>
      </c>
      <c r="K17" s="193">
        <v>5</v>
      </c>
      <c r="L17" s="193">
        <v>5</v>
      </c>
      <c r="M17" s="193">
        <v>3</v>
      </c>
      <c r="N17" s="193">
        <v>4</v>
      </c>
      <c r="O17" s="193">
        <v>4</v>
      </c>
      <c r="P17" s="33" t="s">
        <v>74</v>
      </c>
      <c r="Q17" s="33">
        <v>5</v>
      </c>
      <c r="R17" s="33">
        <v>4</v>
      </c>
      <c r="S17" s="33">
        <v>3</v>
      </c>
      <c r="T17" s="33">
        <v>3</v>
      </c>
      <c r="U17" s="51"/>
      <c r="V17" s="51"/>
      <c r="W17" s="51"/>
      <c r="X17" s="51"/>
    </row>
    <row r="18" spans="1:24">
      <c r="A18" s="33">
        <v>16</v>
      </c>
      <c r="B18" s="69" t="s">
        <v>519</v>
      </c>
      <c r="C18" s="63" t="s">
        <v>528</v>
      </c>
      <c r="D18" s="69"/>
      <c r="E18" s="63"/>
      <c r="F18" s="33"/>
      <c r="G18" s="33"/>
      <c r="H18" s="33"/>
      <c r="I18" s="193"/>
      <c r="J18" s="33"/>
      <c r="K18" s="33"/>
      <c r="L18" s="33"/>
      <c r="M18" s="33"/>
      <c r="N18" s="33"/>
      <c r="O18" s="33"/>
      <c r="P18" s="33"/>
      <c r="Q18" s="33"/>
      <c r="R18" s="33"/>
      <c r="S18" s="33"/>
      <c r="T18" s="33"/>
      <c r="U18" s="51"/>
      <c r="V18" s="51"/>
      <c r="W18" s="51"/>
      <c r="X18" s="51"/>
    </row>
    <row r="19" spans="1:24">
      <c r="A19" s="33">
        <v>17</v>
      </c>
      <c r="B19" s="69" t="s">
        <v>520</v>
      </c>
      <c r="C19" s="69" t="s">
        <v>66</v>
      </c>
      <c r="E19" s="63"/>
      <c r="F19" s="33"/>
      <c r="G19" s="33"/>
      <c r="H19" s="33"/>
      <c r="I19" s="193"/>
      <c r="J19" s="33"/>
      <c r="K19" s="33"/>
      <c r="L19" s="33"/>
      <c r="M19" s="33"/>
      <c r="N19" s="33"/>
      <c r="O19" s="33"/>
      <c r="P19" s="33"/>
      <c r="Q19" s="33"/>
      <c r="R19" s="33"/>
      <c r="S19" s="33"/>
      <c r="T19" s="33"/>
      <c r="U19" s="51"/>
      <c r="V19" s="51"/>
      <c r="W19" s="51"/>
      <c r="X19" s="51"/>
    </row>
    <row r="20" spans="1:24">
      <c r="A20" s="33">
        <v>18</v>
      </c>
      <c r="B20" s="69" t="s">
        <v>522</v>
      </c>
      <c r="C20" s="63" t="s">
        <v>528</v>
      </c>
      <c r="D20" s="69" t="s">
        <v>565</v>
      </c>
      <c r="E20" s="63" t="s">
        <v>564</v>
      </c>
      <c r="F20" s="33">
        <v>4</v>
      </c>
      <c r="G20" s="33">
        <v>5</v>
      </c>
      <c r="H20" s="33">
        <v>3</v>
      </c>
      <c r="I20" s="193">
        <v>2</v>
      </c>
      <c r="J20" s="33">
        <v>4</v>
      </c>
      <c r="K20" s="33">
        <v>5</v>
      </c>
      <c r="L20" s="33">
        <v>5</v>
      </c>
      <c r="M20" s="33">
        <v>5</v>
      </c>
      <c r="N20" s="33">
        <v>5</v>
      </c>
      <c r="O20" s="33">
        <v>5</v>
      </c>
      <c r="P20" s="33" t="s">
        <v>74</v>
      </c>
      <c r="Q20" s="33">
        <v>3</v>
      </c>
      <c r="R20" s="33" t="s">
        <v>74</v>
      </c>
      <c r="S20" s="33">
        <v>2</v>
      </c>
      <c r="T20" s="33">
        <v>3</v>
      </c>
      <c r="U20" s="51" t="s">
        <v>600</v>
      </c>
      <c r="V20" s="51" t="s">
        <v>601</v>
      </c>
      <c r="W20" s="51" t="s">
        <v>602</v>
      </c>
      <c r="X20" s="51"/>
    </row>
    <row r="21" spans="1:24">
      <c r="A21" s="33">
        <v>19</v>
      </c>
      <c r="B21" s="69" t="s">
        <v>521</v>
      </c>
      <c r="C21" s="63" t="s">
        <v>528</v>
      </c>
      <c r="D21" s="69"/>
      <c r="E21" s="63"/>
      <c r="F21" s="33"/>
      <c r="G21" s="33"/>
      <c r="H21" s="33"/>
      <c r="I21" s="193"/>
      <c r="J21" s="33"/>
      <c r="K21" s="33"/>
      <c r="L21" s="33"/>
      <c r="M21" s="33"/>
      <c r="N21" s="33"/>
      <c r="O21" s="33"/>
      <c r="P21" s="33"/>
      <c r="Q21" s="33"/>
      <c r="R21" s="33"/>
      <c r="S21" s="33"/>
      <c r="T21" s="33"/>
      <c r="U21" s="51"/>
      <c r="V21" s="51"/>
      <c r="W21" s="51"/>
      <c r="X21" s="51"/>
    </row>
    <row r="22" spans="1:24">
      <c r="A22" s="33">
        <v>20</v>
      </c>
      <c r="B22" s="69" t="s">
        <v>523</v>
      </c>
      <c r="C22" s="63" t="s">
        <v>528</v>
      </c>
      <c r="D22" s="69" t="s">
        <v>569</v>
      </c>
      <c r="E22" s="63" t="s">
        <v>568</v>
      </c>
      <c r="F22" s="33">
        <v>4</v>
      </c>
      <c r="G22" s="33">
        <v>5</v>
      </c>
      <c r="H22" s="33">
        <v>4</v>
      </c>
      <c r="I22" s="33">
        <v>2</v>
      </c>
      <c r="J22" s="33">
        <v>4</v>
      </c>
      <c r="K22" s="33">
        <v>5</v>
      </c>
      <c r="L22" s="33">
        <v>5</v>
      </c>
      <c r="M22" s="33">
        <v>4</v>
      </c>
      <c r="N22" s="33">
        <v>4</v>
      </c>
      <c r="O22" s="33">
        <v>5</v>
      </c>
      <c r="P22" s="33" t="s">
        <v>74</v>
      </c>
      <c r="Q22" s="33">
        <v>4</v>
      </c>
      <c r="R22" s="33">
        <v>3</v>
      </c>
      <c r="S22" s="33">
        <v>2</v>
      </c>
      <c r="T22" s="33">
        <v>2</v>
      </c>
      <c r="U22" s="51" t="s">
        <v>603</v>
      </c>
      <c r="V22" s="51" t="s">
        <v>604</v>
      </c>
      <c r="W22" s="51" t="s">
        <v>605</v>
      </c>
      <c r="X22" s="51"/>
    </row>
    <row r="23" spans="1:24">
      <c r="A23" s="33">
        <v>21</v>
      </c>
      <c r="B23" s="69" t="s">
        <v>364</v>
      </c>
      <c r="C23" s="69" t="s">
        <v>66</v>
      </c>
      <c r="D23" t="s">
        <v>548</v>
      </c>
      <c r="E23" s="63" t="s">
        <v>549</v>
      </c>
      <c r="F23" s="33">
        <v>3</v>
      </c>
      <c r="G23" s="33">
        <v>5</v>
      </c>
      <c r="H23" s="33">
        <v>4</v>
      </c>
      <c r="I23" s="33">
        <v>2</v>
      </c>
      <c r="J23" s="33">
        <v>3</v>
      </c>
      <c r="K23" s="33">
        <v>5</v>
      </c>
      <c r="L23" s="33">
        <v>5</v>
      </c>
      <c r="M23" s="33">
        <v>3</v>
      </c>
      <c r="N23" s="33">
        <v>5</v>
      </c>
      <c r="O23" s="33">
        <v>5</v>
      </c>
      <c r="P23" s="33">
        <v>5</v>
      </c>
      <c r="Q23" s="33" t="s">
        <v>74</v>
      </c>
      <c r="R23" s="33">
        <v>3</v>
      </c>
      <c r="S23" s="33">
        <v>2</v>
      </c>
      <c r="T23" s="33">
        <v>2</v>
      </c>
      <c r="U23" s="51" t="s">
        <v>606</v>
      </c>
      <c r="V23" s="51" t="s">
        <v>607</v>
      </c>
      <c r="W23" s="51" t="s">
        <v>608</v>
      </c>
      <c r="X23" s="51" t="s">
        <v>609</v>
      </c>
    </row>
    <row r="24" spans="1:24">
      <c r="A24" s="33">
        <v>22</v>
      </c>
      <c r="B24" s="69" t="s">
        <v>524</v>
      </c>
      <c r="C24" s="63" t="s">
        <v>528</v>
      </c>
      <c r="D24" s="69"/>
      <c r="E24" s="63"/>
      <c r="F24" s="33"/>
      <c r="G24" s="33"/>
      <c r="H24" s="33"/>
      <c r="I24" s="33"/>
      <c r="J24" s="33"/>
      <c r="K24" s="33"/>
      <c r="L24" s="33"/>
      <c r="M24" s="33"/>
      <c r="N24" s="33"/>
      <c r="O24" s="33"/>
      <c r="P24" s="33"/>
      <c r="Q24" s="33"/>
      <c r="R24" s="33"/>
      <c r="S24" s="33"/>
      <c r="T24" s="33"/>
      <c r="U24" s="51"/>
      <c r="V24" s="51"/>
      <c r="W24" s="51"/>
      <c r="X24" s="51"/>
    </row>
    <row r="25" spans="1:24">
      <c r="A25" s="33">
        <v>23</v>
      </c>
      <c r="B25" s="69" t="s">
        <v>366</v>
      </c>
      <c r="C25" s="69" t="s">
        <v>66</v>
      </c>
      <c r="D25" t="s">
        <v>554</v>
      </c>
      <c r="E25" s="63" t="s">
        <v>555</v>
      </c>
      <c r="F25" s="33">
        <v>3</v>
      </c>
      <c r="G25" s="33">
        <v>5</v>
      </c>
      <c r="H25" s="33">
        <v>4</v>
      </c>
      <c r="I25" s="33">
        <v>3</v>
      </c>
      <c r="J25" s="33">
        <v>3</v>
      </c>
      <c r="K25" s="33">
        <v>5</v>
      </c>
      <c r="L25" s="33">
        <v>5</v>
      </c>
      <c r="M25" s="33">
        <v>4</v>
      </c>
      <c r="N25" s="33">
        <v>5</v>
      </c>
      <c r="O25" s="33">
        <v>5</v>
      </c>
      <c r="P25" s="33">
        <v>5</v>
      </c>
      <c r="Q25" s="33" t="s">
        <v>74</v>
      </c>
      <c r="R25" s="33">
        <v>3</v>
      </c>
      <c r="S25" s="33">
        <v>3</v>
      </c>
      <c r="T25" s="33">
        <v>2</v>
      </c>
      <c r="U25" s="51" t="s">
        <v>610</v>
      </c>
      <c r="V25" s="51" t="s">
        <v>611</v>
      </c>
      <c r="W25" s="51" t="s">
        <v>612</v>
      </c>
      <c r="X25" s="51" t="s">
        <v>613</v>
      </c>
    </row>
    <row r="26" spans="1:24">
      <c r="A26" s="33">
        <v>24</v>
      </c>
      <c r="B26" s="69" t="s">
        <v>525</v>
      </c>
      <c r="C26" s="69" t="s">
        <v>66</v>
      </c>
      <c r="D26" t="s">
        <v>571</v>
      </c>
      <c r="E26" s="63" t="s">
        <v>570</v>
      </c>
      <c r="F26" s="33">
        <v>4</v>
      </c>
      <c r="G26" s="33">
        <v>5</v>
      </c>
      <c r="H26" s="33">
        <v>5</v>
      </c>
      <c r="I26" s="193">
        <v>3</v>
      </c>
      <c r="J26" s="33">
        <v>3</v>
      </c>
      <c r="K26" s="33">
        <v>5</v>
      </c>
      <c r="L26" s="33">
        <v>5</v>
      </c>
      <c r="M26" s="33">
        <v>4</v>
      </c>
      <c r="N26" s="33">
        <v>5</v>
      </c>
      <c r="O26" s="33">
        <v>5</v>
      </c>
      <c r="P26" s="33">
        <v>5</v>
      </c>
      <c r="Q26" s="33" t="s">
        <v>74</v>
      </c>
      <c r="R26" s="33" t="s">
        <v>74</v>
      </c>
      <c r="S26" s="33">
        <v>2</v>
      </c>
      <c r="T26" s="33">
        <v>2</v>
      </c>
      <c r="U26" s="51" t="s">
        <v>595</v>
      </c>
      <c r="V26" s="51" t="s">
        <v>614</v>
      </c>
      <c r="W26" s="51" t="s">
        <v>615</v>
      </c>
      <c r="X26" s="51"/>
    </row>
    <row r="27" spans="1:24">
      <c r="A27" s="33">
        <v>25</v>
      </c>
      <c r="B27" s="69" t="s">
        <v>526</v>
      </c>
      <c r="C27" s="63" t="s">
        <v>528</v>
      </c>
      <c r="D27" s="69" t="s">
        <v>572</v>
      </c>
      <c r="E27" s="63" t="s">
        <v>573</v>
      </c>
      <c r="F27" s="33">
        <v>2</v>
      </c>
      <c r="G27" s="33">
        <v>5</v>
      </c>
      <c r="H27" s="33">
        <v>4</v>
      </c>
      <c r="I27" s="33">
        <v>2</v>
      </c>
      <c r="J27" s="33">
        <v>2</v>
      </c>
      <c r="K27" s="33">
        <v>5</v>
      </c>
      <c r="L27" s="33">
        <v>5</v>
      </c>
      <c r="M27" s="33">
        <v>3</v>
      </c>
      <c r="N27" s="33">
        <v>5</v>
      </c>
      <c r="O27" s="33">
        <v>5</v>
      </c>
      <c r="P27" s="33">
        <v>5</v>
      </c>
      <c r="Q27" s="33" t="s">
        <v>74</v>
      </c>
      <c r="R27" s="33">
        <v>4</v>
      </c>
      <c r="S27" s="33">
        <v>3</v>
      </c>
      <c r="T27" s="33">
        <v>2</v>
      </c>
      <c r="U27" s="51" t="s">
        <v>616</v>
      </c>
      <c r="V27" s="51" t="s">
        <v>617</v>
      </c>
      <c r="W27" s="51" t="s">
        <v>618</v>
      </c>
      <c r="X27" s="51" t="s">
        <v>619</v>
      </c>
    </row>
    <row r="28" spans="1:24">
      <c r="B28" s="69"/>
      <c r="E28" s="63"/>
    </row>
    <row r="29" spans="1:24">
      <c r="B29" s="69"/>
      <c r="E29" s="63"/>
    </row>
    <row r="30" spans="1:24">
      <c r="B30" s="192" t="s">
        <v>536</v>
      </c>
      <c r="E30" s="63"/>
    </row>
    <row r="31" spans="1:24">
      <c r="B31" s="185" t="s">
        <v>530</v>
      </c>
      <c r="E31" s="63"/>
    </row>
    <row r="32" spans="1:24">
      <c r="B32" s="186" t="s">
        <v>531</v>
      </c>
      <c r="E32" s="63"/>
    </row>
    <row r="33" spans="2:5">
      <c r="B33" s="185" t="s">
        <v>532</v>
      </c>
      <c r="E33" s="63"/>
    </row>
    <row r="34" spans="2:5">
      <c r="B34" s="185"/>
      <c r="E34" s="63"/>
    </row>
    <row r="35" spans="2:5">
      <c r="B35" s="185"/>
      <c r="E35" s="63"/>
    </row>
    <row r="36" spans="2:5">
      <c r="B36" s="185" t="s">
        <v>533</v>
      </c>
      <c r="E36" s="63"/>
    </row>
    <row r="37" spans="2:5">
      <c r="B37" s="185" t="s">
        <v>537</v>
      </c>
    </row>
    <row r="38" spans="2:5">
      <c r="B38" s="184" t="s">
        <v>534</v>
      </c>
    </row>
    <row r="41" spans="2:5">
      <c r="B41" s="52"/>
      <c r="C41" s="52"/>
    </row>
    <row r="42" spans="2:5">
      <c r="B42" s="52"/>
      <c r="C42" s="52"/>
    </row>
    <row r="43" spans="2:5">
      <c r="B43" s="52"/>
      <c r="C43" s="52"/>
    </row>
    <row r="44" spans="2:5">
      <c r="B44" s="52"/>
      <c r="C44" s="52"/>
    </row>
    <row r="45" spans="2:5">
      <c r="B45" s="52"/>
      <c r="C45" s="52"/>
    </row>
    <row r="46" spans="2:5">
      <c r="B46" s="52"/>
      <c r="C46" s="52"/>
    </row>
    <row r="47" spans="2:5">
      <c r="B47" s="52"/>
      <c r="C47" s="52"/>
    </row>
    <row r="48" spans="2:5">
      <c r="B48" s="52"/>
      <c r="C48" s="52"/>
    </row>
    <row r="49" spans="2:3">
      <c r="B49" s="52"/>
      <c r="C49" s="52"/>
    </row>
    <row r="50" spans="2:3">
      <c r="B50" s="52"/>
      <c r="C50" s="52"/>
    </row>
    <row r="51" spans="2:3">
      <c r="B51" s="52"/>
      <c r="C51" s="52"/>
    </row>
    <row r="52" spans="2:3">
      <c r="B52" s="52"/>
      <c r="C52" s="52"/>
    </row>
    <row r="53" spans="2:3">
      <c r="B53" s="52"/>
      <c r="C53" s="52"/>
    </row>
    <row r="54" spans="2:3">
      <c r="B54" s="52"/>
      <c r="C54" s="52"/>
    </row>
    <row r="55" spans="2:3">
      <c r="B55" s="52"/>
      <c r="C55" s="52"/>
    </row>
    <row r="56" spans="2:3">
      <c r="B56" s="52"/>
      <c r="C56" s="52"/>
    </row>
    <row r="57" spans="2:3">
      <c r="B57" s="52"/>
      <c r="C57" s="52"/>
    </row>
    <row r="58" spans="2:3">
      <c r="B58" s="52"/>
      <c r="C58" s="52"/>
    </row>
    <row r="59" spans="2:3">
      <c r="B59" s="52"/>
      <c r="C59" s="52"/>
    </row>
    <row r="60" spans="2:3">
      <c r="B60" s="52"/>
      <c r="C60" s="52"/>
    </row>
    <row r="61" spans="2:3">
      <c r="B61" s="52"/>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27"/>
  <sheetViews>
    <sheetView zoomScale="85" zoomScaleNormal="85" workbookViewId="0">
      <selection activeCell="I20" sqref="I20"/>
    </sheetView>
  </sheetViews>
  <sheetFormatPr defaultRowHeight="15"/>
  <cols>
    <col min="1" max="1" width="6.5703125" customWidth="1" collapsed="1"/>
    <col min="2" max="2" width="17.42578125" customWidth="1" collapsed="1"/>
    <col min="3" max="3" width="17.28515625" customWidth="1" collapsed="1"/>
    <col min="4" max="4" width="14.85546875" customWidth="1" collapsed="1"/>
    <col min="5" max="8" width="10.85546875" customWidth="1" collapsed="1"/>
    <col min="9" max="22" width="10.85546875" style="69" customWidth="1" collapsed="1"/>
    <col min="28" max="35" width="9.140625" customWidth="1" collapsed="1"/>
    <col min="41" max="41" width="12" customWidth="1" collapsed="1"/>
    <col min="42" max="42" width="11.42578125" bestFit="1" customWidth="1" collapsed="1"/>
    <col min="48" max="48" width="12.140625" bestFit="1" customWidth="1" collapsed="1"/>
  </cols>
  <sheetData>
    <row r="1" spans="1:48">
      <c r="A1" t="s">
        <v>117</v>
      </c>
      <c r="B1" t="s">
        <v>23</v>
      </c>
      <c r="C1" s="25" t="str">
        <f ca="1">'TESTING v1'!C1</f>
        <v>CPhI</v>
      </c>
      <c r="D1" s="25" t="str">
        <f ca="1">'TESTING v1'!D1</f>
        <v>Fi Global</v>
      </c>
      <c r="E1" s="25" t="str">
        <f ca="1">'TESTING v1'!E1</f>
        <v>Sleep and Eat</v>
      </c>
      <c r="F1" s="25" t="str">
        <f ca="1">'TESTING v1'!F1</f>
        <v>Decorex</v>
      </c>
      <c r="G1" s="25" t="str">
        <f ca="1">'TESTING v1'!G1</f>
        <v>Slas Europe</v>
      </c>
      <c r="H1" s="25" t="str">
        <f ca="1">'TESTING v1'!H1</f>
        <v>Africa's Big</v>
      </c>
      <c r="I1" s="25" t="str">
        <f ca="1">'TESTING v1'!I1</f>
        <v>BLLA</v>
      </c>
      <c r="J1" s="25" t="str">
        <f ca="1">'TESTING v1'!J1</f>
        <v>AIA</v>
      </c>
      <c r="K1" s="25">
        <f ca="1">'TESTING v1'!K1</f>
        <v>0</v>
      </c>
      <c r="L1" s="25">
        <f ca="1">'TESTING v1'!L1</f>
        <v>0</v>
      </c>
      <c r="M1" s="25">
        <f ca="1">'TESTING v1'!M1</f>
        <v>0</v>
      </c>
      <c r="N1" s="25">
        <f ca="1">'TESTING v1'!N1</f>
        <v>0</v>
      </c>
      <c r="O1" s="25">
        <f ca="1">'TESTING v1'!O1</f>
        <v>0</v>
      </c>
      <c r="P1" s="25">
        <f ca="1">'TESTING v1'!P1</f>
        <v>0</v>
      </c>
      <c r="Q1" s="25">
        <f ca="1">'TESTING v1'!Q1</f>
        <v>0</v>
      </c>
      <c r="R1" s="25">
        <f ca="1">'TESTING v1'!R1</f>
        <v>0</v>
      </c>
      <c r="S1" s="25">
        <f ca="1">'TESTING v1'!S1</f>
        <v>0</v>
      </c>
      <c r="T1" s="25">
        <f ca="1">'TESTING v1'!T1</f>
        <v>0</v>
      </c>
      <c r="U1" s="25">
        <f ca="1">'TESTING v1'!U1</f>
        <v>0</v>
      </c>
      <c r="V1" s="25">
        <f ca="1">'TESTING v1'!V1</f>
        <v>0</v>
      </c>
      <c r="W1" t="s">
        <v>53</v>
      </c>
      <c r="X1" s="23" t="s">
        <v>256</v>
      </c>
      <c r="Y1" s="14" t="s">
        <v>28</v>
      </c>
      <c r="Z1" s="15" t="s">
        <v>29</v>
      </c>
      <c r="AA1" s="16" t="s">
        <v>30</v>
      </c>
      <c r="AB1" s="17" t="s">
        <v>31</v>
      </c>
      <c r="AC1" s="17" t="s">
        <v>501</v>
      </c>
      <c r="AD1" s="13" t="s">
        <v>32</v>
      </c>
      <c r="AE1" s="13" t="s">
        <v>33</v>
      </c>
      <c r="AF1" s="13" t="s">
        <v>34</v>
      </c>
      <c r="AG1" s="13" t="s">
        <v>35</v>
      </c>
      <c r="AH1" s="13" t="s">
        <v>36</v>
      </c>
      <c r="AI1" s="13" t="s">
        <v>37</v>
      </c>
      <c r="AJ1" t="s">
        <v>38</v>
      </c>
      <c r="AL1" t="s">
        <v>54</v>
      </c>
      <c r="AM1" t="s">
        <v>55</v>
      </c>
      <c r="AN1" t="s">
        <v>56</v>
      </c>
      <c r="AO1" t="s">
        <v>57</v>
      </c>
      <c r="AP1" t="s">
        <v>58</v>
      </c>
      <c r="AQ1" t="s">
        <v>59</v>
      </c>
      <c r="AR1" t="s">
        <v>60</v>
      </c>
      <c r="AS1" t="s">
        <v>61</v>
      </c>
      <c r="AT1" t="s">
        <v>62</v>
      </c>
      <c r="AU1" t="s">
        <v>63</v>
      </c>
      <c r="AV1" t="s">
        <v>64</v>
      </c>
    </row>
    <row r="2" spans="1:48">
      <c r="A2" s="60">
        <v>1</v>
      </c>
      <c r="B2" s="13" t="str">
        <f>ANALYSIS!B2</f>
        <v>Initial Consideration</v>
      </c>
      <c r="C2" s="10">
        <f ca="1">'TESTING v1'!C2</f>
        <v>0</v>
      </c>
      <c r="D2" s="10">
        <f ca="1">'TESTING v1'!D2</f>
        <v>0</v>
      </c>
      <c r="E2" s="10">
        <f ca="1">'TESTING v1'!E2</f>
        <v>0</v>
      </c>
      <c r="F2" s="10">
        <f ca="1">'TESTING v1'!F2</f>
        <v>0</v>
      </c>
      <c r="G2" s="10">
        <f ca="1">'TESTING v1'!G2</f>
        <v>0</v>
      </c>
      <c r="H2" s="10">
        <f ca="1">'TESTING v1'!H2</f>
        <v>0</v>
      </c>
      <c r="I2" s="10">
        <f ca="1">'TESTING v1'!I2</f>
        <v>0</v>
      </c>
      <c r="J2" s="10">
        <f ca="1">'TESTING v1'!J2</f>
        <v>0</v>
      </c>
      <c r="K2" s="10">
        <f ca="1">'TESTING v1'!K2</f>
        <v>0</v>
      </c>
      <c r="L2" s="10">
        <f ca="1">'TESTING v1'!L2</f>
        <v>0</v>
      </c>
      <c r="M2" s="10">
        <f ca="1">'TESTING v1'!M2</f>
        <v>0</v>
      </c>
      <c r="N2" s="10">
        <f ca="1">'TESTING v1'!N2</f>
        <v>0</v>
      </c>
      <c r="O2" s="10">
        <f ca="1">'TESTING v1'!O2</f>
        <v>0</v>
      </c>
      <c r="P2" s="10">
        <f ca="1">'TESTING v1'!P2</f>
        <v>0</v>
      </c>
      <c r="Q2" s="10">
        <f ca="1">'TESTING v1'!Q2</f>
        <v>0</v>
      </c>
      <c r="R2" s="10">
        <f ca="1">'TESTING v1'!R2</f>
        <v>0</v>
      </c>
      <c r="S2" s="10">
        <f ca="1">'TESTING v1'!S2</f>
        <v>0</v>
      </c>
      <c r="T2" s="10">
        <f ca="1">'TESTING v1'!T2</f>
        <v>0</v>
      </c>
      <c r="U2" s="10">
        <f ca="1">'TESTING v1'!U2</f>
        <v>0</v>
      </c>
      <c r="V2" s="10">
        <f ca="1">'TESTING v1'!V2</f>
        <v>0</v>
      </c>
      <c r="W2">
        <v>1</v>
      </c>
      <c r="X2" s="62">
        <f t="shared" ref="X2:X16" ca="1" si="0">MAX(COUNTIF(C2:V2,"&gt;0")-1,0)</f>
        <v>0</v>
      </c>
      <c r="Y2" s="18">
        <f ca="1">SMALL(C2:V2,(20-X2))</f>
        <v>0</v>
      </c>
      <c r="Z2" s="19">
        <f t="shared" ref="Z2:Z17" ca="1" si="1">C2</f>
        <v>0</v>
      </c>
      <c r="AA2" s="20">
        <f t="shared" ref="AA2:AA17" ca="1" si="2">MAX(C2:V2)</f>
        <v>0</v>
      </c>
      <c r="AB2" s="10" t="e">
        <f t="shared" ref="AB2:AB17" ca="1" si="3">AVERAGEIF(C2:V2, "&gt;0")</f>
        <v>#DIV/0!</v>
      </c>
      <c r="AC2" s="10" t="e">
        <f ca="1">AB2*1</f>
        <v>#DIV/0!</v>
      </c>
      <c r="AD2" t="e">
        <f t="shared" ref="AD2:AD17" ca="1" si="4">IF(Z2&gt;AC2,3,0)</f>
        <v>#DIV/0!</v>
      </c>
      <c r="AE2">
        <f t="shared" ref="AE2:AE12" ca="1" si="5">IF(Z2&gt;=0.6,1,0)</f>
        <v>0</v>
      </c>
      <c r="AF2">
        <f t="shared" ref="AF2:AF17" ca="1" si="6">MAX((COUNTIF(C2:V2, "&lt;" &amp; Z2)-(9-$D$19)),0)</f>
        <v>0</v>
      </c>
      <c r="AG2" s="21">
        <f ca="1">$D$19</f>
        <v>-1</v>
      </c>
      <c r="AH2">
        <f ca="1">AF2/AG2</f>
        <v>0</v>
      </c>
      <c r="AI2">
        <f ca="1">IF(AH2&gt;0.5,1,0)</f>
        <v>0</v>
      </c>
      <c r="AJ2" t="e">
        <f t="shared" ref="AJ2:AJ17" ca="1" si="7">AD2+AE2+AI2</f>
        <v>#DIV/0!</v>
      </c>
      <c r="AL2">
        <f t="shared" ref="AL2:AN17" ca="1" si="8">ROUND(Y2*100,0)</f>
        <v>0</v>
      </c>
      <c r="AM2">
        <f t="shared" ca="1" si="8"/>
        <v>0</v>
      </c>
      <c r="AN2">
        <f t="shared" ca="1" si="8"/>
        <v>0</v>
      </c>
      <c r="AO2" t="e">
        <f t="shared" ref="AO2:AO17" ca="1" si="9">IF(AND(AJ2 &gt;=  3, AJ2 &lt;=  4),0,-50)</f>
        <v>#DIV/0!</v>
      </c>
      <c r="AP2" t="e">
        <f t="shared" ref="AP2:AP17" ca="1" si="10">IF(AJ2 &gt;  4,0,-50)</f>
        <v>#DIV/0!</v>
      </c>
      <c r="AQ2" t="e">
        <f t="shared" ref="AQ2:AQ17" ca="1" si="11">IF(AND(AJ2 &gt;= 0, AJ2 &lt;3),0,-50)</f>
        <v>#DIV/0!</v>
      </c>
      <c r="AR2">
        <v>40</v>
      </c>
      <c r="AS2">
        <v>60</v>
      </c>
      <c r="AT2">
        <v>75</v>
      </c>
      <c r="AU2">
        <f t="shared" ref="AU2:AU17" ca="1" si="12">AL2</f>
        <v>0</v>
      </c>
      <c r="AV2">
        <f t="shared" ref="AV2:AV17" ca="1" si="13">AN2-AL2</f>
        <v>0</v>
      </c>
    </row>
    <row r="3" spans="1:48">
      <c r="A3" s="60">
        <v>1</v>
      </c>
      <c r="B3" s="13" t="str">
        <f>ANALYSIS!B3</f>
        <v>Active Evaluation</v>
      </c>
      <c r="C3" s="34">
        <f ca="1">'TESTING v1'!C3</f>
        <v>4.3520000000000003E-2</v>
      </c>
      <c r="D3" s="34">
        <f ca="1">'TESTING v1'!D3</f>
        <v>0</v>
      </c>
      <c r="E3" s="34">
        <f ca="1">'TESTING v1'!E3</f>
        <v>0</v>
      </c>
      <c r="F3" s="34">
        <f ca="1">'TESTING v1'!F3</f>
        <v>0</v>
      </c>
      <c r="G3" s="34">
        <f ca="1">'TESTING v1'!G3</f>
        <v>0</v>
      </c>
      <c r="H3" s="34">
        <f ca="1">'TESTING v1'!H3</f>
        <v>0</v>
      </c>
      <c r="I3" s="34">
        <f ca="1">'TESTING v1'!I3</f>
        <v>0</v>
      </c>
      <c r="J3" s="34">
        <f ca="1">'TESTING v1'!J3</f>
        <v>0</v>
      </c>
      <c r="K3" s="34">
        <f ca="1">'TESTING v1'!K3</f>
        <v>0</v>
      </c>
      <c r="L3" s="34">
        <f ca="1">'TESTING v1'!L3</f>
        <v>0</v>
      </c>
      <c r="M3" s="34">
        <f ca="1">'TESTING v1'!M3</f>
        <v>0</v>
      </c>
      <c r="N3" s="34">
        <f ca="1">'TESTING v1'!N3</f>
        <v>0</v>
      </c>
      <c r="O3" s="34">
        <f ca="1">'TESTING v1'!O3</f>
        <v>0</v>
      </c>
      <c r="P3" s="34">
        <f ca="1">'TESTING v1'!P3</f>
        <v>0</v>
      </c>
      <c r="Q3" s="34">
        <f ca="1">'TESTING v1'!Q3</f>
        <v>0</v>
      </c>
      <c r="R3" s="34">
        <f ca="1">'TESTING v1'!R3</f>
        <v>0</v>
      </c>
      <c r="S3" s="34">
        <f ca="1">'TESTING v1'!S3</f>
        <v>0</v>
      </c>
      <c r="T3" s="34">
        <f ca="1">'TESTING v1'!T3</f>
        <v>0</v>
      </c>
      <c r="U3" s="34">
        <f ca="1">'TESTING v1'!U3</f>
        <v>0</v>
      </c>
      <c r="V3" s="34">
        <f ca="1">'TESTING v1'!V3</f>
        <v>0</v>
      </c>
      <c r="W3">
        <v>2</v>
      </c>
      <c r="X3" s="62">
        <f t="shared" ca="1" si="0"/>
        <v>0</v>
      </c>
      <c r="Y3" s="18">
        <f t="shared" ref="Y3:Y16" ca="1" si="14">SMALL(C3:V3,(20-X3))</f>
        <v>4.3520000000000003E-2</v>
      </c>
      <c r="Z3" s="19">
        <f t="shared" ca="1" si="1"/>
        <v>4.3520000000000003E-2</v>
      </c>
      <c r="AA3" s="20">
        <f t="shared" ca="1" si="2"/>
        <v>4.3520000000000003E-2</v>
      </c>
      <c r="AB3" s="10">
        <f t="shared" ca="1" si="3"/>
        <v>4.3520000000000003E-2</v>
      </c>
      <c r="AC3" s="10">
        <f t="shared" ref="AC3:AC17" ca="1" si="15">AB3*1</f>
        <v>4.3520000000000003E-2</v>
      </c>
      <c r="AD3">
        <f t="shared" ca="1" si="4"/>
        <v>0</v>
      </c>
      <c r="AE3">
        <f t="shared" ca="1" si="5"/>
        <v>0</v>
      </c>
      <c r="AF3">
        <f t="shared" ca="1" si="6"/>
        <v>9</v>
      </c>
      <c r="AG3" s="21">
        <f t="shared" ref="AG3:AG17" ca="1" si="16">$D$19</f>
        <v>-1</v>
      </c>
      <c r="AH3">
        <f t="shared" ref="AH3:AH17" ca="1" si="17">AF3/AG3</f>
        <v>-9</v>
      </c>
      <c r="AI3">
        <f t="shared" ref="AI3:AI17" ca="1" si="18">IF(AH3&gt;0.5,1,0)</f>
        <v>0</v>
      </c>
      <c r="AJ3">
        <f t="shared" ca="1" si="7"/>
        <v>0</v>
      </c>
      <c r="AL3">
        <f t="shared" ca="1" si="8"/>
        <v>4</v>
      </c>
      <c r="AM3">
        <f t="shared" ca="1" si="8"/>
        <v>4</v>
      </c>
      <c r="AN3">
        <f t="shared" ca="1" si="8"/>
        <v>4</v>
      </c>
      <c r="AO3">
        <f t="shared" ca="1" si="9"/>
        <v>-50</v>
      </c>
      <c r="AP3">
        <f t="shared" ca="1" si="10"/>
        <v>-50</v>
      </c>
      <c r="AQ3">
        <f t="shared" ca="1" si="11"/>
        <v>0</v>
      </c>
      <c r="AR3">
        <v>40</v>
      </c>
      <c r="AS3">
        <v>60</v>
      </c>
      <c r="AT3">
        <v>75</v>
      </c>
      <c r="AU3">
        <f t="shared" ca="1" si="12"/>
        <v>4</v>
      </c>
      <c r="AV3">
        <f t="shared" ca="1" si="13"/>
        <v>0</v>
      </c>
    </row>
    <row r="4" spans="1:48">
      <c r="A4" s="60">
        <v>1</v>
      </c>
      <c r="B4" s="13" t="str">
        <f>ANALYSIS!B4</f>
        <v>Conversion</v>
      </c>
      <c r="C4" s="10">
        <f ca="1">'TESTING v1'!C4</f>
        <v>0</v>
      </c>
      <c r="D4" s="10">
        <f ca="1">'TESTING v1'!D4</f>
        <v>0</v>
      </c>
      <c r="E4" s="10">
        <f ca="1">'TESTING v1'!E4</f>
        <v>0</v>
      </c>
      <c r="F4" s="10">
        <f ca="1">'TESTING v1'!F4</f>
        <v>0</v>
      </c>
      <c r="G4" s="10">
        <f ca="1">'TESTING v1'!G4</f>
        <v>0</v>
      </c>
      <c r="H4" s="10">
        <f ca="1">'TESTING v1'!H4</f>
        <v>0</v>
      </c>
      <c r="I4" s="10">
        <f ca="1">'TESTING v1'!I4</f>
        <v>0</v>
      </c>
      <c r="J4" s="10">
        <f ca="1">'TESTING v1'!J4</f>
        <v>0</v>
      </c>
      <c r="K4" s="10">
        <f ca="1">'TESTING v1'!K4</f>
        <v>0</v>
      </c>
      <c r="L4" s="10">
        <f ca="1">'TESTING v1'!L4</f>
        <v>0</v>
      </c>
      <c r="M4" s="10">
        <f ca="1">'TESTING v1'!M4</f>
        <v>0</v>
      </c>
      <c r="N4" s="10">
        <f ca="1">'TESTING v1'!N4</f>
        <v>0</v>
      </c>
      <c r="O4" s="10">
        <f ca="1">'TESTING v1'!O4</f>
        <v>0</v>
      </c>
      <c r="P4" s="10">
        <f ca="1">'TESTING v1'!P4</f>
        <v>0</v>
      </c>
      <c r="Q4" s="10">
        <f ca="1">'TESTING v1'!Q4</f>
        <v>0</v>
      </c>
      <c r="R4" s="10">
        <f ca="1">'TESTING v1'!R4</f>
        <v>0</v>
      </c>
      <c r="S4" s="10">
        <f ca="1">'TESTING v1'!S4</f>
        <v>0</v>
      </c>
      <c r="T4" s="10">
        <f ca="1">'TESTING v1'!T4</f>
        <v>0</v>
      </c>
      <c r="U4" s="10">
        <f ca="1">'TESTING v1'!U4</f>
        <v>0</v>
      </c>
      <c r="V4" s="10">
        <f ca="1">'TESTING v1'!V4</f>
        <v>0</v>
      </c>
      <c r="W4">
        <v>3</v>
      </c>
      <c r="X4" s="62">
        <f t="shared" ca="1" si="0"/>
        <v>0</v>
      </c>
      <c r="Y4" s="18">
        <f t="shared" ca="1" si="14"/>
        <v>0</v>
      </c>
      <c r="Z4" s="19">
        <f t="shared" ca="1" si="1"/>
        <v>0</v>
      </c>
      <c r="AA4" s="20">
        <f t="shared" ca="1" si="2"/>
        <v>0</v>
      </c>
      <c r="AB4" s="10" t="e">
        <f t="shared" ca="1" si="3"/>
        <v>#DIV/0!</v>
      </c>
      <c r="AC4" s="10" t="e">
        <f t="shared" ca="1" si="15"/>
        <v>#DIV/0!</v>
      </c>
      <c r="AD4" t="e">
        <f t="shared" ca="1" si="4"/>
        <v>#DIV/0!</v>
      </c>
      <c r="AE4">
        <f t="shared" ca="1" si="5"/>
        <v>0</v>
      </c>
      <c r="AF4">
        <f t="shared" ca="1" si="6"/>
        <v>0</v>
      </c>
      <c r="AG4" s="21">
        <f t="shared" ca="1" si="16"/>
        <v>-1</v>
      </c>
      <c r="AH4">
        <f t="shared" ca="1" si="17"/>
        <v>0</v>
      </c>
      <c r="AI4">
        <f t="shared" ca="1" si="18"/>
        <v>0</v>
      </c>
      <c r="AJ4" t="e">
        <f t="shared" ca="1" si="7"/>
        <v>#DIV/0!</v>
      </c>
      <c r="AK4" s="22" t="s">
        <v>39</v>
      </c>
      <c r="AL4">
        <f t="shared" ca="1" si="8"/>
        <v>0</v>
      </c>
      <c r="AM4">
        <f t="shared" ca="1" si="8"/>
        <v>0</v>
      </c>
      <c r="AN4">
        <f t="shared" ca="1" si="8"/>
        <v>0</v>
      </c>
      <c r="AO4" t="e">
        <f t="shared" ca="1" si="9"/>
        <v>#DIV/0!</v>
      </c>
      <c r="AP4" t="e">
        <f t="shared" ca="1" si="10"/>
        <v>#DIV/0!</v>
      </c>
      <c r="AQ4" t="e">
        <f t="shared" ca="1" si="11"/>
        <v>#DIV/0!</v>
      </c>
      <c r="AR4">
        <v>40</v>
      </c>
      <c r="AS4">
        <v>60</v>
      </c>
      <c r="AT4">
        <v>75</v>
      </c>
      <c r="AU4">
        <f t="shared" ca="1" si="12"/>
        <v>0</v>
      </c>
      <c r="AV4">
        <f t="shared" ca="1" si="13"/>
        <v>0</v>
      </c>
    </row>
    <row r="5" spans="1:48">
      <c r="A5" s="60">
        <v>1</v>
      </c>
      <c r="B5" s="13" t="str">
        <f>ANALYSIS!B5</f>
        <v>Experience &amp; Loyalty</v>
      </c>
      <c r="C5" s="10">
        <f ca="1">'TESTING v1'!C5</f>
        <v>1.536E-2</v>
      </c>
      <c r="D5" s="10">
        <f ca="1">'TESTING v1'!D5</f>
        <v>0</v>
      </c>
      <c r="E5" s="10">
        <f ca="1">'TESTING v1'!E5</f>
        <v>0</v>
      </c>
      <c r="F5" s="10">
        <f ca="1">'TESTING v1'!F5</f>
        <v>0</v>
      </c>
      <c r="G5" s="10">
        <f ca="1">'TESTING v1'!G5</f>
        <v>0</v>
      </c>
      <c r="H5" s="10">
        <f ca="1">'TESTING v1'!H5</f>
        <v>0</v>
      </c>
      <c r="I5" s="10">
        <f ca="1">'TESTING v1'!I5</f>
        <v>0</v>
      </c>
      <c r="J5" s="10">
        <f ca="1">'TESTING v1'!J5</f>
        <v>0</v>
      </c>
      <c r="K5" s="10">
        <f ca="1">'TESTING v1'!K5</f>
        <v>0</v>
      </c>
      <c r="L5" s="10">
        <f ca="1">'TESTING v1'!L5</f>
        <v>0</v>
      </c>
      <c r="M5" s="10">
        <f ca="1">'TESTING v1'!M5</f>
        <v>0</v>
      </c>
      <c r="N5" s="10">
        <f ca="1">'TESTING v1'!N5</f>
        <v>0</v>
      </c>
      <c r="O5" s="10">
        <f ca="1">'TESTING v1'!O5</f>
        <v>0</v>
      </c>
      <c r="P5" s="10">
        <f ca="1">'TESTING v1'!P5</f>
        <v>0</v>
      </c>
      <c r="Q5" s="10">
        <f ca="1">'TESTING v1'!Q5</f>
        <v>0</v>
      </c>
      <c r="R5" s="10">
        <f ca="1">'TESTING v1'!R5</f>
        <v>0</v>
      </c>
      <c r="S5" s="10">
        <f ca="1">'TESTING v1'!S5</f>
        <v>0</v>
      </c>
      <c r="T5" s="10">
        <f ca="1">'TESTING v1'!T5</f>
        <v>0</v>
      </c>
      <c r="U5" s="10">
        <f ca="1">'TESTING v1'!U5</f>
        <v>0</v>
      </c>
      <c r="V5" s="10">
        <f ca="1">'TESTING v1'!V5</f>
        <v>0</v>
      </c>
      <c r="W5">
        <v>4</v>
      </c>
      <c r="X5" s="62">
        <f t="shared" ca="1" si="0"/>
        <v>0</v>
      </c>
      <c r="Y5" s="18">
        <f t="shared" ca="1" si="14"/>
        <v>1.536E-2</v>
      </c>
      <c r="Z5" s="19">
        <f t="shared" ca="1" si="1"/>
        <v>1.536E-2</v>
      </c>
      <c r="AA5" s="20">
        <f t="shared" ca="1" si="2"/>
        <v>1.536E-2</v>
      </c>
      <c r="AB5" s="10">
        <f t="shared" ca="1" si="3"/>
        <v>1.536E-2</v>
      </c>
      <c r="AC5" s="10">
        <f t="shared" ca="1" si="15"/>
        <v>1.536E-2</v>
      </c>
      <c r="AD5">
        <f t="shared" ca="1" si="4"/>
        <v>0</v>
      </c>
      <c r="AE5">
        <f t="shared" ca="1" si="5"/>
        <v>0</v>
      </c>
      <c r="AF5">
        <f t="shared" ca="1" si="6"/>
        <v>9</v>
      </c>
      <c r="AG5" s="21">
        <f t="shared" ca="1" si="16"/>
        <v>-1</v>
      </c>
      <c r="AH5">
        <f t="shared" ca="1" si="17"/>
        <v>-9</v>
      </c>
      <c r="AI5">
        <f t="shared" ca="1" si="18"/>
        <v>0</v>
      </c>
      <c r="AJ5">
        <f t="shared" ca="1" si="7"/>
        <v>0</v>
      </c>
      <c r="AK5" s="22" t="s">
        <v>40</v>
      </c>
      <c r="AL5">
        <f t="shared" ca="1" si="8"/>
        <v>2</v>
      </c>
      <c r="AM5">
        <f t="shared" ca="1" si="8"/>
        <v>2</v>
      </c>
      <c r="AN5">
        <f t="shared" ca="1" si="8"/>
        <v>2</v>
      </c>
      <c r="AO5">
        <f t="shared" ca="1" si="9"/>
        <v>-50</v>
      </c>
      <c r="AP5">
        <f t="shared" ca="1" si="10"/>
        <v>-50</v>
      </c>
      <c r="AQ5">
        <f t="shared" ca="1" si="11"/>
        <v>0</v>
      </c>
      <c r="AR5">
        <v>40</v>
      </c>
      <c r="AS5">
        <v>60</v>
      </c>
      <c r="AT5">
        <v>75</v>
      </c>
      <c r="AU5">
        <f t="shared" ca="1" si="12"/>
        <v>2</v>
      </c>
      <c r="AV5">
        <f t="shared" ca="1" si="13"/>
        <v>0</v>
      </c>
    </row>
    <row r="6" spans="1:48">
      <c r="A6" s="60">
        <v>1</v>
      </c>
      <c r="B6" s="13" t="s">
        <v>495</v>
      </c>
      <c r="C6" s="10">
        <f ca="1">'TESTING v1'!C11</f>
        <v>0</v>
      </c>
      <c r="D6" s="10">
        <f ca="1">'TESTING v1'!D11</f>
        <v>0</v>
      </c>
      <c r="E6" s="10">
        <f ca="1">'TESTING v1'!E11</f>
        <v>0</v>
      </c>
      <c r="F6" s="10">
        <f ca="1">'TESTING v1'!F11</f>
        <v>0</v>
      </c>
      <c r="G6" s="10">
        <f ca="1">'TESTING v1'!G11</f>
        <v>0</v>
      </c>
      <c r="H6" s="10">
        <f ca="1">'TESTING v1'!H11</f>
        <v>0</v>
      </c>
      <c r="I6" s="10">
        <f ca="1">'TESTING v1'!I11</f>
        <v>0</v>
      </c>
      <c r="J6" s="10">
        <f ca="1">'TESTING v1'!J11</f>
        <v>0</v>
      </c>
      <c r="K6" s="10">
        <f ca="1">'TESTING v1'!K11</f>
        <v>0</v>
      </c>
      <c r="L6" s="10">
        <f ca="1">'TESTING v1'!L11</f>
        <v>0</v>
      </c>
      <c r="M6" s="10">
        <f ca="1">'TESTING v1'!M11</f>
        <v>0</v>
      </c>
      <c r="N6" s="10">
        <f ca="1">'TESTING v1'!N11</f>
        <v>0</v>
      </c>
      <c r="O6" s="10">
        <f ca="1">'TESTING v1'!O11</f>
        <v>0</v>
      </c>
      <c r="P6" s="10">
        <f ca="1">'TESTING v1'!P11</f>
        <v>0</v>
      </c>
      <c r="Q6" s="10">
        <f ca="1">'TESTING v1'!Q11</f>
        <v>0</v>
      </c>
      <c r="R6" s="10">
        <f ca="1">'TESTING v1'!R11</f>
        <v>0</v>
      </c>
      <c r="S6" s="10">
        <f ca="1">'TESTING v1'!S11</f>
        <v>0</v>
      </c>
      <c r="T6" s="10">
        <f ca="1">'TESTING v1'!T11</f>
        <v>0</v>
      </c>
      <c r="U6" s="10">
        <f ca="1">'TESTING v1'!U11</f>
        <v>0</v>
      </c>
      <c r="V6" s="10">
        <f ca="1">'TESTING v1'!V11</f>
        <v>0</v>
      </c>
      <c r="W6">
        <v>5</v>
      </c>
      <c r="X6" s="62">
        <f t="shared" ca="1" si="0"/>
        <v>0</v>
      </c>
      <c r="Y6" s="18">
        <f t="shared" ca="1" si="14"/>
        <v>0</v>
      </c>
      <c r="Z6" s="19">
        <f t="shared" ca="1" si="1"/>
        <v>0</v>
      </c>
      <c r="AA6" s="20">
        <f t="shared" ca="1" si="2"/>
        <v>0</v>
      </c>
      <c r="AB6" s="10" t="e">
        <f t="shared" ca="1" si="3"/>
        <v>#DIV/0!</v>
      </c>
      <c r="AC6" s="10" t="e">
        <f t="shared" ca="1" si="15"/>
        <v>#DIV/0!</v>
      </c>
      <c r="AD6" t="e">
        <f t="shared" ca="1" si="4"/>
        <v>#DIV/0!</v>
      </c>
      <c r="AE6">
        <f t="shared" ca="1" si="5"/>
        <v>0</v>
      </c>
      <c r="AF6">
        <f t="shared" ca="1" si="6"/>
        <v>0</v>
      </c>
      <c r="AG6" s="21">
        <f t="shared" ca="1" si="16"/>
        <v>-1</v>
      </c>
      <c r="AH6">
        <f t="shared" ca="1" si="17"/>
        <v>0</v>
      </c>
      <c r="AI6">
        <f t="shared" ca="1" si="18"/>
        <v>0</v>
      </c>
      <c r="AJ6" t="e">
        <f t="shared" ca="1" si="7"/>
        <v>#DIV/0!</v>
      </c>
      <c r="AL6">
        <f t="shared" ca="1" si="8"/>
        <v>0</v>
      </c>
      <c r="AM6">
        <f t="shared" ca="1" si="8"/>
        <v>0</v>
      </c>
      <c r="AN6">
        <f t="shared" ca="1" si="8"/>
        <v>0</v>
      </c>
      <c r="AO6" t="e">
        <f t="shared" ca="1" si="9"/>
        <v>#DIV/0!</v>
      </c>
      <c r="AP6" t="e">
        <f t="shared" ca="1" si="10"/>
        <v>#DIV/0!</v>
      </c>
      <c r="AQ6" t="e">
        <f t="shared" ca="1" si="11"/>
        <v>#DIV/0!</v>
      </c>
      <c r="AR6">
        <v>40</v>
      </c>
      <c r="AS6">
        <v>60</v>
      </c>
      <c r="AT6">
        <v>75</v>
      </c>
      <c r="AU6">
        <f t="shared" ca="1" si="12"/>
        <v>0</v>
      </c>
      <c r="AV6">
        <f t="shared" ca="1" si="13"/>
        <v>0</v>
      </c>
    </row>
    <row r="7" spans="1:48">
      <c r="A7" s="60">
        <v>1</v>
      </c>
      <c r="B7" s="13" t="s">
        <v>82</v>
      </c>
      <c r="C7" s="10">
        <f ca="1">'TESTING v1'!C38</f>
        <v>0.25600000000000001</v>
      </c>
      <c r="D7" s="10">
        <f ca="1">'TESTING v1'!D38</f>
        <v>0</v>
      </c>
      <c r="E7" s="10">
        <f ca="1">'TESTING v1'!E38</f>
        <v>0</v>
      </c>
      <c r="F7" s="10">
        <f ca="1">'TESTING v1'!F38</f>
        <v>0</v>
      </c>
      <c r="G7" s="10">
        <f ca="1">'TESTING v1'!G38</f>
        <v>0</v>
      </c>
      <c r="H7" s="10">
        <f ca="1">'TESTING v1'!H38</f>
        <v>0</v>
      </c>
      <c r="I7" s="10">
        <f ca="1">'TESTING v1'!I38</f>
        <v>0</v>
      </c>
      <c r="J7" s="10">
        <f ca="1">'TESTING v1'!J38</f>
        <v>0</v>
      </c>
      <c r="K7" s="10">
        <f ca="1">'TESTING v1'!K38</f>
        <v>0</v>
      </c>
      <c r="L7" s="10">
        <f ca="1">'TESTING v1'!L38</f>
        <v>0</v>
      </c>
      <c r="M7" s="10">
        <f ca="1">'TESTING v1'!M38</f>
        <v>0</v>
      </c>
      <c r="N7" s="10">
        <f ca="1">'TESTING v1'!N38</f>
        <v>0</v>
      </c>
      <c r="O7" s="10">
        <f ca="1">'TESTING v1'!O38</f>
        <v>0</v>
      </c>
      <c r="P7" s="10">
        <f ca="1">'TESTING v1'!P38</f>
        <v>0</v>
      </c>
      <c r="Q7" s="10">
        <f ca="1">'TESTING v1'!Q38</f>
        <v>0</v>
      </c>
      <c r="R7" s="10">
        <f ca="1">'TESTING v1'!R38</f>
        <v>0</v>
      </c>
      <c r="S7" s="10">
        <f ca="1">'TESTING v1'!S38</f>
        <v>0</v>
      </c>
      <c r="T7" s="10">
        <f ca="1">'TESTING v1'!T38</f>
        <v>0</v>
      </c>
      <c r="U7" s="10">
        <f ca="1">'TESTING v1'!U38</f>
        <v>0</v>
      </c>
      <c r="V7" s="10">
        <f ca="1">'TESTING v1'!V38</f>
        <v>0</v>
      </c>
      <c r="W7">
        <v>6</v>
      </c>
      <c r="X7" s="62">
        <f t="shared" ca="1" si="0"/>
        <v>0</v>
      </c>
      <c r="Y7" s="18">
        <f t="shared" ca="1" si="14"/>
        <v>0.25600000000000001</v>
      </c>
      <c r="Z7" s="19">
        <f t="shared" ca="1" si="1"/>
        <v>0.25600000000000001</v>
      </c>
      <c r="AA7" s="20">
        <f t="shared" ca="1" si="2"/>
        <v>0.25600000000000001</v>
      </c>
      <c r="AB7" s="10">
        <f t="shared" ca="1" si="3"/>
        <v>0.25600000000000001</v>
      </c>
      <c r="AC7" s="10">
        <f t="shared" ca="1" si="15"/>
        <v>0.25600000000000001</v>
      </c>
      <c r="AD7">
        <f t="shared" ca="1" si="4"/>
        <v>0</v>
      </c>
      <c r="AE7">
        <f t="shared" ca="1" si="5"/>
        <v>0</v>
      </c>
      <c r="AF7">
        <f t="shared" ca="1" si="6"/>
        <v>9</v>
      </c>
      <c r="AG7" s="21">
        <f t="shared" ca="1" si="16"/>
        <v>-1</v>
      </c>
      <c r="AH7">
        <f t="shared" ca="1" si="17"/>
        <v>-9</v>
      </c>
      <c r="AI7">
        <f t="shared" ca="1" si="18"/>
        <v>0</v>
      </c>
      <c r="AJ7">
        <f t="shared" ca="1" si="7"/>
        <v>0</v>
      </c>
      <c r="AK7" s="22"/>
      <c r="AL7">
        <f t="shared" ca="1" si="8"/>
        <v>26</v>
      </c>
      <c r="AM7">
        <f t="shared" ca="1" si="8"/>
        <v>26</v>
      </c>
      <c r="AN7">
        <f t="shared" ca="1" si="8"/>
        <v>26</v>
      </c>
      <c r="AO7">
        <f t="shared" ca="1" si="9"/>
        <v>-50</v>
      </c>
      <c r="AP7">
        <f t="shared" ca="1" si="10"/>
        <v>-50</v>
      </c>
      <c r="AQ7">
        <f t="shared" ca="1" si="11"/>
        <v>0</v>
      </c>
      <c r="AR7">
        <v>40</v>
      </c>
      <c r="AS7">
        <v>60</v>
      </c>
      <c r="AT7">
        <v>75</v>
      </c>
      <c r="AU7">
        <f t="shared" ca="1" si="12"/>
        <v>26</v>
      </c>
      <c r="AV7">
        <f t="shared" ca="1" si="13"/>
        <v>0</v>
      </c>
    </row>
    <row r="8" spans="1:48">
      <c r="A8" s="60">
        <v>1</v>
      </c>
      <c r="B8" s="13" t="s">
        <v>65</v>
      </c>
      <c r="C8" s="10">
        <f ca="1">'TESTING v1'!C58</f>
        <v>0</v>
      </c>
      <c r="D8" s="10">
        <f ca="1">'TESTING v1'!D58</f>
        <v>0</v>
      </c>
      <c r="E8" s="10">
        <f ca="1">'TESTING v1'!E58</f>
        <v>0</v>
      </c>
      <c r="F8" s="10">
        <f ca="1">'TESTING v1'!F58</f>
        <v>0</v>
      </c>
      <c r="G8" s="10">
        <f ca="1">'TESTING v1'!G58</f>
        <v>0</v>
      </c>
      <c r="H8" s="10">
        <f ca="1">'TESTING v1'!H58</f>
        <v>0</v>
      </c>
      <c r="I8" s="10">
        <f ca="1">'TESTING v1'!I58</f>
        <v>0</v>
      </c>
      <c r="J8" s="10">
        <f ca="1">'TESTING v1'!J58</f>
        <v>0</v>
      </c>
      <c r="K8" s="10">
        <f ca="1">'TESTING v1'!K58</f>
        <v>0</v>
      </c>
      <c r="L8" s="10">
        <f ca="1">'TESTING v1'!L58</f>
        <v>0</v>
      </c>
      <c r="M8" s="10">
        <f ca="1">'TESTING v1'!M58</f>
        <v>0</v>
      </c>
      <c r="N8" s="10">
        <f ca="1">'TESTING v1'!N58</f>
        <v>0</v>
      </c>
      <c r="O8" s="10">
        <f ca="1">'TESTING v1'!O58</f>
        <v>0</v>
      </c>
      <c r="P8" s="10">
        <f ca="1">'TESTING v1'!P58</f>
        <v>0</v>
      </c>
      <c r="Q8" s="10">
        <f ca="1">'TESTING v1'!Q58</f>
        <v>0</v>
      </c>
      <c r="R8" s="10">
        <f ca="1">'TESTING v1'!R58</f>
        <v>0</v>
      </c>
      <c r="S8" s="10">
        <f ca="1">'TESTING v1'!S58</f>
        <v>0</v>
      </c>
      <c r="T8" s="10">
        <f ca="1">'TESTING v1'!T58</f>
        <v>0</v>
      </c>
      <c r="U8" s="10">
        <f ca="1">'TESTING v1'!U58</f>
        <v>0</v>
      </c>
      <c r="V8" s="10">
        <f ca="1">'TESTING v1'!V58</f>
        <v>0</v>
      </c>
      <c r="W8">
        <v>7</v>
      </c>
      <c r="X8" s="62">
        <f t="shared" ca="1" si="0"/>
        <v>0</v>
      </c>
      <c r="Y8" s="18">
        <f t="shared" ca="1" si="14"/>
        <v>0</v>
      </c>
      <c r="Z8" s="19">
        <f t="shared" ca="1" si="1"/>
        <v>0</v>
      </c>
      <c r="AA8" s="20">
        <f t="shared" ca="1" si="2"/>
        <v>0</v>
      </c>
      <c r="AB8" s="10" t="e">
        <f t="shared" ca="1" si="3"/>
        <v>#DIV/0!</v>
      </c>
      <c r="AC8" s="10" t="e">
        <f t="shared" ca="1" si="15"/>
        <v>#DIV/0!</v>
      </c>
      <c r="AD8" t="e">
        <f t="shared" ca="1" si="4"/>
        <v>#DIV/0!</v>
      </c>
      <c r="AE8">
        <f t="shared" ca="1" si="5"/>
        <v>0</v>
      </c>
      <c r="AF8">
        <f t="shared" ca="1" si="6"/>
        <v>0</v>
      </c>
      <c r="AG8" s="21">
        <f t="shared" ca="1" si="16"/>
        <v>-1</v>
      </c>
      <c r="AH8">
        <f t="shared" ca="1" si="17"/>
        <v>0</v>
      </c>
      <c r="AI8">
        <f t="shared" ca="1" si="18"/>
        <v>0</v>
      </c>
      <c r="AJ8" t="e">
        <f t="shared" ca="1" si="7"/>
        <v>#DIV/0!</v>
      </c>
      <c r="AK8" s="22"/>
      <c r="AL8">
        <f t="shared" ca="1" si="8"/>
        <v>0</v>
      </c>
      <c r="AM8">
        <f t="shared" ca="1" si="8"/>
        <v>0</v>
      </c>
      <c r="AN8">
        <f t="shared" ca="1" si="8"/>
        <v>0</v>
      </c>
      <c r="AO8" t="e">
        <f t="shared" ca="1" si="9"/>
        <v>#DIV/0!</v>
      </c>
      <c r="AP8" t="e">
        <f t="shared" ca="1" si="10"/>
        <v>#DIV/0!</v>
      </c>
      <c r="AQ8" t="e">
        <f t="shared" ca="1" si="11"/>
        <v>#DIV/0!</v>
      </c>
      <c r="AR8">
        <v>40</v>
      </c>
      <c r="AS8">
        <v>60</v>
      </c>
      <c r="AT8">
        <v>75</v>
      </c>
      <c r="AU8">
        <f t="shared" ca="1" si="12"/>
        <v>0</v>
      </c>
      <c r="AV8">
        <f t="shared" ca="1" si="13"/>
        <v>0</v>
      </c>
    </row>
    <row r="9" spans="1:48">
      <c r="A9" s="60">
        <v>1</v>
      </c>
      <c r="B9" s="13" t="s">
        <v>83</v>
      </c>
      <c r="C9" s="10">
        <f ca="1">'TESTING v1'!C72</f>
        <v>0</v>
      </c>
      <c r="D9" s="10">
        <f ca="1">'TESTING v1'!D72</f>
        <v>0</v>
      </c>
      <c r="E9" s="10">
        <f ca="1">'TESTING v1'!E72</f>
        <v>0</v>
      </c>
      <c r="F9" s="10">
        <f ca="1">'TESTING v1'!F72</f>
        <v>0</v>
      </c>
      <c r="G9" s="10">
        <f ca="1">'TESTING v1'!G72</f>
        <v>0</v>
      </c>
      <c r="H9" s="10">
        <f ca="1">'TESTING v1'!H72</f>
        <v>0</v>
      </c>
      <c r="I9" s="10">
        <f ca="1">'TESTING v1'!I72</f>
        <v>0</v>
      </c>
      <c r="J9" s="10">
        <f ca="1">'TESTING v1'!J72</f>
        <v>0</v>
      </c>
      <c r="K9" s="10">
        <f ca="1">'TESTING v1'!K72</f>
        <v>0</v>
      </c>
      <c r="L9" s="10">
        <f ca="1">'TESTING v1'!L72</f>
        <v>0</v>
      </c>
      <c r="M9" s="10">
        <f ca="1">'TESTING v1'!M72</f>
        <v>0</v>
      </c>
      <c r="N9" s="10">
        <f ca="1">'TESTING v1'!N72</f>
        <v>0</v>
      </c>
      <c r="O9" s="10">
        <f ca="1">'TESTING v1'!O72</f>
        <v>0</v>
      </c>
      <c r="P9" s="10">
        <f ca="1">'TESTING v1'!P72</f>
        <v>0</v>
      </c>
      <c r="Q9" s="10">
        <f ca="1">'TESTING v1'!Q72</f>
        <v>0</v>
      </c>
      <c r="R9" s="10">
        <f ca="1">'TESTING v1'!R72</f>
        <v>0</v>
      </c>
      <c r="S9" s="10">
        <f ca="1">'TESTING v1'!S72</f>
        <v>0</v>
      </c>
      <c r="T9" s="10">
        <f ca="1">'TESTING v1'!T72</f>
        <v>0</v>
      </c>
      <c r="U9" s="10">
        <f ca="1">'TESTING v1'!U72</f>
        <v>0</v>
      </c>
      <c r="V9" s="10">
        <f ca="1">'TESTING v1'!V72</f>
        <v>0</v>
      </c>
      <c r="W9">
        <v>8</v>
      </c>
      <c r="X9" s="62">
        <f t="shared" ca="1" si="0"/>
        <v>0</v>
      </c>
      <c r="Y9" s="18">
        <f t="shared" ca="1" si="14"/>
        <v>0</v>
      </c>
      <c r="Z9" s="19">
        <f t="shared" ca="1" si="1"/>
        <v>0</v>
      </c>
      <c r="AA9" s="20">
        <f t="shared" ca="1" si="2"/>
        <v>0</v>
      </c>
      <c r="AB9" s="10" t="e">
        <f t="shared" ca="1" si="3"/>
        <v>#DIV/0!</v>
      </c>
      <c r="AC9" s="10" t="e">
        <f t="shared" ca="1" si="15"/>
        <v>#DIV/0!</v>
      </c>
      <c r="AD9" t="e">
        <f t="shared" ca="1" si="4"/>
        <v>#DIV/0!</v>
      </c>
      <c r="AE9">
        <f t="shared" ca="1" si="5"/>
        <v>0</v>
      </c>
      <c r="AF9">
        <f t="shared" ca="1" si="6"/>
        <v>0</v>
      </c>
      <c r="AG9" s="21">
        <f t="shared" ca="1" si="16"/>
        <v>-1</v>
      </c>
      <c r="AH9">
        <f t="shared" ca="1" si="17"/>
        <v>0</v>
      </c>
      <c r="AI9">
        <f t="shared" ca="1" si="18"/>
        <v>0</v>
      </c>
      <c r="AJ9" t="e">
        <f t="shared" ca="1" si="7"/>
        <v>#DIV/0!</v>
      </c>
      <c r="AK9" s="22" t="s">
        <v>41</v>
      </c>
      <c r="AL9">
        <f t="shared" ca="1" si="8"/>
        <v>0</v>
      </c>
      <c r="AM9">
        <f t="shared" ca="1" si="8"/>
        <v>0</v>
      </c>
      <c r="AN9">
        <f t="shared" ca="1" si="8"/>
        <v>0</v>
      </c>
      <c r="AO9" t="e">
        <f t="shared" ca="1" si="9"/>
        <v>#DIV/0!</v>
      </c>
      <c r="AP9" t="e">
        <f t="shared" ca="1" si="10"/>
        <v>#DIV/0!</v>
      </c>
      <c r="AQ9" t="e">
        <f t="shared" ca="1" si="11"/>
        <v>#DIV/0!</v>
      </c>
      <c r="AR9">
        <v>40</v>
      </c>
      <c r="AS9">
        <v>60</v>
      </c>
      <c r="AT9">
        <v>75</v>
      </c>
      <c r="AU9">
        <f t="shared" ca="1" si="12"/>
        <v>0</v>
      </c>
      <c r="AV9">
        <f t="shared" ca="1" si="13"/>
        <v>0</v>
      </c>
    </row>
    <row r="10" spans="1:48">
      <c r="A10" s="60">
        <v>1</v>
      </c>
      <c r="B10" s="13" t="s">
        <v>68</v>
      </c>
      <c r="C10" s="10">
        <f ca="1">'TESTING v1'!C107</f>
        <v>0</v>
      </c>
      <c r="D10" s="10">
        <f ca="1">'TESTING v1'!D107</f>
        <v>0</v>
      </c>
      <c r="E10" s="10">
        <f ca="1">'TESTING v1'!E107</f>
        <v>0</v>
      </c>
      <c r="F10" s="10">
        <f ca="1">'TESTING v1'!F107</f>
        <v>0</v>
      </c>
      <c r="G10" s="10">
        <f ca="1">'TESTING v1'!G107</f>
        <v>0</v>
      </c>
      <c r="H10" s="10">
        <f ca="1">'TESTING v1'!H107</f>
        <v>0</v>
      </c>
      <c r="I10" s="10">
        <f ca="1">'TESTING v1'!I107</f>
        <v>0</v>
      </c>
      <c r="J10" s="10">
        <f ca="1">'TESTING v1'!J107</f>
        <v>0</v>
      </c>
      <c r="K10" s="10">
        <f ca="1">'TESTING v1'!K107</f>
        <v>0</v>
      </c>
      <c r="L10" s="10">
        <f ca="1">'TESTING v1'!L107</f>
        <v>0</v>
      </c>
      <c r="M10" s="10">
        <f ca="1">'TESTING v1'!M107</f>
        <v>0</v>
      </c>
      <c r="N10" s="10">
        <f ca="1">'TESTING v1'!N107</f>
        <v>0</v>
      </c>
      <c r="O10" s="10">
        <f ca="1">'TESTING v1'!O107</f>
        <v>0</v>
      </c>
      <c r="P10" s="10">
        <f ca="1">'TESTING v1'!P107</f>
        <v>0</v>
      </c>
      <c r="Q10" s="10">
        <f ca="1">'TESTING v1'!Q107</f>
        <v>0</v>
      </c>
      <c r="R10" s="10">
        <f ca="1">'TESTING v1'!R107</f>
        <v>0</v>
      </c>
      <c r="S10" s="10">
        <f ca="1">'TESTING v1'!S107</f>
        <v>0</v>
      </c>
      <c r="T10" s="10">
        <f ca="1">'TESTING v1'!T107</f>
        <v>0</v>
      </c>
      <c r="U10" s="10">
        <f ca="1">'TESTING v1'!U107</f>
        <v>0</v>
      </c>
      <c r="V10" s="10">
        <f ca="1">'TESTING v1'!V107</f>
        <v>0</v>
      </c>
      <c r="W10">
        <v>9</v>
      </c>
      <c r="X10" s="62">
        <f t="shared" ca="1" si="0"/>
        <v>0</v>
      </c>
      <c r="Y10" s="18">
        <f t="shared" ca="1" si="14"/>
        <v>0</v>
      </c>
      <c r="Z10" s="19">
        <f t="shared" ca="1" si="1"/>
        <v>0</v>
      </c>
      <c r="AA10" s="20">
        <f t="shared" ca="1" si="2"/>
        <v>0</v>
      </c>
      <c r="AB10" s="10" t="e">
        <f t="shared" ca="1" si="3"/>
        <v>#DIV/0!</v>
      </c>
      <c r="AC10" s="10" t="e">
        <f t="shared" ca="1" si="15"/>
        <v>#DIV/0!</v>
      </c>
      <c r="AD10" t="e">
        <f t="shared" ca="1" si="4"/>
        <v>#DIV/0!</v>
      </c>
      <c r="AE10">
        <f t="shared" ca="1" si="5"/>
        <v>0</v>
      </c>
      <c r="AF10">
        <f t="shared" ca="1" si="6"/>
        <v>0</v>
      </c>
      <c r="AG10" s="21">
        <f t="shared" ca="1" si="16"/>
        <v>-1</v>
      </c>
      <c r="AH10">
        <f t="shared" ca="1" si="17"/>
        <v>0</v>
      </c>
      <c r="AI10">
        <f t="shared" ca="1" si="18"/>
        <v>0</v>
      </c>
      <c r="AJ10" t="e">
        <f t="shared" ca="1" si="7"/>
        <v>#DIV/0!</v>
      </c>
      <c r="AK10" s="22" t="s">
        <v>42</v>
      </c>
      <c r="AL10">
        <f t="shared" ca="1" si="8"/>
        <v>0</v>
      </c>
      <c r="AM10">
        <f t="shared" ca="1" si="8"/>
        <v>0</v>
      </c>
      <c r="AN10">
        <f t="shared" ca="1" si="8"/>
        <v>0</v>
      </c>
      <c r="AO10" t="e">
        <f t="shared" ca="1" si="9"/>
        <v>#DIV/0!</v>
      </c>
      <c r="AP10" t="e">
        <f t="shared" ca="1" si="10"/>
        <v>#DIV/0!</v>
      </c>
      <c r="AQ10" t="e">
        <f t="shared" ca="1" si="11"/>
        <v>#DIV/0!</v>
      </c>
      <c r="AR10">
        <v>40</v>
      </c>
      <c r="AS10">
        <v>60</v>
      </c>
      <c r="AT10">
        <v>75</v>
      </c>
      <c r="AU10">
        <f t="shared" ca="1" si="12"/>
        <v>0</v>
      </c>
      <c r="AV10">
        <f t="shared" ca="1" si="13"/>
        <v>0</v>
      </c>
    </row>
    <row r="11" spans="1:48">
      <c r="A11" s="60">
        <f>'TESTING v1'!AN2</f>
        <v>0</v>
      </c>
      <c r="B11" s="13" t="s">
        <v>506</v>
      </c>
      <c r="C11" s="45">
        <f ca="1">'TESTING v1'!C89</f>
        <v>0</v>
      </c>
      <c r="D11" s="45">
        <f ca="1">'TESTING v1'!D89</f>
        <v>0</v>
      </c>
      <c r="E11" s="45">
        <f ca="1">'TESTING v1'!E89</f>
        <v>0</v>
      </c>
      <c r="F11" s="45">
        <f ca="1">'TESTING v1'!F89</f>
        <v>0</v>
      </c>
      <c r="G11" s="45">
        <f ca="1">'TESTING v1'!G89</f>
        <v>0</v>
      </c>
      <c r="H11" s="45">
        <f ca="1">'TESTING v1'!H89</f>
        <v>0</v>
      </c>
      <c r="I11" s="45">
        <f ca="1">'TESTING v1'!I89</f>
        <v>0</v>
      </c>
      <c r="J11" s="45">
        <f ca="1">'TESTING v1'!J89</f>
        <v>0</v>
      </c>
      <c r="K11" s="45">
        <f ca="1">'TESTING v1'!K89</f>
        <v>0</v>
      </c>
      <c r="L11" s="45">
        <f ca="1">'TESTING v1'!L89</f>
        <v>0</v>
      </c>
      <c r="M11" s="45">
        <f ca="1">'TESTING v1'!M89</f>
        <v>0</v>
      </c>
      <c r="N11" s="45">
        <f ca="1">'TESTING v1'!N89</f>
        <v>0</v>
      </c>
      <c r="O11" s="45">
        <f ca="1">'TESTING v1'!O89</f>
        <v>0</v>
      </c>
      <c r="P11" s="45">
        <f ca="1">'TESTING v1'!P89</f>
        <v>0</v>
      </c>
      <c r="Q11" s="45">
        <f ca="1">'TESTING v1'!Q89</f>
        <v>0</v>
      </c>
      <c r="R11" s="45">
        <f ca="1">'TESTING v1'!R89</f>
        <v>0</v>
      </c>
      <c r="S11" s="45">
        <f ca="1">'TESTING v1'!S89</f>
        <v>0</v>
      </c>
      <c r="T11" s="45">
        <f ca="1">'TESTING v1'!T89</f>
        <v>0</v>
      </c>
      <c r="U11" s="45">
        <f ca="1">'TESTING v1'!U89</f>
        <v>0</v>
      </c>
      <c r="V11" s="45">
        <f ca="1">'TESTING v1'!V89</f>
        <v>0</v>
      </c>
      <c r="W11">
        <v>10</v>
      </c>
      <c r="X11" s="62">
        <f t="shared" ca="1" si="0"/>
        <v>0</v>
      </c>
      <c r="Y11" s="18">
        <f t="shared" ca="1" si="14"/>
        <v>0</v>
      </c>
      <c r="Z11" s="19">
        <f t="shared" ca="1" si="1"/>
        <v>0</v>
      </c>
      <c r="AA11" s="20">
        <f t="shared" ca="1" si="2"/>
        <v>0</v>
      </c>
      <c r="AB11" s="10" t="e">
        <f t="shared" ca="1" si="3"/>
        <v>#DIV/0!</v>
      </c>
      <c r="AC11" s="10" t="e">
        <f t="shared" ca="1" si="15"/>
        <v>#DIV/0!</v>
      </c>
      <c r="AD11" t="e">
        <f t="shared" ca="1" si="4"/>
        <v>#DIV/0!</v>
      </c>
      <c r="AE11">
        <f t="shared" ca="1" si="5"/>
        <v>0</v>
      </c>
      <c r="AF11">
        <f t="shared" ca="1" si="6"/>
        <v>0</v>
      </c>
      <c r="AG11" s="21">
        <f t="shared" ca="1" si="16"/>
        <v>-1</v>
      </c>
      <c r="AH11">
        <f t="shared" ca="1" si="17"/>
        <v>0</v>
      </c>
      <c r="AI11">
        <f t="shared" ca="1" si="18"/>
        <v>0</v>
      </c>
      <c r="AJ11" t="e">
        <f t="shared" ca="1" si="7"/>
        <v>#DIV/0!</v>
      </c>
      <c r="AL11">
        <f t="shared" ca="1" si="8"/>
        <v>0</v>
      </c>
      <c r="AM11">
        <f t="shared" ca="1" si="8"/>
        <v>0</v>
      </c>
      <c r="AN11">
        <f t="shared" ca="1" si="8"/>
        <v>0</v>
      </c>
      <c r="AO11" t="e">
        <f t="shared" ca="1" si="9"/>
        <v>#DIV/0!</v>
      </c>
      <c r="AP11" t="e">
        <f t="shared" ca="1" si="10"/>
        <v>#DIV/0!</v>
      </c>
      <c r="AQ11" t="e">
        <f t="shared" ca="1" si="11"/>
        <v>#DIV/0!</v>
      </c>
      <c r="AR11">
        <v>40</v>
      </c>
      <c r="AS11">
        <v>60</v>
      </c>
      <c r="AT11">
        <v>75</v>
      </c>
      <c r="AU11">
        <f t="shared" ca="1" si="12"/>
        <v>0</v>
      </c>
      <c r="AV11">
        <f t="shared" ca="1" si="13"/>
        <v>0</v>
      </c>
    </row>
    <row r="12" spans="1:48">
      <c r="A12" s="60">
        <v>1</v>
      </c>
      <c r="B12" s="13" t="s">
        <v>69</v>
      </c>
      <c r="C12" s="45">
        <f ca="1">'TESTING v1'!C128</f>
        <v>0</v>
      </c>
      <c r="D12" s="45">
        <f ca="1">'TESTING v1'!D128</f>
        <v>0</v>
      </c>
      <c r="E12" s="45">
        <f ca="1">'TESTING v1'!E128</f>
        <v>0</v>
      </c>
      <c r="F12" s="45">
        <f ca="1">'TESTING v1'!F128</f>
        <v>0</v>
      </c>
      <c r="G12" s="45">
        <f ca="1">'TESTING v1'!G128</f>
        <v>0</v>
      </c>
      <c r="H12" s="45">
        <f ca="1">'TESTING v1'!H128</f>
        <v>0</v>
      </c>
      <c r="I12" s="45">
        <f ca="1">'TESTING v1'!I128</f>
        <v>0</v>
      </c>
      <c r="J12" s="45">
        <f ca="1">'TESTING v1'!J128</f>
        <v>0</v>
      </c>
      <c r="K12" s="45">
        <f ca="1">'TESTING v1'!K128</f>
        <v>0</v>
      </c>
      <c r="L12" s="45">
        <f ca="1">'TESTING v1'!L128</f>
        <v>0</v>
      </c>
      <c r="M12" s="45">
        <f ca="1">'TESTING v1'!M128</f>
        <v>0</v>
      </c>
      <c r="N12" s="45">
        <f ca="1">'TESTING v1'!N128</f>
        <v>0</v>
      </c>
      <c r="O12" s="45">
        <f ca="1">'TESTING v1'!O128</f>
        <v>0</v>
      </c>
      <c r="P12" s="45">
        <f ca="1">'TESTING v1'!P128</f>
        <v>0</v>
      </c>
      <c r="Q12" s="45">
        <f ca="1">'TESTING v1'!Q128</f>
        <v>0</v>
      </c>
      <c r="R12" s="45">
        <f ca="1">'TESTING v1'!R128</f>
        <v>0</v>
      </c>
      <c r="S12" s="45">
        <f ca="1">'TESTING v1'!S128</f>
        <v>0</v>
      </c>
      <c r="T12" s="45">
        <f ca="1">'TESTING v1'!T128</f>
        <v>0</v>
      </c>
      <c r="U12" s="45">
        <f ca="1">'TESTING v1'!U128</f>
        <v>0</v>
      </c>
      <c r="V12" s="45">
        <f ca="1">'TESTING v1'!V128</f>
        <v>0</v>
      </c>
      <c r="W12">
        <v>11</v>
      </c>
      <c r="X12" s="62">
        <f t="shared" ca="1" si="0"/>
        <v>0</v>
      </c>
      <c r="Y12" s="18">
        <f t="shared" ca="1" si="14"/>
        <v>0</v>
      </c>
      <c r="Z12" s="19">
        <f t="shared" ca="1" si="1"/>
        <v>0</v>
      </c>
      <c r="AA12" s="20">
        <f t="shared" ca="1" si="2"/>
        <v>0</v>
      </c>
      <c r="AB12" s="10" t="e">
        <f t="shared" ca="1" si="3"/>
        <v>#DIV/0!</v>
      </c>
      <c r="AC12" s="10" t="e">
        <f t="shared" ca="1" si="15"/>
        <v>#DIV/0!</v>
      </c>
      <c r="AD12" t="e">
        <f t="shared" ca="1" si="4"/>
        <v>#DIV/0!</v>
      </c>
      <c r="AE12">
        <f t="shared" ca="1" si="5"/>
        <v>0</v>
      </c>
      <c r="AF12">
        <f t="shared" ca="1" si="6"/>
        <v>0</v>
      </c>
      <c r="AG12" s="21">
        <f t="shared" ca="1" si="16"/>
        <v>-1</v>
      </c>
      <c r="AH12">
        <f t="shared" ca="1" si="17"/>
        <v>0</v>
      </c>
      <c r="AI12">
        <f t="shared" ca="1" si="18"/>
        <v>0</v>
      </c>
      <c r="AJ12" t="e">
        <f t="shared" ca="1" si="7"/>
        <v>#DIV/0!</v>
      </c>
      <c r="AL12">
        <f t="shared" ca="1" si="8"/>
        <v>0</v>
      </c>
      <c r="AM12">
        <f t="shared" ca="1" si="8"/>
        <v>0</v>
      </c>
      <c r="AN12">
        <f t="shared" ca="1" si="8"/>
        <v>0</v>
      </c>
      <c r="AO12" t="e">
        <f t="shared" ca="1" si="9"/>
        <v>#DIV/0!</v>
      </c>
      <c r="AP12" t="e">
        <f t="shared" ca="1" si="10"/>
        <v>#DIV/0!</v>
      </c>
      <c r="AQ12" t="e">
        <f t="shared" ca="1" si="11"/>
        <v>#DIV/0!</v>
      </c>
      <c r="AR12">
        <v>40</v>
      </c>
      <c r="AS12">
        <v>60</v>
      </c>
      <c r="AT12">
        <v>75</v>
      </c>
      <c r="AU12">
        <f t="shared" ca="1" si="12"/>
        <v>0</v>
      </c>
      <c r="AV12">
        <f t="shared" ca="1" si="13"/>
        <v>0</v>
      </c>
    </row>
    <row r="13" spans="1:48">
      <c r="A13" s="60">
        <f>'TESTING v1'!AN3</f>
        <v>0</v>
      </c>
      <c r="B13" s="13" t="s">
        <v>538</v>
      </c>
      <c r="C13" s="45">
        <f ca="1">'TESTING v1'!C152</f>
        <v>0</v>
      </c>
      <c r="D13" s="45">
        <f ca="1">'TESTING v1'!D152</f>
        <v>0</v>
      </c>
      <c r="E13" s="45">
        <f ca="1">'TESTING v1'!E152</f>
        <v>0</v>
      </c>
      <c r="F13" s="45">
        <f ca="1">'TESTING v1'!F152</f>
        <v>0</v>
      </c>
      <c r="G13" s="45">
        <f ca="1">'TESTING v1'!G152</f>
        <v>0</v>
      </c>
      <c r="H13" s="45">
        <f ca="1">'TESTING v1'!H152</f>
        <v>0</v>
      </c>
      <c r="I13" s="45">
        <f ca="1">'TESTING v1'!I152</f>
        <v>0</v>
      </c>
      <c r="J13" s="45">
        <f ca="1">'TESTING v1'!J152</f>
        <v>0</v>
      </c>
      <c r="K13" s="45">
        <f ca="1">'TESTING v1'!K152</f>
        <v>0</v>
      </c>
      <c r="L13" s="45">
        <f ca="1">'TESTING v1'!L152</f>
        <v>0</v>
      </c>
      <c r="M13" s="45">
        <f ca="1">'TESTING v1'!M152</f>
        <v>0</v>
      </c>
      <c r="N13" s="45">
        <f ca="1">'TESTING v1'!N152</f>
        <v>0</v>
      </c>
      <c r="O13" s="45">
        <f ca="1">'TESTING v1'!O152</f>
        <v>0</v>
      </c>
      <c r="P13" s="45">
        <f ca="1">'TESTING v1'!P152</f>
        <v>0</v>
      </c>
      <c r="Q13" s="45">
        <f ca="1">'TESTING v1'!Q152</f>
        <v>0</v>
      </c>
      <c r="R13" s="45">
        <f ca="1">'TESTING v1'!R152</f>
        <v>0</v>
      </c>
      <c r="S13" s="45">
        <f ca="1">'TESTING v1'!S152</f>
        <v>0</v>
      </c>
      <c r="T13" s="45">
        <f ca="1">'TESTING v1'!T152</f>
        <v>0</v>
      </c>
      <c r="U13" s="45">
        <f ca="1">'TESTING v1'!U152</f>
        <v>0</v>
      </c>
      <c r="V13" s="45">
        <f ca="1">'TESTING v1'!V152</f>
        <v>0</v>
      </c>
      <c r="W13">
        <v>12</v>
      </c>
      <c r="X13" s="62">
        <f t="shared" ca="1" si="0"/>
        <v>0</v>
      </c>
      <c r="Y13" s="18">
        <f t="shared" ca="1" si="14"/>
        <v>0</v>
      </c>
      <c r="Z13" s="19">
        <f t="shared" ca="1" si="1"/>
        <v>0</v>
      </c>
      <c r="AA13" s="20">
        <f t="shared" ca="1" si="2"/>
        <v>0</v>
      </c>
      <c r="AB13" s="10" t="e">
        <f t="shared" ca="1" si="3"/>
        <v>#DIV/0!</v>
      </c>
      <c r="AC13" s="10" t="e">
        <f t="shared" ca="1" si="15"/>
        <v>#DIV/0!</v>
      </c>
      <c r="AD13" t="e">
        <f t="shared" ca="1" si="4"/>
        <v>#DIV/0!</v>
      </c>
      <c r="AE13">
        <f ca="1">IF(Z13&gt;=0.6,1,0)</f>
        <v>0</v>
      </c>
      <c r="AF13">
        <f t="shared" ca="1" si="6"/>
        <v>0</v>
      </c>
      <c r="AG13" s="21">
        <f t="shared" ca="1" si="16"/>
        <v>-1</v>
      </c>
      <c r="AH13">
        <f t="shared" ca="1" si="17"/>
        <v>0</v>
      </c>
      <c r="AI13">
        <f t="shared" ca="1" si="18"/>
        <v>0</v>
      </c>
      <c r="AJ13" t="e">
        <f t="shared" ca="1" si="7"/>
        <v>#DIV/0!</v>
      </c>
      <c r="AL13">
        <f t="shared" ca="1" si="8"/>
        <v>0</v>
      </c>
      <c r="AM13">
        <f t="shared" ca="1" si="8"/>
        <v>0</v>
      </c>
      <c r="AN13">
        <f t="shared" ca="1" si="8"/>
        <v>0</v>
      </c>
      <c r="AO13" t="e">
        <f t="shared" ca="1" si="9"/>
        <v>#DIV/0!</v>
      </c>
      <c r="AP13" t="e">
        <f t="shared" ca="1" si="10"/>
        <v>#DIV/0!</v>
      </c>
      <c r="AQ13" t="e">
        <f t="shared" ca="1" si="11"/>
        <v>#DIV/0!</v>
      </c>
      <c r="AR13">
        <v>40</v>
      </c>
      <c r="AS13">
        <v>60</v>
      </c>
      <c r="AT13">
        <v>75</v>
      </c>
      <c r="AU13">
        <f t="shared" ca="1" si="12"/>
        <v>0</v>
      </c>
      <c r="AV13">
        <f t="shared" ca="1" si="13"/>
        <v>0</v>
      </c>
    </row>
    <row r="14" spans="1:48">
      <c r="A14" s="60">
        <f>'TESTING v1'!AN4</f>
        <v>0</v>
      </c>
      <c r="B14" s="13" t="s">
        <v>9</v>
      </c>
      <c r="C14" s="45">
        <f ca="1">'TESTING v1'!C180</f>
        <v>0</v>
      </c>
      <c r="D14" s="45">
        <f ca="1">'TESTING v1'!D180</f>
        <v>0</v>
      </c>
      <c r="E14" s="45">
        <f ca="1">'TESTING v1'!E180</f>
        <v>0</v>
      </c>
      <c r="F14" s="45">
        <f ca="1">'TESTING v1'!F180</f>
        <v>0</v>
      </c>
      <c r="G14" s="45">
        <f ca="1">'TESTING v1'!G180</f>
        <v>0</v>
      </c>
      <c r="H14" s="45">
        <f ca="1">'TESTING v1'!H180</f>
        <v>0</v>
      </c>
      <c r="I14" s="45">
        <f ca="1">'TESTING v1'!I180</f>
        <v>0</v>
      </c>
      <c r="J14" s="45">
        <f ca="1">'TESTING v1'!J180</f>
        <v>0</v>
      </c>
      <c r="K14" s="45">
        <f ca="1">'TESTING v1'!K180</f>
        <v>0</v>
      </c>
      <c r="L14" s="45">
        <f ca="1">'TESTING v1'!L180</f>
        <v>0</v>
      </c>
      <c r="M14" s="45">
        <f ca="1">'TESTING v1'!M180</f>
        <v>0</v>
      </c>
      <c r="N14" s="45">
        <f ca="1">'TESTING v1'!N180</f>
        <v>0</v>
      </c>
      <c r="O14" s="45">
        <f ca="1">'TESTING v1'!O180</f>
        <v>0</v>
      </c>
      <c r="P14" s="45">
        <f ca="1">'TESTING v1'!P180</f>
        <v>0</v>
      </c>
      <c r="Q14" s="45">
        <f ca="1">'TESTING v1'!Q180</f>
        <v>0</v>
      </c>
      <c r="R14" s="45">
        <f ca="1">'TESTING v1'!R180</f>
        <v>0</v>
      </c>
      <c r="S14" s="45">
        <f ca="1">'TESTING v1'!S180</f>
        <v>0</v>
      </c>
      <c r="T14" s="45">
        <f ca="1">'TESTING v1'!T180</f>
        <v>0</v>
      </c>
      <c r="U14" s="45">
        <f ca="1">'TESTING v1'!U180</f>
        <v>0</v>
      </c>
      <c r="V14" s="45">
        <f ca="1">'TESTING v1'!V180</f>
        <v>0</v>
      </c>
      <c r="W14">
        <v>13</v>
      </c>
      <c r="X14" s="62">
        <f t="shared" ca="1" si="0"/>
        <v>0</v>
      </c>
      <c r="Y14" s="18">
        <f t="shared" ca="1" si="14"/>
        <v>0</v>
      </c>
      <c r="Z14" s="19">
        <f t="shared" ca="1" si="1"/>
        <v>0</v>
      </c>
      <c r="AA14" s="20">
        <f t="shared" ca="1" si="2"/>
        <v>0</v>
      </c>
      <c r="AB14" s="10" t="e">
        <f t="shared" ca="1" si="3"/>
        <v>#DIV/0!</v>
      </c>
      <c r="AC14" s="10" t="e">
        <f t="shared" ca="1" si="15"/>
        <v>#DIV/0!</v>
      </c>
      <c r="AD14" t="e">
        <f t="shared" ca="1" si="4"/>
        <v>#DIV/0!</v>
      </c>
      <c r="AE14">
        <f t="shared" ref="AE14:AE17" ca="1" si="19">IF(Z14&gt;=0.6,1,0)</f>
        <v>0</v>
      </c>
      <c r="AF14">
        <f t="shared" ca="1" si="6"/>
        <v>0</v>
      </c>
      <c r="AG14" s="21">
        <f t="shared" ca="1" si="16"/>
        <v>-1</v>
      </c>
      <c r="AH14">
        <f t="shared" ca="1" si="17"/>
        <v>0</v>
      </c>
      <c r="AI14">
        <f t="shared" ca="1" si="18"/>
        <v>0</v>
      </c>
      <c r="AJ14" t="e">
        <f t="shared" ca="1" si="7"/>
        <v>#DIV/0!</v>
      </c>
      <c r="AL14">
        <f t="shared" ca="1" si="8"/>
        <v>0</v>
      </c>
      <c r="AM14">
        <f t="shared" ca="1" si="8"/>
        <v>0</v>
      </c>
      <c r="AN14">
        <f t="shared" ca="1" si="8"/>
        <v>0</v>
      </c>
      <c r="AO14" t="e">
        <f t="shared" ca="1" si="9"/>
        <v>#DIV/0!</v>
      </c>
      <c r="AP14" t="e">
        <f t="shared" ca="1" si="10"/>
        <v>#DIV/0!</v>
      </c>
      <c r="AQ14" t="e">
        <f t="shared" ca="1" si="11"/>
        <v>#DIV/0!</v>
      </c>
      <c r="AR14">
        <v>40</v>
      </c>
      <c r="AS14">
        <v>60</v>
      </c>
      <c r="AT14">
        <v>75</v>
      </c>
      <c r="AU14">
        <f t="shared" ca="1" si="12"/>
        <v>0</v>
      </c>
      <c r="AV14">
        <f t="shared" ca="1" si="13"/>
        <v>0</v>
      </c>
    </row>
    <row r="15" spans="1:48">
      <c r="A15" s="60">
        <f>'TESTING v1'!AN5</f>
        <v>0</v>
      </c>
      <c r="B15" s="26" t="s">
        <v>70</v>
      </c>
      <c r="C15" s="46">
        <f ca="1">'TESTING v1'!C203</f>
        <v>0</v>
      </c>
      <c r="D15" s="46">
        <f ca="1">'TESTING v1'!D203</f>
        <v>0</v>
      </c>
      <c r="E15" s="46">
        <f ca="1">'TESTING v1'!E203</f>
        <v>0</v>
      </c>
      <c r="F15" s="46">
        <f ca="1">'TESTING v1'!F203</f>
        <v>0</v>
      </c>
      <c r="G15" s="46">
        <f ca="1">'TESTING v1'!G203</f>
        <v>0</v>
      </c>
      <c r="H15" s="46">
        <f ca="1">'TESTING v1'!H203</f>
        <v>0</v>
      </c>
      <c r="I15" s="46">
        <f ca="1">'TESTING v1'!I203</f>
        <v>0</v>
      </c>
      <c r="J15" s="46">
        <f ca="1">'TESTING v1'!J203</f>
        <v>0</v>
      </c>
      <c r="K15" s="46">
        <f ca="1">'TESTING v1'!K203</f>
        <v>0</v>
      </c>
      <c r="L15" s="46">
        <f ca="1">'TESTING v1'!L203</f>
        <v>0</v>
      </c>
      <c r="M15" s="46">
        <f ca="1">'TESTING v1'!M203</f>
        <v>0</v>
      </c>
      <c r="N15" s="46">
        <f ca="1">'TESTING v1'!N203</f>
        <v>0</v>
      </c>
      <c r="O15" s="46">
        <f ca="1">'TESTING v1'!O203</f>
        <v>0</v>
      </c>
      <c r="P15" s="46">
        <f ca="1">'TESTING v1'!P203</f>
        <v>0</v>
      </c>
      <c r="Q15" s="46">
        <f ca="1">'TESTING v1'!Q203</f>
        <v>0</v>
      </c>
      <c r="R15" s="46">
        <f ca="1">'TESTING v1'!R203</f>
        <v>0</v>
      </c>
      <c r="S15" s="46">
        <f ca="1">'TESTING v1'!S203</f>
        <v>0</v>
      </c>
      <c r="T15" s="46">
        <f ca="1">'TESTING v1'!T203</f>
        <v>0</v>
      </c>
      <c r="U15" s="46">
        <f ca="1">'TESTING v1'!U203</f>
        <v>0</v>
      </c>
      <c r="V15" s="46">
        <f ca="1">'TESTING v1'!V203</f>
        <v>0</v>
      </c>
      <c r="W15">
        <v>14</v>
      </c>
      <c r="X15" s="62">
        <f t="shared" ca="1" si="0"/>
        <v>0</v>
      </c>
      <c r="Y15" s="18">
        <f t="shared" ca="1" si="14"/>
        <v>0</v>
      </c>
      <c r="Z15" s="19">
        <f t="shared" ca="1" si="1"/>
        <v>0</v>
      </c>
      <c r="AA15" s="20">
        <f t="shared" ca="1" si="2"/>
        <v>0</v>
      </c>
      <c r="AB15" s="10" t="e">
        <f t="shared" ca="1" si="3"/>
        <v>#DIV/0!</v>
      </c>
      <c r="AC15" s="10" t="e">
        <f t="shared" ca="1" si="15"/>
        <v>#DIV/0!</v>
      </c>
      <c r="AD15" t="e">
        <f t="shared" ca="1" si="4"/>
        <v>#DIV/0!</v>
      </c>
      <c r="AE15">
        <f t="shared" ca="1" si="19"/>
        <v>0</v>
      </c>
      <c r="AF15">
        <f t="shared" ca="1" si="6"/>
        <v>0</v>
      </c>
      <c r="AG15" s="21">
        <f t="shared" ca="1" si="16"/>
        <v>-1</v>
      </c>
      <c r="AH15">
        <f t="shared" ca="1" si="17"/>
        <v>0</v>
      </c>
      <c r="AI15">
        <f t="shared" ca="1" si="18"/>
        <v>0</v>
      </c>
      <c r="AJ15" t="e">
        <f t="shared" ca="1" si="7"/>
        <v>#DIV/0!</v>
      </c>
      <c r="AL15">
        <f t="shared" ca="1" si="8"/>
        <v>0</v>
      </c>
      <c r="AM15">
        <f t="shared" ca="1" si="8"/>
        <v>0</v>
      </c>
      <c r="AN15">
        <f t="shared" ca="1" si="8"/>
        <v>0</v>
      </c>
      <c r="AO15" t="e">
        <f t="shared" ca="1" si="9"/>
        <v>#DIV/0!</v>
      </c>
      <c r="AP15" t="e">
        <f t="shared" ca="1" si="10"/>
        <v>#DIV/0!</v>
      </c>
      <c r="AQ15" t="e">
        <f t="shared" ca="1" si="11"/>
        <v>#DIV/0!</v>
      </c>
      <c r="AR15">
        <v>40</v>
      </c>
      <c r="AS15">
        <v>60</v>
      </c>
      <c r="AT15">
        <v>75</v>
      </c>
      <c r="AU15">
        <f t="shared" ca="1" si="12"/>
        <v>0</v>
      </c>
      <c r="AV15">
        <f t="shared" ca="1" si="13"/>
        <v>0</v>
      </c>
    </row>
    <row r="16" spans="1:48">
      <c r="A16" s="60">
        <v>1</v>
      </c>
      <c r="B16" s="44" t="s">
        <v>71</v>
      </c>
      <c r="C16" s="47">
        <f ca="1">'TESTING v1'!C219</f>
        <v>0</v>
      </c>
      <c r="D16" s="47">
        <f ca="1">'TESTING v1'!D219</f>
        <v>0</v>
      </c>
      <c r="E16" s="47">
        <f ca="1">'TESTING v1'!E219</f>
        <v>0</v>
      </c>
      <c r="F16" s="47">
        <f ca="1">'TESTING v1'!F219</f>
        <v>0</v>
      </c>
      <c r="G16" s="47">
        <f ca="1">'TESTING v1'!G219</f>
        <v>0</v>
      </c>
      <c r="H16" s="47">
        <f ca="1">'TESTING v1'!H219</f>
        <v>0</v>
      </c>
      <c r="I16" s="47">
        <f ca="1">'TESTING v1'!I219</f>
        <v>0</v>
      </c>
      <c r="J16" s="47">
        <f ca="1">'TESTING v1'!J219</f>
        <v>0</v>
      </c>
      <c r="K16" s="47">
        <f ca="1">'TESTING v1'!K219</f>
        <v>0</v>
      </c>
      <c r="L16" s="47">
        <f ca="1">'TESTING v1'!L219</f>
        <v>0</v>
      </c>
      <c r="M16" s="47">
        <f ca="1">'TESTING v1'!M219</f>
        <v>0</v>
      </c>
      <c r="N16" s="47">
        <f ca="1">'TESTING v1'!N219</f>
        <v>0</v>
      </c>
      <c r="O16" s="47">
        <f ca="1">'TESTING v1'!O219</f>
        <v>0</v>
      </c>
      <c r="P16" s="47">
        <f ca="1">'TESTING v1'!P219</f>
        <v>0</v>
      </c>
      <c r="Q16" s="47">
        <f ca="1">'TESTING v1'!Q219</f>
        <v>0</v>
      </c>
      <c r="R16" s="47">
        <f ca="1">'TESTING v1'!R219</f>
        <v>0</v>
      </c>
      <c r="S16" s="47">
        <f ca="1">'TESTING v1'!S219</f>
        <v>0</v>
      </c>
      <c r="T16" s="47">
        <f ca="1">'TESTING v1'!T219</f>
        <v>0</v>
      </c>
      <c r="U16" s="47">
        <f ca="1">'TESTING v1'!U219</f>
        <v>0</v>
      </c>
      <c r="V16" s="47">
        <f ca="1">'TESTING v1'!V219</f>
        <v>0</v>
      </c>
      <c r="W16">
        <v>15</v>
      </c>
      <c r="X16" s="62">
        <f t="shared" ca="1" si="0"/>
        <v>0</v>
      </c>
      <c r="Y16" s="18">
        <f t="shared" ca="1" si="14"/>
        <v>0</v>
      </c>
      <c r="Z16" s="19">
        <f t="shared" ca="1" si="1"/>
        <v>0</v>
      </c>
      <c r="AA16" s="20">
        <f t="shared" ca="1" si="2"/>
        <v>0</v>
      </c>
      <c r="AB16" s="10" t="e">
        <f t="shared" ca="1" si="3"/>
        <v>#DIV/0!</v>
      </c>
      <c r="AC16" s="10" t="e">
        <f t="shared" ca="1" si="15"/>
        <v>#DIV/0!</v>
      </c>
      <c r="AD16" t="e">
        <f t="shared" ca="1" si="4"/>
        <v>#DIV/0!</v>
      </c>
      <c r="AE16">
        <f t="shared" ca="1" si="19"/>
        <v>0</v>
      </c>
      <c r="AF16">
        <f t="shared" ca="1" si="6"/>
        <v>0</v>
      </c>
      <c r="AG16" s="21">
        <f t="shared" ca="1" si="16"/>
        <v>-1</v>
      </c>
      <c r="AH16">
        <f t="shared" ca="1" si="17"/>
        <v>0</v>
      </c>
      <c r="AI16">
        <f t="shared" ca="1" si="18"/>
        <v>0</v>
      </c>
      <c r="AJ16" t="e">
        <f t="shared" ca="1" si="7"/>
        <v>#DIV/0!</v>
      </c>
      <c r="AL16">
        <f t="shared" ca="1" si="8"/>
        <v>0</v>
      </c>
      <c r="AM16">
        <f t="shared" ca="1" si="8"/>
        <v>0</v>
      </c>
      <c r="AN16">
        <f t="shared" ca="1" si="8"/>
        <v>0</v>
      </c>
      <c r="AO16" t="e">
        <f t="shared" ca="1" si="9"/>
        <v>#DIV/0!</v>
      </c>
      <c r="AP16" t="e">
        <f t="shared" ca="1" si="10"/>
        <v>#DIV/0!</v>
      </c>
      <c r="AQ16" t="e">
        <f t="shared" ca="1" si="11"/>
        <v>#DIV/0!</v>
      </c>
      <c r="AR16">
        <v>40</v>
      </c>
      <c r="AS16">
        <v>60</v>
      </c>
      <c r="AT16">
        <v>75</v>
      </c>
      <c r="AU16">
        <f t="shared" ca="1" si="12"/>
        <v>0</v>
      </c>
      <c r="AV16">
        <f t="shared" ca="1" si="13"/>
        <v>0</v>
      </c>
    </row>
    <row r="17" spans="2:48">
      <c r="B17" s="26"/>
      <c r="C17" s="10"/>
      <c r="D17" s="10"/>
      <c r="E17" s="10"/>
      <c r="F17" s="10"/>
      <c r="G17" s="10"/>
      <c r="H17" s="10"/>
      <c r="I17" s="10"/>
      <c r="J17" s="10"/>
      <c r="K17" s="10"/>
      <c r="L17" s="10"/>
      <c r="M17" s="10"/>
      <c r="N17" s="10"/>
      <c r="O17" s="10"/>
      <c r="P17" s="10"/>
      <c r="Q17" s="10"/>
      <c r="R17" s="10"/>
      <c r="S17" s="10"/>
      <c r="T17" s="10"/>
      <c r="U17" s="10"/>
      <c r="V17" s="10"/>
      <c r="W17">
        <v>16</v>
      </c>
      <c r="Y17" s="18" t="e">
        <f ca="1">SMALL(C17:V17,(10-$D$19))</f>
        <v>#NUM!</v>
      </c>
      <c r="Z17" s="19">
        <f t="shared" si="1"/>
        <v>0</v>
      </c>
      <c r="AA17" s="20">
        <f t="shared" si="2"/>
        <v>0</v>
      </c>
      <c r="AB17" s="10" t="e">
        <f t="shared" si="3"/>
        <v>#DIV/0!</v>
      </c>
      <c r="AC17" s="10" t="e">
        <f t="shared" si="15"/>
        <v>#DIV/0!</v>
      </c>
      <c r="AD17" t="e">
        <f t="shared" si="4"/>
        <v>#DIV/0!</v>
      </c>
      <c r="AE17">
        <f t="shared" si="19"/>
        <v>0</v>
      </c>
      <c r="AF17">
        <f t="shared" ca="1" si="6"/>
        <v>0</v>
      </c>
      <c r="AG17" s="21">
        <f t="shared" ca="1" si="16"/>
        <v>-1</v>
      </c>
      <c r="AH17">
        <f t="shared" ca="1" si="17"/>
        <v>0</v>
      </c>
      <c r="AI17">
        <f t="shared" ca="1" si="18"/>
        <v>0</v>
      </c>
      <c r="AJ17" t="e">
        <f t="shared" ca="1" si="7"/>
        <v>#DIV/0!</v>
      </c>
      <c r="AL17" t="e">
        <f t="shared" ca="1" si="8"/>
        <v>#NUM!</v>
      </c>
      <c r="AM17">
        <f t="shared" si="8"/>
        <v>0</v>
      </c>
      <c r="AN17">
        <f t="shared" si="8"/>
        <v>0</v>
      </c>
      <c r="AO17" t="e">
        <f t="shared" ca="1" si="9"/>
        <v>#DIV/0!</v>
      </c>
      <c r="AP17" t="e">
        <f t="shared" ca="1" si="10"/>
        <v>#DIV/0!</v>
      </c>
      <c r="AQ17" t="e">
        <f t="shared" ca="1" si="11"/>
        <v>#DIV/0!</v>
      </c>
      <c r="AR17">
        <v>40</v>
      </c>
      <c r="AS17">
        <v>60</v>
      </c>
      <c r="AT17">
        <v>75</v>
      </c>
      <c r="AU17" t="e">
        <f t="shared" ca="1" si="12"/>
        <v>#NUM!</v>
      </c>
      <c r="AV17" t="e">
        <f t="shared" ca="1" si="13"/>
        <v>#NUM!</v>
      </c>
    </row>
    <row r="18" spans="2:48">
      <c r="B18" s="13" t="s">
        <v>67</v>
      </c>
      <c r="W18">
        <v>-1</v>
      </c>
    </row>
    <row r="19" spans="2:48">
      <c r="B19" s="59" t="s">
        <v>110</v>
      </c>
      <c r="C19" s="9"/>
      <c r="D19" s="183">
        <f ca="1">CHARTING!X25</f>
        <v>-1</v>
      </c>
      <c r="F19" s="10"/>
      <c r="W19">
        <v>0</v>
      </c>
    </row>
    <row r="20" spans="2:48">
      <c r="W20">
        <v>16</v>
      </c>
    </row>
    <row r="21" spans="2:48" ht="28.5">
      <c r="B21" s="63" t="s">
        <v>257</v>
      </c>
      <c r="C21" s="66" t="str">
        <f ca="1">IF(SUM('TESTING v1'!W11,'TESTING v1'!W38,'TESTING v1'!W58,'TESTING v1'!W72,'TESTING v1'!W89,'TESTING v1'!W107,'TESTING v1'!W128,'TESTING v1'!W152,'TESTING v1'!W180,'TESTING v1'!W203,'TESTING v1'!W219,'TESTING v1'!W239)=0,"GOOD","BROKEN")</f>
        <v>GOOD</v>
      </c>
      <c r="D21" t="s">
        <v>258</v>
      </c>
      <c r="AC21" s="30" t="s">
        <v>81</v>
      </c>
      <c r="AD21" s="30"/>
      <c r="AE21" s="30"/>
      <c r="AF21" s="30"/>
      <c r="AG21" s="30"/>
    </row>
    <row r="23" spans="2:48">
      <c r="AE23" s="13"/>
      <c r="AH23" s="10"/>
      <c r="AI23" s="10"/>
      <c r="AJ23" s="10"/>
    </row>
    <row r="24" spans="2:48">
      <c r="AE24" s="13"/>
      <c r="AH24" s="10"/>
      <c r="AI24" s="10"/>
      <c r="AJ24" s="10"/>
    </row>
    <row r="25" spans="2:48">
      <c r="AE25" s="13"/>
      <c r="AH25" s="10"/>
      <c r="AI25" s="10"/>
      <c r="AJ25" s="10"/>
    </row>
    <row r="26" spans="2:48">
      <c r="AE26" s="13"/>
      <c r="AH26" s="10"/>
      <c r="AI26" s="10"/>
      <c r="AJ26" s="10"/>
    </row>
    <row r="27" spans="2:48">
      <c r="AC27">
        <v>0.50453900709999999</v>
      </c>
      <c r="AD27">
        <v>0.63371621619999996</v>
      </c>
      <c r="AE27">
        <v>0.59731418920000001</v>
      </c>
      <c r="AF27">
        <v>0.58378378379999996</v>
      </c>
      <c r="AG27">
        <v>0.3921174295</v>
      </c>
      <c r="AH27">
        <v>0</v>
      </c>
      <c r="AI27">
        <v>0</v>
      </c>
      <c r="AJ27">
        <v>0</v>
      </c>
      <c r="AK27">
        <v>0</v>
      </c>
    </row>
  </sheetData>
  <conditionalFormatting sqref="AJ2:AJ17">
    <cfRule type="iconSet" priority="36">
      <iconSet>
        <cfvo type="percent" val="0"/>
        <cfvo type="num" val="3"/>
        <cfvo type="num" val="5"/>
      </iconSet>
    </cfRule>
  </conditionalFormatting>
  <conditionalFormatting sqref="A2:A16">
    <cfRule type="iconSet" priority="2">
      <iconSet iconSet="3Symbols2">
        <cfvo type="percent" val="0"/>
        <cfvo type="percent" val="33"/>
        <cfvo type="percent" val="67"/>
      </iconSet>
    </cfRule>
  </conditionalFormatting>
  <conditionalFormatting sqref="C21">
    <cfRule type="cellIs" dxfId="0" priority="1" operator="equal">
      <formula>"BROKEN"</formula>
    </cfRule>
  </conditionalFormatting>
  <conditionalFormatting sqref="C17:V17">
    <cfRule type="colorScale" priority="91">
      <colorScale>
        <cfvo type="min"/>
        <cfvo type="percentile" val="50"/>
        <cfvo type="max"/>
        <color rgb="FFF8696B"/>
        <color rgb="FFFCFCFF"/>
        <color rgb="FF63BE7B"/>
      </colorScale>
    </cfRule>
  </conditionalFormatting>
  <conditionalFormatting sqref="C2:V2">
    <cfRule type="colorScale" priority="92">
      <colorScale>
        <cfvo type="min"/>
        <cfvo type="percentile" val="50"/>
        <cfvo type="max"/>
        <color rgb="FFF8696B"/>
        <color rgb="FFFCFCFF"/>
        <color rgb="FF63BE7B"/>
      </colorScale>
    </cfRule>
  </conditionalFormatting>
  <conditionalFormatting sqref="C3:V3">
    <cfRule type="colorScale" priority="93">
      <colorScale>
        <cfvo type="min"/>
        <cfvo type="percentile" val="50"/>
        <cfvo type="max"/>
        <color rgb="FFF8696B"/>
        <color rgb="FFFCFCFF"/>
        <color rgb="FF63BE7B"/>
      </colorScale>
    </cfRule>
  </conditionalFormatting>
  <conditionalFormatting sqref="C4:V4">
    <cfRule type="colorScale" priority="94">
      <colorScale>
        <cfvo type="min"/>
        <cfvo type="percentile" val="50"/>
        <cfvo type="max"/>
        <color rgb="FFF8696B"/>
        <color rgb="FFFCFCFF"/>
        <color rgb="FF63BE7B"/>
      </colorScale>
    </cfRule>
  </conditionalFormatting>
  <conditionalFormatting sqref="C5:V5">
    <cfRule type="colorScale" priority="95">
      <colorScale>
        <cfvo type="min"/>
        <cfvo type="percentile" val="50"/>
        <cfvo type="max"/>
        <color rgb="FFF8696B"/>
        <color rgb="FFFCFCFF"/>
        <color rgb="FF63BE7B"/>
      </colorScale>
    </cfRule>
  </conditionalFormatting>
  <conditionalFormatting sqref="C6:V6">
    <cfRule type="colorScale" priority="96">
      <colorScale>
        <cfvo type="min"/>
        <cfvo type="percentile" val="50"/>
        <cfvo type="max"/>
        <color rgb="FFF8696B"/>
        <color rgb="FFFCFCFF"/>
        <color rgb="FF63BE7B"/>
      </colorScale>
    </cfRule>
  </conditionalFormatting>
  <conditionalFormatting sqref="C7:V7">
    <cfRule type="colorScale" priority="97">
      <colorScale>
        <cfvo type="min"/>
        <cfvo type="percentile" val="50"/>
        <cfvo type="max"/>
        <color rgb="FFF8696B"/>
        <color rgb="FFFCFCFF"/>
        <color rgb="FF63BE7B"/>
      </colorScale>
    </cfRule>
  </conditionalFormatting>
  <conditionalFormatting sqref="C8:V8">
    <cfRule type="colorScale" priority="98">
      <colorScale>
        <cfvo type="min"/>
        <cfvo type="percentile" val="50"/>
        <cfvo type="max"/>
        <color rgb="FFF8696B"/>
        <color rgb="FFFCFCFF"/>
        <color rgb="FF63BE7B"/>
      </colorScale>
    </cfRule>
  </conditionalFormatting>
  <conditionalFormatting sqref="C9:V9">
    <cfRule type="colorScale" priority="99">
      <colorScale>
        <cfvo type="min"/>
        <cfvo type="percentile" val="50"/>
        <cfvo type="max"/>
        <color rgb="FFF8696B"/>
        <color rgb="FFFCFCFF"/>
        <color rgb="FF63BE7B"/>
      </colorScale>
    </cfRule>
  </conditionalFormatting>
  <conditionalFormatting sqref="C10:V10">
    <cfRule type="colorScale" priority="100">
      <colorScale>
        <cfvo type="min"/>
        <cfvo type="percentile" val="50"/>
        <cfvo type="max"/>
        <color rgb="FFF8696B"/>
        <color rgb="FFFCFCFF"/>
        <color rgb="FF63BE7B"/>
      </colorScale>
    </cfRule>
  </conditionalFormatting>
  <conditionalFormatting sqref="C2:V16">
    <cfRule type="colorScale" priority="101">
      <colorScale>
        <cfvo type="min"/>
        <cfvo type="percentile" val="50"/>
        <cfvo type="max"/>
        <color rgb="FFF8696B"/>
        <color rgb="FFFCFCFF"/>
        <color rgb="FF63BE7B"/>
      </colorScale>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TESTING v2</vt:lpstr>
      <vt:lpstr>ANALYSIS</vt:lpstr>
      <vt:lpstr>CHARTING</vt:lpstr>
      <vt:lpstr>||END||</vt:lpstr>
      <vt:lpstr>ScoreMaster v2</vt:lpstr>
      <vt:lpstr>TESTING v1</vt:lpstr>
      <vt:lpstr>Instructions</vt:lpstr>
      <vt:lpstr>Exported Scores</vt:lpstr>
      <vt:lpstr>Pivot (Export)</vt:lpstr>
      <vt:lpstr>Past Q Scores</vt:lpstr>
      <vt:lpstr>Key Findings</vt:lpstr>
      <vt:lpstr>Industries v3</vt:lpstr>
      <vt:lpstr>Charting Data v2</vt:lpstr>
      <vt:lpstr>Comps</vt:lpstr>
      <vt:lpstr>Industry</vt:lpstr>
      <vt:lpstr>Source</vt:lpstr>
      <vt:lpstr>Type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dc:creator>
  <cp:lastModifiedBy>shivanagouda K</cp:lastModifiedBy>
  <dcterms:created xsi:type="dcterms:W3CDTF">2015-06-22T23:41:12Z</dcterms:created>
  <dcterms:modified xsi:type="dcterms:W3CDTF">2018-07-01T16:47:11Z</dcterms:modified>
</cp:coreProperties>
</file>